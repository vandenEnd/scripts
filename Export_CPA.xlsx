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ac351e13f2064c/Desktop/Documenten/DNB/"/>
    </mc:Choice>
  </mc:AlternateContent>
  <xr:revisionPtr revIDLastSave="109" documentId="14_{997B2EEC-F5A1-40D1-902D-EA98A012FF00}" xr6:coauthVersionLast="47" xr6:coauthVersionMax="47" xr10:uidLastSave="{9FA2301C-DE1D-456B-A326-5ABBF01ECDDC}"/>
  <bookViews>
    <workbookView xWindow="-110" yWindow="-110" windowWidth="19420" windowHeight="10300" activeTab="1" xr2:uid="{00000000-000D-0000-FFFF-FFFF00000000}"/>
  </bookViews>
  <sheets>
    <sheet name="Summary" sheetId="1" r:id="rId1"/>
    <sheet name="Total" sheetId="26" r:id="rId2"/>
    <sheet name="Sheet 1" sheetId="2" r:id="rId3"/>
    <sheet name="Sheet 3" sheetId="4" r:id="rId4"/>
    <sheet name="Sheet 4" sheetId="5" r:id="rId5"/>
    <sheet name="Sheet 6" sheetId="7" r:id="rId6"/>
    <sheet name="Sheet 7" sheetId="8" r:id="rId7"/>
    <sheet name="Sheet 9" sheetId="10" r:id="rId8"/>
    <sheet name="Sheet 10" sheetId="11" r:id="rId9"/>
    <sheet name="Sheet 12" sheetId="13" r:id="rId10"/>
    <sheet name="Sheet 13" sheetId="14" r:id="rId11"/>
    <sheet name="Sheet 15" sheetId="16" r:id="rId12"/>
    <sheet name="Sheet 16" sheetId="17" r:id="rId13"/>
    <sheet name="Sheet 18" sheetId="19" r:id="rId14"/>
    <sheet name="Sheet 19" sheetId="20" r:id="rId15"/>
    <sheet name="Sheet 21" sheetId="22" r:id="rId16"/>
    <sheet name="Sheet 22" sheetId="23" r:id="rId17"/>
    <sheet name="Sheet 24" sheetId="2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6" l="1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D23" i="26"/>
  <c r="D22" i="26"/>
  <c r="D24" i="26" s="1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E20" i="26"/>
  <c r="E19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D17" i="26"/>
  <c r="D16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S14" i="26"/>
  <c r="T14" i="26"/>
  <c r="AA14" i="26"/>
  <c r="D1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E6" i="26"/>
  <c r="E14" i="26" s="1"/>
  <c r="F6" i="26"/>
  <c r="F14" i="26" s="1"/>
  <c r="G6" i="26"/>
  <c r="G14" i="26" s="1"/>
  <c r="H6" i="26"/>
  <c r="H14" i="26" s="1"/>
  <c r="I6" i="26"/>
  <c r="I14" i="26" s="1"/>
  <c r="J6" i="26"/>
  <c r="J14" i="26" s="1"/>
  <c r="K6" i="26"/>
  <c r="K14" i="26" s="1"/>
  <c r="L6" i="26"/>
  <c r="L14" i="26" s="1"/>
  <c r="M6" i="26"/>
  <c r="M14" i="26" s="1"/>
  <c r="N6" i="26"/>
  <c r="N14" i="26" s="1"/>
  <c r="O6" i="26"/>
  <c r="P6" i="26"/>
  <c r="Q6" i="26"/>
  <c r="R6" i="26"/>
  <c r="S6" i="26"/>
  <c r="T6" i="26"/>
  <c r="U6" i="26"/>
  <c r="U14" i="26" s="1"/>
  <c r="V6" i="26"/>
  <c r="V14" i="26" s="1"/>
  <c r="W6" i="26"/>
  <c r="X6" i="26"/>
  <c r="Y6" i="26"/>
  <c r="Z6" i="26"/>
  <c r="AA6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E8" i="26"/>
  <c r="F8" i="26"/>
  <c r="G8" i="26"/>
  <c r="H8" i="26"/>
  <c r="I8" i="26"/>
  <c r="J8" i="26"/>
  <c r="K8" i="26"/>
  <c r="L8" i="26"/>
  <c r="M8" i="26"/>
  <c r="N8" i="26"/>
  <c r="O8" i="26"/>
  <c r="O14" i="26" s="1"/>
  <c r="P8" i="26"/>
  <c r="P14" i="26" s="1"/>
  <c r="Q8" i="26"/>
  <c r="R8" i="26"/>
  <c r="S8" i="26"/>
  <c r="T8" i="26"/>
  <c r="U8" i="26"/>
  <c r="V8" i="26"/>
  <c r="W8" i="26"/>
  <c r="W14" i="26" s="1"/>
  <c r="X8" i="26"/>
  <c r="X14" i="26" s="1"/>
  <c r="Y8" i="26"/>
  <c r="Z8" i="26"/>
  <c r="AA8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Q14" i="26" s="1"/>
  <c r="R10" i="26"/>
  <c r="R14" i="26" s="1"/>
  <c r="S10" i="26"/>
  <c r="T10" i="26"/>
  <c r="U10" i="26"/>
  <c r="V10" i="26"/>
  <c r="W10" i="26"/>
  <c r="X10" i="26"/>
  <c r="Y10" i="26"/>
  <c r="Y14" i="26" s="1"/>
  <c r="Z10" i="26"/>
  <c r="Z14" i="26" s="1"/>
  <c r="AA10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D11" i="26"/>
  <c r="D10" i="26"/>
  <c r="D9" i="26"/>
  <c r="D8" i="26"/>
  <c r="D7" i="26"/>
  <c r="D6" i="26"/>
  <c r="D5" i="26"/>
  <c r="D4" i="26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B17" i="13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7" i="11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B17" i="10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B17" i="8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B17" i="7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B17" i="5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B17" i="4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B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Christine van den End</author>
  </authors>
  <commentList>
    <comment ref="A22" authorId="0" shapeId="0" xr:uid="{536C9075-65C1-4968-B11D-639E73AC66F9}">
      <text>
        <r>
          <rPr>
            <sz val="9"/>
            <color indexed="81"/>
            <rFont val="Tahoma"/>
            <family val="2"/>
          </rPr>
          <t>includes semiconductor manufacturing equipment including ASLM lithography systems</t>
        </r>
      </text>
    </comment>
  </commentList>
</comments>
</file>

<file path=xl/sharedStrings.xml><?xml version="1.0" encoding="utf-8"?>
<sst xmlns="http://schemas.openxmlformats.org/spreadsheetml/2006/main" count="1665" uniqueCount="85">
  <si>
    <t>International trade of EU and non-EU countries since 2002 by CPA 2.2 [ds-059366__custom_22763107]</t>
  </si>
  <si>
    <t>Open product page</t>
  </si>
  <si>
    <t>Open in Data Browser</t>
  </si>
  <si>
    <t xml:space="preserve">Description: </t>
  </si>
  <si>
    <t>-</t>
  </si>
  <si>
    <t xml:space="preserve">Last update of data: </t>
  </si>
  <si>
    <t>14/08/2026 11:00</t>
  </si>
  <si>
    <t xml:space="preserve">Last change of data structure: </t>
  </si>
  <si>
    <t>Institutional source(s)</t>
  </si>
  <si>
    <t>Eurostat</t>
  </si>
  <si>
    <t>Contents</t>
  </si>
  <si>
    <t>PARTNER</t>
  </si>
  <si>
    <t>PRODUCT</t>
  </si>
  <si>
    <t>FLOW</t>
  </si>
  <si>
    <t>INDICATORS</t>
  </si>
  <si>
    <t>Sheet 1</t>
  </si>
  <si>
    <t>Extra-EU</t>
  </si>
  <si>
    <t>TOTAL</t>
  </si>
  <si>
    <t>EXPORT</t>
  </si>
  <si>
    <t>VALUE_EUR</t>
  </si>
  <si>
    <t>Sheet 3</t>
  </si>
  <si>
    <t>QUANTITY_KG</t>
  </si>
  <si>
    <t>Sheet 4</t>
  </si>
  <si>
    <t>Electronic components and boards</t>
  </si>
  <si>
    <t>Sheet 6</t>
  </si>
  <si>
    <t>Sheet 7</t>
  </si>
  <si>
    <t>Computers and peripheral equipment</t>
  </si>
  <si>
    <t>Sheet 9</t>
  </si>
  <si>
    <t>Sheet 10</t>
  </si>
  <si>
    <t>Other special-purpose machinery n.e.c.</t>
  </si>
  <si>
    <t>Sheet 12</t>
  </si>
  <si>
    <t>Sheet 13</t>
  </si>
  <si>
    <t>Intra-EU</t>
  </si>
  <si>
    <t>Sheet 15</t>
  </si>
  <si>
    <t>Sheet 16</t>
  </si>
  <si>
    <t>Sheet 18</t>
  </si>
  <si>
    <t>Sheet 19</t>
  </si>
  <si>
    <t>Sheet 21</t>
  </si>
  <si>
    <t>Sheet 22</t>
  </si>
  <si>
    <t>Sheet 24</t>
  </si>
  <si>
    <t>Data extracted on 12/09/2026 14:16:03 from [ESTAT]</t>
  </si>
  <si>
    <t xml:space="preserve">Dataset: </t>
  </si>
  <si>
    <t xml:space="preserve">Last updated: </t>
  </si>
  <si>
    <t>TIME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</si>
  <si>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</si>
  <si>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</si>
  <si>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</si>
  <si>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</si>
  <si>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</si>
  <si>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</si>
  <si>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</si>
  <si>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</si>
  <si>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</si>
  <si>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</si>
  <si>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</si>
  <si>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</si>
  <si>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</si>
  <si>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</si>
  <si>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</si>
  <si>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</si>
  <si>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</si>
  <si>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</si>
  <si>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</si>
  <si>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</si>
  <si>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</si>
  <si>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</si>
  <si>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</si>
  <si>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</si>
  <si>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FREQ (Labels)</t>
  </si>
  <si>
    <t>Annual</t>
  </si>
  <si>
    <t>REPORTER (Labels)</t>
  </si>
  <si>
    <t/>
  </si>
  <si>
    <t>Netherlands</t>
  </si>
  <si>
    <t>Special value</t>
  </si>
  <si>
    <t>not available</t>
  </si>
  <si>
    <t>World</t>
  </si>
  <si>
    <t>exp_tech_3_cp</t>
  </si>
  <si>
    <t>exp_tech_2_cp</t>
  </si>
  <si>
    <t>[ds-059366] International trade of EU and non-EU countries since 2002 by CPA 2.2</t>
  </si>
  <si>
    <t>% yoy, volume</t>
  </si>
  <si>
    <t>% total X value</t>
  </si>
  <si>
    <t>CPA 2.2 261</t>
  </si>
  <si>
    <t>CPA 2.2 262</t>
  </si>
  <si>
    <t>CPA 2.2 2899</t>
  </si>
  <si>
    <t>Other special-purpose 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</si>
</sst>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11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3" fontId="0" fillId="0" borderId="0" xfId="0" applyNumberFormat="1"/>
    <xf numFmtId="0" fontId="0" fillId="7" borderId="0" xfId="0" applyFill="1"/>
    <xf numFmtId="0" fontId="0" fillId="8" borderId="0" xfId="0" applyFill="1"/>
    <xf numFmtId="0" fontId="9" fillId="0" borderId="0" xfId="2" applyFont="1"/>
    <xf numFmtId="0" fontId="7" fillId="0" borderId="0" xfId="0" applyFont="1"/>
    <xf numFmtId="9" fontId="0" fillId="0" borderId="0" xfId="1" applyFont="1"/>
    <xf numFmtId="0" fontId="2" fillId="9" borderId="0" xfId="0" applyFont="1" applyFill="1" applyAlignment="1">
      <alignment horizontal="left" vertical="center"/>
    </xf>
    <xf numFmtId="165" fontId="0" fillId="0" borderId="0" xfId="0" applyNumberFormat="1"/>
    <xf numFmtId="165" fontId="0" fillId="0" borderId="0" xfId="1" applyNumberFormat="1" applyFont="1"/>
    <xf numFmtId="0" fontId="2" fillId="0" borderId="0" xfId="0" applyFont="1" applyAlignment="1">
      <alignment horizontal="left" vertical="top" wrapText="1"/>
    </xf>
    <xf numFmtId="0" fontId="0" fillId="0" borderId="0" xfId="0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02537182852142"/>
          <c:y val="5.5555555555555552E-2"/>
          <c:w val="0.73764129483814522"/>
          <c:h val="0.65440616797900275"/>
        </c:manualLayout>
      </c:layout>
      <c:barChart>
        <c:barDir val="col"/>
        <c:grouping val="stacked"/>
        <c:varyColors val="0"/>
        <c:ser>
          <c:idx val="2"/>
          <c:order val="0"/>
          <c:tx>
            <c:v>Total goods export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Total!$R$1:$AA$1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Total!$R$4:$AA$4</c:f>
              <c:numCache>
                <c:formatCode>#,##0</c:formatCode>
                <c:ptCount val="10"/>
                <c:pt idx="0">
                  <c:v>515934642422</c:v>
                </c:pt>
                <c:pt idx="1">
                  <c:v>577087073690</c:v>
                </c:pt>
                <c:pt idx="2">
                  <c:v>615600685103</c:v>
                </c:pt>
                <c:pt idx="3">
                  <c:v>633056944231</c:v>
                </c:pt>
                <c:pt idx="4">
                  <c:v>590233153936</c:v>
                </c:pt>
                <c:pt idx="5">
                  <c:v>711069847525</c:v>
                </c:pt>
                <c:pt idx="6">
                  <c:v>917539930190</c:v>
                </c:pt>
                <c:pt idx="7">
                  <c:v>864928867642</c:v>
                </c:pt>
                <c:pt idx="8">
                  <c:v>850696780925</c:v>
                </c:pt>
                <c:pt idx="9">
                  <c:v>875641064742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A-4749-A8F8-73A4CAD2D4B2}"/>
            </c:ext>
          </c:extLst>
        </c:ser>
        <c:ser>
          <c:idx val="0"/>
          <c:order val="1"/>
          <c:tx>
            <c:strRef>
              <c:f>Total!$A$6</c:f>
              <c:strCache>
                <c:ptCount val="1"/>
                <c:pt idx="0">
                  <c:v>Electronic components and boards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Total!$R$1:$AA$1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Total!$R$6:$AA$6</c:f>
              <c:numCache>
                <c:formatCode>#,##0</c:formatCode>
                <c:ptCount val="10"/>
                <c:pt idx="0">
                  <c:v>8480233210</c:v>
                </c:pt>
                <c:pt idx="1">
                  <c:v>14162142958</c:v>
                </c:pt>
                <c:pt idx="2">
                  <c:v>15516274875</c:v>
                </c:pt>
                <c:pt idx="3">
                  <c:v>16687866557</c:v>
                </c:pt>
                <c:pt idx="4">
                  <c:v>16448894031</c:v>
                </c:pt>
                <c:pt idx="5">
                  <c:v>19294990488</c:v>
                </c:pt>
                <c:pt idx="6">
                  <c:v>27034279871</c:v>
                </c:pt>
                <c:pt idx="7">
                  <c:v>25672741458</c:v>
                </c:pt>
                <c:pt idx="8">
                  <c:v>19689932119</c:v>
                </c:pt>
                <c:pt idx="9">
                  <c:v>17907841364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749-A8F8-73A4CAD2D4B2}"/>
            </c:ext>
          </c:extLst>
        </c:ser>
        <c:ser>
          <c:idx val="1"/>
          <c:order val="2"/>
          <c:tx>
            <c:strRef>
              <c:f>Total!$A$8</c:f>
              <c:strCache>
                <c:ptCount val="1"/>
                <c:pt idx="0">
                  <c:v>Computers and peripheral equipment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Total!$R$1:$AA$1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Total!$R$8:$AA$8</c:f>
              <c:numCache>
                <c:formatCode>#,##0</c:formatCode>
                <c:ptCount val="10"/>
                <c:pt idx="0">
                  <c:v>34531427214</c:v>
                </c:pt>
                <c:pt idx="1">
                  <c:v>33636169335</c:v>
                </c:pt>
                <c:pt idx="2">
                  <c:v>35906076558</c:v>
                </c:pt>
                <c:pt idx="3">
                  <c:v>36296661139</c:v>
                </c:pt>
                <c:pt idx="4">
                  <c:v>40196887975</c:v>
                </c:pt>
                <c:pt idx="5">
                  <c:v>44570479770</c:v>
                </c:pt>
                <c:pt idx="6">
                  <c:v>48804047395</c:v>
                </c:pt>
                <c:pt idx="7">
                  <c:v>48079505097</c:v>
                </c:pt>
                <c:pt idx="8">
                  <c:v>50082438144</c:v>
                </c:pt>
                <c:pt idx="9">
                  <c:v>57393096160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A-4749-A8F8-73A4CAD2D4B2}"/>
            </c:ext>
          </c:extLst>
        </c:ser>
        <c:ser>
          <c:idx val="3"/>
          <c:order val="3"/>
          <c:tx>
            <c:strRef>
              <c:f>Total!$A$10</c:f>
              <c:strCache>
                <c:ptCount val="1"/>
                <c:pt idx="0">
                  <c:v>Other special-purpose machinery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Total!$R$1:$AA$1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Total!$R$10:$AA$10</c:f>
              <c:numCache>
                <c:formatCode>#,##0</c:formatCode>
                <c:ptCount val="10"/>
                <c:pt idx="0">
                  <c:v>7813864262</c:v>
                </c:pt>
                <c:pt idx="1">
                  <c:v>10842364562</c:v>
                </c:pt>
                <c:pt idx="2">
                  <c:v>13995420583</c:v>
                </c:pt>
                <c:pt idx="3">
                  <c:v>14954431218</c:v>
                </c:pt>
                <c:pt idx="4">
                  <c:v>15589869167</c:v>
                </c:pt>
                <c:pt idx="5">
                  <c:v>19610337097</c:v>
                </c:pt>
                <c:pt idx="6">
                  <c:v>23123086588</c:v>
                </c:pt>
                <c:pt idx="7">
                  <c:v>25485990847</c:v>
                </c:pt>
                <c:pt idx="8">
                  <c:v>27345296198</c:v>
                </c:pt>
                <c:pt idx="9">
                  <c:v>29143742145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5A-4749-A8F8-73A4CAD2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2077808"/>
        <c:axId val="1612255600"/>
      </c:barChart>
      <c:catAx>
        <c:axId val="169207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12255600"/>
        <c:crosses val="autoZero"/>
        <c:auto val="1"/>
        <c:lblAlgn val="ctr"/>
        <c:lblOffset val="100"/>
        <c:noMultiLvlLbl val="0"/>
      </c:catAx>
      <c:valAx>
        <c:axId val="16122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9207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480387868183159"/>
          <c:w val="1"/>
          <c:h val="0.14204797317002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443409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63959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215900</xdr:colOff>
      <xdr:row>3</xdr:row>
      <xdr:rowOff>114306</xdr:rowOff>
    </xdr:from>
    <xdr:to>
      <xdr:col>34</xdr:col>
      <xdr:colOff>184150</xdr:colOff>
      <xdr:row>18</xdr:row>
      <xdr:rowOff>95256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39466-95CD-1D70-91C7-028A9D023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ds-059366__custom_22763107/default/table" TargetMode="External"/><Relationship Id="rId2" Type="http://schemas.openxmlformats.org/officeDocument/2006/relationships/hyperlink" Target="https://ec.europa.eu/eurostat/databrowser/view/ds-059366__custom_22763107/default/table" TargetMode="External"/><Relationship Id="rId1" Type="http://schemas.openxmlformats.org/officeDocument/2006/relationships/hyperlink" Target="https://ec.europa.eu/eurostat/databrowser/product/page/ds-059366__custom_22763107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31"/>
  <sheetViews>
    <sheetView showGridLines="0" topLeftCell="A10" workbookViewId="0">
      <selection activeCell="H13" sqref="H13"/>
    </sheetView>
  </sheetViews>
  <sheetFormatPr defaultRowHeight="14.5" x14ac:dyDescent="0.35"/>
  <cols>
    <col min="1" max="1" width="19.90625" customWidth="1"/>
    <col min="2" max="2" width="8.90625" customWidth="1"/>
    <col min="3" max="3" width="9.81640625" customWidth="1"/>
    <col min="4" max="4" width="26.90625" customWidth="1"/>
    <col min="5" max="5" width="6.90625" customWidth="1"/>
    <col min="6" max="6" width="12.3632812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25" t="s">
        <v>4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1:15" x14ac:dyDescent="0.35">
      <c r="A9" s="19" t="s">
        <v>78</v>
      </c>
      <c r="B9" s="20"/>
      <c r="C9" s="20"/>
      <c r="D9" s="20"/>
      <c r="E9" s="2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6</v>
      </c>
    </row>
    <row r="13" spans="1:15" x14ac:dyDescent="0.35">
      <c r="B13" s="1" t="s">
        <v>8</v>
      </c>
    </row>
    <row r="14" spans="1:15" x14ac:dyDescent="0.35">
      <c r="C14" s="2" t="s">
        <v>9</v>
      </c>
    </row>
    <row r="15" spans="1:15" x14ac:dyDescent="0.35">
      <c r="B15" s="10" t="s">
        <v>10</v>
      </c>
      <c r="C15" s="10" t="s">
        <v>11</v>
      </c>
      <c r="D15" s="10" t="s">
        <v>12</v>
      </c>
      <c r="E15" s="10" t="s">
        <v>13</v>
      </c>
      <c r="F15" s="10" t="s">
        <v>14</v>
      </c>
    </row>
    <row r="16" spans="1:15" x14ac:dyDescent="0.35">
      <c r="B16" s="14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1:6" x14ac:dyDescent="0.35">
      <c r="B17" s="14" t="s">
        <v>20</v>
      </c>
      <c r="C17" s="2" t="s">
        <v>16</v>
      </c>
      <c r="D17" s="2" t="s">
        <v>17</v>
      </c>
      <c r="E17" s="2" t="s">
        <v>18</v>
      </c>
      <c r="F17" s="2" t="s">
        <v>21</v>
      </c>
    </row>
    <row r="18" spans="1:6" x14ac:dyDescent="0.35">
      <c r="A18" t="s">
        <v>81</v>
      </c>
      <c r="B18" s="13" t="s">
        <v>22</v>
      </c>
      <c r="C18" s="12" t="s">
        <v>16</v>
      </c>
      <c r="D18" s="12" t="s">
        <v>23</v>
      </c>
      <c r="E18" s="12" t="s">
        <v>18</v>
      </c>
      <c r="F18" s="12" t="s">
        <v>19</v>
      </c>
    </row>
    <row r="19" spans="1:6" x14ac:dyDescent="0.35">
      <c r="B19" s="13" t="s">
        <v>24</v>
      </c>
      <c r="C19" s="12" t="s">
        <v>16</v>
      </c>
      <c r="D19" s="12" t="s">
        <v>23</v>
      </c>
      <c r="E19" s="12" t="s">
        <v>18</v>
      </c>
      <c r="F19" s="12" t="s">
        <v>21</v>
      </c>
    </row>
    <row r="20" spans="1:6" x14ac:dyDescent="0.35">
      <c r="A20" t="s">
        <v>82</v>
      </c>
      <c r="B20" s="14" t="s">
        <v>25</v>
      </c>
      <c r="C20" s="2" t="s">
        <v>16</v>
      </c>
      <c r="D20" s="2" t="s">
        <v>26</v>
      </c>
      <c r="E20" s="2" t="s">
        <v>18</v>
      </c>
      <c r="F20" s="2" t="s">
        <v>19</v>
      </c>
    </row>
    <row r="21" spans="1:6" x14ac:dyDescent="0.35">
      <c r="B21" s="14" t="s">
        <v>27</v>
      </c>
      <c r="C21" s="2" t="s">
        <v>16</v>
      </c>
      <c r="D21" s="2" t="s">
        <v>26</v>
      </c>
      <c r="E21" s="2" t="s">
        <v>18</v>
      </c>
      <c r="F21" s="2" t="s">
        <v>21</v>
      </c>
    </row>
    <row r="22" spans="1:6" x14ac:dyDescent="0.35">
      <c r="A22" t="s">
        <v>83</v>
      </c>
      <c r="B22" s="13" t="s">
        <v>28</v>
      </c>
      <c r="C22" s="12" t="s">
        <v>16</v>
      </c>
      <c r="D22" s="12" t="s">
        <v>29</v>
      </c>
      <c r="E22" s="12" t="s">
        <v>18</v>
      </c>
      <c r="F22" s="12" t="s">
        <v>19</v>
      </c>
    </row>
    <row r="23" spans="1:6" x14ac:dyDescent="0.35">
      <c r="B23" s="13" t="s">
        <v>30</v>
      </c>
      <c r="C23" s="12" t="s">
        <v>16</v>
      </c>
      <c r="D23" s="12" t="s">
        <v>29</v>
      </c>
      <c r="E23" s="12" t="s">
        <v>18</v>
      </c>
      <c r="F23" s="12" t="s">
        <v>21</v>
      </c>
    </row>
    <row r="24" spans="1:6" x14ac:dyDescent="0.35">
      <c r="B24" s="14" t="s">
        <v>31</v>
      </c>
      <c r="C24" s="2" t="s">
        <v>32</v>
      </c>
      <c r="D24" s="2" t="s">
        <v>17</v>
      </c>
      <c r="E24" s="2" t="s">
        <v>18</v>
      </c>
      <c r="F24" s="2" t="s">
        <v>19</v>
      </c>
    </row>
    <row r="25" spans="1:6" x14ac:dyDescent="0.35">
      <c r="B25" s="14" t="s">
        <v>33</v>
      </c>
      <c r="C25" s="2" t="s">
        <v>32</v>
      </c>
      <c r="D25" s="2" t="s">
        <v>17</v>
      </c>
      <c r="E25" s="2" t="s">
        <v>18</v>
      </c>
      <c r="F25" s="2" t="s">
        <v>21</v>
      </c>
    </row>
    <row r="26" spans="1:6" x14ac:dyDescent="0.35">
      <c r="B26" s="13" t="s">
        <v>34</v>
      </c>
      <c r="C26" s="12" t="s">
        <v>32</v>
      </c>
      <c r="D26" s="12" t="s">
        <v>23</v>
      </c>
      <c r="E26" s="12" t="s">
        <v>18</v>
      </c>
      <c r="F26" s="12" t="s">
        <v>19</v>
      </c>
    </row>
    <row r="27" spans="1:6" x14ac:dyDescent="0.35">
      <c r="B27" s="13" t="s">
        <v>35</v>
      </c>
      <c r="C27" s="12" t="s">
        <v>32</v>
      </c>
      <c r="D27" s="12" t="s">
        <v>23</v>
      </c>
      <c r="E27" s="12" t="s">
        <v>18</v>
      </c>
      <c r="F27" s="12" t="s">
        <v>21</v>
      </c>
    </row>
    <row r="28" spans="1:6" x14ac:dyDescent="0.35">
      <c r="B28" s="14" t="s">
        <v>36</v>
      </c>
      <c r="C28" s="2" t="s">
        <v>32</v>
      </c>
      <c r="D28" s="2" t="s">
        <v>26</v>
      </c>
      <c r="E28" s="2" t="s">
        <v>18</v>
      </c>
      <c r="F28" s="2" t="s">
        <v>19</v>
      </c>
    </row>
    <row r="29" spans="1:6" x14ac:dyDescent="0.35">
      <c r="B29" s="14" t="s">
        <v>37</v>
      </c>
      <c r="C29" s="2" t="s">
        <v>32</v>
      </c>
      <c r="D29" s="2" t="s">
        <v>26</v>
      </c>
      <c r="E29" s="2" t="s">
        <v>18</v>
      </c>
      <c r="F29" s="2" t="s">
        <v>21</v>
      </c>
    </row>
    <row r="30" spans="1:6" x14ac:dyDescent="0.35">
      <c r="B30" s="13" t="s">
        <v>38</v>
      </c>
      <c r="C30" s="12" t="s">
        <v>32</v>
      </c>
      <c r="D30" s="12" t="s">
        <v>29</v>
      </c>
      <c r="E30" s="12" t="s">
        <v>18</v>
      </c>
      <c r="F30" s="12" t="s">
        <v>19</v>
      </c>
    </row>
    <row r="31" spans="1:6" x14ac:dyDescent="0.35">
      <c r="B31" s="13" t="s">
        <v>39</v>
      </c>
      <c r="C31" s="12" t="s">
        <v>32</v>
      </c>
      <c r="D31" s="12" t="s">
        <v>29</v>
      </c>
      <c r="E31" s="12" t="s">
        <v>18</v>
      </c>
      <c r="F31" s="1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3'!A1" display="Sheet 3" xr:uid="{00000000-0004-0000-0000-000004000000}"/>
    <hyperlink ref="B18" location="'Sheet 4'!A1" display="Sheet 4" xr:uid="{00000000-0004-0000-0000-000005000000}"/>
    <hyperlink ref="B19" location="'Sheet 6'!A1" display="Sheet 6" xr:uid="{00000000-0004-0000-0000-000007000000}"/>
    <hyperlink ref="B20" location="'Sheet 7'!A1" display="Sheet 7" xr:uid="{00000000-0004-0000-0000-000008000000}"/>
    <hyperlink ref="B21" location="'Sheet 9'!A1" display="Sheet 9" xr:uid="{00000000-0004-0000-0000-00000A000000}"/>
    <hyperlink ref="B22" location="'Sheet 10'!A1" display="Sheet 10" xr:uid="{00000000-0004-0000-0000-00000B000000}"/>
    <hyperlink ref="B23" location="'Sheet 12'!A1" display="Sheet 12" xr:uid="{00000000-0004-0000-0000-00000D000000}"/>
    <hyperlink ref="B24" location="'Sheet 13'!A1" display="Sheet 13" xr:uid="{00000000-0004-0000-0000-00000E000000}"/>
    <hyperlink ref="B25" location="'Sheet 15'!A1" display="Sheet 15" xr:uid="{00000000-0004-0000-0000-000010000000}"/>
    <hyperlink ref="B26" location="'Sheet 16'!A1" display="Sheet 16" xr:uid="{00000000-0004-0000-0000-000011000000}"/>
    <hyperlink ref="B27" location="'Sheet 18'!A1" display="Sheet 18" xr:uid="{00000000-0004-0000-0000-000013000000}"/>
    <hyperlink ref="B28" location="'Sheet 19'!A1" display="Sheet 19" xr:uid="{00000000-0004-0000-0000-000014000000}"/>
    <hyperlink ref="B29" location="'Sheet 21'!A1" display="Sheet 21" xr:uid="{00000000-0004-0000-0000-000016000000}"/>
    <hyperlink ref="B30" location="'Sheet 22'!A1" display="Sheet 22" xr:uid="{00000000-0004-0000-0000-000017000000}"/>
    <hyperlink ref="B31" location="'Sheet 24'!A1" display="Sheet 24" xr:uid="{00000000-0004-0000-0000-000019000000}"/>
    <hyperlink ref="A9" r:id="rId3" display="https://ec.europa.eu/eurostat/databrowser/view/ds-059366__custom_22763107/default/table" xr:uid="{207F5444-A0FB-48D1-AADC-57D20823F709}"/>
  </hyperlinks>
  <pageMargins left="0.7" right="0.7" top="0.75" bottom="0.75" header="0.3" footer="0.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0E95-6496-4EE5-862A-ACD081711F6B}">
  <dimension ref="A1:AB24"/>
  <sheetViews>
    <sheetView tabSelected="1" workbookViewId="0">
      <pane xSplit="3" ySplit="3" topLeftCell="AB4" activePane="bottomRight" state="frozen"/>
      <selection pane="topRight" activeCell="D1" sqref="D1"/>
      <selection pane="bottomLeft" activeCell="A4" sqref="A4"/>
      <selection pane="bottomRight" activeCell="AI11" sqref="AI11"/>
    </sheetView>
  </sheetViews>
  <sheetFormatPr defaultRowHeight="14.5" x14ac:dyDescent="0.35"/>
  <cols>
    <col min="1" max="1" width="29.7265625" bestFit="1" customWidth="1"/>
    <col min="3" max="3" width="12.36328125" bestFit="1" customWidth="1"/>
    <col min="4" max="27" width="14.54296875" bestFit="1" customWidth="1"/>
    <col min="28" max="28" width="13.54296875" bestFit="1" customWidth="1"/>
  </cols>
  <sheetData>
    <row r="1" spans="1:28" x14ac:dyDescent="0.35">
      <c r="A1" s="5" t="s">
        <v>43</v>
      </c>
      <c r="B1" s="5"/>
      <c r="C1" s="5"/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  <c r="Z1" s="4" t="s">
        <v>66</v>
      </c>
      <c r="AA1" s="4" t="s">
        <v>67</v>
      </c>
    </row>
    <row r="2" spans="1:28" x14ac:dyDescent="0.35">
      <c r="A2" s="5" t="s">
        <v>68</v>
      </c>
      <c r="B2" s="5"/>
      <c r="C2" s="5"/>
      <c r="D2" s="3" t="s">
        <v>69</v>
      </c>
      <c r="E2" s="3" t="s">
        <v>69</v>
      </c>
      <c r="F2" s="3" t="s">
        <v>69</v>
      </c>
      <c r="G2" s="3" t="s">
        <v>69</v>
      </c>
      <c r="H2" s="3" t="s">
        <v>69</v>
      </c>
      <c r="I2" s="3" t="s">
        <v>69</v>
      </c>
      <c r="J2" s="3" t="s">
        <v>69</v>
      </c>
      <c r="K2" s="3" t="s">
        <v>69</v>
      </c>
      <c r="L2" s="3" t="s">
        <v>69</v>
      </c>
      <c r="M2" s="3" t="s">
        <v>69</v>
      </c>
      <c r="N2" s="3" t="s">
        <v>69</v>
      </c>
      <c r="O2" s="3" t="s">
        <v>69</v>
      </c>
      <c r="P2" s="3" t="s">
        <v>69</v>
      </c>
      <c r="Q2" s="3" t="s">
        <v>69</v>
      </c>
      <c r="R2" s="3" t="s">
        <v>69</v>
      </c>
      <c r="S2" s="3" t="s">
        <v>69</v>
      </c>
      <c r="T2" s="3" t="s">
        <v>69</v>
      </c>
      <c r="U2" s="3" t="s">
        <v>69</v>
      </c>
      <c r="V2" s="3" t="s">
        <v>69</v>
      </c>
      <c r="W2" s="3" t="s">
        <v>69</v>
      </c>
      <c r="X2" s="3" t="s">
        <v>69</v>
      </c>
      <c r="Y2" s="3" t="s">
        <v>69</v>
      </c>
      <c r="Z2" s="3" t="s">
        <v>69</v>
      </c>
      <c r="AA2" s="3" t="s">
        <v>69</v>
      </c>
    </row>
    <row r="3" spans="1:28" x14ac:dyDescent="0.35">
      <c r="A3" s="7" t="s">
        <v>72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8" x14ac:dyDescent="0.35">
      <c r="A4" s="2" t="s">
        <v>17</v>
      </c>
      <c r="B4" s="2" t="s">
        <v>18</v>
      </c>
      <c r="C4" s="2" t="s">
        <v>19</v>
      </c>
      <c r="D4" s="16">
        <f>'Sheet 1'!B17</f>
        <v>258099027139</v>
      </c>
      <c r="E4" s="16">
        <f>'Sheet 1'!C17</f>
        <v>261679875131</v>
      </c>
      <c r="F4" s="16">
        <f>'Sheet 1'!D17</f>
        <v>287335881762</v>
      </c>
      <c r="G4" s="16">
        <f>'Sheet 1'!E17</f>
        <v>326639698414</v>
      </c>
      <c r="H4" s="16">
        <f>'Sheet 1'!F17</f>
        <v>369249324376</v>
      </c>
      <c r="I4" s="16">
        <f>'Sheet 1'!G17</f>
        <v>401900754138</v>
      </c>
      <c r="J4" s="16">
        <f>'Sheet 1'!H17</f>
        <v>433721726540</v>
      </c>
      <c r="K4" s="16">
        <f>'Sheet 1'!I17</f>
        <v>356962270485</v>
      </c>
      <c r="L4" s="16">
        <f>'Sheet 1'!J17</f>
        <v>433173089757</v>
      </c>
      <c r="M4" s="16">
        <f>'Sheet 1'!K17</f>
        <v>479239418648</v>
      </c>
      <c r="N4" s="16">
        <f>'Sheet 1'!L17</f>
        <v>510097962235</v>
      </c>
      <c r="O4" s="16">
        <f>'Sheet 1'!M17</f>
        <v>505651479965</v>
      </c>
      <c r="P4" s="16">
        <f>'Sheet 1'!N17</f>
        <v>506338920775</v>
      </c>
      <c r="Q4" s="16">
        <f>'Sheet 1'!O17</f>
        <v>514309061000</v>
      </c>
      <c r="R4" s="16">
        <f>'Sheet 1'!P17</f>
        <v>515934642422</v>
      </c>
      <c r="S4" s="16">
        <f>'Sheet 1'!Q17</f>
        <v>577087073690</v>
      </c>
      <c r="T4" s="16">
        <f>'Sheet 1'!R17</f>
        <v>615600685103</v>
      </c>
      <c r="U4" s="16">
        <f>'Sheet 1'!S17</f>
        <v>633056944231</v>
      </c>
      <c r="V4" s="16">
        <f>'Sheet 1'!T17</f>
        <v>590233153936</v>
      </c>
      <c r="W4" s="16">
        <f>'Sheet 1'!U17</f>
        <v>711069847525</v>
      </c>
      <c r="X4" s="16">
        <f>'Sheet 1'!V17</f>
        <v>917539930190</v>
      </c>
      <c r="Y4" s="16">
        <f>'Sheet 1'!W17</f>
        <v>864928867642</v>
      </c>
      <c r="Z4" s="16">
        <f>'Sheet 1'!X17</f>
        <v>850696780925</v>
      </c>
      <c r="AA4" s="16">
        <f>'Sheet 1'!Y17</f>
        <v>875641064742</v>
      </c>
    </row>
    <row r="5" spans="1:28" x14ac:dyDescent="0.35">
      <c r="A5" s="2" t="s">
        <v>17</v>
      </c>
      <c r="B5" s="2" t="s">
        <v>18</v>
      </c>
      <c r="C5" s="2" t="s">
        <v>21</v>
      </c>
      <c r="D5" s="16">
        <f>'Sheet 3'!B17</f>
        <v>273108785700</v>
      </c>
      <c r="E5" s="16">
        <f>'Sheet 3'!C17</f>
        <v>272417963200</v>
      </c>
      <c r="F5" s="16">
        <f>'Sheet 3'!D17</f>
        <v>302175068000</v>
      </c>
      <c r="G5" s="16">
        <f>'Sheet 3'!E17</f>
        <v>316842065400</v>
      </c>
      <c r="H5" s="16">
        <f>'Sheet 3'!F17</f>
        <v>334127640300</v>
      </c>
      <c r="I5" s="16">
        <f>'Sheet 3'!G17</f>
        <v>357883915100</v>
      </c>
      <c r="J5" s="16">
        <f>'Sheet 3'!H17</f>
        <v>294504360900</v>
      </c>
      <c r="K5" s="16">
        <f>'Sheet 3'!I17</f>
        <v>323606368900</v>
      </c>
      <c r="L5" s="16">
        <f>'Sheet 3'!J17</f>
        <v>372118111241</v>
      </c>
      <c r="M5" s="16">
        <f>'Sheet 3'!K17</f>
        <v>386534250363</v>
      </c>
      <c r="N5" s="16">
        <f>'Sheet 3'!L17</f>
        <v>436273004930</v>
      </c>
      <c r="O5" s="16">
        <f>'Sheet 3'!M17</f>
        <v>430997472680</v>
      </c>
      <c r="P5" s="16">
        <f>'Sheet 3'!N17</f>
        <v>417282399915</v>
      </c>
      <c r="Q5" s="16">
        <f>'Sheet 3'!O17</f>
        <v>382507422696</v>
      </c>
      <c r="R5" s="16">
        <f>'Sheet 3'!P17</f>
        <v>423695000405</v>
      </c>
      <c r="S5" s="16">
        <f>'Sheet 3'!Q17</f>
        <v>447861121602</v>
      </c>
      <c r="T5" s="16">
        <f>'Sheet 3'!R17</f>
        <v>424138856100</v>
      </c>
      <c r="U5" s="16">
        <f>'Sheet 3'!S17</f>
        <v>417156406847</v>
      </c>
      <c r="V5" s="16">
        <f>'Sheet 3'!T17</f>
        <v>379825739533</v>
      </c>
      <c r="W5" s="16">
        <f>'Sheet 3'!U17</f>
        <v>448739009627</v>
      </c>
      <c r="X5" s="16">
        <f>'Sheet 3'!V17</f>
        <v>451073004675</v>
      </c>
      <c r="Y5" s="16">
        <f>'Sheet 3'!W17</f>
        <v>444499364626</v>
      </c>
      <c r="Z5" s="16">
        <f>'Sheet 3'!X17</f>
        <v>411705986553</v>
      </c>
      <c r="AA5" s="16">
        <f>'Sheet 3'!Y17</f>
        <v>426777733096</v>
      </c>
    </row>
    <row r="6" spans="1:28" x14ac:dyDescent="0.35">
      <c r="A6" s="12" t="s">
        <v>23</v>
      </c>
      <c r="B6" s="12" t="s">
        <v>18</v>
      </c>
      <c r="C6" s="12" t="s">
        <v>19</v>
      </c>
      <c r="D6" s="16">
        <f>'Sheet 4'!B17</f>
        <v>9435020402</v>
      </c>
      <c r="E6" s="16">
        <f>'Sheet 4'!C17</f>
        <v>10182146574</v>
      </c>
      <c r="F6" s="16">
        <f>'Sheet 4'!D17</f>
        <v>12552713030</v>
      </c>
      <c r="G6" s="16">
        <f>'Sheet 4'!E17</f>
        <v>12455552864</v>
      </c>
      <c r="H6" s="16">
        <f>'Sheet 4'!F17</f>
        <v>11070774410</v>
      </c>
      <c r="I6" s="16">
        <f>'Sheet 4'!G17</f>
        <v>7895012895</v>
      </c>
      <c r="J6" s="16">
        <f>'Sheet 4'!H17</f>
        <v>7133178685</v>
      </c>
      <c r="K6" s="16">
        <f>'Sheet 4'!I17</f>
        <v>6460941415</v>
      </c>
      <c r="L6" s="16">
        <f>'Sheet 4'!J17</f>
        <v>9837995901</v>
      </c>
      <c r="M6" s="16">
        <f>'Sheet 4'!K17</f>
        <v>9267545402</v>
      </c>
      <c r="N6" s="16">
        <f>'Sheet 4'!L17</f>
        <v>8391076681</v>
      </c>
      <c r="O6" s="16">
        <f>'Sheet 4'!M17</f>
        <v>6522497736</v>
      </c>
      <c r="P6" s="16">
        <f>'Sheet 4'!N17</f>
        <v>6732164682</v>
      </c>
      <c r="Q6" s="16">
        <f>'Sheet 4'!O17</f>
        <v>7799248060</v>
      </c>
      <c r="R6" s="16">
        <f>'Sheet 4'!P17</f>
        <v>8480233210</v>
      </c>
      <c r="S6" s="16">
        <f>'Sheet 4'!Q17</f>
        <v>14162142958</v>
      </c>
      <c r="T6" s="16">
        <f>'Sheet 4'!R17</f>
        <v>15516274875</v>
      </c>
      <c r="U6" s="16">
        <f>'Sheet 4'!S17</f>
        <v>16687866557</v>
      </c>
      <c r="V6" s="16">
        <f>'Sheet 4'!T17</f>
        <v>16448894031</v>
      </c>
      <c r="W6" s="16">
        <f>'Sheet 4'!U17</f>
        <v>19294990488</v>
      </c>
      <c r="X6" s="16">
        <f>'Sheet 4'!V17</f>
        <v>27034279871</v>
      </c>
      <c r="Y6" s="16">
        <f>'Sheet 4'!W17</f>
        <v>25672741458</v>
      </c>
      <c r="Z6" s="16">
        <f>'Sheet 4'!X17</f>
        <v>19689932119</v>
      </c>
      <c r="AA6" s="16">
        <f>'Sheet 4'!Y17</f>
        <v>17907841364</v>
      </c>
      <c r="AB6" s="16"/>
    </row>
    <row r="7" spans="1:28" x14ac:dyDescent="0.35">
      <c r="A7" s="12" t="s">
        <v>23</v>
      </c>
      <c r="B7" s="12" t="s">
        <v>18</v>
      </c>
      <c r="C7" s="12" t="s">
        <v>21</v>
      </c>
      <c r="D7" s="16">
        <f>'Sheet 6'!B17</f>
        <v>50659900</v>
      </c>
      <c r="E7" s="16">
        <f>'Sheet 6'!C17</f>
        <v>98001400</v>
      </c>
      <c r="F7" s="16">
        <f>'Sheet 6'!D17</f>
        <v>132978200</v>
      </c>
      <c r="G7" s="16">
        <f>'Sheet 6'!E17</f>
        <v>100153700</v>
      </c>
      <c r="H7" s="16">
        <f>'Sheet 6'!F17</f>
        <v>105549500</v>
      </c>
      <c r="I7" s="16">
        <f>'Sheet 6'!G17</f>
        <v>53511000</v>
      </c>
      <c r="J7" s="16">
        <f>'Sheet 6'!H17</f>
        <v>57040800</v>
      </c>
      <c r="K7" s="16">
        <f>'Sheet 6'!I17</f>
        <v>106476300</v>
      </c>
      <c r="L7" s="16">
        <f>'Sheet 6'!J17</f>
        <v>267265354</v>
      </c>
      <c r="M7" s="16">
        <f>'Sheet 6'!K17</f>
        <v>367001033</v>
      </c>
      <c r="N7" s="16">
        <f>'Sheet 6'!L17</f>
        <v>436538160</v>
      </c>
      <c r="O7" s="16">
        <f>'Sheet 6'!M17</f>
        <v>248783581</v>
      </c>
      <c r="P7" s="16">
        <f>'Sheet 6'!N17</f>
        <v>138262582</v>
      </c>
      <c r="Q7" s="16">
        <f>'Sheet 6'!O17</f>
        <v>160907493</v>
      </c>
      <c r="R7" s="16">
        <f>'Sheet 6'!P17</f>
        <v>171462600</v>
      </c>
      <c r="S7" s="16">
        <f>'Sheet 6'!Q17</f>
        <v>254960866</v>
      </c>
      <c r="T7" s="16">
        <f>'Sheet 6'!R17</f>
        <v>311204255</v>
      </c>
      <c r="U7" s="16">
        <f>'Sheet 6'!S17</f>
        <v>524643672</v>
      </c>
      <c r="V7" s="16">
        <f>'Sheet 6'!T17</f>
        <v>661247872</v>
      </c>
      <c r="W7" s="16">
        <f>'Sheet 6'!U17</f>
        <v>976057042</v>
      </c>
      <c r="X7" s="16">
        <f>'Sheet 6'!V17</f>
        <v>1493453935</v>
      </c>
      <c r="Y7" s="16">
        <f>'Sheet 6'!W17</f>
        <v>1589370491</v>
      </c>
      <c r="Z7" s="16">
        <f>'Sheet 6'!X17</f>
        <v>1410413524</v>
      </c>
      <c r="AA7" s="16">
        <f>'Sheet 6'!Y17</f>
        <v>1300638694</v>
      </c>
    </row>
    <row r="8" spans="1:28" x14ac:dyDescent="0.35">
      <c r="A8" s="2" t="s">
        <v>26</v>
      </c>
      <c r="B8" s="2" t="s">
        <v>18</v>
      </c>
      <c r="C8" s="2" t="s">
        <v>19</v>
      </c>
      <c r="D8" s="16">
        <f>'Sheet 7'!B17</f>
        <v>27230568273</v>
      </c>
      <c r="E8" s="16">
        <f>'Sheet 7'!C17</f>
        <v>26082566660</v>
      </c>
      <c r="F8" s="16">
        <f>'Sheet 7'!D17</f>
        <v>28515269795</v>
      </c>
      <c r="G8" s="16">
        <f>'Sheet 7'!E17</f>
        <v>35774296473</v>
      </c>
      <c r="H8" s="16">
        <f>'Sheet 7'!F17</f>
        <v>39542747455</v>
      </c>
      <c r="I8" s="16">
        <f>'Sheet 7'!G17</f>
        <v>30870763573</v>
      </c>
      <c r="J8" s="16">
        <f>'Sheet 7'!H17</f>
        <v>28292858483</v>
      </c>
      <c r="K8" s="16">
        <f>'Sheet 7'!I17</f>
        <v>27252368859</v>
      </c>
      <c r="L8" s="16">
        <f>'Sheet 7'!J17</f>
        <v>31914824292</v>
      </c>
      <c r="M8" s="16">
        <f>'Sheet 7'!K17</f>
        <v>32331218285</v>
      </c>
      <c r="N8" s="16">
        <f>'Sheet 7'!L17</f>
        <v>34702628051</v>
      </c>
      <c r="O8" s="16">
        <f>'Sheet 7'!M17</f>
        <v>33081546381</v>
      </c>
      <c r="P8" s="16">
        <f>'Sheet 7'!N17</f>
        <v>33622417185</v>
      </c>
      <c r="Q8" s="16">
        <f>'Sheet 7'!O17</f>
        <v>32810119044</v>
      </c>
      <c r="R8" s="16">
        <f>'Sheet 7'!P17</f>
        <v>34531427214</v>
      </c>
      <c r="S8" s="16">
        <f>'Sheet 7'!Q17</f>
        <v>33636169335</v>
      </c>
      <c r="T8" s="16">
        <f>'Sheet 7'!R17</f>
        <v>35906076558</v>
      </c>
      <c r="U8" s="16">
        <f>'Sheet 7'!S17</f>
        <v>36296661139</v>
      </c>
      <c r="V8" s="16">
        <f>'Sheet 7'!T17</f>
        <v>40196887975</v>
      </c>
      <c r="W8" s="16">
        <f>'Sheet 7'!U17</f>
        <v>44570479770</v>
      </c>
      <c r="X8" s="16">
        <f>'Sheet 7'!V17</f>
        <v>48804047395</v>
      </c>
      <c r="Y8" s="16">
        <f>'Sheet 7'!W17</f>
        <v>48079505097</v>
      </c>
      <c r="Z8" s="16">
        <f>'Sheet 7'!X17</f>
        <v>50082438144</v>
      </c>
      <c r="AA8" s="16">
        <f>'Sheet 7'!Y17</f>
        <v>57393096160</v>
      </c>
    </row>
    <row r="9" spans="1:28" x14ac:dyDescent="0.35">
      <c r="A9" s="2" t="s">
        <v>26</v>
      </c>
      <c r="B9" s="2" t="s">
        <v>18</v>
      </c>
      <c r="C9" s="2" t="s">
        <v>21</v>
      </c>
      <c r="D9" s="16">
        <f>'Sheet 9'!B17</f>
        <v>586903800</v>
      </c>
      <c r="E9" s="16">
        <f>'Sheet 9'!C17</f>
        <v>689276100</v>
      </c>
      <c r="F9" s="16">
        <f>'Sheet 9'!D17</f>
        <v>1363067900</v>
      </c>
      <c r="G9" s="16">
        <f>'Sheet 9'!E17</f>
        <v>5232194100</v>
      </c>
      <c r="H9" s="16">
        <f>'Sheet 9'!F17</f>
        <v>975851500</v>
      </c>
      <c r="I9" s="16">
        <f>'Sheet 9'!G17</f>
        <v>589229100</v>
      </c>
      <c r="J9" s="16">
        <f>'Sheet 9'!H17</f>
        <v>223566600</v>
      </c>
      <c r="K9" s="16">
        <f>'Sheet 9'!I17</f>
        <v>620211100</v>
      </c>
      <c r="L9" s="16">
        <f>'Sheet 9'!J17</f>
        <v>545713234</v>
      </c>
      <c r="M9" s="16">
        <f>'Sheet 9'!K17</f>
        <v>515949750</v>
      </c>
      <c r="N9" s="16">
        <f>'Sheet 9'!L17</f>
        <v>419093058</v>
      </c>
      <c r="O9" s="16">
        <f>'Sheet 9'!M17</f>
        <v>497949926</v>
      </c>
      <c r="P9" s="16">
        <f>'Sheet 9'!N17</f>
        <v>534049527</v>
      </c>
      <c r="Q9" s="16">
        <f>'Sheet 9'!O17</f>
        <v>444873668</v>
      </c>
      <c r="R9" s="16">
        <f>'Sheet 9'!P17</f>
        <v>463565169</v>
      </c>
      <c r="S9" s="16">
        <f>'Sheet 9'!Q17</f>
        <v>486683200</v>
      </c>
      <c r="T9" s="16">
        <f>'Sheet 9'!R17</f>
        <v>532412400</v>
      </c>
      <c r="U9" s="16">
        <f>'Sheet 9'!S17</f>
        <v>548769571</v>
      </c>
      <c r="V9" s="16">
        <f>'Sheet 9'!T17</f>
        <v>607742084</v>
      </c>
      <c r="W9" s="16">
        <f>'Sheet 9'!U17</f>
        <v>654807970</v>
      </c>
      <c r="X9" s="16">
        <f>'Sheet 9'!V17</f>
        <v>618328058</v>
      </c>
      <c r="Y9" s="16">
        <f>'Sheet 9'!W17</f>
        <v>642600790</v>
      </c>
      <c r="Z9" s="16">
        <f>'Sheet 9'!X17</f>
        <v>631268219</v>
      </c>
      <c r="AA9" s="16">
        <f>'Sheet 9'!Y17</f>
        <v>721000818</v>
      </c>
    </row>
    <row r="10" spans="1:28" x14ac:dyDescent="0.35">
      <c r="A10" s="12" t="s">
        <v>84</v>
      </c>
      <c r="B10" s="12" t="s">
        <v>18</v>
      </c>
      <c r="C10" s="12" t="s">
        <v>19</v>
      </c>
      <c r="D10" s="16">
        <f>'Sheet 10'!B17</f>
        <v>1177048822</v>
      </c>
      <c r="E10" s="16">
        <f>'Sheet 10'!C17</f>
        <v>1182359296</v>
      </c>
      <c r="F10" s="16">
        <f>'Sheet 10'!D17</f>
        <v>1250073327</v>
      </c>
      <c r="G10" s="16">
        <f>'Sheet 10'!E17</f>
        <v>1359823875</v>
      </c>
      <c r="H10" s="16">
        <f>'Sheet 10'!F17</f>
        <v>1176945571</v>
      </c>
      <c r="I10" s="16">
        <f>'Sheet 10'!G17</f>
        <v>5973971411</v>
      </c>
      <c r="J10" s="16">
        <f>'Sheet 10'!H17</f>
        <v>5233096870</v>
      </c>
      <c r="K10" s="16">
        <f>'Sheet 10'!I17</f>
        <v>3374954356</v>
      </c>
      <c r="L10" s="16">
        <f>'Sheet 10'!J17</f>
        <v>6689622247</v>
      </c>
      <c r="M10" s="16">
        <f>'Sheet 10'!K17</f>
        <v>8580160680</v>
      </c>
      <c r="N10" s="16">
        <f>'Sheet 10'!L17</f>
        <v>6372218643</v>
      </c>
      <c r="O10" s="16">
        <f>'Sheet 10'!M17</f>
        <v>6813723222</v>
      </c>
      <c r="P10" s="16">
        <f>'Sheet 10'!N17</f>
        <v>7750887817</v>
      </c>
      <c r="Q10" s="16">
        <f>'Sheet 10'!O17</f>
        <v>7804971289</v>
      </c>
      <c r="R10" s="16">
        <f>'Sheet 10'!P17</f>
        <v>7813864262</v>
      </c>
      <c r="S10" s="16">
        <f>'Sheet 10'!Q17</f>
        <v>10842364562</v>
      </c>
      <c r="T10" s="16">
        <f>'Sheet 10'!R17</f>
        <v>13995420583</v>
      </c>
      <c r="U10" s="16">
        <f>'Sheet 10'!S17</f>
        <v>14954431218</v>
      </c>
      <c r="V10" s="16">
        <f>'Sheet 10'!T17</f>
        <v>15589869167</v>
      </c>
      <c r="W10" s="16">
        <f>'Sheet 10'!U17</f>
        <v>19610337097</v>
      </c>
      <c r="X10" s="16">
        <f>'Sheet 10'!V17</f>
        <v>23123086588</v>
      </c>
      <c r="Y10" s="16">
        <f>'Sheet 10'!W17</f>
        <v>25485990847</v>
      </c>
      <c r="Z10" s="16">
        <f>'Sheet 10'!X17</f>
        <v>27345296198</v>
      </c>
      <c r="AA10" s="16">
        <f>'Sheet 10'!Y17</f>
        <v>29143742145</v>
      </c>
    </row>
    <row r="11" spans="1:28" x14ac:dyDescent="0.35">
      <c r="A11" s="12" t="s">
        <v>29</v>
      </c>
      <c r="B11" s="12" t="s">
        <v>18</v>
      </c>
      <c r="C11" s="12" t="s">
        <v>21</v>
      </c>
      <c r="D11" s="16">
        <f>'Sheet 12'!B17</f>
        <v>52710000</v>
      </c>
      <c r="E11" s="16">
        <f>'Sheet 12'!C17</f>
        <v>62281300</v>
      </c>
      <c r="F11" s="16">
        <f>'Sheet 12'!D17</f>
        <v>71095900</v>
      </c>
      <c r="G11" s="16">
        <f>'Sheet 12'!E17</f>
        <v>60858600</v>
      </c>
      <c r="H11" s="16">
        <f>'Sheet 12'!F17</f>
        <v>397917000</v>
      </c>
      <c r="I11" s="16">
        <f>'Sheet 12'!G17</f>
        <v>1400277800</v>
      </c>
      <c r="J11" s="16">
        <f>'Sheet 12'!H17</f>
        <v>94715600</v>
      </c>
      <c r="K11" s="16">
        <f>'Sheet 12'!I17</f>
        <v>1171373200</v>
      </c>
      <c r="L11" s="16">
        <f>'Sheet 12'!J17</f>
        <v>171361674</v>
      </c>
      <c r="M11" s="16">
        <f>'Sheet 12'!K17</f>
        <v>9281555477</v>
      </c>
      <c r="N11" s="16">
        <f>'Sheet 12'!L17</f>
        <v>35719707510</v>
      </c>
      <c r="O11" s="16">
        <f>'Sheet 12'!M17</f>
        <v>8780643156</v>
      </c>
      <c r="P11" s="16">
        <f>'Sheet 12'!N17</f>
        <v>7476141655</v>
      </c>
      <c r="Q11" s="16">
        <f>'Sheet 12'!O17</f>
        <v>1420797983</v>
      </c>
      <c r="R11" s="16">
        <f>'Sheet 12'!P17</f>
        <v>491434616</v>
      </c>
      <c r="S11" s="16">
        <f>'Sheet 12'!Q17</f>
        <v>2670082569</v>
      </c>
      <c r="T11" s="16">
        <f>'Sheet 12'!R17</f>
        <v>240157329</v>
      </c>
      <c r="U11" s="16">
        <f>'Sheet 12'!S17</f>
        <v>345499433</v>
      </c>
      <c r="V11" s="16">
        <f>'Sheet 12'!T17</f>
        <v>383339140</v>
      </c>
      <c r="W11" s="16">
        <f>'Sheet 12'!U17</f>
        <v>1634507230</v>
      </c>
      <c r="X11" s="16">
        <f>'Sheet 12'!V17</f>
        <v>556078694</v>
      </c>
      <c r="Y11" s="16">
        <f>'Sheet 12'!W17</f>
        <v>182409690</v>
      </c>
      <c r="Z11" s="16">
        <f>'Sheet 12'!X17</f>
        <v>170407926</v>
      </c>
      <c r="AA11" s="16">
        <f>'Sheet 12'!Y17</f>
        <v>229917199</v>
      </c>
    </row>
    <row r="13" spans="1:28" x14ac:dyDescent="0.35">
      <c r="A13" s="17" t="s">
        <v>77</v>
      </c>
      <c r="C13" s="12" t="s">
        <v>19</v>
      </c>
      <c r="D13" s="16">
        <f>D6+D8</f>
        <v>36665588675</v>
      </c>
      <c r="E13" s="16">
        <f t="shared" ref="E13:AA13" si="0">E6+E8</f>
        <v>36264713234</v>
      </c>
      <c r="F13" s="16">
        <f t="shared" si="0"/>
        <v>41067982825</v>
      </c>
      <c r="G13" s="16">
        <f t="shared" si="0"/>
        <v>48229849337</v>
      </c>
      <c r="H13" s="16">
        <f t="shared" si="0"/>
        <v>50613521865</v>
      </c>
      <c r="I13" s="16">
        <f t="shared" si="0"/>
        <v>38765776468</v>
      </c>
      <c r="J13" s="16">
        <f t="shared" si="0"/>
        <v>35426037168</v>
      </c>
      <c r="K13" s="16">
        <f t="shared" si="0"/>
        <v>33713310274</v>
      </c>
      <c r="L13" s="16">
        <f t="shared" si="0"/>
        <v>41752820193</v>
      </c>
      <c r="M13" s="16">
        <f t="shared" si="0"/>
        <v>41598763687</v>
      </c>
      <c r="N13" s="16">
        <f t="shared" si="0"/>
        <v>43093704732</v>
      </c>
      <c r="O13" s="16">
        <f t="shared" si="0"/>
        <v>39604044117</v>
      </c>
      <c r="P13" s="16">
        <f t="shared" si="0"/>
        <v>40354581867</v>
      </c>
      <c r="Q13" s="16">
        <f t="shared" si="0"/>
        <v>40609367104</v>
      </c>
      <c r="R13" s="16">
        <f t="shared" si="0"/>
        <v>43011660424</v>
      </c>
      <c r="S13" s="16">
        <f t="shared" si="0"/>
        <v>47798312293</v>
      </c>
      <c r="T13" s="16">
        <f t="shared" si="0"/>
        <v>51422351433</v>
      </c>
      <c r="U13" s="16">
        <f t="shared" si="0"/>
        <v>52984527696</v>
      </c>
      <c r="V13" s="16">
        <f t="shared" si="0"/>
        <v>56645782006</v>
      </c>
      <c r="W13" s="16">
        <f t="shared" si="0"/>
        <v>63865470258</v>
      </c>
      <c r="X13" s="16">
        <f t="shared" si="0"/>
        <v>75838327266</v>
      </c>
      <c r="Y13" s="16">
        <f t="shared" si="0"/>
        <v>73752246555</v>
      </c>
      <c r="Z13" s="16">
        <f t="shared" si="0"/>
        <v>69772370263</v>
      </c>
      <c r="AA13" s="16">
        <f t="shared" si="0"/>
        <v>75300937524</v>
      </c>
    </row>
    <row r="14" spans="1:28" x14ac:dyDescent="0.35">
      <c r="A14" s="18" t="s">
        <v>76</v>
      </c>
      <c r="C14" s="12" t="s">
        <v>19</v>
      </c>
      <c r="D14" s="16">
        <f>D6+D8+D10</f>
        <v>37842637497</v>
      </c>
      <c r="E14" s="16">
        <f t="shared" ref="E14:AA14" si="1">E6+E8+E10</f>
        <v>37447072530</v>
      </c>
      <c r="F14" s="16">
        <f t="shared" si="1"/>
        <v>42318056152</v>
      </c>
      <c r="G14" s="16">
        <f t="shared" si="1"/>
        <v>49589673212</v>
      </c>
      <c r="H14" s="16">
        <f t="shared" si="1"/>
        <v>51790467436</v>
      </c>
      <c r="I14" s="16">
        <f t="shared" si="1"/>
        <v>44739747879</v>
      </c>
      <c r="J14" s="16">
        <f t="shared" si="1"/>
        <v>40659134038</v>
      </c>
      <c r="K14" s="16">
        <f t="shared" si="1"/>
        <v>37088264630</v>
      </c>
      <c r="L14" s="16">
        <f t="shared" si="1"/>
        <v>48442442440</v>
      </c>
      <c r="M14" s="16">
        <f t="shared" si="1"/>
        <v>50178924367</v>
      </c>
      <c r="N14" s="16">
        <f t="shared" si="1"/>
        <v>49465923375</v>
      </c>
      <c r="O14" s="16">
        <f t="shared" si="1"/>
        <v>46417767339</v>
      </c>
      <c r="P14" s="16">
        <f t="shared" si="1"/>
        <v>48105469684</v>
      </c>
      <c r="Q14" s="16">
        <f t="shared" si="1"/>
        <v>48414338393</v>
      </c>
      <c r="R14" s="16">
        <f t="shared" si="1"/>
        <v>50825524686</v>
      </c>
      <c r="S14" s="16">
        <f t="shared" si="1"/>
        <v>58640676855</v>
      </c>
      <c r="T14" s="16">
        <f t="shared" si="1"/>
        <v>65417772016</v>
      </c>
      <c r="U14" s="16">
        <f t="shared" si="1"/>
        <v>67938958914</v>
      </c>
      <c r="V14" s="16">
        <f t="shared" si="1"/>
        <v>72235651173</v>
      </c>
      <c r="W14" s="16">
        <f t="shared" si="1"/>
        <v>83475807355</v>
      </c>
      <c r="X14" s="16">
        <f t="shared" si="1"/>
        <v>98961413854</v>
      </c>
      <c r="Y14" s="16">
        <f t="shared" si="1"/>
        <v>99238237402</v>
      </c>
      <c r="Z14" s="16">
        <f t="shared" si="1"/>
        <v>97117666461</v>
      </c>
      <c r="AA14" s="16">
        <f t="shared" si="1"/>
        <v>104444679669</v>
      </c>
    </row>
    <row r="16" spans="1:28" x14ac:dyDescent="0.35">
      <c r="A16" s="17" t="s">
        <v>77</v>
      </c>
      <c r="C16" s="2" t="s">
        <v>21</v>
      </c>
      <c r="D16" s="16">
        <f>D7+D9</f>
        <v>637563700</v>
      </c>
      <c r="E16" s="16">
        <f t="shared" ref="E16:AA16" si="2">E7+E9</f>
        <v>787277500</v>
      </c>
      <c r="F16" s="16">
        <f t="shared" si="2"/>
        <v>1496046100</v>
      </c>
      <c r="G16" s="16">
        <f t="shared" si="2"/>
        <v>5332347800</v>
      </c>
      <c r="H16" s="16">
        <f t="shared" si="2"/>
        <v>1081401000</v>
      </c>
      <c r="I16" s="16">
        <f t="shared" si="2"/>
        <v>642740100</v>
      </c>
      <c r="J16" s="16">
        <f t="shared" si="2"/>
        <v>280607400</v>
      </c>
      <c r="K16" s="16">
        <f t="shared" si="2"/>
        <v>726687400</v>
      </c>
      <c r="L16" s="16">
        <f t="shared" si="2"/>
        <v>812978588</v>
      </c>
      <c r="M16" s="16">
        <f t="shared" si="2"/>
        <v>882950783</v>
      </c>
      <c r="N16" s="16">
        <f t="shared" si="2"/>
        <v>855631218</v>
      </c>
      <c r="O16" s="16">
        <f t="shared" si="2"/>
        <v>746733507</v>
      </c>
      <c r="P16" s="16">
        <f t="shared" si="2"/>
        <v>672312109</v>
      </c>
      <c r="Q16" s="16">
        <f t="shared" si="2"/>
        <v>605781161</v>
      </c>
      <c r="R16" s="16">
        <f t="shared" si="2"/>
        <v>635027769</v>
      </c>
      <c r="S16" s="16">
        <f t="shared" si="2"/>
        <v>741644066</v>
      </c>
      <c r="T16" s="16">
        <f t="shared" si="2"/>
        <v>843616655</v>
      </c>
      <c r="U16" s="16">
        <f t="shared" si="2"/>
        <v>1073413243</v>
      </c>
      <c r="V16" s="16">
        <f t="shared" si="2"/>
        <v>1268989956</v>
      </c>
      <c r="W16" s="16">
        <f t="shared" si="2"/>
        <v>1630865012</v>
      </c>
      <c r="X16" s="16">
        <f t="shared" si="2"/>
        <v>2111781993</v>
      </c>
      <c r="Y16" s="16">
        <f t="shared" si="2"/>
        <v>2231971281</v>
      </c>
      <c r="Z16" s="16">
        <f t="shared" si="2"/>
        <v>2041681743</v>
      </c>
      <c r="AA16" s="16">
        <f t="shared" si="2"/>
        <v>2021639512</v>
      </c>
    </row>
    <row r="17" spans="1:27" x14ac:dyDescent="0.35">
      <c r="A17" s="18" t="s">
        <v>76</v>
      </c>
      <c r="C17" s="2" t="s">
        <v>21</v>
      </c>
      <c r="D17" s="16">
        <f>D7+D9+D11</f>
        <v>690273700</v>
      </c>
      <c r="E17" s="16">
        <f t="shared" ref="E17:AA17" si="3">E7+E9+E11</f>
        <v>849558800</v>
      </c>
      <c r="F17" s="16">
        <f t="shared" si="3"/>
        <v>1567142000</v>
      </c>
      <c r="G17" s="16">
        <f t="shared" si="3"/>
        <v>5393206400</v>
      </c>
      <c r="H17" s="16">
        <f t="shared" si="3"/>
        <v>1479318000</v>
      </c>
      <c r="I17" s="16">
        <f t="shared" si="3"/>
        <v>2043017900</v>
      </c>
      <c r="J17" s="16">
        <f t="shared" si="3"/>
        <v>375323000</v>
      </c>
      <c r="K17" s="16">
        <f t="shared" si="3"/>
        <v>1898060600</v>
      </c>
      <c r="L17" s="16">
        <f t="shared" si="3"/>
        <v>984340262</v>
      </c>
      <c r="M17" s="16">
        <f t="shared" si="3"/>
        <v>10164506260</v>
      </c>
      <c r="N17" s="16">
        <f t="shared" si="3"/>
        <v>36575338728</v>
      </c>
      <c r="O17" s="16">
        <f t="shared" si="3"/>
        <v>9527376663</v>
      </c>
      <c r="P17" s="16">
        <f t="shared" si="3"/>
        <v>8148453764</v>
      </c>
      <c r="Q17" s="16">
        <f t="shared" si="3"/>
        <v>2026579144</v>
      </c>
      <c r="R17" s="16">
        <f t="shared" si="3"/>
        <v>1126462385</v>
      </c>
      <c r="S17" s="16">
        <f t="shared" si="3"/>
        <v>3411726635</v>
      </c>
      <c r="T17" s="16">
        <f t="shared" si="3"/>
        <v>1083773984</v>
      </c>
      <c r="U17" s="16">
        <f t="shared" si="3"/>
        <v>1418912676</v>
      </c>
      <c r="V17" s="16">
        <f t="shared" si="3"/>
        <v>1652329096</v>
      </c>
      <c r="W17" s="16">
        <f t="shared" si="3"/>
        <v>3265372242</v>
      </c>
      <c r="X17" s="16">
        <f t="shared" si="3"/>
        <v>2667860687</v>
      </c>
      <c r="Y17" s="16">
        <f t="shared" si="3"/>
        <v>2414380971</v>
      </c>
      <c r="Z17" s="16">
        <f t="shared" si="3"/>
        <v>2212089669</v>
      </c>
      <c r="AA17" s="16">
        <f t="shared" si="3"/>
        <v>2251556711</v>
      </c>
    </row>
    <row r="19" spans="1:27" x14ac:dyDescent="0.35">
      <c r="A19" s="17" t="s">
        <v>77</v>
      </c>
      <c r="C19" t="s">
        <v>79</v>
      </c>
      <c r="E19" s="21">
        <f>E16/D16-1</f>
        <v>0.23482171271670582</v>
      </c>
      <c r="F19" s="21">
        <f t="shared" ref="F19:AA19" si="4">F16/E16-1</f>
        <v>0.90027798330321906</v>
      </c>
      <c r="G19" s="21">
        <f t="shared" si="4"/>
        <v>2.564293774102282</v>
      </c>
      <c r="H19" s="21">
        <f t="shared" si="4"/>
        <v>-0.79719983756498403</v>
      </c>
      <c r="I19" s="21">
        <f t="shared" si="4"/>
        <v>-0.40564129310033925</v>
      </c>
      <c r="J19" s="21">
        <f t="shared" si="4"/>
        <v>-0.56342011335530495</v>
      </c>
      <c r="K19" s="21">
        <f t="shared" si="4"/>
        <v>1.5896943558865519</v>
      </c>
      <c r="L19" s="21">
        <f t="shared" si="4"/>
        <v>0.1187459532117936</v>
      </c>
      <c r="M19" s="21">
        <f t="shared" si="4"/>
        <v>8.606892731595539E-2</v>
      </c>
      <c r="N19" s="21">
        <f t="shared" si="4"/>
        <v>-3.0941209324461316E-2</v>
      </c>
      <c r="O19" s="21">
        <f t="shared" si="4"/>
        <v>-0.1272717833443987</v>
      </c>
      <c r="P19" s="21">
        <f t="shared" si="4"/>
        <v>-9.9662593552267142E-2</v>
      </c>
      <c r="Q19" s="21">
        <f t="shared" si="4"/>
        <v>-9.8958425870030009E-2</v>
      </c>
      <c r="R19" s="21">
        <f t="shared" si="4"/>
        <v>4.8279163966936212E-2</v>
      </c>
      <c r="S19" s="21">
        <f t="shared" si="4"/>
        <v>0.16789233826402961</v>
      </c>
      <c r="T19" s="21">
        <f t="shared" si="4"/>
        <v>0.13749532110461193</v>
      </c>
      <c r="U19" s="21">
        <f t="shared" si="4"/>
        <v>0.27239456053650346</v>
      </c>
      <c r="V19" s="21">
        <f t="shared" si="4"/>
        <v>0.1822007640351051</v>
      </c>
      <c r="W19" s="21">
        <f t="shared" si="4"/>
        <v>0.28516778583549329</v>
      </c>
      <c r="X19" s="21">
        <f t="shared" si="4"/>
        <v>0.29488460262583649</v>
      </c>
      <c r="Y19" s="21">
        <f t="shared" si="4"/>
        <v>5.6913681619786383E-2</v>
      </c>
      <c r="Z19" s="21">
        <f t="shared" si="4"/>
        <v>-8.5256266341717346E-2</v>
      </c>
      <c r="AA19" s="21">
        <f t="shared" si="4"/>
        <v>-9.8165304503092798E-3</v>
      </c>
    </row>
    <row r="20" spans="1:27" x14ac:dyDescent="0.35">
      <c r="A20" s="18" t="s">
        <v>76</v>
      </c>
      <c r="C20" t="s">
        <v>79</v>
      </c>
      <c r="E20" s="21">
        <f>E17/D17-1</f>
        <v>0.23075643762756726</v>
      </c>
      <c r="F20" s="21">
        <f t="shared" ref="F20:AA20" si="5">F17/E17-1</f>
        <v>0.84465395449967673</v>
      </c>
      <c r="G20" s="21">
        <f t="shared" si="5"/>
        <v>2.4414280263052102</v>
      </c>
      <c r="H20" s="21">
        <f t="shared" si="5"/>
        <v>-0.7257071414882249</v>
      </c>
      <c r="I20" s="21">
        <f t="shared" si="5"/>
        <v>0.38105390456953803</v>
      </c>
      <c r="J20" s="21">
        <f t="shared" si="5"/>
        <v>-0.81628991111629512</v>
      </c>
      <c r="K20" s="21">
        <f t="shared" si="5"/>
        <v>4.0571390508974936</v>
      </c>
      <c r="L20" s="21">
        <f t="shared" si="5"/>
        <v>-0.4813968205230118</v>
      </c>
      <c r="M20" s="21">
        <f t="shared" si="5"/>
        <v>9.3262120350005553</v>
      </c>
      <c r="N20" s="21">
        <f t="shared" si="5"/>
        <v>2.598338944601132</v>
      </c>
      <c r="O20" s="21">
        <f t="shared" si="5"/>
        <v>-0.73951364514072471</v>
      </c>
      <c r="P20" s="21">
        <f t="shared" si="5"/>
        <v>-0.14473269481987727</v>
      </c>
      <c r="Q20" s="21">
        <f t="shared" si="5"/>
        <v>-0.75129279705145291</v>
      </c>
      <c r="R20" s="21">
        <f t="shared" si="5"/>
        <v>-0.44415573981649537</v>
      </c>
      <c r="S20" s="21">
        <f t="shared" si="5"/>
        <v>2.0287088858275548</v>
      </c>
      <c r="T20" s="21">
        <f t="shared" si="5"/>
        <v>-0.68233856344706822</v>
      </c>
      <c r="U20" s="21">
        <f t="shared" si="5"/>
        <v>0.30923301070862386</v>
      </c>
      <c r="V20" s="21">
        <f t="shared" si="5"/>
        <v>0.16450372454069195</v>
      </c>
      <c r="W20" s="21">
        <f t="shared" si="5"/>
        <v>0.97622389504905271</v>
      </c>
      <c r="X20" s="21">
        <f t="shared" si="5"/>
        <v>-0.18298420845092733</v>
      </c>
      <c r="Y20" s="21">
        <f t="shared" si="5"/>
        <v>-9.5012350995372641E-2</v>
      </c>
      <c r="Z20" s="21">
        <f t="shared" si="5"/>
        <v>-8.3785990872937477E-2</v>
      </c>
      <c r="AA20" s="21">
        <f t="shared" si="5"/>
        <v>1.7841519967787489E-2</v>
      </c>
    </row>
    <row r="22" spans="1:27" x14ac:dyDescent="0.35">
      <c r="A22" s="17" t="s">
        <v>77</v>
      </c>
      <c r="C22" t="s">
        <v>80</v>
      </c>
      <c r="D22" s="24">
        <f>D13/D4</f>
        <v>0.14206015838739927</v>
      </c>
      <c r="E22" s="24">
        <f t="shared" ref="E22:AA22" si="6">E13/E4</f>
        <v>0.13858426528156001</v>
      </c>
      <c r="F22" s="24">
        <f t="shared" si="6"/>
        <v>0.14292674682035209</v>
      </c>
      <c r="G22" s="24">
        <f t="shared" si="6"/>
        <v>0.14765458568318601</v>
      </c>
      <c r="H22" s="24">
        <f t="shared" si="6"/>
        <v>0.13707140006425889</v>
      </c>
      <c r="I22" s="24">
        <f t="shared" si="6"/>
        <v>9.645609287582739E-2</v>
      </c>
      <c r="J22" s="24">
        <f t="shared" si="6"/>
        <v>8.1679185063220097E-2</v>
      </c>
      <c r="K22" s="24">
        <f t="shared" si="6"/>
        <v>9.4445024198759608E-2</v>
      </c>
      <c r="L22" s="24">
        <f t="shared" si="6"/>
        <v>9.6388305691894105E-2</v>
      </c>
      <c r="M22" s="24">
        <f t="shared" si="6"/>
        <v>8.6801632061811212E-2</v>
      </c>
      <c r="N22" s="24">
        <f t="shared" si="6"/>
        <v>8.4481232865907641E-2</v>
      </c>
      <c r="O22" s="24">
        <f t="shared" si="6"/>
        <v>7.8322808666042659E-2</v>
      </c>
      <c r="P22" s="24">
        <f t="shared" si="6"/>
        <v>7.9698755539537564E-2</v>
      </c>
      <c r="Q22" s="24">
        <f t="shared" si="6"/>
        <v>7.8959073800957208E-2</v>
      </c>
      <c r="R22" s="24">
        <f t="shared" si="6"/>
        <v>8.3366490418411057E-2</v>
      </c>
      <c r="S22" s="24">
        <f t="shared" si="6"/>
        <v>8.2826863522291141E-2</v>
      </c>
      <c r="T22" s="24">
        <f t="shared" si="6"/>
        <v>8.3531991885935283E-2</v>
      </c>
      <c r="U22" s="24">
        <f t="shared" si="6"/>
        <v>8.3696305962431952E-2</v>
      </c>
      <c r="V22" s="24">
        <f t="shared" si="6"/>
        <v>9.5971874213189659E-2</v>
      </c>
      <c r="W22" s="24">
        <f t="shared" si="6"/>
        <v>8.9816029297676833E-2</v>
      </c>
      <c r="X22" s="24">
        <f t="shared" si="6"/>
        <v>8.2653980247263725E-2</v>
      </c>
      <c r="Y22" s="24">
        <f t="shared" si="6"/>
        <v>8.5269724845773748E-2</v>
      </c>
      <c r="Z22" s="24">
        <f t="shared" si="6"/>
        <v>8.2017907940280951E-2</v>
      </c>
      <c r="AA22" s="24">
        <f t="shared" si="6"/>
        <v>8.5995210316211892E-2</v>
      </c>
    </row>
    <row r="23" spans="1:27" x14ac:dyDescent="0.35">
      <c r="A23" s="18" t="s">
        <v>76</v>
      </c>
      <c r="C23" t="s">
        <v>80</v>
      </c>
      <c r="D23" s="24">
        <f>D14/D4</f>
        <v>0.14662061270234752</v>
      </c>
      <c r="E23" s="24">
        <f t="shared" ref="E23:AA23" si="7">E14/E4</f>
        <v>0.14310260776169187</v>
      </c>
      <c r="F23" s="24">
        <f t="shared" si="7"/>
        <v>0.1472773114603626</v>
      </c>
      <c r="G23" s="24">
        <f t="shared" si="7"/>
        <v>0.15181765551702014</v>
      </c>
      <c r="H23" s="24">
        <f t="shared" si="7"/>
        <v>0.14025880080761555</v>
      </c>
      <c r="I23" s="24">
        <f t="shared" si="7"/>
        <v>0.11132038797727109</v>
      </c>
      <c r="J23" s="24">
        <f t="shared" si="7"/>
        <v>9.3744748187638255E-2</v>
      </c>
      <c r="K23" s="24">
        <f t="shared" si="7"/>
        <v>0.10389967707121724</v>
      </c>
      <c r="L23" s="24">
        <f t="shared" si="7"/>
        <v>0.11183160631509931</v>
      </c>
      <c r="M23" s="24">
        <f t="shared" si="7"/>
        <v>0.10470533602716073</v>
      </c>
      <c r="N23" s="24">
        <f t="shared" si="7"/>
        <v>9.6973379698018197E-2</v>
      </c>
      <c r="O23" s="24">
        <f t="shared" si="7"/>
        <v>9.1797946170775427E-2</v>
      </c>
      <c r="P23" s="24">
        <f t="shared" si="7"/>
        <v>9.5006462490321686E-2</v>
      </c>
      <c r="Q23" s="24">
        <f t="shared" si="7"/>
        <v>9.4134717943458512E-2</v>
      </c>
      <c r="R23" s="24">
        <f t="shared" si="7"/>
        <v>9.8511556516935966E-2</v>
      </c>
      <c r="S23" s="24">
        <f t="shared" si="7"/>
        <v>0.10161495470699217</v>
      </c>
      <c r="T23" s="24">
        <f t="shared" si="7"/>
        <v>0.1062665679214677</v>
      </c>
      <c r="U23" s="24">
        <f t="shared" si="7"/>
        <v>0.10731887476019747</v>
      </c>
      <c r="V23" s="24">
        <f t="shared" si="7"/>
        <v>0.12238494346055091</v>
      </c>
      <c r="W23" s="24">
        <f t="shared" si="7"/>
        <v>0.11739466614363103</v>
      </c>
      <c r="X23" s="24">
        <f t="shared" si="7"/>
        <v>0.10785515768617014</v>
      </c>
      <c r="Y23" s="24">
        <f t="shared" si="7"/>
        <v>0.11473572118427129</v>
      </c>
      <c r="Z23" s="24">
        <f t="shared" si="7"/>
        <v>0.11416249436773429</v>
      </c>
      <c r="AA23" s="24">
        <f t="shared" si="7"/>
        <v>0.11927795974229888</v>
      </c>
    </row>
    <row r="24" spans="1:27" x14ac:dyDescent="0.35">
      <c r="A24" s="22" t="s">
        <v>29</v>
      </c>
      <c r="C24" t="s">
        <v>80</v>
      </c>
      <c r="D24" s="23">
        <f>D23-D22</f>
        <v>4.5604543149482535E-3</v>
      </c>
      <c r="E24" s="23">
        <f t="shared" ref="E24:AA24" si="8">E23-E22</f>
        <v>4.5183424801318595E-3</v>
      </c>
      <c r="F24" s="23">
        <f t="shared" si="8"/>
        <v>4.350564640010518E-3</v>
      </c>
      <c r="G24" s="23">
        <f t="shared" si="8"/>
        <v>4.1630698338341321E-3</v>
      </c>
      <c r="H24" s="23">
        <f t="shared" si="8"/>
        <v>3.1874007433566609E-3</v>
      </c>
      <c r="I24" s="23">
        <f t="shared" si="8"/>
        <v>1.48642951014437E-2</v>
      </c>
      <c r="J24" s="23">
        <f t="shared" si="8"/>
        <v>1.2065563124418158E-2</v>
      </c>
      <c r="K24" s="23">
        <f t="shared" si="8"/>
        <v>9.4546528724576279E-3</v>
      </c>
      <c r="L24" s="23">
        <f t="shared" si="8"/>
        <v>1.5443300623205203E-2</v>
      </c>
      <c r="M24" s="23">
        <f t="shared" si="8"/>
        <v>1.7903703965349516E-2</v>
      </c>
      <c r="N24" s="23">
        <f t="shared" si="8"/>
        <v>1.2492146832110557E-2</v>
      </c>
      <c r="O24" s="23">
        <f t="shared" si="8"/>
        <v>1.3475137504732768E-2</v>
      </c>
      <c r="P24" s="23">
        <f t="shared" si="8"/>
        <v>1.5307706950784122E-2</v>
      </c>
      <c r="Q24" s="23">
        <f t="shared" si="8"/>
        <v>1.5175644142501304E-2</v>
      </c>
      <c r="R24" s="23">
        <f t="shared" si="8"/>
        <v>1.5145066098524909E-2</v>
      </c>
      <c r="S24" s="23">
        <f t="shared" si="8"/>
        <v>1.8788091184701025E-2</v>
      </c>
      <c r="T24" s="23">
        <f t="shared" si="8"/>
        <v>2.2734576035532417E-2</v>
      </c>
      <c r="U24" s="23">
        <f t="shared" si="8"/>
        <v>2.3622568797765517E-2</v>
      </c>
      <c r="V24" s="23">
        <f t="shared" si="8"/>
        <v>2.6413069247361254E-2</v>
      </c>
      <c r="W24" s="23">
        <f t="shared" si="8"/>
        <v>2.7578636845954199E-2</v>
      </c>
      <c r="X24" s="23">
        <f t="shared" si="8"/>
        <v>2.5201177438906416E-2</v>
      </c>
      <c r="Y24" s="23">
        <f t="shared" si="8"/>
        <v>2.9465996338497544E-2</v>
      </c>
      <c r="Z24" s="23">
        <f t="shared" si="8"/>
        <v>3.2144586427453339E-2</v>
      </c>
      <c r="AA24" s="23">
        <f t="shared" si="8"/>
        <v>3.3282749426086986E-2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17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19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9">
        <v>58716507767</v>
      </c>
      <c r="C13" s="9">
        <v>59807378735</v>
      </c>
      <c r="D13" s="9">
        <v>61454816769</v>
      </c>
      <c r="E13" s="9">
        <v>67140881603</v>
      </c>
      <c r="F13" s="9">
        <v>78615883497</v>
      </c>
      <c r="G13" s="9">
        <v>88245928197</v>
      </c>
      <c r="H13" s="9">
        <v>91371696416</v>
      </c>
      <c r="I13" s="9">
        <v>80735607820</v>
      </c>
      <c r="J13" s="9">
        <v>98741417939</v>
      </c>
      <c r="K13" s="9">
        <v>110231104346</v>
      </c>
      <c r="L13" s="9">
        <v>124199986499</v>
      </c>
      <c r="M13" s="9">
        <v>123305372452</v>
      </c>
      <c r="N13" s="9">
        <v>122108717858</v>
      </c>
      <c r="O13" s="9">
        <v>124664608633</v>
      </c>
      <c r="P13" s="9">
        <v>123440793995</v>
      </c>
      <c r="Q13" s="9">
        <v>142747926675</v>
      </c>
      <c r="R13" s="9">
        <v>158544656907</v>
      </c>
      <c r="S13" s="9">
        <v>167976814663</v>
      </c>
      <c r="T13" s="9">
        <v>198000036124</v>
      </c>
      <c r="U13" s="9">
        <v>217449251623</v>
      </c>
      <c r="V13" s="9">
        <v>263139934599</v>
      </c>
      <c r="W13" s="9">
        <v>261362243303</v>
      </c>
      <c r="X13" s="9">
        <v>263059183515</v>
      </c>
      <c r="Y13" s="9">
        <v>270789200749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13'!B13</f>
        <v>258099027139</v>
      </c>
      <c r="C17" s="9">
        <f>C13+'Sheet 13'!C13</f>
        <v>261679875131</v>
      </c>
      <c r="D17" s="9">
        <f>D13+'Sheet 13'!D13</f>
        <v>287335881762</v>
      </c>
      <c r="E17" s="9">
        <f>E13+'Sheet 13'!E13</f>
        <v>326639698414</v>
      </c>
      <c r="F17" s="9">
        <f>F13+'Sheet 13'!F13</f>
        <v>369249324376</v>
      </c>
      <c r="G17" s="9">
        <f>G13+'Sheet 13'!G13</f>
        <v>401900754138</v>
      </c>
      <c r="H17" s="9">
        <f>H13+'Sheet 13'!H13</f>
        <v>433721726540</v>
      </c>
      <c r="I17" s="9">
        <f>I13+'Sheet 13'!I13</f>
        <v>356962270485</v>
      </c>
      <c r="J17" s="9">
        <f>J13+'Sheet 13'!J13</f>
        <v>433173089757</v>
      </c>
      <c r="K17" s="9">
        <f>K13+'Sheet 13'!K13</f>
        <v>479239418648</v>
      </c>
      <c r="L17" s="9">
        <f>L13+'Sheet 13'!L13</f>
        <v>510097962235</v>
      </c>
      <c r="M17" s="9">
        <f>M13+'Sheet 13'!M13</f>
        <v>505651479965</v>
      </c>
      <c r="N17" s="9">
        <f>N13+'Sheet 13'!N13</f>
        <v>506338920775</v>
      </c>
      <c r="O17" s="9">
        <f>O13+'Sheet 13'!O13</f>
        <v>514309061000</v>
      </c>
      <c r="P17" s="9">
        <f>P13+'Sheet 13'!P13</f>
        <v>515934642422</v>
      </c>
      <c r="Q17" s="9">
        <f>Q13+'Sheet 13'!Q13</f>
        <v>577087073690</v>
      </c>
      <c r="R17" s="9">
        <f>R13+'Sheet 13'!R13</f>
        <v>615600685103</v>
      </c>
      <c r="S17" s="9">
        <f>S13+'Sheet 13'!S13</f>
        <v>633056944231</v>
      </c>
      <c r="T17" s="9">
        <f>T13+'Sheet 13'!T13</f>
        <v>590233153936</v>
      </c>
      <c r="U17" s="9">
        <f>U13+'Sheet 13'!U13</f>
        <v>711069847525</v>
      </c>
      <c r="V17" s="9">
        <f>V13+'Sheet 13'!V13</f>
        <v>917539930190</v>
      </c>
      <c r="W17" s="9">
        <f>W13+'Sheet 13'!W13</f>
        <v>864928867642</v>
      </c>
      <c r="X17" s="9">
        <f>X13+'Sheet 13'!X13</f>
        <v>850696780925</v>
      </c>
      <c r="Y17" s="9">
        <f>Y13+'Sheet 13'!Y13</f>
        <v>875641064742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 activeCell="B17" sqref="B17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17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21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15">
        <v>39236615000</v>
      </c>
      <c r="C13" s="15">
        <v>40896091000</v>
      </c>
      <c r="D13" s="15">
        <v>43366678100</v>
      </c>
      <c r="E13" s="15">
        <v>45207875500</v>
      </c>
      <c r="F13" s="15">
        <v>49815425400</v>
      </c>
      <c r="G13" s="15">
        <v>55458734800</v>
      </c>
      <c r="H13" s="15">
        <v>56082570500</v>
      </c>
      <c r="I13" s="15">
        <v>60859147700</v>
      </c>
      <c r="J13" s="15">
        <v>62466210773</v>
      </c>
      <c r="K13" s="15">
        <v>60448145057</v>
      </c>
      <c r="L13" s="15">
        <v>68707781350</v>
      </c>
      <c r="M13" s="15">
        <v>74939801442</v>
      </c>
      <c r="N13" s="15">
        <v>71379018698</v>
      </c>
      <c r="O13" s="15">
        <v>71791332259</v>
      </c>
      <c r="P13" s="15">
        <v>87252434992</v>
      </c>
      <c r="Q13" s="15">
        <v>96942684607</v>
      </c>
      <c r="R13" s="15">
        <v>93500295314</v>
      </c>
      <c r="S13" s="15">
        <v>91574314396</v>
      </c>
      <c r="T13" s="15">
        <v>102558460516</v>
      </c>
      <c r="U13" s="15">
        <v>121193365555</v>
      </c>
      <c r="V13" s="15">
        <v>93820811227</v>
      </c>
      <c r="W13" s="15">
        <v>86296701878</v>
      </c>
      <c r="X13" s="15">
        <v>82101441576</v>
      </c>
      <c r="Y13" s="15">
        <v>80808625777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15'!B13</f>
        <v>273108785700</v>
      </c>
      <c r="C17" s="9">
        <f>C13+'Sheet 15'!C13</f>
        <v>272417963200</v>
      </c>
      <c r="D17" s="9">
        <f>D13+'Sheet 15'!D13</f>
        <v>302175068000</v>
      </c>
      <c r="E17" s="9">
        <f>E13+'Sheet 15'!E13</f>
        <v>316842065400</v>
      </c>
      <c r="F17" s="9">
        <f>F13+'Sheet 15'!F13</f>
        <v>334127640300</v>
      </c>
      <c r="G17" s="9">
        <f>G13+'Sheet 15'!G13</f>
        <v>357883915100</v>
      </c>
      <c r="H17" s="9">
        <f>H13+'Sheet 15'!H13</f>
        <v>294504360900</v>
      </c>
      <c r="I17" s="9">
        <f>I13+'Sheet 15'!I13</f>
        <v>323606368900</v>
      </c>
      <c r="J17" s="9">
        <f>J13+'Sheet 15'!J13</f>
        <v>372118111241</v>
      </c>
      <c r="K17" s="9">
        <f>K13+'Sheet 15'!K13</f>
        <v>386534250363</v>
      </c>
      <c r="L17" s="9">
        <f>L13+'Sheet 15'!L13</f>
        <v>436273004930</v>
      </c>
      <c r="M17" s="9">
        <f>M13+'Sheet 15'!M13</f>
        <v>430997472680</v>
      </c>
      <c r="N17" s="9">
        <f>N13+'Sheet 15'!N13</f>
        <v>417282399915</v>
      </c>
      <c r="O17" s="9">
        <f>O13+'Sheet 15'!O13</f>
        <v>382507422696</v>
      </c>
      <c r="P17" s="9">
        <f>P13+'Sheet 15'!P13</f>
        <v>423695000405</v>
      </c>
      <c r="Q17" s="9">
        <f>Q13+'Sheet 15'!Q13</f>
        <v>447861121602</v>
      </c>
      <c r="R17" s="9">
        <f>R13+'Sheet 15'!R13</f>
        <v>424138856100</v>
      </c>
      <c r="S17" s="9">
        <f>S13+'Sheet 15'!S13</f>
        <v>417156406847</v>
      </c>
      <c r="T17" s="9">
        <f>T13+'Sheet 15'!T13</f>
        <v>379825739533</v>
      </c>
      <c r="U17" s="9">
        <f>U13+'Sheet 15'!U13</f>
        <v>448739009627</v>
      </c>
      <c r="V17" s="9">
        <f>V13+'Sheet 15'!V13</f>
        <v>451073004675</v>
      </c>
      <c r="W17" s="9">
        <f>W13+'Sheet 15'!W13</f>
        <v>444499364626</v>
      </c>
      <c r="X17" s="9">
        <f>X13+'Sheet 15'!X13</f>
        <v>411705986553</v>
      </c>
      <c r="Y17" s="9">
        <f>Y13+'Sheet 15'!Y13</f>
        <v>426777733096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 activeCell="B17" sqref="B17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23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19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9">
        <v>2063978261</v>
      </c>
      <c r="C13" s="9">
        <v>2317325221</v>
      </c>
      <c r="D13" s="9">
        <v>3207053821</v>
      </c>
      <c r="E13" s="9">
        <v>2625799426</v>
      </c>
      <c r="F13" s="9">
        <v>2726038234</v>
      </c>
      <c r="G13" s="9">
        <v>1094343164</v>
      </c>
      <c r="H13" s="9">
        <v>785225173</v>
      </c>
      <c r="I13" s="9">
        <v>765740650</v>
      </c>
      <c r="J13" s="9">
        <v>928868740</v>
      </c>
      <c r="K13" s="9">
        <v>662941367</v>
      </c>
      <c r="L13" s="9">
        <v>905832070</v>
      </c>
      <c r="M13" s="9">
        <v>935798465</v>
      </c>
      <c r="N13" s="9">
        <v>1091904971</v>
      </c>
      <c r="O13" s="9">
        <v>1381948528</v>
      </c>
      <c r="P13" s="9">
        <v>1378012559</v>
      </c>
      <c r="Q13" s="9">
        <v>2266430163</v>
      </c>
      <c r="R13" s="9">
        <v>2526042974</v>
      </c>
      <c r="S13" s="9">
        <v>2834686989</v>
      </c>
      <c r="T13" s="9">
        <v>3647533391</v>
      </c>
      <c r="U13" s="9">
        <v>4387251023</v>
      </c>
      <c r="V13" s="9">
        <v>5944661774</v>
      </c>
      <c r="W13" s="9">
        <v>5676913895</v>
      </c>
      <c r="X13" s="9">
        <v>4518248417</v>
      </c>
      <c r="Y13" s="9">
        <v>4824619783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16'!B13</f>
        <v>9435020402</v>
      </c>
      <c r="C17" s="9">
        <f>C13+'Sheet 16'!C13</f>
        <v>10182146574</v>
      </c>
      <c r="D17" s="9">
        <f>D13+'Sheet 16'!D13</f>
        <v>12552713030</v>
      </c>
      <c r="E17" s="9">
        <f>E13+'Sheet 16'!E13</f>
        <v>12455552864</v>
      </c>
      <c r="F17" s="9">
        <f>F13+'Sheet 16'!F13</f>
        <v>11070774410</v>
      </c>
      <c r="G17" s="9">
        <f>G13+'Sheet 16'!G13</f>
        <v>7895012895</v>
      </c>
      <c r="H17" s="9">
        <f>H13+'Sheet 16'!H13</f>
        <v>7133178685</v>
      </c>
      <c r="I17" s="9">
        <f>I13+'Sheet 16'!I13</f>
        <v>6460941415</v>
      </c>
      <c r="J17" s="9">
        <f>J13+'Sheet 16'!J13</f>
        <v>9837995901</v>
      </c>
      <c r="K17" s="9">
        <f>K13+'Sheet 16'!K13</f>
        <v>9267545402</v>
      </c>
      <c r="L17" s="9">
        <f>L13+'Sheet 16'!L13</f>
        <v>8391076681</v>
      </c>
      <c r="M17" s="9">
        <f>M13+'Sheet 16'!M13</f>
        <v>6522497736</v>
      </c>
      <c r="N17" s="9">
        <f>N13+'Sheet 16'!N13</f>
        <v>6732164682</v>
      </c>
      <c r="O17" s="9">
        <f>O13+'Sheet 16'!O13</f>
        <v>7799248060</v>
      </c>
      <c r="P17" s="9">
        <f>P13+'Sheet 16'!P13</f>
        <v>8480233210</v>
      </c>
      <c r="Q17" s="9">
        <f>Q13+'Sheet 16'!Q13</f>
        <v>14162142958</v>
      </c>
      <c r="R17" s="9">
        <f>R13+'Sheet 16'!R13</f>
        <v>15516274875</v>
      </c>
      <c r="S17" s="9">
        <f>S13+'Sheet 16'!S13</f>
        <v>16687866557</v>
      </c>
      <c r="T17" s="9">
        <f>T13+'Sheet 16'!T13</f>
        <v>16448894031</v>
      </c>
      <c r="U17" s="9">
        <f>U13+'Sheet 16'!U13</f>
        <v>19294990488</v>
      </c>
      <c r="V17" s="9">
        <f>V13+'Sheet 16'!V13</f>
        <v>27034279871</v>
      </c>
      <c r="W17" s="9">
        <f>W13+'Sheet 16'!W13</f>
        <v>25672741458</v>
      </c>
      <c r="X17" s="9">
        <f>X13+'Sheet 16'!X13</f>
        <v>19689932119</v>
      </c>
      <c r="Y17" s="9">
        <f>Y13+'Sheet 16'!Y13</f>
        <v>17907841364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 activeCell="B17" sqref="B17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23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21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15">
        <v>21600900</v>
      </c>
      <c r="C13" s="15">
        <v>60771500</v>
      </c>
      <c r="D13" s="15">
        <v>75128700</v>
      </c>
      <c r="E13" s="15">
        <v>31023300</v>
      </c>
      <c r="F13" s="15">
        <v>27365500</v>
      </c>
      <c r="G13" s="15">
        <v>3997800</v>
      </c>
      <c r="H13" s="15">
        <v>2943700</v>
      </c>
      <c r="I13" s="15">
        <v>2631000</v>
      </c>
      <c r="J13" s="15">
        <v>3931980</v>
      </c>
      <c r="K13" s="15">
        <v>3155739</v>
      </c>
      <c r="L13" s="15">
        <v>6561386</v>
      </c>
      <c r="M13" s="15">
        <v>5314206</v>
      </c>
      <c r="N13" s="15">
        <v>4065172</v>
      </c>
      <c r="O13" s="15">
        <v>7501158</v>
      </c>
      <c r="P13" s="15">
        <v>5430089</v>
      </c>
      <c r="Q13" s="15">
        <v>15713018</v>
      </c>
      <c r="R13" s="15">
        <v>8183429</v>
      </c>
      <c r="S13" s="15">
        <v>9926389</v>
      </c>
      <c r="T13" s="15">
        <v>40347488</v>
      </c>
      <c r="U13" s="15">
        <v>26111619</v>
      </c>
      <c r="V13" s="15">
        <v>65791795</v>
      </c>
      <c r="W13" s="15">
        <v>83450220</v>
      </c>
      <c r="X13" s="15">
        <v>104508836</v>
      </c>
      <c r="Y13" s="15">
        <v>98863035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18'!B13</f>
        <v>50659900</v>
      </c>
      <c r="C17" s="9">
        <f>C13+'Sheet 18'!C13</f>
        <v>98001400</v>
      </c>
      <c r="D17" s="9">
        <f>D13+'Sheet 18'!D13</f>
        <v>132978200</v>
      </c>
      <c r="E17" s="9">
        <f>E13+'Sheet 18'!E13</f>
        <v>100153700</v>
      </c>
      <c r="F17" s="9">
        <f>F13+'Sheet 18'!F13</f>
        <v>105549500</v>
      </c>
      <c r="G17" s="9">
        <f>G13+'Sheet 18'!G13</f>
        <v>53511000</v>
      </c>
      <c r="H17" s="9">
        <f>H13+'Sheet 18'!H13</f>
        <v>57040800</v>
      </c>
      <c r="I17" s="9">
        <f>I13+'Sheet 18'!I13</f>
        <v>106476300</v>
      </c>
      <c r="J17" s="9">
        <f>J13+'Sheet 18'!J13</f>
        <v>267265354</v>
      </c>
      <c r="K17" s="9">
        <f>K13+'Sheet 18'!K13</f>
        <v>367001033</v>
      </c>
      <c r="L17" s="9">
        <f>L13+'Sheet 18'!L13</f>
        <v>436538160</v>
      </c>
      <c r="M17" s="9">
        <f>M13+'Sheet 18'!M13</f>
        <v>248783581</v>
      </c>
      <c r="N17" s="9">
        <f>N13+'Sheet 18'!N13</f>
        <v>138262582</v>
      </c>
      <c r="O17" s="9">
        <f>O13+'Sheet 18'!O13</f>
        <v>160907493</v>
      </c>
      <c r="P17" s="9">
        <f>P13+'Sheet 18'!P13</f>
        <v>171462600</v>
      </c>
      <c r="Q17" s="9">
        <f>Q13+'Sheet 18'!Q13</f>
        <v>254960866</v>
      </c>
      <c r="R17" s="9">
        <f>R13+'Sheet 18'!R13</f>
        <v>311204255</v>
      </c>
      <c r="S17" s="9">
        <f>S13+'Sheet 18'!S13</f>
        <v>524643672</v>
      </c>
      <c r="T17" s="9">
        <f>T13+'Sheet 18'!T13</f>
        <v>661247872</v>
      </c>
      <c r="U17" s="9">
        <f>U13+'Sheet 18'!U13</f>
        <v>976057042</v>
      </c>
      <c r="V17" s="9">
        <f>V13+'Sheet 18'!V13</f>
        <v>1493453935</v>
      </c>
      <c r="W17" s="9">
        <f>W13+'Sheet 18'!W13</f>
        <v>1589370491</v>
      </c>
      <c r="X17" s="9">
        <f>X13+'Sheet 18'!X13</f>
        <v>1410413524</v>
      </c>
      <c r="Y17" s="9">
        <f>Y13+'Sheet 18'!Y13</f>
        <v>1300638694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 activeCell="B17" sqref="B17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26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19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9">
        <v>5437196803</v>
      </c>
      <c r="C13" s="9">
        <v>5253748668</v>
      </c>
      <c r="D13" s="9">
        <v>4506560329</v>
      </c>
      <c r="E13" s="9">
        <v>6338652675</v>
      </c>
      <c r="F13" s="9">
        <v>6569131181</v>
      </c>
      <c r="G13" s="9">
        <v>6094342486</v>
      </c>
      <c r="H13" s="9">
        <v>5164047154</v>
      </c>
      <c r="I13" s="9">
        <v>4947465451</v>
      </c>
      <c r="J13" s="9">
        <v>5712991495</v>
      </c>
      <c r="K13" s="9">
        <v>5886655423</v>
      </c>
      <c r="L13" s="9">
        <v>6647259752</v>
      </c>
      <c r="M13" s="9">
        <v>6191417025</v>
      </c>
      <c r="N13" s="9">
        <v>5508861290</v>
      </c>
      <c r="O13" s="9">
        <v>4556583541</v>
      </c>
      <c r="P13" s="9">
        <v>4694535728</v>
      </c>
      <c r="Q13" s="9">
        <v>4941116577</v>
      </c>
      <c r="R13" s="9">
        <v>5386991877</v>
      </c>
      <c r="S13" s="9">
        <v>5671282618</v>
      </c>
      <c r="T13" s="9">
        <v>9364094948</v>
      </c>
      <c r="U13" s="9">
        <v>8740654689</v>
      </c>
      <c r="V13" s="9">
        <v>10450470941</v>
      </c>
      <c r="W13" s="9">
        <v>14393577962</v>
      </c>
      <c r="X13" s="9">
        <v>11501395050</v>
      </c>
      <c r="Y13" s="9">
        <v>14356512036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19'!B13</f>
        <v>27230568273</v>
      </c>
      <c r="C17" s="9">
        <f>C13+'Sheet 19'!C13</f>
        <v>26082566660</v>
      </c>
      <c r="D17" s="9">
        <f>D13+'Sheet 19'!D13</f>
        <v>28515269795</v>
      </c>
      <c r="E17" s="9">
        <f>E13+'Sheet 19'!E13</f>
        <v>35774296473</v>
      </c>
      <c r="F17" s="9">
        <f>F13+'Sheet 19'!F13</f>
        <v>39542747455</v>
      </c>
      <c r="G17" s="9">
        <f>G13+'Sheet 19'!G13</f>
        <v>30870763573</v>
      </c>
      <c r="H17" s="9">
        <f>H13+'Sheet 19'!H13</f>
        <v>28292858483</v>
      </c>
      <c r="I17" s="9">
        <f>I13+'Sheet 19'!I13</f>
        <v>27252368859</v>
      </c>
      <c r="J17" s="9">
        <f>J13+'Sheet 19'!J13</f>
        <v>31914824292</v>
      </c>
      <c r="K17" s="9">
        <f>K13+'Sheet 19'!K13</f>
        <v>32331218285</v>
      </c>
      <c r="L17" s="9">
        <f>L13+'Sheet 19'!L13</f>
        <v>34702628051</v>
      </c>
      <c r="M17" s="9">
        <f>M13+'Sheet 19'!M13</f>
        <v>33081546381</v>
      </c>
      <c r="N17" s="9">
        <f>N13+'Sheet 19'!N13</f>
        <v>33622417185</v>
      </c>
      <c r="O17" s="9">
        <f>O13+'Sheet 19'!O13</f>
        <v>32810119044</v>
      </c>
      <c r="P17" s="9">
        <f>P13+'Sheet 19'!P13</f>
        <v>34531427214</v>
      </c>
      <c r="Q17" s="9">
        <f>Q13+'Sheet 19'!Q13</f>
        <v>33636169335</v>
      </c>
      <c r="R17" s="9">
        <f>R13+'Sheet 19'!R13</f>
        <v>35906076558</v>
      </c>
      <c r="S17" s="9">
        <f>S13+'Sheet 19'!S13</f>
        <v>36296661139</v>
      </c>
      <c r="T17" s="9">
        <f>T13+'Sheet 19'!T13</f>
        <v>40196887975</v>
      </c>
      <c r="U17" s="9">
        <f>U13+'Sheet 19'!U13</f>
        <v>44570479770</v>
      </c>
      <c r="V17" s="9">
        <f>V13+'Sheet 19'!V13</f>
        <v>48804047395</v>
      </c>
      <c r="W17" s="9">
        <f>W13+'Sheet 19'!W13</f>
        <v>48079505097</v>
      </c>
      <c r="X17" s="9">
        <f>X13+'Sheet 19'!X13</f>
        <v>50082438144</v>
      </c>
      <c r="Y17" s="9">
        <f>Y13+'Sheet 19'!Y13</f>
        <v>57393096160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 activeCell="B17" sqref="B17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26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21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15">
        <v>143834600</v>
      </c>
      <c r="C13" s="15">
        <v>226071400</v>
      </c>
      <c r="D13" s="15">
        <v>215397800</v>
      </c>
      <c r="E13" s="15">
        <v>153058000</v>
      </c>
      <c r="F13" s="15">
        <v>160112600</v>
      </c>
      <c r="G13" s="15">
        <v>127974100</v>
      </c>
      <c r="H13" s="15">
        <v>145449100</v>
      </c>
      <c r="I13" s="15">
        <v>119930300</v>
      </c>
      <c r="J13" s="15">
        <v>93413339</v>
      </c>
      <c r="K13" s="15">
        <v>92218694</v>
      </c>
      <c r="L13" s="15">
        <v>82239769</v>
      </c>
      <c r="M13" s="15">
        <v>85357152</v>
      </c>
      <c r="N13" s="15">
        <v>67131235</v>
      </c>
      <c r="O13" s="15">
        <v>49638885</v>
      </c>
      <c r="P13" s="15">
        <v>50050928</v>
      </c>
      <c r="Q13" s="15">
        <v>52863257</v>
      </c>
      <c r="R13" s="15">
        <v>57516978</v>
      </c>
      <c r="S13" s="15">
        <v>60420380</v>
      </c>
      <c r="T13" s="15">
        <v>109809057</v>
      </c>
      <c r="U13" s="15">
        <v>97636832</v>
      </c>
      <c r="V13" s="15">
        <v>88872751</v>
      </c>
      <c r="W13" s="15">
        <v>133019657</v>
      </c>
      <c r="X13" s="15">
        <v>81214469</v>
      </c>
      <c r="Y13" s="15">
        <v>91620921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21'!B13</f>
        <v>586903800</v>
      </c>
      <c r="C17" s="9">
        <f>C13+'Sheet 21'!C13</f>
        <v>689276100</v>
      </c>
      <c r="D17" s="9">
        <f>D13+'Sheet 21'!D13</f>
        <v>1363067900</v>
      </c>
      <c r="E17" s="9">
        <f>E13+'Sheet 21'!E13</f>
        <v>5232194100</v>
      </c>
      <c r="F17" s="9">
        <f>F13+'Sheet 21'!F13</f>
        <v>975851500</v>
      </c>
      <c r="G17" s="9">
        <f>G13+'Sheet 21'!G13</f>
        <v>589229100</v>
      </c>
      <c r="H17" s="9">
        <f>H13+'Sheet 21'!H13</f>
        <v>223566600</v>
      </c>
      <c r="I17" s="9">
        <f>I13+'Sheet 21'!I13</f>
        <v>620211100</v>
      </c>
      <c r="J17" s="9">
        <f>J13+'Sheet 21'!J13</f>
        <v>545713234</v>
      </c>
      <c r="K17" s="9">
        <f>K13+'Sheet 21'!K13</f>
        <v>515949750</v>
      </c>
      <c r="L17" s="9">
        <f>L13+'Sheet 21'!L13</f>
        <v>419093058</v>
      </c>
      <c r="M17" s="9">
        <f>M13+'Sheet 21'!M13</f>
        <v>497949926</v>
      </c>
      <c r="N17" s="9">
        <f>N13+'Sheet 21'!N13</f>
        <v>534049527</v>
      </c>
      <c r="O17" s="9">
        <f>O13+'Sheet 21'!O13</f>
        <v>444873668</v>
      </c>
      <c r="P17" s="9">
        <f>P13+'Sheet 21'!P13</f>
        <v>463565169</v>
      </c>
      <c r="Q17" s="9">
        <f>Q13+'Sheet 21'!Q13</f>
        <v>486683200</v>
      </c>
      <c r="R17" s="9">
        <f>R13+'Sheet 21'!R13</f>
        <v>532412400</v>
      </c>
      <c r="S17" s="9">
        <f>S13+'Sheet 21'!S13</f>
        <v>548769571</v>
      </c>
      <c r="T17" s="9">
        <f>T13+'Sheet 21'!T13</f>
        <v>607742084</v>
      </c>
      <c r="U17" s="9">
        <f>U13+'Sheet 21'!U13</f>
        <v>654807970</v>
      </c>
      <c r="V17" s="9">
        <f>V13+'Sheet 21'!V13</f>
        <v>618328058</v>
      </c>
      <c r="W17" s="9">
        <f>W13+'Sheet 21'!W13</f>
        <v>642600790</v>
      </c>
      <c r="X17" s="9">
        <f>X13+'Sheet 21'!X13</f>
        <v>631268219</v>
      </c>
      <c r="Y17" s="9">
        <f>Y13+'Sheet 21'!Y13</f>
        <v>721000818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 activeCell="B17" sqref="B17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29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19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9">
        <v>624433898</v>
      </c>
      <c r="C13" s="9">
        <v>564062306</v>
      </c>
      <c r="D13" s="9">
        <v>673717659</v>
      </c>
      <c r="E13" s="9">
        <v>655897468</v>
      </c>
      <c r="F13" s="9">
        <v>488022380</v>
      </c>
      <c r="G13" s="9">
        <v>4504308187</v>
      </c>
      <c r="H13" s="9">
        <v>3800938242</v>
      </c>
      <c r="I13" s="9">
        <v>2351927206</v>
      </c>
      <c r="J13" s="9">
        <v>5620652688</v>
      </c>
      <c r="K13" s="9">
        <v>7233304972</v>
      </c>
      <c r="L13" s="9">
        <v>5406747802</v>
      </c>
      <c r="M13" s="9">
        <v>5818406545</v>
      </c>
      <c r="N13" s="9">
        <v>6767908969</v>
      </c>
      <c r="O13" s="9">
        <v>6745010436</v>
      </c>
      <c r="P13" s="9">
        <v>6447350267</v>
      </c>
      <c r="Q13" s="9">
        <v>9362685613</v>
      </c>
      <c r="R13" s="9">
        <v>12406532970</v>
      </c>
      <c r="S13" s="9">
        <v>13244545674</v>
      </c>
      <c r="T13" s="9">
        <v>14157336327</v>
      </c>
      <c r="U13" s="9">
        <v>17954236146</v>
      </c>
      <c r="V13" s="9">
        <v>20845410182</v>
      </c>
      <c r="W13" s="9">
        <v>22124570153</v>
      </c>
      <c r="X13" s="9">
        <v>24468521225</v>
      </c>
      <c r="Y13" s="9">
        <v>26897802880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22'!B13</f>
        <v>1177048822</v>
      </c>
      <c r="C17" s="9">
        <f>C13+'Sheet 22'!C13</f>
        <v>1182359296</v>
      </c>
      <c r="D17" s="9">
        <f>D13+'Sheet 22'!D13</f>
        <v>1250073327</v>
      </c>
      <c r="E17" s="9">
        <f>E13+'Sheet 22'!E13</f>
        <v>1359823875</v>
      </c>
      <c r="F17" s="9">
        <f>F13+'Sheet 22'!F13</f>
        <v>1176945571</v>
      </c>
      <c r="G17" s="9">
        <f>G13+'Sheet 22'!G13</f>
        <v>5973971411</v>
      </c>
      <c r="H17" s="9">
        <f>H13+'Sheet 22'!H13</f>
        <v>5233096870</v>
      </c>
      <c r="I17" s="9">
        <f>I13+'Sheet 22'!I13</f>
        <v>3374954356</v>
      </c>
      <c r="J17" s="9">
        <f>J13+'Sheet 22'!J13</f>
        <v>6689622247</v>
      </c>
      <c r="K17" s="9">
        <f>K13+'Sheet 22'!K13</f>
        <v>8580160680</v>
      </c>
      <c r="L17" s="9">
        <f>L13+'Sheet 22'!L13</f>
        <v>6372218643</v>
      </c>
      <c r="M17" s="9">
        <f>M13+'Sheet 22'!M13</f>
        <v>6813723222</v>
      </c>
      <c r="N17" s="9">
        <f>N13+'Sheet 22'!N13</f>
        <v>7750887817</v>
      </c>
      <c r="O17" s="9">
        <f>O13+'Sheet 22'!O13</f>
        <v>7804971289</v>
      </c>
      <c r="P17" s="9">
        <f>P13+'Sheet 22'!P13</f>
        <v>7813864262</v>
      </c>
      <c r="Q17" s="9">
        <f>Q13+'Sheet 22'!Q13</f>
        <v>10842364562</v>
      </c>
      <c r="R17" s="9">
        <f>R13+'Sheet 22'!R13</f>
        <v>13995420583</v>
      </c>
      <c r="S17" s="9">
        <f>S13+'Sheet 22'!S13</f>
        <v>14954431218</v>
      </c>
      <c r="T17" s="9">
        <f>T13+'Sheet 22'!T13</f>
        <v>15589869167</v>
      </c>
      <c r="U17" s="9">
        <f>U13+'Sheet 22'!U13</f>
        <v>19610337097</v>
      </c>
      <c r="V17" s="9">
        <f>V13+'Sheet 22'!V13</f>
        <v>23123086588</v>
      </c>
      <c r="W17" s="9">
        <f>W13+'Sheet 22'!W13</f>
        <v>25485990847</v>
      </c>
      <c r="X17" s="9">
        <f>X13+'Sheet 22'!X13</f>
        <v>27345296198</v>
      </c>
      <c r="Y17" s="9">
        <f>Y13+'Sheet 22'!Y13</f>
        <v>29143742145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7"/>
  <sheetViews>
    <sheetView workbookViewId="0">
      <pane xSplit="1" ySplit="12" topLeftCell="B13" activePane="bottomRight" state="frozen"/>
      <selection pane="topRight"/>
      <selection pane="bottomLeft"/>
      <selection pane="bottomRight" activeCell="A10" sqref="A10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ht="14.5" x14ac:dyDescent="0.35">
      <c r="A1" s="2" t="s">
        <v>40</v>
      </c>
    </row>
    <row r="2" spans="1:25" ht="14.5" x14ac:dyDescent="0.35">
      <c r="A2" s="2" t="s">
        <v>41</v>
      </c>
      <c r="B2" s="1" t="s">
        <v>0</v>
      </c>
    </row>
    <row r="3" spans="1:25" ht="14.5" x14ac:dyDescent="0.35">
      <c r="A3" s="2" t="s">
        <v>42</v>
      </c>
      <c r="B3" s="2" t="s">
        <v>6</v>
      </c>
    </row>
    <row r="4" spans="1:25" ht="14.5" x14ac:dyDescent="0.35"/>
    <row r="5" spans="1:25" ht="14.5" x14ac:dyDescent="0.35">
      <c r="A5" s="1" t="s">
        <v>11</v>
      </c>
      <c r="C5" s="2" t="s">
        <v>16</v>
      </c>
    </row>
    <row r="6" spans="1:25" ht="14.5" x14ac:dyDescent="0.35">
      <c r="A6" s="1" t="s">
        <v>12</v>
      </c>
      <c r="C6" s="2" t="s">
        <v>29</v>
      </c>
    </row>
    <row r="7" spans="1:25" ht="14.5" x14ac:dyDescent="0.35">
      <c r="A7" s="1" t="s">
        <v>13</v>
      </c>
      <c r="C7" s="2" t="s">
        <v>18</v>
      </c>
    </row>
    <row r="8" spans="1:25" ht="14.5" x14ac:dyDescent="0.35">
      <c r="A8" s="1" t="s">
        <v>14</v>
      </c>
      <c r="C8" s="2" t="s">
        <v>21</v>
      </c>
    </row>
    <row r="9" spans="1:25" ht="14.5" x14ac:dyDescent="0.35"/>
    <row r="10" spans="1:25" ht="14.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ht="14.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ht="14.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ht="14.5" x14ac:dyDescent="0.35">
      <c r="A13" s="7" t="s">
        <v>72</v>
      </c>
      <c r="B13" s="15">
        <v>31241600</v>
      </c>
      <c r="C13" s="15">
        <v>37925000</v>
      </c>
      <c r="D13" s="15">
        <v>45383000</v>
      </c>
      <c r="E13" s="15">
        <v>32358100</v>
      </c>
      <c r="F13" s="15">
        <v>21695000</v>
      </c>
      <c r="G13" s="15">
        <v>45912500</v>
      </c>
      <c r="H13" s="15">
        <v>43895100</v>
      </c>
      <c r="I13" s="15">
        <v>48910600</v>
      </c>
      <c r="J13" s="15">
        <v>44664767</v>
      </c>
      <c r="K13" s="15">
        <v>44506379</v>
      </c>
      <c r="L13" s="15">
        <v>41076778</v>
      </c>
      <c r="M13" s="15">
        <v>102799320</v>
      </c>
      <c r="N13" s="15">
        <v>61828988</v>
      </c>
      <c r="O13" s="15">
        <v>143157582</v>
      </c>
      <c r="P13" s="15">
        <v>142042661</v>
      </c>
      <c r="Q13" s="15">
        <v>86586073</v>
      </c>
      <c r="R13" s="15">
        <v>103209341</v>
      </c>
      <c r="S13" s="15">
        <v>167318675</v>
      </c>
      <c r="T13" s="15">
        <v>146208286</v>
      </c>
      <c r="U13" s="15">
        <v>612307518</v>
      </c>
      <c r="V13" s="15">
        <v>49726219</v>
      </c>
      <c r="W13" s="15">
        <v>53216737</v>
      </c>
      <c r="X13" s="15">
        <v>49834107</v>
      </c>
      <c r="Y13" s="15">
        <v>62654675</v>
      </c>
    </row>
    <row r="15" spans="1:25" ht="14.5" x14ac:dyDescent="0.35">
      <c r="A15" s="1" t="s">
        <v>73</v>
      </c>
    </row>
    <row r="16" spans="1:25" ht="14.5" x14ac:dyDescent="0.35">
      <c r="A16" s="1" t="s">
        <v>71</v>
      </c>
      <c r="B16" s="2"/>
    </row>
    <row r="17" spans="1:25" ht="11.4" customHeight="1" x14ac:dyDescent="0.35">
      <c r="A17" t="s">
        <v>75</v>
      </c>
      <c r="B17" s="9">
        <f>B13+'Sheet 24'!B13</f>
        <v>52710000</v>
      </c>
      <c r="C17" s="9">
        <f>C13+'Sheet 24'!C13</f>
        <v>62281300</v>
      </c>
      <c r="D17" s="9">
        <f>D13+'Sheet 24'!D13</f>
        <v>71095900</v>
      </c>
      <c r="E17" s="9">
        <f>E13+'Sheet 24'!E13</f>
        <v>60858600</v>
      </c>
      <c r="F17" s="9">
        <f>F13+'Sheet 24'!F13</f>
        <v>397917000</v>
      </c>
      <c r="G17" s="9">
        <f>G13+'Sheet 24'!G13</f>
        <v>1400277800</v>
      </c>
      <c r="H17" s="9">
        <f>H13+'Sheet 24'!H13</f>
        <v>94715600</v>
      </c>
      <c r="I17" s="9">
        <f>I13+'Sheet 24'!I13</f>
        <v>1171373200</v>
      </c>
      <c r="J17" s="9">
        <f>J13+'Sheet 24'!J13</f>
        <v>171361674</v>
      </c>
      <c r="K17" s="9">
        <f>K13+'Sheet 24'!K13</f>
        <v>9281555477</v>
      </c>
      <c r="L17" s="9">
        <f>L13+'Sheet 24'!L13</f>
        <v>35719707510</v>
      </c>
      <c r="M17" s="9">
        <f>M13+'Sheet 24'!M13</f>
        <v>8780643156</v>
      </c>
      <c r="N17" s="9">
        <f>N13+'Sheet 24'!N13</f>
        <v>7476141655</v>
      </c>
      <c r="O17" s="9">
        <f>O13+'Sheet 24'!O13</f>
        <v>1420797983</v>
      </c>
      <c r="P17" s="9">
        <f>P13+'Sheet 24'!P13</f>
        <v>491434616</v>
      </c>
      <c r="Q17" s="9">
        <f>Q13+'Sheet 24'!Q13</f>
        <v>2670082569</v>
      </c>
      <c r="R17" s="9">
        <f>R13+'Sheet 24'!R13</f>
        <v>240157329</v>
      </c>
      <c r="S17" s="9">
        <f>S13+'Sheet 24'!S13</f>
        <v>345499433</v>
      </c>
      <c r="T17" s="9">
        <f>T13+'Sheet 24'!T13</f>
        <v>383339140</v>
      </c>
      <c r="U17" s="9">
        <f>U13+'Sheet 24'!U13</f>
        <v>1634507230</v>
      </c>
      <c r="V17" s="9">
        <f>V13+'Sheet 24'!V13</f>
        <v>556078694</v>
      </c>
      <c r="W17" s="9">
        <f>W13+'Sheet 24'!W13</f>
        <v>182409690</v>
      </c>
      <c r="X17" s="9">
        <f>X13+'Sheet 24'!X13</f>
        <v>170407926</v>
      </c>
      <c r="Y17" s="9">
        <f>Y13+'Sheet 24'!Y13</f>
        <v>229917199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17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19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9">
        <v>199382519372</v>
      </c>
      <c r="C13" s="9">
        <v>201872496396</v>
      </c>
      <c r="D13" s="9">
        <v>225881064993</v>
      </c>
      <c r="E13" s="9">
        <v>259498816811</v>
      </c>
      <c r="F13" s="9">
        <v>290633440879</v>
      </c>
      <c r="G13" s="9">
        <v>313654825941</v>
      </c>
      <c r="H13" s="9">
        <v>342350030124</v>
      </c>
      <c r="I13" s="9">
        <v>276226662665</v>
      </c>
      <c r="J13" s="9">
        <v>334431671818</v>
      </c>
      <c r="K13" s="9">
        <v>369008314302</v>
      </c>
      <c r="L13" s="9">
        <v>385897975736</v>
      </c>
      <c r="M13" s="9">
        <v>382346107513</v>
      </c>
      <c r="N13" s="9">
        <v>384230202917</v>
      </c>
      <c r="O13" s="9">
        <v>389644452367</v>
      </c>
      <c r="P13" s="9">
        <v>392493848427</v>
      </c>
      <c r="Q13" s="9">
        <v>434339147015</v>
      </c>
      <c r="R13" s="9">
        <v>457056028196</v>
      </c>
      <c r="S13" s="9">
        <v>465080129568</v>
      </c>
      <c r="T13" s="9">
        <v>392233117812</v>
      </c>
      <c r="U13" s="9">
        <v>493620595902</v>
      </c>
      <c r="V13" s="9">
        <v>654399995591</v>
      </c>
      <c r="W13" s="9">
        <v>603566624339</v>
      </c>
      <c r="X13" s="9">
        <v>587637597410</v>
      </c>
      <c r="Y13" s="9">
        <v>604851863993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17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21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15">
        <v>233872170700</v>
      </c>
      <c r="C13" s="15">
        <v>231521872200</v>
      </c>
      <c r="D13" s="15">
        <v>258808389900</v>
      </c>
      <c r="E13" s="15">
        <v>271634189900</v>
      </c>
      <c r="F13" s="15">
        <v>284312214900</v>
      </c>
      <c r="G13" s="15">
        <v>302425180300</v>
      </c>
      <c r="H13" s="15">
        <v>238421790400</v>
      </c>
      <c r="I13" s="15">
        <v>262747221200</v>
      </c>
      <c r="J13" s="15">
        <v>309651900468</v>
      </c>
      <c r="K13" s="15">
        <v>326086105306</v>
      </c>
      <c r="L13" s="15">
        <v>367565223580</v>
      </c>
      <c r="M13" s="15">
        <v>356057671238</v>
      </c>
      <c r="N13" s="15">
        <v>345903381217</v>
      </c>
      <c r="O13" s="15">
        <v>310716090437</v>
      </c>
      <c r="P13" s="15">
        <v>336442565413</v>
      </c>
      <c r="Q13" s="15">
        <v>350918436995</v>
      </c>
      <c r="R13" s="15">
        <v>330638560786</v>
      </c>
      <c r="S13" s="15">
        <v>325582092451</v>
      </c>
      <c r="T13" s="15">
        <v>277267279017</v>
      </c>
      <c r="U13" s="15">
        <v>327545644072</v>
      </c>
      <c r="V13" s="15">
        <v>357252193448</v>
      </c>
      <c r="W13" s="15">
        <v>358202662748</v>
      </c>
      <c r="X13" s="15">
        <v>329604544977</v>
      </c>
      <c r="Y13" s="15">
        <v>345969107319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23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19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9">
        <v>7371042141</v>
      </c>
      <c r="C13" s="9">
        <v>7864821353</v>
      </c>
      <c r="D13" s="9">
        <v>9345659209</v>
      </c>
      <c r="E13" s="9">
        <v>9829753438</v>
      </c>
      <c r="F13" s="9">
        <v>8344736176</v>
      </c>
      <c r="G13" s="9">
        <v>6800669731</v>
      </c>
      <c r="H13" s="9">
        <v>6347953512</v>
      </c>
      <c r="I13" s="9">
        <v>5695200765</v>
      </c>
      <c r="J13" s="9">
        <v>8909127161</v>
      </c>
      <c r="K13" s="9">
        <v>8604604035</v>
      </c>
      <c r="L13" s="9">
        <v>7485244611</v>
      </c>
      <c r="M13" s="9">
        <v>5586699271</v>
      </c>
      <c r="N13" s="9">
        <v>5640259711</v>
      </c>
      <c r="O13" s="9">
        <v>6417299532</v>
      </c>
      <c r="P13" s="9">
        <v>7102220651</v>
      </c>
      <c r="Q13" s="9">
        <v>11895712795</v>
      </c>
      <c r="R13" s="9">
        <v>12990231901</v>
      </c>
      <c r="S13" s="9">
        <v>13853179568</v>
      </c>
      <c r="T13" s="9">
        <v>12801360640</v>
      </c>
      <c r="U13" s="9">
        <v>14907739465</v>
      </c>
      <c r="V13" s="9">
        <v>21089618097</v>
      </c>
      <c r="W13" s="9">
        <v>19995827563</v>
      </c>
      <c r="X13" s="9">
        <v>15171683702</v>
      </c>
      <c r="Y13" s="9">
        <v>13083221581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23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21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15">
        <v>29059000</v>
      </c>
      <c r="C13" s="15">
        <v>37229900</v>
      </c>
      <c r="D13" s="15">
        <v>57849500</v>
      </c>
      <c r="E13" s="15">
        <v>69130400</v>
      </c>
      <c r="F13" s="15">
        <v>78184000</v>
      </c>
      <c r="G13" s="15">
        <v>49513200</v>
      </c>
      <c r="H13" s="15">
        <v>54097100</v>
      </c>
      <c r="I13" s="15">
        <v>103845300</v>
      </c>
      <c r="J13" s="15">
        <v>263333374</v>
      </c>
      <c r="K13" s="15">
        <v>363845294</v>
      </c>
      <c r="L13" s="15">
        <v>429976774</v>
      </c>
      <c r="M13" s="15">
        <v>243469375</v>
      </c>
      <c r="N13" s="15">
        <v>134197410</v>
      </c>
      <c r="O13" s="15">
        <v>153406335</v>
      </c>
      <c r="P13" s="15">
        <v>166032511</v>
      </c>
      <c r="Q13" s="15">
        <v>239247848</v>
      </c>
      <c r="R13" s="15">
        <v>303020826</v>
      </c>
      <c r="S13" s="15">
        <v>514717283</v>
      </c>
      <c r="T13" s="15">
        <v>620900384</v>
      </c>
      <c r="U13" s="15">
        <v>949945423</v>
      </c>
      <c r="V13" s="15">
        <v>1427662140</v>
      </c>
      <c r="W13" s="15">
        <v>1505920271</v>
      </c>
      <c r="X13" s="15">
        <v>1305904688</v>
      </c>
      <c r="Y13" s="15">
        <v>1201775659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26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19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9">
        <v>21793371470</v>
      </c>
      <c r="C13" s="9">
        <v>20828817992</v>
      </c>
      <c r="D13" s="9">
        <v>24008709466</v>
      </c>
      <c r="E13" s="9">
        <v>29435643798</v>
      </c>
      <c r="F13" s="9">
        <v>32973616274</v>
      </c>
      <c r="G13" s="9">
        <v>24776421087</v>
      </c>
      <c r="H13" s="9">
        <v>23128811329</v>
      </c>
      <c r="I13" s="9">
        <v>22304903408</v>
      </c>
      <c r="J13" s="9">
        <v>26201832797</v>
      </c>
      <c r="K13" s="9">
        <v>26444562862</v>
      </c>
      <c r="L13" s="9">
        <v>28055368299</v>
      </c>
      <c r="M13" s="9">
        <v>26890129356</v>
      </c>
      <c r="N13" s="9">
        <v>28113555895</v>
      </c>
      <c r="O13" s="9">
        <v>28253535503</v>
      </c>
      <c r="P13" s="9">
        <v>29836891486</v>
      </c>
      <c r="Q13" s="9">
        <v>28695052758</v>
      </c>
      <c r="R13" s="9">
        <v>30519084681</v>
      </c>
      <c r="S13" s="9">
        <v>30625378521</v>
      </c>
      <c r="T13" s="9">
        <v>30832793027</v>
      </c>
      <c r="U13" s="9">
        <v>35829825081</v>
      </c>
      <c r="V13" s="9">
        <v>38353576454</v>
      </c>
      <c r="W13" s="9">
        <v>33685927135</v>
      </c>
      <c r="X13" s="9">
        <v>38581043094</v>
      </c>
      <c r="Y13" s="9">
        <v>43036584124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26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21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15">
        <v>443069200</v>
      </c>
      <c r="C13" s="15">
        <v>463204700</v>
      </c>
      <c r="D13" s="15">
        <v>1147670100</v>
      </c>
      <c r="E13" s="15">
        <v>5079136100</v>
      </c>
      <c r="F13" s="15">
        <v>815738900</v>
      </c>
      <c r="G13" s="15">
        <v>461255000</v>
      </c>
      <c r="H13" s="15">
        <v>78117500</v>
      </c>
      <c r="I13" s="15">
        <v>500280800</v>
      </c>
      <c r="J13" s="15">
        <v>452299895</v>
      </c>
      <c r="K13" s="15">
        <v>423731056</v>
      </c>
      <c r="L13" s="15">
        <v>336853289</v>
      </c>
      <c r="M13" s="15">
        <v>412592774</v>
      </c>
      <c r="N13" s="15">
        <v>466918292</v>
      </c>
      <c r="O13" s="15">
        <v>395234783</v>
      </c>
      <c r="P13" s="15">
        <v>413514241</v>
      </c>
      <c r="Q13" s="15">
        <v>433819943</v>
      </c>
      <c r="R13" s="15">
        <v>474895422</v>
      </c>
      <c r="S13" s="15">
        <v>488349191</v>
      </c>
      <c r="T13" s="15">
        <v>497933027</v>
      </c>
      <c r="U13" s="15">
        <v>557171138</v>
      </c>
      <c r="V13" s="15">
        <v>529455307</v>
      </c>
      <c r="W13" s="15">
        <v>509581133</v>
      </c>
      <c r="X13" s="15">
        <v>550053750</v>
      </c>
      <c r="Y13" s="15">
        <v>629379897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29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19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9">
        <v>552614924</v>
      </c>
      <c r="C13" s="9">
        <v>618296990</v>
      </c>
      <c r="D13" s="9">
        <v>576355668</v>
      </c>
      <c r="E13" s="9">
        <v>703926407</v>
      </c>
      <c r="F13" s="9">
        <v>688923191</v>
      </c>
      <c r="G13" s="9">
        <v>1469663224</v>
      </c>
      <c r="H13" s="9">
        <v>1432158628</v>
      </c>
      <c r="I13" s="9">
        <v>1023027150</v>
      </c>
      <c r="J13" s="9">
        <v>1068969559</v>
      </c>
      <c r="K13" s="9">
        <v>1346855708</v>
      </c>
      <c r="L13" s="9">
        <v>965470841</v>
      </c>
      <c r="M13" s="9">
        <v>995316677</v>
      </c>
      <c r="N13" s="9">
        <v>982978848</v>
      </c>
      <c r="O13" s="9">
        <v>1059960853</v>
      </c>
      <c r="P13" s="9">
        <v>1366513995</v>
      </c>
      <c r="Q13" s="9">
        <v>1479678949</v>
      </c>
      <c r="R13" s="9">
        <v>1588887613</v>
      </c>
      <c r="S13" s="9">
        <v>1709885544</v>
      </c>
      <c r="T13" s="9">
        <v>1432532840</v>
      </c>
      <c r="U13" s="9">
        <v>1656100951</v>
      </c>
      <c r="V13" s="9">
        <v>2277676406</v>
      </c>
      <c r="W13" s="9">
        <v>3361420694</v>
      </c>
      <c r="X13" s="9">
        <v>2876774973</v>
      </c>
      <c r="Y13" s="9">
        <v>2245939265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16.90625" customWidth="1"/>
    <col min="2" max="25" width="10" customWidth="1"/>
  </cols>
  <sheetData>
    <row r="1" spans="1:25" x14ac:dyDescent="0.35">
      <c r="A1" s="2" t="s">
        <v>40</v>
      </c>
    </row>
    <row r="2" spans="1:25" x14ac:dyDescent="0.35">
      <c r="A2" s="2" t="s">
        <v>41</v>
      </c>
      <c r="B2" s="1" t="s">
        <v>0</v>
      </c>
    </row>
    <row r="3" spans="1:25" x14ac:dyDescent="0.35">
      <c r="A3" s="2" t="s">
        <v>42</v>
      </c>
      <c r="B3" s="2" t="s">
        <v>6</v>
      </c>
    </row>
    <row r="4" spans="1:25" x14ac:dyDescent="0.35"/>
    <row r="5" spans="1:25" x14ac:dyDescent="0.35">
      <c r="A5" s="1" t="s">
        <v>11</v>
      </c>
      <c r="C5" s="2" t="s">
        <v>32</v>
      </c>
    </row>
    <row r="6" spans="1:25" x14ac:dyDescent="0.35">
      <c r="A6" s="1" t="s">
        <v>12</v>
      </c>
      <c r="C6" s="2" t="s">
        <v>29</v>
      </c>
    </row>
    <row r="7" spans="1:25" x14ac:dyDescent="0.35">
      <c r="A7" s="1" t="s">
        <v>13</v>
      </c>
      <c r="C7" s="2" t="s">
        <v>18</v>
      </c>
    </row>
    <row r="8" spans="1:25" x14ac:dyDescent="0.35">
      <c r="A8" s="1" t="s">
        <v>14</v>
      </c>
      <c r="C8" s="2" t="s">
        <v>21</v>
      </c>
    </row>
    <row r="9" spans="1:25" x14ac:dyDescent="0.35"/>
    <row r="10" spans="1:25" x14ac:dyDescent="0.35">
      <c r="A10" s="5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56</v>
      </c>
      <c r="O10" s="4" t="s">
        <v>57</v>
      </c>
      <c r="P10" s="4" t="s">
        <v>58</v>
      </c>
      <c r="Q10" s="4" t="s">
        <v>59</v>
      </c>
      <c r="R10" s="4" t="s">
        <v>60</v>
      </c>
      <c r="S10" s="4" t="s">
        <v>61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67</v>
      </c>
    </row>
    <row r="11" spans="1:25" x14ac:dyDescent="0.35">
      <c r="A11" s="5" t="s">
        <v>68</v>
      </c>
      <c r="B11" s="3" t="s">
        <v>69</v>
      </c>
      <c r="C11" s="3" t="s">
        <v>69</v>
      </c>
      <c r="D11" s="3" t="s">
        <v>69</v>
      </c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</row>
    <row r="12" spans="1:25" x14ac:dyDescent="0.35">
      <c r="A12" s="6" t="s">
        <v>70</v>
      </c>
      <c r="B12" s="8" t="s">
        <v>71</v>
      </c>
      <c r="C12" s="8" t="s">
        <v>71</v>
      </c>
      <c r="D12" s="8" t="s">
        <v>71</v>
      </c>
      <c r="E12" s="8" t="s">
        <v>71</v>
      </c>
      <c r="F12" s="8" t="s">
        <v>71</v>
      </c>
      <c r="G12" s="8" t="s">
        <v>71</v>
      </c>
      <c r="H12" s="8" t="s">
        <v>71</v>
      </c>
      <c r="I12" s="8" t="s">
        <v>71</v>
      </c>
      <c r="J12" s="8" t="s">
        <v>71</v>
      </c>
      <c r="K12" s="8" t="s">
        <v>71</v>
      </c>
      <c r="L12" s="8" t="s">
        <v>71</v>
      </c>
      <c r="M12" s="8" t="s">
        <v>71</v>
      </c>
      <c r="N12" s="8" t="s">
        <v>71</v>
      </c>
      <c r="O12" s="8" t="s">
        <v>71</v>
      </c>
      <c r="P12" s="8" t="s">
        <v>71</v>
      </c>
      <c r="Q12" s="8" t="s">
        <v>71</v>
      </c>
      <c r="R12" s="8" t="s">
        <v>71</v>
      </c>
      <c r="S12" s="8" t="s">
        <v>71</v>
      </c>
      <c r="T12" s="8" t="s">
        <v>71</v>
      </c>
      <c r="U12" s="8" t="s">
        <v>71</v>
      </c>
      <c r="V12" s="8" t="s">
        <v>71</v>
      </c>
      <c r="W12" s="8" t="s">
        <v>71</v>
      </c>
      <c r="X12" s="8" t="s">
        <v>71</v>
      </c>
      <c r="Y12" s="8" t="s">
        <v>71</v>
      </c>
    </row>
    <row r="13" spans="1:25" x14ac:dyDescent="0.35">
      <c r="A13" s="7" t="s">
        <v>72</v>
      </c>
      <c r="B13" s="15">
        <v>21468400</v>
      </c>
      <c r="C13" s="15">
        <v>24356300</v>
      </c>
      <c r="D13" s="15">
        <v>25712900</v>
      </c>
      <c r="E13" s="15">
        <v>28500500</v>
      </c>
      <c r="F13" s="15">
        <v>376222000</v>
      </c>
      <c r="G13" s="15">
        <v>1354365300</v>
      </c>
      <c r="H13" s="15">
        <v>50820500</v>
      </c>
      <c r="I13" s="15">
        <v>1122462600</v>
      </c>
      <c r="J13" s="15">
        <v>126696907</v>
      </c>
      <c r="K13" s="15">
        <v>9237049098</v>
      </c>
      <c r="L13" s="15">
        <v>35678630732</v>
      </c>
      <c r="M13" s="15">
        <v>8677843836</v>
      </c>
      <c r="N13" s="15">
        <v>7414312667</v>
      </c>
      <c r="O13" s="15">
        <v>1277640401</v>
      </c>
      <c r="P13" s="15">
        <v>349391955</v>
      </c>
      <c r="Q13" s="15">
        <v>2583496496</v>
      </c>
      <c r="R13" s="15">
        <v>136947988</v>
      </c>
      <c r="S13" s="15">
        <v>178180758</v>
      </c>
      <c r="T13" s="15">
        <v>237130854</v>
      </c>
      <c r="U13" s="15">
        <v>1022199712</v>
      </c>
      <c r="V13" s="15">
        <v>506352475</v>
      </c>
      <c r="W13" s="15">
        <v>129192953</v>
      </c>
      <c r="X13" s="15">
        <v>120573819</v>
      </c>
      <c r="Y13" s="15">
        <v>167262524</v>
      </c>
    </row>
    <row r="15" spans="1:25" x14ac:dyDescent="0.35">
      <c r="A15" s="1" t="s">
        <v>73</v>
      </c>
    </row>
    <row r="16" spans="1:25" x14ac:dyDescent="0.35">
      <c r="A16" s="1" t="s">
        <v>71</v>
      </c>
      <c r="B16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Total</vt:lpstr>
      <vt:lpstr>Sheet 1</vt:lpstr>
      <vt:lpstr>Sheet 3</vt:lpstr>
      <vt:lpstr>Sheet 4</vt:lpstr>
      <vt:lpstr>Sheet 6</vt:lpstr>
      <vt:lpstr>Sheet 7</vt:lpstr>
      <vt:lpstr>Sheet 9</vt:lpstr>
      <vt:lpstr>Sheet 10</vt:lpstr>
      <vt:lpstr>Sheet 12</vt:lpstr>
      <vt:lpstr>Sheet 13</vt:lpstr>
      <vt:lpstr>Sheet 15</vt:lpstr>
      <vt:lpstr>Sheet 16</vt:lpstr>
      <vt:lpstr>Sheet 18</vt:lpstr>
      <vt:lpstr>Sheet 19</vt:lpstr>
      <vt:lpstr>Sheet 21</vt:lpstr>
      <vt:lpstr>Sheet 22</vt:lpstr>
      <vt:lpstr>Sheet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 Willem van den End</cp:lastModifiedBy>
  <dcterms:created xsi:type="dcterms:W3CDTF">2026-09-12T12:16:02Z</dcterms:created>
  <dcterms:modified xsi:type="dcterms:W3CDTF">2026-09-12T13:02:30Z</dcterms:modified>
</cp:coreProperties>
</file>