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dbu\"/>
    </mc:Choice>
  </mc:AlternateContent>
  <xr:revisionPtr revIDLastSave="0" documentId="13_ncr:1_{8CFDF970-DC21-43D1-98FF-2F163737E0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s_export_monthly" sheetId="1" r:id="rId1"/>
  </sheets>
  <definedNames>
    <definedName name="_xlnm._FilterDatabase" localSheetId="0" hidden="1">hs_export_monthly!$A$1:$M$942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42" i="1" l="1"/>
  <c r="L1342" i="1"/>
  <c r="M1341" i="1"/>
  <c r="L1341" i="1"/>
  <c r="M1340" i="1"/>
  <c r="L1340" i="1"/>
  <c r="M1339" i="1"/>
  <c r="L1339" i="1"/>
  <c r="M1338" i="1"/>
  <c r="L1338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184" i="1"/>
  <c r="L1184" i="1"/>
  <c r="M1183" i="1"/>
  <c r="L1183" i="1"/>
  <c r="M1182" i="1"/>
  <c r="L1182" i="1"/>
  <c r="M1181" i="1"/>
  <c r="L1181" i="1"/>
  <c r="M1180" i="1"/>
  <c r="L1180" i="1"/>
  <c r="M1021" i="1"/>
  <c r="L1021" i="1"/>
  <c r="K942" i="1"/>
  <c r="J942" i="1"/>
  <c r="I942" i="1"/>
  <c r="H942" i="1"/>
  <c r="G942" i="1"/>
  <c r="F942" i="1"/>
  <c r="E942" i="1"/>
  <c r="D942" i="1"/>
  <c r="C942" i="1"/>
  <c r="K941" i="1"/>
  <c r="J941" i="1"/>
  <c r="I941" i="1"/>
  <c r="H941" i="1"/>
  <c r="G941" i="1"/>
  <c r="F941" i="1"/>
  <c r="E941" i="1"/>
  <c r="D941" i="1"/>
  <c r="C941" i="1"/>
  <c r="K940" i="1"/>
  <c r="J940" i="1"/>
  <c r="I940" i="1"/>
  <c r="H940" i="1"/>
  <c r="G940" i="1"/>
  <c r="F940" i="1"/>
  <c r="E940" i="1"/>
  <c r="D940" i="1"/>
  <c r="C940" i="1"/>
  <c r="K939" i="1"/>
  <c r="J939" i="1"/>
  <c r="I939" i="1"/>
  <c r="H939" i="1"/>
  <c r="G939" i="1"/>
  <c r="F939" i="1"/>
  <c r="E939" i="1"/>
  <c r="D939" i="1"/>
  <c r="C939" i="1"/>
  <c r="K938" i="1"/>
  <c r="M938" i="1" s="1"/>
  <c r="M1175" i="1" s="1"/>
  <c r="J938" i="1"/>
  <c r="I938" i="1"/>
  <c r="H938" i="1"/>
  <c r="G938" i="1"/>
  <c r="F938" i="1"/>
  <c r="E938" i="1"/>
  <c r="D938" i="1"/>
  <c r="C938" i="1"/>
  <c r="K937" i="1"/>
  <c r="J937" i="1"/>
  <c r="I937" i="1"/>
  <c r="H937" i="1"/>
  <c r="G937" i="1"/>
  <c r="F937" i="1"/>
  <c r="E937" i="1"/>
  <c r="D937" i="1"/>
  <c r="C937" i="1"/>
  <c r="K936" i="1"/>
  <c r="J936" i="1"/>
  <c r="I936" i="1"/>
  <c r="H936" i="1"/>
  <c r="G936" i="1"/>
  <c r="F936" i="1"/>
  <c r="E936" i="1"/>
  <c r="D936" i="1"/>
  <c r="C936" i="1"/>
  <c r="K935" i="1"/>
  <c r="J935" i="1"/>
  <c r="I935" i="1"/>
  <c r="H935" i="1"/>
  <c r="G935" i="1"/>
  <c r="F935" i="1"/>
  <c r="E935" i="1"/>
  <c r="D935" i="1"/>
  <c r="C935" i="1"/>
  <c r="K934" i="1"/>
  <c r="J934" i="1"/>
  <c r="I934" i="1"/>
  <c r="H934" i="1"/>
  <c r="G934" i="1"/>
  <c r="F934" i="1"/>
  <c r="E934" i="1"/>
  <c r="D934" i="1"/>
  <c r="C934" i="1"/>
  <c r="K933" i="1"/>
  <c r="J933" i="1"/>
  <c r="I933" i="1"/>
  <c r="H933" i="1"/>
  <c r="G933" i="1"/>
  <c r="F933" i="1"/>
  <c r="E933" i="1"/>
  <c r="D933" i="1"/>
  <c r="C933" i="1"/>
  <c r="K932" i="1"/>
  <c r="J932" i="1"/>
  <c r="I932" i="1"/>
  <c r="H932" i="1"/>
  <c r="G932" i="1"/>
  <c r="F932" i="1"/>
  <c r="E932" i="1"/>
  <c r="D932" i="1"/>
  <c r="C932" i="1"/>
  <c r="K931" i="1"/>
  <c r="J931" i="1"/>
  <c r="I931" i="1"/>
  <c r="H931" i="1"/>
  <c r="G931" i="1"/>
  <c r="F931" i="1"/>
  <c r="E931" i="1"/>
  <c r="D931" i="1"/>
  <c r="C931" i="1"/>
  <c r="K930" i="1"/>
  <c r="J930" i="1"/>
  <c r="I930" i="1"/>
  <c r="H930" i="1"/>
  <c r="G930" i="1"/>
  <c r="F930" i="1"/>
  <c r="E930" i="1"/>
  <c r="D930" i="1"/>
  <c r="C930" i="1"/>
  <c r="K929" i="1"/>
  <c r="J929" i="1"/>
  <c r="I929" i="1"/>
  <c r="H929" i="1"/>
  <c r="G929" i="1"/>
  <c r="F929" i="1"/>
  <c r="M929" i="1" s="1"/>
  <c r="E929" i="1"/>
  <c r="D929" i="1"/>
  <c r="C929" i="1"/>
  <c r="K928" i="1"/>
  <c r="J928" i="1"/>
  <c r="I928" i="1"/>
  <c r="H928" i="1"/>
  <c r="G928" i="1"/>
  <c r="F928" i="1"/>
  <c r="E928" i="1"/>
  <c r="D928" i="1"/>
  <c r="C928" i="1"/>
  <c r="K927" i="1"/>
  <c r="J927" i="1"/>
  <c r="I927" i="1"/>
  <c r="H927" i="1"/>
  <c r="G927" i="1"/>
  <c r="F927" i="1"/>
  <c r="E927" i="1"/>
  <c r="D927" i="1"/>
  <c r="C927" i="1"/>
  <c r="K926" i="1"/>
  <c r="J926" i="1"/>
  <c r="I926" i="1"/>
  <c r="H926" i="1"/>
  <c r="G926" i="1"/>
  <c r="F926" i="1"/>
  <c r="E926" i="1"/>
  <c r="D926" i="1"/>
  <c r="C926" i="1"/>
  <c r="K925" i="1"/>
  <c r="J925" i="1"/>
  <c r="I925" i="1"/>
  <c r="H925" i="1"/>
  <c r="G925" i="1"/>
  <c r="F925" i="1"/>
  <c r="E925" i="1"/>
  <c r="D925" i="1"/>
  <c r="C925" i="1"/>
  <c r="K924" i="1"/>
  <c r="J924" i="1"/>
  <c r="I924" i="1"/>
  <c r="H924" i="1"/>
  <c r="G924" i="1"/>
  <c r="F924" i="1"/>
  <c r="E924" i="1"/>
  <c r="D924" i="1"/>
  <c r="C924" i="1"/>
  <c r="K923" i="1"/>
  <c r="J923" i="1"/>
  <c r="I923" i="1"/>
  <c r="H923" i="1"/>
  <c r="G923" i="1"/>
  <c r="F923" i="1"/>
  <c r="E923" i="1"/>
  <c r="D923" i="1"/>
  <c r="C923" i="1"/>
  <c r="K922" i="1"/>
  <c r="J922" i="1"/>
  <c r="I922" i="1"/>
  <c r="H922" i="1"/>
  <c r="G922" i="1"/>
  <c r="F922" i="1"/>
  <c r="E922" i="1"/>
  <c r="D922" i="1"/>
  <c r="C922" i="1"/>
  <c r="K921" i="1"/>
  <c r="J921" i="1"/>
  <c r="I921" i="1"/>
  <c r="H921" i="1"/>
  <c r="G921" i="1"/>
  <c r="F921" i="1"/>
  <c r="E921" i="1"/>
  <c r="D921" i="1"/>
  <c r="C921" i="1"/>
  <c r="K920" i="1"/>
  <c r="J920" i="1"/>
  <c r="I920" i="1"/>
  <c r="H920" i="1"/>
  <c r="G920" i="1"/>
  <c r="F920" i="1"/>
  <c r="E920" i="1"/>
  <c r="D920" i="1"/>
  <c r="C920" i="1"/>
  <c r="K919" i="1"/>
  <c r="J919" i="1"/>
  <c r="I919" i="1"/>
  <c r="H919" i="1"/>
  <c r="G919" i="1"/>
  <c r="F919" i="1"/>
  <c r="E919" i="1"/>
  <c r="D919" i="1"/>
  <c r="C919" i="1"/>
  <c r="K918" i="1"/>
  <c r="J918" i="1"/>
  <c r="I918" i="1"/>
  <c r="H918" i="1"/>
  <c r="G918" i="1"/>
  <c r="F918" i="1"/>
  <c r="E918" i="1"/>
  <c r="D918" i="1"/>
  <c r="C918" i="1"/>
  <c r="K917" i="1"/>
  <c r="J917" i="1"/>
  <c r="I917" i="1"/>
  <c r="H917" i="1"/>
  <c r="G917" i="1"/>
  <c r="F917" i="1"/>
  <c r="E917" i="1"/>
  <c r="D917" i="1"/>
  <c r="C917" i="1"/>
  <c r="K916" i="1"/>
  <c r="J916" i="1"/>
  <c r="I916" i="1"/>
  <c r="H916" i="1"/>
  <c r="G916" i="1"/>
  <c r="F916" i="1"/>
  <c r="E916" i="1"/>
  <c r="D916" i="1"/>
  <c r="C916" i="1"/>
  <c r="K915" i="1"/>
  <c r="J915" i="1"/>
  <c r="I915" i="1"/>
  <c r="H915" i="1"/>
  <c r="G915" i="1"/>
  <c r="F915" i="1"/>
  <c r="E915" i="1"/>
  <c r="D915" i="1"/>
  <c r="C915" i="1"/>
  <c r="K914" i="1"/>
  <c r="J914" i="1"/>
  <c r="I914" i="1"/>
  <c r="H914" i="1"/>
  <c r="G914" i="1"/>
  <c r="F914" i="1"/>
  <c r="E914" i="1"/>
  <c r="D914" i="1"/>
  <c r="C914" i="1"/>
  <c r="K913" i="1"/>
  <c r="J913" i="1"/>
  <c r="I913" i="1"/>
  <c r="H913" i="1"/>
  <c r="G913" i="1"/>
  <c r="F913" i="1"/>
  <c r="E913" i="1"/>
  <c r="D913" i="1"/>
  <c r="C913" i="1"/>
  <c r="K912" i="1"/>
  <c r="J912" i="1"/>
  <c r="I912" i="1"/>
  <c r="H912" i="1"/>
  <c r="G912" i="1"/>
  <c r="F912" i="1"/>
  <c r="E912" i="1"/>
  <c r="D912" i="1"/>
  <c r="C912" i="1"/>
  <c r="K911" i="1"/>
  <c r="J911" i="1"/>
  <c r="I911" i="1"/>
  <c r="H911" i="1"/>
  <c r="G911" i="1"/>
  <c r="F911" i="1"/>
  <c r="E911" i="1"/>
  <c r="D911" i="1"/>
  <c r="C911" i="1"/>
  <c r="K910" i="1"/>
  <c r="J910" i="1"/>
  <c r="I910" i="1"/>
  <c r="H910" i="1"/>
  <c r="G910" i="1"/>
  <c r="F910" i="1"/>
  <c r="E910" i="1"/>
  <c r="D910" i="1"/>
  <c r="C910" i="1"/>
  <c r="K909" i="1"/>
  <c r="J909" i="1"/>
  <c r="I909" i="1"/>
  <c r="H909" i="1"/>
  <c r="G909" i="1"/>
  <c r="F909" i="1"/>
  <c r="E909" i="1"/>
  <c r="D909" i="1"/>
  <c r="C909" i="1"/>
  <c r="K908" i="1"/>
  <c r="J908" i="1"/>
  <c r="I908" i="1"/>
  <c r="H908" i="1"/>
  <c r="G908" i="1"/>
  <c r="F908" i="1"/>
  <c r="E908" i="1"/>
  <c r="D908" i="1"/>
  <c r="C908" i="1"/>
  <c r="K907" i="1"/>
  <c r="J907" i="1"/>
  <c r="I907" i="1"/>
  <c r="H907" i="1"/>
  <c r="G907" i="1"/>
  <c r="F907" i="1"/>
  <c r="E907" i="1"/>
  <c r="D907" i="1"/>
  <c r="C907" i="1"/>
  <c r="K906" i="1"/>
  <c r="J906" i="1"/>
  <c r="I906" i="1"/>
  <c r="H906" i="1"/>
  <c r="G906" i="1"/>
  <c r="F906" i="1"/>
  <c r="E906" i="1"/>
  <c r="D906" i="1"/>
  <c r="C906" i="1"/>
  <c r="K905" i="1"/>
  <c r="J905" i="1"/>
  <c r="I905" i="1"/>
  <c r="H905" i="1"/>
  <c r="G905" i="1"/>
  <c r="F905" i="1"/>
  <c r="E905" i="1"/>
  <c r="D905" i="1"/>
  <c r="C905" i="1"/>
  <c r="K904" i="1"/>
  <c r="J904" i="1"/>
  <c r="I904" i="1"/>
  <c r="H904" i="1"/>
  <c r="G904" i="1"/>
  <c r="F904" i="1"/>
  <c r="E904" i="1"/>
  <c r="D904" i="1"/>
  <c r="C904" i="1"/>
  <c r="K903" i="1"/>
  <c r="J903" i="1"/>
  <c r="I903" i="1"/>
  <c r="H903" i="1"/>
  <c r="G903" i="1"/>
  <c r="F903" i="1"/>
  <c r="E903" i="1"/>
  <c r="D903" i="1"/>
  <c r="C903" i="1"/>
  <c r="K902" i="1"/>
  <c r="J902" i="1"/>
  <c r="I902" i="1"/>
  <c r="H902" i="1"/>
  <c r="G902" i="1"/>
  <c r="F902" i="1"/>
  <c r="E902" i="1"/>
  <c r="D902" i="1"/>
  <c r="C902" i="1"/>
  <c r="K901" i="1"/>
  <c r="J901" i="1"/>
  <c r="I901" i="1"/>
  <c r="H901" i="1"/>
  <c r="G901" i="1"/>
  <c r="F901" i="1"/>
  <c r="E901" i="1"/>
  <c r="D901" i="1"/>
  <c r="C901" i="1"/>
  <c r="K900" i="1"/>
  <c r="J900" i="1"/>
  <c r="I900" i="1"/>
  <c r="H900" i="1"/>
  <c r="G900" i="1"/>
  <c r="F900" i="1"/>
  <c r="E900" i="1"/>
  <c r="D900" i="1"/>
  <c r="C900" i="1"/>
  <c r="K899" i="1"/>
  <c r="J899" i="1"/>
  <c r="I899" i="1"/>
  <c r="H899" i="1"/>
  <c r="G899" i="1"/>
  <c r="F899" i="1"/>
  <c r="E899" i="1"/>
  <c r="D899" i="1"/>
  <c r="C899" i="1"/>
  <c r="K898" i="1"/>
  <c r="J898" i="1"/>
  <c r="I898" i="1"/>
  <c r="H898" i="1"/>
  <c r="G898" i="1"/>
  <c r="F898" i="1"/>
  <c r="E898" i="1"/>
  <c r="D898" i="1"/>
  <c r="C898" i="1"/>
  <c r="K897" i="1"/>
  <c r="J897" i="1"/>
  <c r="I897" i="1"/>
  <c r="H897" i="1"/>
  <c r="G897" i="1"/>
  <c r="F897" i="1"/>
  <c r="E897" i="1"/>
  <c r="D897" i="1"/>
  <c r="C897" i="1"/>
  <c r="K896" i="1"/>
  <c r="J896" i="1"/>
  <c r="I896" i="1"/>
  <c r="H896" i="1"/>
  <c r="G896" i="1"/>
  <c r="F896" i="1"/>
  <c r="E896" i="1"/>
  <c r="D896" i="1"/>
  <c r="C896" i="1"/>
  <c r="K895" i="1"/>
  <c r="J895" i="1"/>
  <c r="I895" i="1"/>
  <c r="H895" i="1"/>
  <c r="G895" i="1"/>
  <c r="F895" i="1"/>
  <c r="E895" i="1"/>
  <c r="D895" i="1"/>
  <c r="C895" i="1"/>
  <c r="K894" i="1"/>
  <c r="J894" i="1"/>
  <c r="I894" i="1"/>
  <c r="H894" i="1"/>
  <c r="G894" i="1"/>
  <c r="F894" i="1"/>
  <c r="E894" i="1"/>
  <c r="D894" i="1"/>
  <c r="C894" i="1"/>
  <c r="K893" i="1"/>
  <c r="J893" i="1"/>
  <c r="I893" i="1"/>
  <c r="H893" i="1"/>
  <c r="G893" i="1"/>
  <c r="F893" i="1"/>
  <c r="E893" i="1"/>
  <c r="D893" i="1"/>
  <c r="C893" i="1"/>
  <c r="K892" i="1"/>
  <c r="J892" i="1"/>
  <c r="I892" i="1"/>
  <c r="H892" i="1"/>
  <c r="G892" i="1"/>
  <c r="F892" i="1"/>
  <c r="E892" i="1"/>
  <c r="D892" i="1"/>
  <c r="C892" i="1"/>
  <c r="K891" i="1"/>
  <c r="J891" i="1"/>
  <c r="I891" i="1"/>
  <c r="H891" i="1"/>
  <c r="G891" i="1"/>
  <c r="F891" i="1"/>
  <c r="E891" i="1"/>
  <c r="D891" i="1"/>
  <c r="C891" i="1"/>
  <c r="K890" i="1"/>
  <c r="J890" i="1"/>
  <c r="I890" i="1"/>
  <c r="H890" i="1"/>
  <c r="G890" i="1"/>
  <c r="F890" i="1"/>
  <c r="E890" i="1"/>
  <c r="D890" i="1"/>
  <c r="C890" i="1"/>
  <c r="K889" i="1"/>
  <c r="J889" i="1"/>
  <c r="I889" i="1"/>
  <c r="H889" i="1"/>
  <c r="G889" i="1"/>
  <c r="F889" i="1"/>
  <c r="E889" i="1"/>
  <c r="D889" i="1"/>
  <c r="C889" i="1"/>
  <c r="K888" i="1"/>
  <c r="J888" i="1"/>
  <c r="I888" i="1"/>
  <c r="H888" i="1"/>
  <c r="G888" i="1"/>
  <c r="F888" i="1"/>
  <c r="E888" i="1"/>
  <c r="D888" i="1"/>
  <c r="C888" i="1"/>
  <c r="K887" i="1"/>
  <c r="J887" i="1"/>
  <c r="I887" i="1"/>
  <c r="H887" i="1"/>
  <c r="G887" i="1"/>
  <c r="F887" i="1"/>
  <c r="E887" i="1"/>
  <c r="D887" i="1"/>
  <c r="C887" i="1"/>
  <c r="K886" i="1"/>
  <c r="J886" i="1"/>
  <c r="I886" i="1"/>
  <c r="H886" i="1"/>
  <c r="G886" i="1"/>
  <c r="F886" i="1"/>
  <c r="E886" i="1"/>
  <c r="D886" i="1"/>
  <c r="C886" i="1"/>
  <c r="K885" i="1"/>
  <c r="J885" i="1"/>
  <c r="I885" i="1"/>
  <c r="H885" i="1"/>
  <c r="G885" i="1"/>
  <c r="F885" i="1"/>
  <c r="E885" i="1"/>
  <c r="D885" i="1"/>
  <c r="C885" i="1"/>
  <c r="K884" i="1"/>
  <c r="J884" i="1"/>
  <c r="I884" i="1"/>
  <c r="H884" i="1"/>
  <c r="G884" i="1"/>
  <c r="F884" i="1"/>
  <c r="E884" i="1"/>
  <c r="D884" i="1"/>
  <c r="C884" i="1"/>
  <c r="K883" i="1"/>
  <c r="J883" i="1"/>
  <c r="I883" i="1"/>
  <c r="H883" i="1"/>
  <c r="G883" i="1"/>
  <c r="F883" i="1"/>
  <c r="E883" i="1"/>
  <c r="D883" i="1"/>
  <c r="C883" i="1"/>
  <c r="K882" i="1"/>
  <c r="J882" i="1"/>
  <c r="I882" i="1"/>
  <c r="H882" i="1"/>
  <c r="G882" i="1"/>
  <c r="F882" i="1"/>
  <c r="E882" i="1"/>
  <c r="D882" i="1"/>
  <c r="C882" i="1"/>
  <c r="K881" i="1"/>
  <c r="J881" i="1"/>
  <c r="I881" i="1"/>
  <c r="H881" i="1"/>
  <c r="G881" i="1"/>
  <c r="F881" i="1"/>
  <c r="E881" i="1"/>
  <c r="D881" i="1"/>
  <c r="C881" i="1"/>
  <c r="K880" i="1"/>
  <c r="J880" i="1"/>
  <c r="I880" i="1"/>
  <c r="H880" i="1"/>
  <c r="G880" i="1"/>
  <c r="F880" i="1"/>
  <c r="E880" i="1"/>
  <c r="D880" i="1"/>
  <c r="C880" i="1"/>
  <c r="K879" i="1"/>
  <c r="J879" i="1"/>
  <c r="I879" i="1"/>
  <c r="H879" i="1"/>
  <c r="G879" i="1"/>
  <c r="F879" i="1"/>
  <c r="E879" i="1"/>
  <c r="D879" i="1"/>
  <c r="C879" i="1"/>
  <c r="K878" i="1"/>
  <c r="J878" i="1"/>
  <c r="I878" i="1"/>
  <c r="H878" i="1"/>
  <c r="G878" i="1"/>
  <c r="F878" i="1"/>
  <c r="E878" i="1"/>
  <c r="D878" i="1"/>
  <c r="C878" i="1"/>
  <c r="K877" i="1"/>
  <c r="J877" i="1"/>
  <c r="I877" i="1"/>
  <c r="H877" i="1"/>
  <c r="M877" i="1" s="1"/>
  <c r="G877" i="1"/>
  <c r="F877" i="1"/>
  <c r="E877" i="1"/>
  <c r="D877" i="1"/>
  <c r="C877" i="1"/>
  <c r="K876" i="1"/>
  <c r="J876" i="1"/>
  <c r="I876" i="1"/>
  <c r="H876" i="1"/>
  <c r="G876" i="1"/>
  <c r="F876" i="1"/>
  <c r="E876" i="1"/>
  <c r="D876" i="1"/>
  <c r="C876" i="1"/>
  <c r="K875" i="1"/>
  <c r="J875" i="1"/>
  <c r="I875" i="1"/>
  <c r="H875" i="1"/>
  <c r="G875" i="1"/>
  <c r="F875" i="1"/>
  <c r="E875" i="1"/>
  <c r="D875" i="1"/>
  <c r="C875" i="1"/>
  <c r="K874" i="1"/>
  <c r="J874" i="1"/>
  <c r="I874" i="1"/>
  <c r="H874" i="1"/>
  <c r="G874" i="1"/>
  <c r="F874" i="1"/>
  <c r="E874" i="1"/>
  <c r="D874" i="1"/>
  <c r="C874" i="1"/>
  <c r="K873" i="1"/>
  <c r="J873" i="1"/>
  <c r="I873" i="1"/>
  <c r="H873" i="1"/>
  <c r="G873" i="1"/>
  <c r="F873" i="1"/>
  <c r="E873" i="1"/>
  <c r="D873" i="1"/>
  <c r="C873" i="1"/>
  <c r="K872" i="1"/>
  <c r="J872" i="1"/>
  <c r="I872" i="1"/>
  <c r="H872" i="1"/>
  <c r="G872" i="1"/>
  <c r="F872" i="1"/>
  <c r="E872" i="1"/>
  <c r="D872" i="1"/>
  <c r="C872" i="1"/>
  <c r="K871" i="1"/>
  <c r="J871" i="1"/>
  <c r="I871" i="1"/>
  <c r="H871" i="1"/>
  <c r="G871" i="1"/>
  <c r="F871" i="1"/>
  <c r="E871" i="1"/>
  <c r="D871" i="1"/>
  <c r="C871" i="1"/>
  <c r="K870" i="1"/>
  <c r="J870" i="1"/>
  <c r="I870" i="1"/>
  <c r="H870" i="1"/>
  <c r="G870" i="1"/>
  <c r="F870" i="1"/>
  <c r="E870" i="1"/>
  <c r="D870" i="1"/>
  <c r="C870" i="1"/>
  <c r="K869" i="1"/>
  <c r="J869" i="1"/>
  <c r="I869" i="1"/>
  <c r="H869" i="1"/>
  <c r="G869" i="1"/>
  <c r="F869" i="1"/>
  <c r="E869" i="1"/>
  <c r="D869" i="1"/>
  <c r="C869" i="1"/>
  <c r="K868" i="1"/>
  <c r="J868" i="1"/>
  <c r="I868" i="1"/>
  <c r="H868" i="1"/>
  <c r="G868" i="1"/>
  <c r="F868" i="1"/>
  <c r="E868" i="1"/>
  <c r="D868" i="1"/>
  <c r="C868" i="1"/>
  <c r="K867" i="1"/>
  <c r="J867" i="1"/>
  <c r="I867" i="1"/>
  <c r="H867" i="1"/>
  <c r="G867" i="1"/>
  <c r="F867" i="1"/>
  <c r="E867" i="1"/>
  <c r="D867" i="1"/>
  <c r="C867" i="1"/>
  <c r="K866" i="1"/>
  <c r="J866" i="1"/>
  <c r="I866" i="1"/>
  <c r="H866" i="1"/>
  <c r="G866" i="1"/>
  <c r="F866" i="1"/>
  <c r="E866" i="1"/>
  <c r="D866" i="1"/>
  <c r="C866" i="1"/>
  <c r="K865" i="1"/>
  <c r="J865" i="1"/>
  <c r="I865" i="1"/>
  <c r="H865" i="1"/>
  <c r="G865" i="1"/>
  <c r="F865" i="1"/>
  <c r="E865" i="1"/>
  <c r="D865" i="1"/>
  <c r="C865" i="1"/>
  <c r="K864" i="1"/>
  <c r="J864" i="1"/>
  <c r="I864" i="1"/>
  <c r="H864" i="1"/>
  <c r="G864" i="1"/>
  <c r="F864" i="1"/>
  <c r="E864" i="1"/>
  <c r="D864" i="1"/>
  <c r="C864" i="1"/>
  <c r="K863" i="1"/>
  <c r="J863" i="1"/>
  <c r="I863" i="1"/>
  <c r="H863" i="1"/>
  <c r="G863" i="1"/>
  <c r="F863" i="1"/>
  <c r="E863" i="1"/>
  <c r="D863" i="1"/>
  <c r="C863" i="1"/>
  <c r="K862" i="1"/>
  <c r="J862" i="1"/>
  <c r="I862" i="1"/>
  <c r="H862" i="1"/>
  <c r="G862" i="1"/>
  <c r="F862" i="1"/>
  <c r="E862" i="1"/>
  <c r="D862" i="1"/>
  <c r="C862" i="1"/>
  <c r="K861" i="1"/>
  <c r="J861" i="1"/>
  <c r="I861" i="1"/>
  <c r="H861" i="1"/>
  <c r="G861" i="1"/>
  <c r="F861" i="1"/>
  <c r="E861" i="1"/>
  <c r="D861" i="1"/>
  <c r="C861" i="1"/>
  <c r="K860" i="1"/>
  <c r="J860" i="1"/>
  <c r="I860" i="1"/>
  <c r="H860" i="1"/>
  <c r="G860" i="1"/>
  <c r="F860" i="1"/>
  <c r="E860" i="1"/>
  <c r="D860" i="1"/>
  <c r="C860" i="1"/>
  <c r="K859" i="1"/>
  <c r="J859" i="1"/>
  <c r="I859" i="1"/>
  <c r="H859" i="1"/>
  <c r="G859" i="1"/>
  <c r="F859" i="1"/>
  <c r="E859" i="1"/>
  <c r="D859" i="1"/>
  <c r="C859" i="1"/>
  <c r="K858" i="1"/>
  <c r="J858" i="1"/>
  <c r="I858" i="1"/>
  <c r="H858" i="1"/>
  <c r="G858" i="1"/>
  <c r="F858" i="1"/>
  <c r="E858" i="1"/>
  <c r="D858" i="1"/>
  <c r="C858" i="1"/>
  <c r="K857" i="1"/>
  <c r="J857" i="1"/>
  <c r="I857" i="1"/>
  <c r="H857" i="1"/>
  <c r="G857" i="1"/>
  <c r="F857" i="1"/>
  <c r="E857" i="1"/>
  <c r="D857" i="1"/>
  <c r="C857" i="1"/>
  <c r="K856" i="1"/>
  <c r="J856" i="1"/>
  <c r="I856" i="1"/>
  <c r="H856" i="1"/>
  <c r="G856" i="1"/>
  <c r="F856" i="1"/>
  <c r="E856" i="1"/>
  <c r="D856" i="1"/>
  <c r="C856" i="1"/>
  <c r="K855" i="1"/>
  <c r="J855" i="1"/>
  <c r="I855" i="1"/>
  <c r="H855" i="1"/>
  <c r="G855" i="1"/>
  <c r="F855" i="1"/>
  <c r="E855" i="1"/>
  <c r="D855" i="1"/>
  <c r="C855" i="1"/>
  <c r="K854" i="1"/>
  <c r="J854" i="1"/>
  <c r="I854" i="1"/>
  <c r="H854" i="1"/>
  <c r="G854" i="1"/>
  <c r="F854" i="1"/>
  <c r="E854" i="1"/>
  <c r="D854" i="1"/>
  <c r="C854" i="1"/>
  <c r="K853" i="1"/>
  <c r="J853" i="1"/>
  <c r="I853" i="1"/>
  <c r="H853" i="1"/>
  <c r="G853" i="1"/>
  <c r="F853" i="1"/>
  <c r="E853" i="1"/>
  <c r="D853" i="1"/>
  <c r="C853" i="1"/>
  <c r="K852" i="1"/>
  <c r="J852" i="1"/>
  <c r="I852" i="1"/>
  <c r="H852" i="1"/>
  <c r="G852" i="1"/>
  <c r="F852" i="1"/>
  <c r="E852" i="1"/>
  <c r="D852" i="1"/>
  <c r="C852" i="1"/>
  <c r="K851" i="1"/>
  <c r="J851" i="1"/>
  <c r="I851" i="1"/>
  <c r="H851" i="1"/>
  <c r="G851" i="1"/>
  <c r="F851" i="1"/>
  <c r="E851" i="1"/>
  <c r="D851" i="1"/>
  <c r="C851" i="1"/>
  <c r="K850" i="1"/>
  <c r="J850" i="1"/>
  <c r="I850" i="1"/>
  <c r="H850" i="1"/>
  <c r="G850" i="1"/>
  <c r="F850" i="1"/>
  <c r="E850" i="1"/>
  <c r="D850" i="1"/>
  <c r="C850" i="1"/>
  <c r="K849" i="1"/>
  <c r="J849" i="1"/>
  <c r="I849" i="1"/>
  <c r="H849" i="1"/>
  <c r="G849" i="1"/>
  <c r="F849" i="1"/>
  <c r="E849" i="1"/>
  <c r="D849" i="1"/>
  <c r="C849" i="1"/>
  <c r="K848" i="1"/>
  <c r="J848" i="1"/>
  <c r="I848" i="1"/>
  <c r="H848" i="1"/>
  <c r="G848" i="1"/>
  <c r="F848" i="1"/>
  <c r="E848" i="1"/>
  <c r="D848" i="1"/>
  <c r="C848" i="1"/>
  <c r="K847" i="1"/>
  <c r="J847" i="1"/>
  <c r="I847" i="1"/>
  <c r="H847" i="1"/>
  <c r="G847" i="1"/>
  <c r="F847" i="1"/>
  <c r="E847" i="1"/>
  <c r="D847" i="1"/>
  <c r="C847" i="1"/>
  <c r="K846" i="1"/>
  <c r="J846" i="1"/>
  <c r="I846" i="1"/>
  <c r="H846" i="1"/>
  <c r="G846" i="1"/>
  <c r="F846" i="1"/>
  <c r="E846" i="1"/>
  <c r="D846" i="1"/>
  <c r="C846" i="1"/>
  <c r="K845" i="1"/>
  <c r="J845" i="1"/>
  <c r="I845" i="1"/>
  <c r="H845" i="1"/>
  <c r="M845" i="1" s="1"/>
  <c r="G845" i="1"/>
  <c r="F845" i="1"/>
  <c r="E845" i="1"/>
  <c r="D845" i="1"/>
  <c r="C845" i="1"/>
  <c r="K844" i="1"/>
  <c r="J844" i="1"/>
  <c r="I844" i="1"/>
  <c r="H844" i="1"/>
  <c r="G844" i="1"/>
  <c r="F844" i="1"/>
  <c r="E844" i="1"/>
  <c r="D844" i="1"/>
  <c r="C844" i="1"/>
  <c r="K843" i="1"/>
  <c r="J843" i="1"/>
  <c r="I843" i="1"/>
  <c r="H843" i="1"/>
  <c r="G843" i="1"/>
  <c r="F843" i="1"/>
  <c r="E843" i="1"/>
  <c r="D843" i="1"/>
  <c r="C843" i="1"/>
  <c r="K842" i="1"/>
  <c r="J842" i="1"/>
  <c r="I842" i="1"/>
  <c r="H842" i="1"/>
  <c r="G842" i="1"/>
  <c r="F842" i="1"/>
  <c r="E842" i="1"/>
  <c r="D842" i="1"/>
  <c r="C842" i="1"/>
  <c r="K841" i="1"/>
  <c r="J841" i="1"/>
  <c r="I841" i="1"/>
  <c r="H841" i="1"/>
  <c r="G841" i="1"/>
  <c r="F841" i="1"/>
  <c r="E841" i="1"/>
  <c r="D841" i="1"/>
  <c r="C841" i="1"/>
  <c r="K840" i="1"/>
  <c r="J840" i="1"/>
  <c r="I840" i="1"/>
  <c r="H840" i="1"/>
  <c r="G840" i="1"/>
  <c r="F840" i="1"/>
  <c r="E840" i="1"/>
  <c r="D840" i="1"/>
  <c r="C840" i="1"/>
  <c r="K839" i="1"/>
  <c r="J839" i="1"/>
  <c r="I839" i="1"/>
  <c r="H839" i="1"/>
  <c r="G839" i="1"/>
  <c r="F839" i="1"/>
  <c r="E839" i="1"/>
  <c r="D839" i="1"/>
  <c r="C839" i="1"/>
  <c r="K838" i="1"/>
  <c r="J838" i="1"/>
  <c r="I838" i="1"/>
  <c r="H838" i="1"/>
  <c r="G838" i="1"/>
  <c r="F838" i="1"/>
  <c r="E838" i="1"/>
  <c r="D838" i="1"/>
  <c r="C838" i="1"/>
  <c r="K837" i="1"/>
  <c r="J837" i="1"/>
  <c r="I837" i="1"/>
  <c r="H837" i="1"/>
  <c r="G837" i="1"/>
  <c r="F837" i="1"/>
  <c r="E837" i="1"/>
  <c r="D837" i="1"/>
  <c r="C837" i="1"/>
  <c r="K836" i="1"/>
  <c r="J836" i="1"/>
  <c r="I836" i="1"/>
  <c r="H836" i="1"/>
  <c r="G836" i="1"/>
  <c r="F836" i="1"/>
  <c r="E836" i="1"/>
  <c r="D836" i="1"/>
  <c r="C836" i="1"/>
  <c r="K835" i="1"/>
  <c r="J835" i="1"/>
  <c r="I835" i="1"/>
  <c r="H835" i="1"/>
  <c r="G835" i="1"/>
  <c r="F835" i="1"/>
  <c r="E835" i="1"/>
  <c r="D835" i="1"/>
  <c r="C835" i="1"/>
  <c r="K834" i="1"/>
  <c r="J834" i="1"/>
  <c r="I834" i="1"/>
  <c r="H834" i="1"/>
  <c r="G834" i="1"/>
  <c r="F834" i="1"/>
  <c r="E834" i="1"/>
  <c r="D834" i="1"/>
  <c r="C834" i="1"/>
  <c r="K833" i="1"/>
  <c r="J833" i="1"/>
  <c r="I833" i="1"/>
  <c r="H833" i="1"/>
  <c r="G833" i="1"/>
  <c r="F833" i="1"/>
  <c r="E833" i="1"/>
  <c r="D833" i="1"/>
  <c r="C833" i="1"/>
  <c r="K832" i="1"/>
  <c r="J832" i="1"/>
  <c r="I832" i="1"/>
  <c r="H832" i="1"/>
  <c r="G832" i="1"/>
  <c r="F832" i="1"/>
  <c r="E832" i="1"/>
  <c r="D832" i="1"/>
  <c r="C832" i="1"/>
  <c r="K831" i="1"/>
  <c r="J831" i="1"/>
  <c r="I831" i="1"/>
  <c r="H831" i="1"/>
  <c r="G831" i="1"/>
  <c r="F831" i="1"/>
  <c r="E831" i="1"/>
  <c r="D831" i="1"/>
  <c r="C831" i="1"/>
  <c r="K830" i="1"/>
  <c r="J830" i="1"/>
  <c r="I830" i="1"/>
  <c r="H830" i="1"/>
  <c r="G830" i="1"/>
  <c r="F830" i="1"/>
  <c r="E830" i="1"/>
  <c r="D830" i="1"/>
  <c r="C830" i="1"/>
  <c r="K829" i="1"/>
  <c r="J829" i="1"/>
  <c r="I829" i="1"/>
  <c r="H829" i="1"/>
  <c r="G829" i="1"/>
  <c r="F829" i="1"/>
  <c r="E829" i="1"/>
  <c r="D829" i="1"/>
  <c r="C829" i="1"/>
  <c r="K828" i="1"/>
  <c r="J828" i="1"/>
  <c r="I828" i="1"/>
  <c r="H828" i="1"/>
  <c r="G828" i="1"/>
  <c r="F828" i="1"/>
  <c r="M828" i="1" s="1"/>
  <c r="E828" i="1"/>
  <c r="D828" i="1"/>
  <c r="C828" i="1"/>
  <c r="K827" i="1"/>
  <c r="J827" i="1"/>
  <c r="I827" i="1"/>
  <c r="H827" i="1"/>
  <c r="G827" i="1"/>
  <c r="F827" i="1"/>
  <c r="E827" i="1"/>
  <c r="D827" i="1"/>
  <c r="C827" i="1"/>
  <c r="K826" i="1"/>
  <c r="J826" i="1"/>
  <c r="I826" i="1"/>
  <c r="H826" i="1"/>
  <c r="G826" i="1"/>
  <c r="F826" i="1"/>
  <c r="E826" i="1"/>
  <c r="D826" i="1"/>
  <c r="C826" i="1"/>
  <c r="K825" i="1"/>
  <c r="J825" i="1"/>
  <c r="I825" i="1"/>
  <c r="H825" i="1"/>
  <c r="G825" i="1"/>
  <c r="F825" i="1"/>
  <c r="E825" i="1"/>
  <c r="D825" i="1"/>
  <c r="C825" i="1"/>
  <c r="K824" i="1"/>
  <c r="J824" i="1"/>
  <c r="I824" i="1"/>
  <c r="H824" i="1"/>
  <c r="G824" i="1"/>
  <c r="F824" i="1"/>
  <c r="E824" i="1"/>
  <c r="D824" i="1"/>
  <c r="C824" i="1"/>
  <c r="K823" i="1"/>
  <c r="J823" i="1"/>
  <c r="I823" i="1"/>
  <c r="H823" i="1"/>
  <c r="G823" i="1"/>
  <c r="F823" i="1"/>
  <c r="E823" i="1"/>
  <c r="D823" i="1"/>
  <c r="C823" i="1"/>
  <c r="K822" i="1"/>
  <c r="J822" i="1"/>
  <c r="I822" i="1"/>
  <c r="H822" i="1"/>
  <c r="G822" i="1"/>
  <c r="F822" i="1"/>
  <c r="E822" i="1"/>
  <c r="D822" i="1"/>
  <c r="C822" i="1"/>
  <c r="K821" i="1"/>
  <c r="J821" i="1"/>
  <c r="I821" i="1"/>
  <c r="H821" i="1"/>
  <c r="G821" i="1"/>
  <c r="F821" i="1"/>
  <c r="E821" i="1"/>
  <c r="D821" i="1"/>
  <c r="C821" i="1"/>
  <c r="K820" i="1"/>
  <c r="J820" i="1"/>
  <c r="I820" i="1"/>
  <c r="H820" i="1"/>
  <c r="G820" i="1"/>
  <c r="F820" i="1"/>
  <c r="E820" i="1"/>
  <c r="D820" i="1"/>
  <c r="C820" i="1"/>
  <c r="K819" i="1"/>
  <c r="J819" i="1"/>
  <c r="I819" i="1"/>
  <c r="H819" i="1"/>
  <c r="G819" i="1"/>
  <c r="F819" i="1"/>
  <c r="E819" i="1"/>
  <c r="D819" i="1"/>
  <c r="C819" i="1"/>
  <c r="K818" i="1"/>
  <c r="J818" i="1"/>
  <c r="I818" i="1"/>
  <c r="H818" i="1"/>
  <c r="G818" i="1"/>
  <c r="F818" i="1"/>
  <c r="E818" i="1"/>
  <c r="D818" i="1"/>
  <c r="C818" i="1"/>
  <c r="K817" i="1"/>
  <c r="J817" i="1"/>
  <c r="I817" i="1"/>
  <c r="H817" i="1"/>
  <c r="G817" i="1"/>
  <c r="F817" i="1"/>
  <c r="E817" i="1"/>
  <c r="D817" i="1"/>
  <c r="C817" i="1"/>
  <c r="K816" i="1"/>
  <c r="J816" i="1"/>
  <c r="I816" i="1"/>
  <c r="H816" i="1"/>
  <c r="G816" i="1"/>
  <c r="F816" i="1"/>
  <c r="E816" i="1"/>
  <c r="D816" i="1"/>
  <c r="C816" i="1"/>
  <c r="K815" i="1"/>
  <c r="J815" i="1"/>
  <c r="I815" i="1"/>
  <c r="H815" i="1"/>
  <c r="G815" i="1"/>
  <c r="F815" i="1"/>
  <c r="E815" i="1"/>
  <c r="D815" i="1"/>
  <c r="C815" i="1"/>
  <c r="K814" i="1"/>
  <c r="J814" i="1"/>
  <c r="I814" i="1"/>
  <c r="H814" i="1"/>
  <c r="G814" i="1"/>
  <c r="F814" i="1"/>
  <c r="E814" i="1"/>
  <c r="D814" i="1"/>
  <c r="C814" i="1"/>
  <c r="K813" i="1"/>
  <c r="J813" i="1"/>
  <c r="I813" i="1"/>
  <c r="H813" i="1"/>
  <c r="M813" i="1" s="1"/>
  <c r="G813" i="1"/>
  <c r="F813" i="1"/>
  <c r="E813" i="1"/>
  <c r="D813" i="1"/>
  <c r="C813" i="1"/>
  <c r="K812" i="1"/>
  <c r="J812" i="1"/>
  <c r="I812" i="1"/>
  <c r="H812" i="1"/>
  <c r="G812" i="1"/>
  <c r="F812" i="1"/>
  <c r="E812" i="1"/>
  <c r="D812" i="1"/>
  <c r="C812" i="1"/>
  <c r="K811" i="1"/>
  <c r="J811" i="1"/>
  <c r="I811" i="1"/>
  <c r="H811" i="1"/>
  <c r="G811" i="1"/>
  <c r="F811" i="1"/>
  <c r="E811" i="1"/>
  <c r="D811" i="1"/>
  <c r="C811" i="1"/>
  <c r="K810" i="1"/>
  <c r="J810" i="1"/>
  <c r="I810" i="1"/>
  <c r="H810" i="1"/>
  <c r="G810" i="1"/>
  <c r="F810" i="1"/>
  <c r="E810" i="1"/>
  <c r="D810" i="1"/>
  <c r="C810" i="1"/>
  <c r="K809" i="1"/>
  <c r="J809" i="1"/>
  <c r="I809" i="1"/>
  <c r="H809" i="1"/>
  <c r="G809" i="1"/>
  <c r="F809" i="1"/>
  <c r="E809" i="1"/>
  <c r="D809" i="1"/>
  <c r="C809" i="1"/>
  <c r="K808" i="1"/>
  <c r="J808" i="1"/>
  <c r="I808" i="1"/>
  <c r="H808" i="1"/>
  <c r="G808" i="1"/>
  <c r="F808" i="1"/>
  <c r="E808" i="1"/>
  <c r="D808" i="1"/>
  <c r="C808" i="1"/>
  <c r="K807" i="1"/>
  <c r="J807" i="1"/>
  <c r="I807" i="1"/>
  <c r="H807" i="1"/>
  <c r="G807" i="1"/>
  <c r="F807" i="1"/>
  <c r="E807" i="1"/>
  <c r="D807" i="1"/>
  <c r="C807" i="1"/>
  <c r="K806" i="1"/>
  <c r="J806" i="1"/>
  <c r="I806" i="1"/>
  <c r="H806" i="1"/>
  <c r="G806" i="1"/>
  <c r="F806" i="1"/>
  <c r="E806" i="1"/>
  <c r="D806" i="1"/>
  <c r="C806" i="1"/>
  <c r="K805" i="1"/>
  <c r="J805" i="1"/>
  <c r="I805" i="1"/>
  <c r="H805" i="1"/>
  <c r="G805" i="1"/>
  <c r="F805" i="1"/>
  <c r="E805" i="1"/>
  <c r="D805" i="1"/>
  <c r="C805" i="1"/>
  <c r="K804" i="1"/>
  <c r="J804" i="1"/>
  <c r="I804" i="1"/>
  <c r="H804" i="1"/>
  <c r="G804" i="1"/>
  <c r="F804" i="1"/>
  <c r="M804" i="1" s="1"/>
  <c r="E804" i="1"/>
  <c r="D804" i="1"/>
  <c r="C804" i="1"/>
  <c r="K803" i="1"/>
  <c r="J803" i="1"/>
  <c r="I803" i="1"/>
  <c r="H803" i="1"/>
  <c r="G803" i="1"/>
  <c r="F803" i="1"/>
  <c r="E803" i="1"/>
  <c r="D803" i="1"/>
  <c r="C803" i="1"/>
  <c r="K802" i="1"/>
  <c r="J802" i="1"/>
  <c r="I802" i="1"/>
  <c r="H802" i="1"/>
  <c r="G802" i="1"/>
  <c r="F802" i="1"/>
  <c r="E802" i="1"/>
  <c r="D802" i="1"/>
  <c r="C802" i="1"/>
  <c r="K801" i="1"/>
  <c r="J801" i="1"/>
  <c r="I801" i="1"/>
  <c r="H801" i="1"/>
  <c r="G801" i="1"/>
  <c r="F801" i="1"/>
  <c r="E801" i="1"/>
  <c r="D801" i="1"/>
  <c r="C801" i="1"/>
  <c r="K800" i="1"/>
  <c r="J800" i="1"/>
  <c r="I800" i="1"/>
  <c r="H800" i="1"/>
  <c r="G800" i="1"/>
  <c r="F800" i="1"/>
  <c r="E800" i="1"/>
  <c r="D800" i="1"/>
  <c r="C800" i="1"/>
  <c r="K799" i="1"/>
  <c r="J799" i="1"/>
  <c r="I799" i="1"/>
  <c r="H799" i="1"/>
  <c r="G799" i="1"/>
  <c r="F799" i="1"/>
  <c r="E799" i="1"/>
  <c r="D799" i="1"/>
  <c r="C799" i="1"/>
  <c r="K798" i="1"/>
  <c r="M798" i="1" s="1"/>
  <c r="J798" i="1"/>
  <c r="I798" i="1"/>
  <c r="H798" i="1"/>
  <c r="G798" i="1"/>
  <c r="F798" i="1"/>
  <c r="E798" i="1"/>
  <c r="D798" i="1"/>
  <c r="C798" i="1"/>
  <c r="K797" i="1"/>
  <c r="J797" i="1"/>
  <c r="I797" i="1"/>
  <c r="H797" i="1"/>
  <c r="G797" i="1"/>
  <c r="F797" i="1"/>
  <c r="E797" i="1"/>
  <c r="D797" i="1"/>
  <c r="C797" i="1"/>
  <c r="K796" i="1"/>
  <c r="J796" i="1"/>
  <c r="I796" i="1"/>
  <c r="H796" i="1"/>
  <c r="G796" i="1"/>
  <c r="F796" i="1"/>
  <c r="E796" i="1"/>
  <c r="D796" i="1"/>
  <c r="C796" i="1"/>
  <c r="K795" i="1"/>
  <c r="J795" i="1"/>
  <c r="I795" i="1"/>
  <c r="H795" i="1"/>
  <c r="G795" i="1"/>
  <c r="F795" i="1"/>
  <c r="E795" i="1"/>
  <c r="D795" i="1"/>
  <c r="C795" i="1"/>
  <c r="K794" i="1"/>
  <c r="J794" i="1"/>
  <c r="I794" i="1"/>
  <c r="H794" i="1"/>
  <c r="G794" i="1"/>
  <c r="F794" i="1"/>
  <c r="E794" i="1"/>
  <c r="D794" i="1"/>
  <c r="C794" i="1"/>
  <c r="K793" i="1"/>
  <c r="J793" i="1"/>
  <c r="I793" i="1"/>
  <c r="H793" i="1"/>
  <c r="G793" i="1"/>
  <c r="F793" i="1"/>
  <c r="E793" i="1"/>
  <c r="D793" i="1"/>
  <c r="C793" i="1"/>
  <c r="K792" i="1"/>
  <c r="J792" i="1"/>
  <c r="I792" i="1"/>
  <c r="H792" i="1"/>
  <c r="G792" i="1"/>
  <c r="F792" i="1"/>
  <c r="E792" i="1"/>
  <c r="D792" i="1"/>
  <c r="C792" i="1"/>
  <c r="K791" i="1"/>
  <c r="J791" i="1"/>
  <c r="I791" i="1"/>
  <c r="H791" i="1"/>
  <c r="G791" i="1"/>
  <c r="F791" i="1"/>
  <c r="E791" i="1"/>
  <c r="D791" i="1"/>
  <c r="C791" i="1"/>
  <c r="K790" i="1"/>
  <c r="J790" i="1"/>
  <c r="I790" i="1"/>
  <c r="H790" i="1"/>
  <c r="G790" i="1"/>
  <c r="F790" i="1"/>
  <c r="E790" i="1"/>
  <c r="D790" i="1"/>
  <c r="C790" i="1"/>
  <c r="K789" i="1"/>
  <c r="J789" i="1"/>
  <c r="I789" i="1"/>
  <c r="H789" i="1"/>
  <c r="G789" i="1"/>
  <c r="F789" i="1"/>
  <c r="E789" i="1"/>
  <c r="D789" i="1"/>
  <c r="C789" i="1"/>
  <c r="K788" i="1"/>
  <c r="J788" i="1"/>
  <c r="I788" i="1"/>
  <c r="H788" i="1"/>
  <c r="G788" i="1"/>
  <c r="F788" i="1"/>
  <c r="E788" i="1"/>
  <c r="D788" i="1"/>
  <c r="C788" i="1"/>
  <c r="K787" i="1"/>
  <c r="J787" i="1"/>
  <c r="I787" i="1"/>
  <c r="H787" i="1"/>
  <c r="G787" i="1"/>
  <c r="F787" i="1"/>
  <c r="E787" i="1"/>
  <c r="D787" i="1"/>
  <c r="C787" i="1"/>
  <c r="K786" i="1"/>
  <c r="J786" i="1"/>
  <c r="I786" i="1"/>
  <c r="H786" i="1"/>
  <c r="G786" i="1"/>
  <c r="F786" i="1"/>
  <c r="E786" i="1"/>
  <c r="D786" i="1"/>
  <c r="C786" i="1"/>
  <c r="K785" i="1"/>
  <c r="J785" i="1"/>
  <c r="I785" i="1"/>
  <c r="H785" i="1"/>
  <c r="G785" i="1"/>
  <c r="F785" i="1"/>
  <c r="E785" i="1"/>
  <c r="D785" i="1"/>
  <c r="C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M1020" i="1" s="1"/>
  <c r="L705" i="1"/>
  <c r="L1020" i="1" s="1"/>
  <c r="M704" i="1"/>
  <c r="M1019" i="1" s="1"/>
  <c r="L704" i="1"/>
  <c r="L1019" i="1" s="1"/>
  <c r="M703" i="1"/>
  <c r="M1018" i="1" s="1"/>
  <c r="L703" i="1"/>
  <c r="L1018" i="1" s="1"/>
  <c r="M702" i="1"/>
  <c r="M1017" i="1" s="1"/>
  <c r="L702" i="1"/>
  <c r="L1017" i="1" s="1"/>
  <c r="M701" i="1"/>
  <c r="M1016" i="1" s="1"/>
  <c r="L701" i="1"/>
  <c r="L1016" i="1" s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L842" i="1" l="1"/>
  <c r="M848" i="1"/>
  <c r="L874" i="1"/>
  <c r="L875" i="1"/>
  <c r="M880" i="1"/>
  <c r="M1117" i="1" s="1"/>
  <c r="M923" i="1"/>
  <c r="M808" i="1"/>
  <c r="M1287" i="1" s="1"/>
  <c r="M816" i="1"/>
  <c r="M1053" i="1" s="1"/>
  <c r="M840" i="1"/>
  <c r="M872" i="1"/>
  <c r="M868" i="1"/>
  <c r="M900" i="1"/>
  <c r="L907" i="1"/>
  <c r="L1144" i="1" s="1"/>
  <c r="L908" i="1"/>
  <c r="L1145" i="1" s="1"/>
  <c r="M913" i="1"/>
  <c r="M921" i="1"/>
  <c r="M1158" i="1" s="1"/>
  <c r="L923" i="1"/>
  <c r="M924" i="1"/>
  <c r="L810" i="1"/>
  <c r="M800" i="1"/>
  <c r="M1037" i="1" s="1"/>
  <c r="M802" i="1"/>
  <c r="M1039" i="1" s="1"/>
  <c r="L805" i="1"/>
  <c r="L1042" i="1" s="1"/>
  <c r="M832" i="1"/>
  <c r="M1069" i="1" s="1"/>
  <c r="M834" i="1"/>
  <c r="M1071" i="1" s="1"/>
  <c r="M837" i="1"/>
  <c r="M864" i="1"/>
  <c r="M866" i="1"/>
  <c r="L869" i="1"/>
  <c r="M896" i="1"/>
  <c r="L901" i="1"/>
  <c r="L1138" i="1" s="1"/>
  <c r="M906" i="1"/>
  <c r="M1143" i="1" s="1"/>
  <c r="L830" i="1"/>
  <c r="L1067" i="1" s="1"/>
  <c r="M862" i="1"/>
  <c r="M1099" i="1" s="1"/>
  <c r="M894" i="1"/>
  <c r="M789" i="1"/>
  <c r="L791" i="1"/>
  <c r="M853" i="1"/>
  <c r="M856" i="1"/>
  <c r="M1335" i="1" s="1"/>
  <c r="M861" i="1"/>
  <c r="M1098" i="1" s="1"/>
  <c r="M885" i="1"/>
  <c r="M1122" i="1" s="1"/>
  <c r="M888" i="1"/>
  <c r="M893" i="1"/>
  <c r="M940" i="1"/>
  <c r="M1177" i="1" s="1"/>
  <c r="M792" i="1"/>
  <c r="M1271" i="1" s="1"/>
  <c r="M797" i="1"/>
  <c r="M1276" i="1" s="1"/>
  <c r="M821" i="1"/>
  <c r="L823" i="1"/>
  <c r="L1060" i="1" s="1"/>
  <c r="M824" i="1"/>
  <c r="M1061" i="1" s="1"/>
  <c r="M829" i="1"/>
  <c r="M785" i="1"/>
  <c r="M817" i="1"/>
  <c r="M849" i="1"/>
  <c r="M1086" i="1" s="1"/>
  <c r="M881" i="1"/>
  <c r="L812" i="1"/>
  <c r="L1049" i="1" s="1"/>
  <c r="L844" i="1"/>
  <c r="L856" i="1"/>
  <c r="L863" i="1"/>
  <c r="L1100" i="1" s="1"/>
  <c r="M869" i="1"/>
  <c r="M876" i="1"/>
  <c r="M879" i="1"/>
  <c r="M1355" i="1" s="1"/>
  <c r="L888" i="1"/>
  <c r="L1125" i="1" s="1"/>
  <c r="M895" i="1"/>
  <c r="M1132" i="1" s="1"/>
  <c r="L939" i="1"/>
  <c r="L1176" i="1" s="1"/>
  <c r="M939" i="1"/>
  <c r="M1176" i="1" s="1"/>
  <c r="L811" i="1"/>
  <c r="M805" i="1"/>
  <c r="M815" i="1"/>
  <c r="M793" i="1"/>
  <c r="M1030" i="1" s="1"/>
  <c r="M806" i="1"/>
  <c r="M810" i="1"/>
  <c r="M1047" i="1" s="1"/>
  <c r="L813" i="1"/>
  <c r="L1050" i="1" s="1"/>
  <c r="L818" i="1"/>
  <c r="L1297" i="1" s="1"/>
  <c r="L819" i="1"/>
  <c r="M825" i="1"/>
  <c r="L831" i="1"/>
  <c r="M836" i="1"/>
  <c r="M1073" i="1" s="1"/>
  <c r="L838" i="1"/>
  <c r="L1075" i="1" s="1"/>
  <c r="M842" i="1"/>
  <c r="L845" i="1"/>
  <c r="L1082" i="1" s="1"/>
  <c r="L850" i="1"/>
  <c r="L1087" i="1" s="1"/>
  <c r="L851" i="1"/>
  <c r="M857" i="1"/>
  <c r="M870" i="1"/>
  <c r="M874" i="1"/>
  <c r="M1111" i="1" s="1"/>
  <c r="L876" i="1"/>
  <c r="L1113" i="1" s="1"/>
  <c r="L877" i="1"/>
  <c r="L1114" i="1" s="1"/>
  <c r="L882" i="1"/>
  <c r="L1119" i="1" s="1"/>
  <c r="M883" i="1"/>
  <c r="M1361" i="1" s="1"/>
  <c r="M889" i="1"/>
  <c r="M1126" i="1" s="1"/>
  <c r="L895" i="1"/>
  <c r="L896" i="1"/>
  <c r="L1133" i="1" s="1"/>
  <c r="M903" i="1"/>
  <c r="L909" i="1"/>
  <c r="L917" i="1"/>
  <c r="L1154" i="1" s="1"/>
  <c r="L918" i="1"/>
  <c r="L940" i="1"/>
  <c r="L1177" i="1" s="1"/>
  <c r="L792" i="1"/>
  <c r="L820" i="1"/>
  <c r="M823" i="1"/>
  <c r="L832" i="1"/>
  <c r="M852" i="1"/>
  <c r="M1331" i="1" s="1"/>
  <c r="M855" i="1"/>
  <c r="M1092" i="1" s="1"/>
  <c r="L864" i="1"/>
  <c r="L1101" i="1" s="1"/>
  <c r="L871" i="1"/>
  <c r="L1108" i="1" s="1"/>
  <c r="M884" i="1"/>
  <c r="M1121" i="1" s="1"/>
  <c r="M887" i="1"/>
  <c r="M919" i="1"/>
  <c r="L925" i="1"/>
  <c r="L1162" i="1" s="1"/>
  <c r="L933" i="1"/>
  <c r="L1170" i="1" s="1"/>
  <c r="L934" i="1"/>
  <c r="L1171" i="1" s="1"/>
  <c r="L837" i="1"/>
  <c r="L843" i="1"/>
  <c r="L1080" i="1" s="1"/>
  <c r="L824" i="1"/>
  <c r="L787" i="1"/>
  <c r="L799" i="1"/>
  <c r="L1036" i="1" s="1"/>
  <c r="L800" i="1"/>
  <c r="M786" i="1"/>
  <c r="M1023" i="1" s="1"/>
  <c r="L789" i="1"/>
  <c r="L1026" i="1" s="1"/>
  <c r="L794" i="1"/>
  <c r="L1031" i="1" s="1"/>
  <c r="M795" i="1"/>
  <c r="M1032" i="1" s="1"/>
  <c r="M801" i="1"/>
  <c r="L807" i="1"/>
  <c r="M812" i="1"/>
  <c r="L814" i="1"/>
  <c r="M818" i="1"/>
  <c r="L821" i="1"/>
  <c r="L1058" i="1" s="1"/>
  <c r="L826" i="1"/>
  <c r="L1063" i="1" s="1"/>
  <c r="L827" i="1"/>
  <c r="L1064" i="1" s="1"/>
  <c r="M833" i="1"/>
  <c r="L839" i="1"/>
  <c r="L1076" i="1" s="1"/>
  <c r="M844" i="1"/>
  <c r="M846" i="1"/>
  <c r="M850" i="1"/>
  <c r="M1087" i="1" s="1"/>
  <c r="L853" i="1"/>
  <c r="L858" i="1"/>
  <c r="L1095" i="1" s="1"/>
  <c r="L859" i="1"/>
  <c r="L1096" i="1" s="1"/>
  <c r="M865" i="1"/>
  <c r="M878" i="1"/>
  <c r="M1115" i="1" s="1"/>
  <c r="M882" i="1"/>
  <c r="L884" i="1"/>
  <c r="L885" i="1"/>
  <c r="L1122" i="1" s="1"/>
  <c r="L890" i="1"/>
  <c r="M891" i="1"/>
  <c r="M1128" i="1" s="1"/>
  <c r="M902" i="1"/>
  <c r="M1139" i="1" s="1"/>
  <c r="L911" i="1"/>
  <c r="M916" i="1"/>
  <c r="L919" i="1"/>
  <c r="L786" i="1"/>
  <c r="L1023" i="1" s="1"/>
  <c r="M796" i="1"/>
  <c r="M799" i="1"/>
  <c r="M1277" i="1" s="1"/>
  <c r="L808" i="1"/>
  <c r="L1287" i="1" s="1"/>
  <c r="L828" i="1"/>
  <c r="L1065" i="1" s="1"/>
  <c r="M831" i="1"/>
  <c r="L840" i="1"/>
  <c r="M860" i="1"/>
  <c r="M1097" i="1" s="1"/>
  <c r="M863" i="1"/>
  <c r="M1100" i="1" s="1"/>
  <c r="L872" i="1"/>
  <c r="L1109" i="1" s="1"/>
  <c r="L879" i="1"/>
  <c r="M892" i="1"/>
  <c r="M1371" i="1" s="1"/>
  <c r="L897" i="1"/>
  <c r="M898" i="1"/>
  <c r="L905" i="1"/>
  <c r="L927" i="1"/>
  <c r="M932" i="1"/>
  <c r="M1169" i="1" s="1"/>
  <c r="L935" i="1"/>
  <c r="L1172" i="1" s="1"/>
  <c r="L941" i="1"/>
  <c r="L1178" i="1" s="1"/>
  <c r="M942" i="1"/>
  <c r="M1179" i="1" s="1"/>
  <c r="M847" i="1"/>
  <c r="M1084" i="1" s="1"/>
  <c r="M788" i="1"/>
  <c r="M791" i="1"/>
  <c r="M790" i="1"/>
  <c r="M794" i="1"/>
  <c r="L797" i="1"/>
  <c r="L1034" i="1" s="1"/>
  <c r="L802" i="1"/>
  <c r="M803" i="1"/>
  <c r="M1040" i="1" s="1"/>
  <c r="M809" i="1"/>
  <c r="M1046" i="1" s="1"/>
  <c r="L815" i="1"/>
  <c r="M820" i="1"/>
  <c r="L822" i="1"/>
  <c r="M826" i="1"/>
  <c r="M1063" i="1" s="1"/>
  <c r="L829" i="1"/>
  <c r="L834" i="1"/>
  <c r="L1313" i="1" s="1"/>
  <c r="L835" i="1"/>
  <c r="L1072" i="1" s="1"/>
  <c r="M841" i="1"/>
  <c r="M1078" i="1" s="1"/>
  <c r="L847" i="1"/>
  <c r="M854" i="1"/>
  <c r="M858" i="1"/>
  <c r="L861" i="1"/>
  <c r="L1098" i="1" s="1"/>
  <c r="L866" i="1"/>
  <c r="L1103" i="1" s="1"/>
  <c r="L867" i="1"/>
  <c r="L1104" i="1" s="1"/>
  <c r="M873" i="1"/>
  <c r="M1110" i="1" s="1"/>
  <c r="M886" i="1"/>
  <c r="M1123" i="1" s="1"/>
  <c r="M890" i="1"/>
  <c r="L892" i="1"/>
  <c r="L893" i="1"/>
  <c r="L1130" i="1" s="1"/>
  <c r="M910" i="1"/>
  <c r="M1147" i="1" s="1"/>
  <c r="L913" i="1"/>
  <c r="L1150" i="1" s="1"/>
  <c r="M918" i="1"/>
  <c r="L924" i="1"/>
  <c r="L804" i="1"/>
  <c r="L1041" i="1" s="1"/>
  <c r="M807" i="1"/>
  <c r="L816" i="1"/>
  <c r="L836" i="1"/>
  <c r="M839" i="1"/>
  <c r="M1076" i="1" s="1"/>
  <c r="L848" i="1"/>
  <c r="L1085" i="1" s="1"/>
  <c r="L855" i="1"/>
  <c r="L1092" i="1" s="1"/>
  <c r="M871" i="1"/>
  <c r="M1347" i="1" s="1"/>
  <c r="L880" i="1"/>
  <c r="L1117" i="1" s="1"/>
  <c r="L887" i="1"/>
  <c r="M897" i="1"/>
  <c r="M1134" i="1" s="1"/>
  <c r="L899" i="1"/>
  <c r="L1136" i="1" s="1"/>
  <c r="M926" i="1"/>
  <c r="M927" i="1"/>
  <c r="L929" i="1"/>
  <c r="L1166" i="1" s="1"/>
  <c r="M934" i="1"/>
  <c r="M1171" i="1" s="1"/>
  <c r="M935" i="1"/>
  <c r="M1172" i="1" s="1"/>
  <c r="M1022" i="1"/>
  <c r="L1048" i="1"/>
  <c r="M1054" i="1"/>
  <c r="M1065" i="1"/>
  <c r="L1024" i="1"/>
  <c r="M1041" i="1"/>
  <c r="L1056" i="1"/>
  <c r="M1062" i="1"/>
  <c r="L1068" i="1"/>
  <c r="M1079" i="1"/>
  <c r="L1088" i="1"/>
  <c r="M1094" i="1"/>
  <c r="M1107" i="1"/>
  <c r="M1368" i="1"/>
  <c r="L1132" i="1"/>
  <c r="L1047" i="1"/>
  <c r="L1074" i="1"/>
  <c r="L1079" i="1"/>
  <c r="M1103" i="1"/>
  <c r="L1106" i="1"/>
  <c r="L1111" i="1"/>
  <c r="L1112" i="1"/>
  <c r="M1118" i="1"/>
  <c r="M1131" i="1"/>
  <c r="L1029" i="1"/>
  <c r="M1052" i="1"/>
  <c r="L1061" i="1"/>
  <c r="L1081" i="1"/>
  <c r="L1093" i="1"/>
  <c r="M1113" i="1"/>
  <c r="M1025" i="1"/>
  <c r="M1028" i="1"/>
  <c r="L1037" i="1"/>
  <c r="L1057" i="1"/>
  <c r="M1060" i="1"/>
  <c r="M1366" i="1"/>
  <c r="M1124" i="1"/>
  <c r="M1027" i="1"/>
  <c r="L1039" i="1"/>
  <c r="L1052" i="1"/>
  <c r="M1057" i="1"/>
  <c r="L1084" i="1"/>
  <c r="M1091" i="1"/>
  <c r="M1095" i="1"/>
  <c r="M1127" i="1"/>
  <c r="L1129" i="1"/>
  <c r="L1028" i="1"/>
  <c r="M1035" i="1"/>
  <c r="M1038" i="1"/>
  <c r="L1044" i="1"/>
  <c r="M1049" i="1"/>
  <c r="L1051" i="1"/>
  <c r="M1070" i="1"/>
  <c r="M1081" i="1"/>
  <c r="M1083" i="1"/>
  <c r="L1090" i="1"/>
  <c r="M1102" i="1"/>
  <c r="M1119" i="1"/>
  <c r="L1121" i="1"/>
  <c r="L1127" i="1"/>
  <c r="M1370" i="1"/>
  <c r="L1148" i="1"/>
  <c r="M1153" i="1"/>
  <c r="L1156" i="1"/>
  <c r="M1033" i="1"/>
  <c r="M1036" i="1"/>
  <c r="M1278" i="1"/>
  <c r="L1045" i="1"/>
  <c r="M1068" i="1"/>
  <c r="L1077" i="1"/>
  <c r="L1116" i="1"/>
  <c r="M1129" i="1"/>
  <c r="L1134" i="1"/>
  <c r="M1135" i="1"/>
  <c r="L1142" i="1"/>
  <c r="L1164" i="1"/>
  <c r="M1044" i="1"/>
  <c r="L1053" i="1"/>
  <c r="L1073" i="1"/>
  <c r="M1105" i="1"/>
  <c r="L1124" i="1"/>
  <c r="M1137" i="1"/>
  <c r="L1185" i="1"/>
  <c r="L943" i="1"/>
  <c r="L1205" i="1"/>
  <c r="L963" i="1"/>
  <c r="L1221" i="1"/>
  <c r="L979" i="1"/>
  <c r="L1237" i="1"/>
  <c r="L995" i="1"/>
  <c r="L1253" i="1"/>
  <c r="L1011" i="1"/>
  <c r="M1050" i="1"/>
  <c r="M1074" i="1"/>
  <c r="M912" i="1"/>
  <c r="L912" i="1"/>
  <c r="M1160" i="1"/>
  <c r="L1197" i="1"/>
  <c r="L955" i="1"/>
  <c r="L1257" i="1"/>
  <c r="L1015" i="1"/>
  <c r="M1133" i="1"/>
  <c r="M1140" i="1"/>
  <c r="M1189" i="1"/>
  <c r="M947" i="1"/>
  <c r="M975" i="1"/>
  <c r="M1217" i="1"/>
  <c r="M1237" i="1"/>
  <c r="M995" i="1"/>
  <c r="M1257" i="1"/>
  <c r="M1015" i="1"/>
  <c r="L795" i="1"/>
  <c r="L883" i="1"/>
  <c r="L891" i="1"/>
  <c r="M1163" i="1"/>
  <c r="L806" i="1"/>
  <c r="M819" i="1"/>
  <c r="M827" i="1"/>
  <c r="M1302" i="1" s="1"/>
  <c r="M835" i="1"/>
  <c r="M843" i="1"/>
  <c r="L846" i="1"/>
  <c r="M851" i="1"/>
  <c r="L854" i="1"/>
  <c r="M859" i="1"/>
  <c r="M1096" i="1" s="1"/>
  <c r="L862" i="1"/>
  <c r="L1099" i="1" s="1"/>
  <c r="M867" i="1"/>
  <c r="M1344" i="1" s="1"/>
  <c r="L870" i="1"/>
  <c r="M875" i="1"/>
  <c r="L878" i="1"/>
  <c r="L886" i="1"/>
  <c r="L900" i="1"/>
  <c r="M904" i="1"/>
  <c r="L904" i="1"/>
  <c r="M909" i="1"/>
  <c r="L914" i="1"/>
  <c r="M1156" i="1"/>
  <c r="M1161" i="1"/>
  <c r="L930" i="1"/>
  <c r="M1058" i="1"/>
  <c r="M1090" i="1"/>
  <c r="M1205" i="1"/>
  <c r="M963" i="1"/>
  <c r="M1233" i="1"/>
  <c r="M991" i="1"/>
  <c r="M1253" i="1"/>
  <c r="M1011" i="1"/>
  <c r="M1077" i="1"/>
  <c r="M1109" i="1"/>
  <c r="L1186" i="1"/>
  <c r="L944" i="1"/>
  <c r="L1198" i="1"/>
  <c r="L956" i="1"/>
  <c r="L1214" i="1"/>
  <c r="L972" i="1"/>
  <c r="L1226" i="1"/>
  <c r="L984" i="1"/>
  <c r="L1238" i="1"/>
  <c r="L996" i="1"/>
  <c r="L1250" i="1"/>
  <c r="L1008" i="1"/>
  <c r="L790" i="1"/>
  <c r="L798" i="1"/>
  <c r="M944" i="1"/>
  <c r="M1186" i="1"/>
  <c r="M1190" i="1"/>
  <c r="M948" i="1"/>
  <c r="M1194" i="1"/>
  <c r="M952" i="1"/>
  <c r="M1198" i="1"/>
  <c r="M956" i="1"/>
  <c r="M960" i="1"/>
  <c r="M1202" i="1"/>
  <c r="M1206" i="1"/>
  <c r="M964" i="1"/>
  <c r="M1210" i="1"/>
  <c r="M968" i="1"/>
  <c r="M1214" i="1"/>
  <c r="M972" i="1"/>
  <c r="M976" i="1"/>
  <c r="M1218" i="1"/>
  <c r="M1222" i="1"/>
  <c r="M980" i="1"/>
  <c r="M1226" i="1"/>
  <c r="M984" i="1"/>
  <c r="M1230" i="1"/>
  <c r="M988" i="1"/>
  <c r="M992" i="1"/>
  <c r="M1234" i="1"/>
  <c r="M1238" i="1"/>
  <c r="M996" i="1"/>
  <c r="M1000" i="1"/>
  <c r="M1242" i="1"/>
  <c r="M1246" i="1"/>
  <c r="M1004" i="1"/>
  <c r="M1008" i="1"/>
  <c r="M1250" i="1"/>
  <c r="M1254" i="1"/>
  <c r="M1012" i="1"/>
  <c r="L785" i="1"/>
  <c r="L793" i="1"/>
  <c r="L801" i="1"/>
  <c r="L809" i="1"/>
  <c r="M814" i="1"/>
  <c r="L817" i="1"/>
  <c r="M822" i="1"/>
  <c r="L825" i="1"/>
  <c r="M830" i="1"/>
  <c r="L833" i="1"/>
  <c r="M838" i="1"/>
  <c r="L841" i="1"/>
  <c r="L849" i="1"/>
  <c r="L857" i="1"/>
  <c r="L865" i="1"/>
  <c r="L873" i="1"/>
  <c r="L881" i="1"/>
  <c r="L889" i="1"/>
  <c r="M914" i="1"/>
  <c r="M925" i="1"/>
  <c r="M930" i="1"/>
  <c r="M1408" i="1" s="1"/>
  <c r="M941" i="1"/>
  <c r="M1178" i="1" s="1"/>
  <c r="L1193" i="1"/>
  <c r="L951" i="1"/>
  <c r="L1209" i="1"/>
  <c r="L967" i="1"/>
  <c r="L1225" i="1"/>
  <c r="L983" i="1"/>
  <c r="L1245" i="1"/>
  <c r="L1003" i="1"/>
  <c r="M1197" i="1"/>
  <c r="M955" i="1"/>
  <c r="M1221" i="1"/>
  <c r="M979" i="1"/>
  <c r="M1249" i="1"/>
  <c r="M1007" i="1"/>
  <c r="M1279" i="1"/>
  <c r="L894" i="1"/>
  <c r="L903" i="1"/>
  <c r="M908" i="1"/>
  <c r="L1160" i="1"/>
  <c r="L1161" i="1"/>
  <c r="L1194" i="1"/>
  <c r="L952" i="1"/>
  <c r="L1206" i="1"/>
  <c r="L964" i="1"/>
  <c r="L1222" i="1"/>
  <c r="L980" i="1"/>
  <c r="L1234" i="1"/>
  <c r="L992" i="1"/>
  <c r="L1242" i="1"/>
  <c r="L1000" i="1"/>
  <c r="L1254" i="1"/>
  <c r="L1012" i="1"/>
  <c r="M811" i="1"/>
  <c r="L945" i="1"/>
  <c r="L1187" i="1"/>
  <c r="L949" i="1"/>
  <c r="L1191" i="1"/>
  <c r="L1195" i="1"/>
  <c r="L953" i="1"/>
  <c r="L1199" i="1"/>
  <c r="L957" i="1"/>
  <c r="L961" i="1"/>
  <c r="L1203" i="1"/>
  <c r="L965" i="1"/>
  <c r="L1207" i="1"/>
  <c r="L1211" i="1"/>
  <c r="L969" i="1"/>
  <c r="L1215" i="1"/>
  <c r="L973" i="1"/>
  <c r="L977" i="1"/>
  <c r="L1219" i="1"/>
  <c r="L981" i="1"/>
  <c r="L1223" i="1"/>
  <c r="L1227" i="1"/>
  <c r="L985" i="1"/>
  <c r="L1231" i="1"/>
  <c r="L989" i="1"/>
  <c r="L993" i="1"/>
  <c r="L1235" i="1"/>
  <c r="L1239" i="1"/>
  <c r="L997" i="1"/>
  <c r="L1001" i="1"/>
  <c r="L1243" i="1"/>
  <c r="L1247" i="1"/>
  <c r="L1005" i="1"/>
  <c r="L1009" i="1"/>
  <c r="L1251" i="1"/>
  <c r="L1255" i="1"/>
  <c r="L1013" i="1"/>
  <c r="L788" i="1"/>
  <c r="L796" i="1"/>
  <c r="L852" i="1"/>
  <c r="L860" i="1"/>
  <c r="L1097" i="1" s="1"/>
  <c r="L868" i="1"/>
  <c r="M901" i="1"/>
  <c r="L910" i="1"/>
  <c r="M1150" i="1"/>
  <c r="M915" i="1"/>
  <c r="M920" i="1"/>
  <c r="L920" i="1"/>
  <c r="M1166" i="1"/>
  <c r="M931" i="1"/>
  <c r="M936" i="1"/>
  <c r="L936" i="1"/>
  <c r="L1201" i="1"/>
  <c r="L959" i="1"/>
  <c r="L1217" i="1"/>
  <c r="L975" i="1"/>
  <c r="L1233" i="1"/>
  <c r="L991" i="1"/>
  <c r="L1249" i="1"/>
  <c r="L1007" i="1"/>
  <c r="M1034" i="1"/>
  <c r="M1082" i="1"/>
  <c r="M1106" i="1"/>
  <c r="M1356" i="1"/>
  <c r="M1114" i="1"/>
  <c r="M1372" i="1"/>
  <c r="M1130" i="1"/>
  <c r="M943" i="1"/>
  <c r="M1185" i="1"/>
  <c r="M1209" i="1"/>
  <c r="M967" i="1"/>
  <c r="M1229" i="1"/>
  <c r="M987" i="1"/>
  <c r="M1245" i="1"/>
  <c r="M1003" i="1"/>
  <c r="L803" i="1"/>
  <c r="M1085" i="1"/>
  <c r="M1125" i="1"/>
  <c r="L1155" i="1"/>
  <c r="M1164" i="1"/>
  <c r="L1190" i="1"/>
  <c r="L948" i="1"/>
  <c r="L1202" i="1"/>
  <c r="L960" i="1"/>
  <c r="L1210" i="1"/>
  <c r="L968" i="1"/>
  <c r="L1218" i="1"/>
  <c r="L976" i="1"/>
  <c r="L1230" i="1"/>
  <c r="L988" i="1"/>
  <c r="L1246" i="1"/>
  <c r="L1004" i="1"/>
  <c r="M787" i="1"/>
  <c r="M1187" i="1"/>
  <c r="M945" i="1"/>
  <c r="M1191" i="1"/>
  <c r="M949" i="1"/>
  <c r="M1195" i="1"/>
  <c r="M953" i="1"/>
  <c r="M1199" i="1"/>
  <c r="M957" i="1"/>
  <c r="M1203" i="1"/>
  <c r="M961" i="1"/>
  <c r="M1207" i="1"/>
  <c r="M965" i="1"/>
  <c r="M1211" i="1"/>
  <c r="M969" i="1"/>
  <c r="M1215" i="1"/>
  <c r="M973" i="1"/>
  <c r="M1219" i="1"/>
  <c r="M977" i="1"/>
  <c r="M1223" i="1"/>
  <c r="M981" i="1"/>
  <c r="M1227" i="1"/>
  <c r="M985" i="1"/>
  <c r="M1231" i="1"/>
  <c r="M989" i="1"/>
  <c r="M1235" i="1"/>
  <c r="M993" i="1"/>
  <c r="M1239" i="1"/>
  <c r="M997" i="1"/>
  <c r="M1243" i="1"/>
  <c r="M1001" i="1"/>
  <c r="M1247" i="1"/>
  <c r="M1005" i="1"/>
  <c r="M1251" i="1"/>
  <c r="M1009" i="1"/>
  <c r="M1255" i="1"/>
  <c r="M1013" i="1"/>
  <c r="L898" i="1"/>
  <c r="L906" i="1"/>
  <c r="L915" i="1"/>
  <c r="L916" i="1"/>
  <c r="M1155" i="1"/>
  <c r="L926" i="1"/>
  <c r="L1404" i="1" s="1"/>
  <c r="L931" i="1"/>
  <c r="L932" i="1"/>
  <c r="M937" i="1"/>
  <c r="L1189" i="1"/>
  <c r="L947" i="1"/>
  <c r="L1213" i="1"/>
  <c r="L971" i="1"/>
  <c r="L1229" i="1"/>
  <c r="L987" i="1"/>
  <c r="L1241" i="1"/>
  <c r="L999" i="1"/>
  <c r="M1026" i="1"/>
  <c r="M1042" i="1"/>
  <c r="M1066" i="1"/>
  <c r="M928" i="1"/>
  <c r="L928" i="1"/>
  <c r="M959" i="1"/>
  <c r="M1201" i="1"/>
  <c r="M1225" i="1"/>
  <c r="M983" i="1"/>
  <c r="M1303" i="1"/>
  <c r="L1196" i="1"/>
  <c r="L954" i="1"/>
  <c r="L1228" i="1"/>
  <c r="L986" i="1"/>
  <c r="L902" i="1"/>
  <c r="M905" i="1"/>
  <c r="M911" i="1"/>
  <c r="L921" i="1"/>
  <c r="L922" i="1"/>
  <c r="L937" i="1"/>
  <c r="L938" i="1"/>
  <c r="L1175" i="1" s="1"/>
  <c r="M1193" i="1"/>
  <c r="M951" i="1"/>
  <c r="M1213" i="1"/>
  <c r="M971" i="1"/>
  <c r="M1241" i="1"/>
  <c r="M999" i="1"/>
  <c r="M1101" i="1"/>
  <c r="M1359" i="1"/>
  <c r="L946" i="1"/>
  <c r="L1188" i="1"/>
  <c r="L950" i="1"/>
  <c r="L1192" i="1"/>
  <c r="L958" i="1"/>
  <c r="L1200" i="1"/>
  <c r="L962" i="1"/>
  <c r="L1204" i="1"/>
  <c r="L966" i="1"/>
  <c r="L1208" i="1"/>
  <c r="L1212" i="1"/>
  <c r="L970" i="1"/>
  <c r="L974" i="1"/>
  <c r="L1216" i="1"/>
  <c r="L978" i="1"/>
  <c r="L1220" i="1"/>
  <c r="L982" i="1"/>
  <c r="L1224" i="1"/>
  <c r="L990" i="1"/>
  <c r="L1232" i="1"/>
  <c r="L994" i="1"/>
  <c r="L1236" i="1"/>
  <c r="L1240" i="1"/>
  <c r="L998" i="1"/>
  <c r="L1002" i="1"/>
  <c r="L1244" i="1"/>
  <c r="L1248" i="1"/>
  <c r="L1006" i="1"/>
  <c r="L1010" i="1"/>
  <c r="L1252" i="1"/>
  <c r="L1256" i="1"/>
  <c r="L1014" i="1"/>
  <c r="M946" i="1"/>
  <c r="M1188" i="1"/>
  <c r="M950" i="1"/>
  <c r="M1192" i="1"/>
  <c r="M954" i="1"/>
  <c r="M1196" i="1"/>
  <c r="M958" i="1"/>
  <c r="M1200" i="1"/>
  <c r="M962" i="1"/>
  <c r="M1204" i="1"/>
  <c r="M966" i="1"/>
  <c r="M1208" i="1"/>
  <c r="M970" i="1"/>
  <c r="M1212" i="1"/>
  <c r="M974" i="1"/>
  <c r="M1216" i="1"/>
  <c r="M978" i="1"/>
  <c r="M1220" i="1"/>
  <c r="M982" i="1"/>
  <c r="M1224" i="1"/>
  <c r="M986" i="1"/>
  <c r="M1228" i="1"/>
  <c r="M990" i="1"/>
  <c r="M1232" i="1"/>
  <c r="M994" i="1"/>
  <c r="M1236" i="1"/>
  <c r="M1240" i="1"/>
  <c r="M998" i="1"/>
  <c r="M1002" i="1"/>
  <c r="M1244" i="1"/>
  <c r="M1248" i="1"/>
  <c r="M1006" i="1"/>
  <c r="M1010" i="1"/>
  <c r="M1252" i="1"/>
  <c r="M1256" i="1"/>
  <c r="M1014" i="1"/>
  <c r="M899" i="1"/>
  <c r="M907" i="1"/>
  <c r="M917" i="1"/>
  <c r="M1395" i="1" s="1"/>
  <c r="M922" i="1"/>
  <c r="M933" i="1"/>
  <c r="L942" i="1"/>
  <c r="L1179" i="1" s="1"/>
  <c r="M1360" i="1" l="1"/>
  <c r="M1414" i="1"/>
  <c r="M1286" i="1"/>
  <c r="M1369" i="1"/>
  <c r="M1363" i="1"/>
  <c r="M1362" i="1"/>
  <c r="L1292" i="1"/>
  <c r="M1367" i="1"/>
  <c r="M1323" i="1"/>
  <c r="L1387" i="1"/>
  <c r="M1364" i="1"/>
  <c r="M1365" i="1"/>
  <c r="L1311" i="1"/>
  <c r="M1093" i="1"/>
  <c r="M1348" i="1"/>
  <c r="L1330" i="1"/>
  <c r="M1308" i="1"/>
  <c r="M1357" i="1"/>
  <c r="L1071" i="1"/>
  <c r="M1269" i="1"/>
  <c r="M1116" i="1"/>
  <c r="L1290" i="1"/>
  <c r="L1314" i="1"/>
  <c r="M1337" i="1"/>
  <c r="L1298" i="1"/>
  <c r="M1268" i="1"/>
  <c r="L1396" i="1"/>
  <c r="M1358" i="1"/>
  <c r="M1398" i="1"/>
  <c r="M1349" i="1"/>
  <c r="M1120" i="1"/>
  <c r="L1055" i="1"/>
  <c r="M1402" i="1"/>
  <c r="L1305" i="1"/>
  <c r="M1274" i="1"/>
  <c r="L1310" i="1"/>
  <c r="M1108" i="1"/>
  <c r="L1317" i="1"/>
  <c r="M1273" i="1"/>
  <c r="M1411" i="1"/>
  <c r="M1029" i="1"/>
  <c r="L1302" i="1"/>
  <c r="M1351" i="1"/>
  <c r="M1045" i="1"/>
  <c r="L1069" i="1"/>
  <c r="M1272" i="1"/>
  <c r="L1371" i="1"/>
  <c r="M1332" i="1"/>
  <c r="M1343" i="1"/>
  <c r="M1413" i="1"/>
  <c r="M1315" i="1"/>
  <c r="M1296" i="1"/>
  <c r="M1283" i="1"/>
  <c r="L1271" i="1"/>
  <c r="M1324" i="1"/>
  <c r="M1400" i="1"/>
  <c r="M1300" i="1"/>
  <c r="M1312" i="1"/>
  <c r="L1294" i="1"/>
  <c r="M1267" i="1"/>
  <c r="L1289" i="1"/>
  <c r="M1406" i="1"/>
  <c r="L1270" i="1"/>
  <c r="M1292" i="1"/>
  <c r="L1315" i="1"/>
  <c r="M1310" i="1"/>
  <c r="M1275" i="1"/>
  <c r="L1308" i="1"/>
  <c r="M1281" i="1"/>
  <c r="L1265" i="1"/>
  <c r="L1066" i="1"/>
  <c r="M1282" i="1"/>
  <c r="M1294" i="1"/>
  <c r="M1385" i="1"/>
  <c r="L1306" i="1"/>
  <c r="M1280" i="1"/>
  <c r="L1326" i="1"/>
  <c r="M1043" i="1"/>
  <c r="L1266" i="1"/>
  <c r="L1388" i="1"/>
  <c r="L1386" i="1"/>
  <c r="L1343" i="1"/>
  <c r="L1059" i="1"/>
  <c r="L1276" i="1"/>
  <c r="M1334" i="1"/>
  <c r="M1270" i="1"/>
  <c r="L1309" i="1"/>
  <c r="L1146" i="1"/>
  <c r="M1285" i="1"/>
  <c r="M1284" i="1"/>
  <c r="M1379" i="1"/>
  <c r="L1403" i="1"/>
  <c r="L1332" i="1"/>
  <c r="M1089" i="1"/>
  <c r="L1380" i="1"/>
  <c r="L1363" i="1"/>
  <c r="M1031" i="1"/>
  <c r="L1376" i="1"/>
  <c r="L1408" i="1"/>
  <c r="L1345" i="1"/>
  <c r="L1366" i="1"/>
  <c r="L1390" i="1"/>
  <c r="M1389" i="1"/>
  <c r="L1402" i="1"/>
  <c r="L1316" i="1"/>
  <c r="L1284" i="1"/>
  <c r="L1321" i="1"/>
  <c r="M1055" i="1"/>
  <c r="M1330" i="1"/>
  <c r="M1088" i="1"/>
  <c r="L1393" i="1"/>
  <c r="L1151" i="1"/>
  <c r="L1401" i="1"/>
  <c r="L1159" i="1"/>
  <c r="L1394" i="1"/>
  <c r="L1152" i="1"/>
  <c r="L1399" i="1"/>
  <c r="L1157" i="1"/>
  <c r="M1290" i="1"/>
  <c r="M1048" i="1"/>
  <c r="L1094" i="1"/>
  <c r="L1336" i="1"/>
  <c r="L1054" i="1"/>
  <c r="L1296" i="1"/>
  <c r="L1409" i="1"/>
  <c r="L1167" i="1"/>
  <c r="M1354" i="1"/>
  <c r="M1112" i="1"/>
  <c r="M1322" i="1"/>
  <c r="M1080" i="1"/>
  <c r="L1362" i="1"/>
  <c r="L1120" i="1"/>
  <c r="L1295" i="1"/>
  <c r="M1325" i="1"/>
  <c r="M1305" i="1"/>
  <c r="M1288" i="1"/>
  <c r="M1353" i="1"/>
  <c r="L1352" i="1"/>
  <c r="L1110" i="1"/>
  <c r="L1416" i="1"/>
  <c r="L1174" i="1"/>
  <c r="L1357" i="1"/>
  <c r="L1115" i="1"/>
  <c r="L1400" i="1"/>
  <c r="L1158" i="1"/>
  <c r="L1385" i="1"/>
  <c r="L1143" i="1"/>
  <c r="L1397" i="1"/>
  <c r="M1399" i="1"/>
  <c r="M1157" i="1"/>
  <c r="L1331" i="1"/>
  <c r="L1089" i="1"/>
  <c r="M1387" i="1"/>
  <c r="M1145" i="1"/>
  <c r="M1167" i="1"/>
  <c r="M1409" i="1"/>
  <c r="L1086" i="1"/>
  <c r="L1328" i="1"/>
  <c r="M1293" i="1"/>
  <c r="M1051" i="1"/>
  <c r="L1392" i="1"/>
  <c r="L1349" i="1"/>
  <c r="L1107" i="1"/>
  <c r="M1314" i="1"/>
  <c r="M1072" i="1"/>
  <c r="L1334" i="1"/>
  <c r="L1319" i="1"/>
  <c r="L1364" i="1"/>
  <c r="L1293" i="1"/>
  <c r="M1320" i="1"/>
  <c r="L1303" i="1"/>
  <c r="L1353" i="1"/>
  <c r="L1322" i="1"/>
  <c r="L1329" i="1"/>
  <c r="L1062" i="1"/>
  <c r="L1304" i="1"/>
  <c r="M1378" i="1"/>
  <c r="M1136" i="1"/>
  <c r="L1395" i="1"/>
  <c r="L1153" i="1"/>
  <c r="L1370" i="1"/>
  <c r="L1128" i="1"/>
  <c r="L1412" i="1"/>
  <c r="L1323" i="1"/>
  <c r="M1394" i="1"/>
  <c r="M1152" i="1"/>
  <c r="M1404" i="1"/>
  <c r="M1162" i="1"/>
  <c r="M1388" i="1"/>
  <c r="M1146" i="1"/>
  <c r="L1391" i="1"/>
  <c r="L1149" i="1"/>
  <c r="L1327" i="1"/>
  <c r="M1381" i="1"/>
  <c r="M1373" i="1"/>
  <c r="L1324" i="1"/>
  <c r="M1313" i="1"/>
  <c r="L1381" i="1"/>
  <c r="L1139" i="1"/>
  <c r="L1347" i="1"/>
  <c r="L1105" i="1"/>
  <c r="L1344" i="1"/>
  <c r="L1102" i="1"/>
  <c r="M1390" i="1"/>
  <c r="M1148" i="1"/>
  <c r="L1377" i="1"/>
  <c r="L1135" i="1"/>
  <c r="L1275" i="1"/>
  <c r="L1033" i="1"/>
  <c r="L1382" i="1"/>
  <c r="L1140" i="1"/>
  <c r="L1046" i="1"/>
  <c r="L1288" i="1"/>
  <c r="M1346" i="1"/>
  <c r="M1104" i="1"/>
  <c r="M1412" i="1"/>
  <c r="M1170" i="1"/>
  <c r="L1407" i="1"/>
  <c r="L1165" i="1"/>
  <c r="L1410" i="1"/>
  <c r="L1168" i="1"/>
  <c r="L1415" i="1"/>
  <c r="L1173" i="1"/>
  <c r="L1267" i="1"/>
  <c r="L1025" i="1"/>
  <c r="L1373" i="1"/>
  <c r="L1131" i="1"/>
  <c r="M1151" i="1"/>
  <c r="M1393" i="1"/>
  <c r="M1075" i="1"/>
  <c r="M1317" i="1"/>
  <c r="L1038" i="1"/>
  <c r="L1280" i="1"/>
  <c r="L1269" i="1"/>
  <c r="L1027" i="1"/>
  <c r="M1319" i="1"/>
  <c r="L1383" i="1"/>
  <c r="L1141" i="1"/>
  <c r="M1298" i="1"/>
  <c r="M1056" i="1"/>
  <c r="L1274" i="1"/>
  <c r="L1032" i="1"/>
  <c r="M1391" i="1"/>
  <c r="M1149" i="1"/>
  <c r="L1359" i="1"/>
  <c r="L1406" i="1"/>
  <c r="L1337" i="1"/>
  <c r="M1291" i="1"/>
  <c r="L1273" i="1"/>
  <c r="L1301" i="1"/>
  <c r="L1299" i="1"/>
  <c r="M1374" i="1"/>
  <c r="L1335" i="1"/>
  <c r="L1348" i="1"/>
  <c r="L1375" i="1"/>
  <c r="L1361" i="1"/>
  <c r="L1278" i="1"/>
  <c r="L1282" i="1"/>
  <c r="L1040" i="1"/>
  <c r="M1380" i="1"/>
  <c r="M1138" i="1"/>
  <c r="M1377" i="1"/>
  <c r="M1329" i="1"/>
  <c r="M1266" i="1"/>
  <c r="M1024" i="1"/>
  <c r="M1301" i="1"/>
  <c r="M1059" i="1"/>
  <c r="M1376" i="1"/>
  <c r="L1351" i="1"/>
  <c r="M1407" i="1"/>
  <c r="M1165" i="1"/>
  <c r="L1405" i="1"/>
  <c r="L1163" i="1"/>
  <c r="M1415" i="1"/>
  <c r="M1173" i="1"/>
  <c r="M1392" i="1"/>
  <c r="L1368" i="1"/>
  <c r="L1126" i="1"/>
  <c r="L1070" i="1"/>
  <c r="L1312" i="1"/>
  <c r="L1030" i="1"/>
  <c r="L1272" i="1"/>
  <c r="M1403" i="1"/>
  <c r="M1383" i="1"/>
  <c r="M1141" i="1"/>
  <c r="L1285" i="1"/>
  <c r="L1043" i="1"/>
  <c r="M1316" i="1"/>
  <c r="L1300" i="1"/>
  <c r="M1333" i="1"/>
  <c r="L1268" i="1"/>
  <c r="L1279" i="1"/>
  <c r="M1326" i="1"/>
  <c r="M1345" i="1"/>
  <c r="M1321" i="1"/>
  <c r="M1264" i="1"/>
  <c r="M1386" i="1"/>
  <c r="M1144" i="1"/>
  <c r="L1365" i="1"/>
  <c r="L1123" i="1"/>
  <c r="L1325" i="1"/>
  <c r="L1083" i="1"/>
  <c r="M1375" i="1"/>
  <c r="L1414" i="1"/>
  <c r="L1369" i="1"/>
  <c r="M1297" i="1"/>
  <c r="L1346" i="1"/>
  <c r="L1350" i="1"/>
  <c r="L1354" i="1"/>
  <c r="M1328" i="1"/>
  <c r="L1355" i="1"/>
  <c r="L1411" i="1"/>
  <c r="L1169" i="1"/>
  <c r="L1078" i="1"/>
  <c r="L1320" i="1"/>
  <c r="L1277" i="1"/>
  <c r="L1035" i="1"/>
  <c r="M1306" i="1"/>
  <c r="M1064" i="1"/>
  <c r="M1159" i="1"/>
  <c r="M1401" i="1"/>
  <c r="M1396" i="1"/>
  <c r="M1154" i="1"/>
  <c r="M1384" i="1"/>
  <c r="M1142" i="1"/>
  <c r="M1416" i="1"/>
  <c r="M1174" i="1"/>
  <c r="M1397" i="1"/>
  <c r="L1413" i="1"/>
  <c r="M1327" i="1"/>
  <c r="M1410" i="1"/>
  <c r="M1168" i="1"/>
  <c r="L1389" i="1"/>
  <c r="L1147" i="1"/>
  <c r="M1295" i="1"/>
  <c r="L1360" i="1"/>
  <c r="L1118" i="1"/>
  <c r="M1067" i="1"/>
  <c r="M1309" i="1"/>
  <c r="L1022" i="1"/>
  <c r="L1264" i="1"/>
  <c r="M1311" i="1"/>
  <c r="L1379" i="1"/>
  <c r="L1137" i="1"/>
  <c r="L1333" i="1"/>
  <c r="L1091" i="1"/>
  <c r="M1405" i="1"/>
  <c r="M1382" i="1"/>
  <c r="L1378" i="1"/>
  <c r="M1350" i="1"/>
  <c r="M1318" i="1"/>
  <c r="L1283" i="1"/>
  <c r="L1384" i="1"/>
  <c r="L1358" i="1"/>
  <c r="L1307" i="1"/>
  <c r="L1398" i="1"/>
  <c r="L1318" i="1"/>
  <c r="L1286" i="1"/>
  <c r="M1265" i="1"/>
  <c r="L1372" i="1"/>
  <c r="M1352" i="1"/>
  <c r="M1299" i="1"/>
  <c r="L1281" i="1"/>
  <c r="L1367" i="1"/>
  <c r="L1291" i="1"/>
  <c r="L1374" i="1"/>
  <c r="L1356" i="1"/>
  <c r="M1336" i="1"/>
  <c r="M1304" i="1"/>
  <c r="M1289" i="1"/>
  <c r="M1307" i="1"/>
</calcChain>
</file>

<file path=xl/sharedStrings.xml><?xml version="1.0" encoding="utf-8"?>
<sst xmlns="http://schemas.openxmlformats.org/spreadsheetml/2006/main" count="2843" uniqueCount="110">
  <si>
    <t>country</t>
  </si>
  <si>
    <t>month</t>
  </si>
  <si>
    <t>HS_847150</t>
  </si>
  <si>
    <t>HS_847180</t>
  </si>
  <si>
    <t>HS_847330</t>
  </si>
  <si>
    <t>HS_848610</t>
  </si>
  <si>
    <t>HS_848620</t>
  </si>
  <si>
    <t>HS_848630</t>
  </si>
  <si>
    <t>HS_848640</t>
  </si>
  <si>
    <t>HS_848690</t>
  </si>
  <si>
    <t>total_export</t>
  </si>
  <si>
    <t>8 groups</t>
  </si>
  <si>
    <t>5 groups</t>
  </si>
  <si>
    <t>AT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</si>
  <si>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</si>
  <si>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</si>
  <si>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</si>
  <si>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</si>
  <si>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</si>
  <si>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</si>
  <si>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</si>
  <si>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</si>
  <si>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</si>
  <si>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</si>
  <si>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</si>
  <si>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</si>
  <si>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</si>
  <si>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</si>
  <si>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</si>
  <si>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</si>
  <si>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</si>
  <si>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</si>
  <si>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</si>
  <si>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</si>
  <si>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</si>
  <si>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</si>
  <si>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</si>
  <si>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</si>
  <si>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</si>
  <si>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</si>
  <si>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</si>
  <si>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</si>
  <si>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</si>
  <si>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</si>
  <si>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</si>
  <si>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</si>
  <si>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</si>
  <si>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</si>
  <si>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</si>
  <si>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</si>
  <si>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</si>
  <si>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</si>
  <si>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</si>
  <si>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</si>
  <si>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</si>
  <si>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</si>
  <si>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</si>
  <si>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</si>
  <si>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</si>
  <si>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</si>
  <si>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</si>
  <si>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</si>
  <si>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</si>
  <si>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</si>
  <si>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</si>
  <si>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</si>
  <si>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</si>
  <si>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</si>
  <si>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</si>
  <si>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</si>
  <si>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</si>
  <si>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</si>
  <si>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</si>
  <si>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</si>
  <si>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</si>
  <si>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</si>
  <si>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</si>
  <si>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</si>
  <si>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</si>
  <si>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</si>
  <si>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</si>
  <si>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</si>
  <si>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</si>
  <si>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</si>
  <si>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</si>
  <si>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</si>
  <si>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</si>
  <si>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</si>
  <si>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</si>
  <si>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</si>
  <si>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</si>
  <si>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</si>
  <si>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BE</t>
  </si>
  <si>
    <t>DE</t>
  </si>
  <si>
    <t>ES</t>
  </si>
  <si>
    <t>2026-07</t>
  </si>
  <si>
    <t>FI</t>
  </si>
  <si>
    <t>FR</t>
  </si>
  <si>
    <t>IE</t>
  </si>
  <si>
    <t>IT</t>
  </si>
  <si>
    <t>NL</t>
  </si>
  <si>
    <t>PT</t>
  </si>
  <si>
    <t>EA</t>
  </si>
  <si>
    <t>EA excl NL</t>
  </si>
  <si>
    <t>NL chart raw</t>
  </si>
  <si>
    <t>EA chart raw</t>
  </si>
  <si>
    <t>EA excl NL chart raw</t>
  </si>
  <si>
    <t>NL chart ma6</t>
  </si>
  <si>
    <t>EA chart ma6</t>
  </si>
  <si>
    <t>EA excl NL chart ma6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</si>
</sst>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8 product groups, by month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NL</c:v>
          </c:tx>
          <c:spPr>
            <a:ln w="2400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hs_export_monthly!$L$943:$L$1021</c:f>
              <c:numCache>
                <c:formatCode>0.0000%</c:formatCode>
                <c:ptCount val="79"/>
                <c:pt idx="0">
                  <c:v>3.2909294547220032E-2</c:v>
                </c:pt>
                <c:pt idx="1">
                  <c:v>3.5796466094118649E-2</c:v>
                </c:pt>
                <c:pt idx="2">
                  <c:v>3.8893192589016169E-2</c:v>
                </c:pt>
                <c:pt idx="3">
                  <c:v>3.9657233736651074E-2</c:v>
                </c:pt>
                <c:pt idx="4">
                  <c:v>4.5882032387913683E-2</c:v>
                </c:pt>
                <c:pt idx="5">
                  <c:v>4.7208402249819065E-2</c:v>
                </c:pt>
                <c:pt idx="6">
                  <c:v>3.5646082083866826E-2</c:v>
                </c:pt>
                <c:pt idx="7">
                  <c:v>3.6970855444950185E-2</c:v>
                </c:pt>
                <c:pt idx="8">
                  <c:v>4.7447249740224469E-2</c:v>
                </c:pt>
                <c:pt idx="9">
                  <c:v>3.6490009453623302E-2</c:v>
                </c:pt>
                <c:pt idx="10">
                  <c:v>4.031594356306871E-2</c:v>
                </c:pt>
                <c:pt idx="11">
                  <c:v>5.4465358248988772E-2</c:v>
                </c:pt>
                <c:pt idx="12">
                  <c:v>4.0536798400536457E-2</c:v>
                </c:pt>
                <c:pt idx="13">
                  <c:v>4.0594659656235231E-2</c:v>
                </c:pt>
                <c:pt idx="14">
                  <c:v>4.4144150470365816E-2</c:v>
                </c:pt>
                <c:pt idx="15">
                  <c:v>3.7767142826448497E-2</c:v>
                </c:pt>
                <c:pt idx="16">
                  <c:v>3.2526648049507632E-2</c:v>
                </c:pt>
                <c:pt idx="17">
                  <c:v>4.2342103661156323E-2</c:v>
                </c:pt>
                <c:pt idx="18">
                  <c:v>3.7081418097843759E-2</c:v>
                </c:pt>
                <c:pt idx="19">
                  <c:v>4.244988520817275E-2</c:v>
                </c:pt>
                <c:pt idx="20">
                  <c:v>4.4876717893872861E-2</c:v>
                </c:pt>
                <c:pt idx="21">
                  <c:v>3.2750834172573844E-2</c:v>
                </c:pt>
                <c:pt idx="22">
                  <c:v>3.6797211273938049E-2</c:v>
                </c:pt>
                <c:pt idx="23">
                  <c:v>4.4537785942874303E-2</c:v>
                </c:pt>
                <c:pt idx="24">
                  <c:v>3.1394311256161066E-2</c:v>
                </c:pt>
                <c:pt idx="25">
                  <c:v>3.6546471753706546E-2</c:v>
                </c:pt>
                <c:pt idx="26">
                  <c:v>3.8411266927726478E-2</c:v>
                </c:pt>
                <c:pt idx="27">
                  <c:v>2.9872797520501509E-2</c:v>
                </c:pt>
                <c:pt idx="28">
                  <c:v>3.3401581619410411E-2</c:v>
                </c:pt>
                <c:pt idx="29">
                  <c:v>4.1086185498742857E-2</c:v>
                </c:pt>
                <c:pt idx="30">
                  <c:v>3.1335492871595462E-2</c:v>
                </c:pt>
                <c:pt idx="31">
                  <c:v>4.1814317531412078E-2</c:v>
                </c:pt>
                <c:pt idx="32">
                  <c:v>3.9979394380225873E-2</c:v>
                </c:pt>
                <c:pt idx="33">
                  <c:v>3.0724126279214309E-2</c:v>
                </c:pt>
                <c:pt idx="34">
                  <c:v>3.588291505214275E-2</c:v>
                </c:pt>
                <c:pt idx="35">
                  <c:v>5.4344678121196185E-2</c:v>
                </c:pt>
                <c:pt idx="36">
                  <c:v>2.8354249686989314E-2</c:v>
                </c:pt>
                <c:pt idx="37">
                  <c:v>4.1609055710940403E-2</c:v>
                </c:pt>
                <c:pt idx="38">
                  <c:v>4.1778446517664929E-2</c:v>
                </c:pt>
                <c:pt idx="39">
                  <c:v>3.6937157124760041E-2</c:v>
                </c:pt>
                <c:pt idx="40">
                  <c:v>5.1400268321325049E-2</c:v>
                </c:pt>
                <c:pt idx="41">
                  <c:v>4.7640381322238322E-2</c:v>
                </c:pt>
                <c:pt idx="42">
                  <c:v>4.1144901760110854E-2</c:v>
                </c:pt>
                <c:pt idx="43">
                  <c:v>6.2119351395625584E-2</c:v>
                </c:pt>
                <c:pt idx="44">
                  <c:v>5.6481557668000337E-2</c:v>
                </c:pt>
                <c:pt idx="45">
                  <c:v>4.311722132916717E-2</c:v>
                </c:pt>
                <c:pt idx="46">
                  <c:v>5.0275728038941057E-2</c:v>
                </c:pt>
                <c:pt idx="47">
                  <c:v>6.1719650568233288E-2</c:v>
                </c:pt>
                <c:pt idx="48">
                  <c:v>3.7871011410139224E-2</c:v>
                </c:pt>
                <c:pt idx="49">
                  <c:v>3.7648555020311357E-2</c:v>
                </c:pt>
                <c:pt idx="50">
                  <c:v>5.3488334138008471E-2</c:v>
                </c:pt>
                <c:pt idx="51">
                  <c:v>4.6008248218582501E-2</c:v>
                </c:pt>
                <c:pt idx="52">
                  <c:v>4.7961720372159997E-2</c:v>
                </c:pt>
                <c:pt idx="53">
                  <c:v>5.166933664177803E-2</c:v>
                </c:pt>
                <c:pt idx="54">
                  <c:v>3.8323740074514993E-2</c:v>
                </c:pt>
                <c:pt idx="55">
                  <c:v>5.0585717097286181E-2</c:v>
                </c:pt>
                <c:pt idx="56">
                  <c:v>6.1610074601512577E-2</c:v>
                </c:pt>
                <c:pt idx="57">
                  <c:v>5.0799091113175175E-2</c:v>
                </c:pt>
                <c:pt idx="58">
                  <c:v>5.8902203588202494E-2</c:v>
                </c:pt>
                <c:pt idx="59">
                  <c:v>7.2848361716192661E-2</c:v>
                </c:pt>
                <c:pt idx="60">
                  <c:v>4.3153984724897815E-2</c:v>
                </c:pt>
                <c:pt idx="61">
                  <c:v>5.1224603672044802E-2</c:v>
                </c:pt>
                <c:pt idx="62">
                  <c:v>5.6913093903906392E-2</c:v>
                </c:pt>
                <c:pt idx="63">
                  <c:v>4.9340046137349568E-2</c:v>
                </c:pt>
                <c:pt idx="64">
                  <c:v>5.2300813085342242E-2</c:v>
                </c:pt>
                <c:pt idx="65">
                  <c:v>5.5392945288067021E-2</c:v>
                </c:pt>
                <c:pt idx="66">
                  <c:v>4.9425726608162961E-2</c:v>
                </c:pt>
                <c:pt idx="67">
                  <c:v>5.7020274419741855E-2</c:v>
                </c:pt>
                <c:pt idx="68">
                  <c:v>7.096453518728936E-2</c:v>
                </c:pt>
                <c:pt idx="69">
                  <c:v>4.6529656791255466E-2</c:v>
                </c:pt>
                <c:pt idx="70">
                  <c:v>5.5431957587981209E-2</c:v>
                </c:pt>
                <c:pt idx="71">
                  <c:v>8.8500914917391441E-2</c:v>
                </c:pt>
                <c:pt idx="72">
                  <c:v>4.3679929660463558E-2</c:v>
                </c:pt>
                <c:pt idx="73">
                  <c:v>5.2551929310169096E-2</c:v>
                </c:pt>
                <c:pt idx="74">
                  <c:v>5.6230031408398211E-2</c:v>
                </c:pt>
                <c:pt idx="75">
                  <c:v>5.2577025571418044E-2</c:v>
                </c:pt>
                <c:pt idx="76">
                  <c:v>4.9161960412363766E-2</c:v>
                </c:pt>
                <c:pt idx="77">
                  <c:v>8.3724375920610564E-2</c:v>
                </c:pt>
                <c:pt idx="78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C1-4EB6-89C5-A31428E19A71}"/>
            </c:ext>
          </c:extLst>
        </c:ser>
        <c:ser>
          <c:idx val="1"/>
          <c:order val="1"/>
          <c:tx>
            <c:v>EA</c:v>
          </c:tx>
          <c:spPr>
            <a:ln w="2400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hs_export_monthly!$L$1022:$L$1100</c:f>
              <c:numCache>
                <c:formatCode>0.0000%</c:formatCode>
                <c:ptCount val="79"/>
                <c:pt idx="0">
                  <c:v>9.1548488558080929E-3</c:v>
                </c:pt>
                <c:pt idx="1">
                  <c:v>8.8313397241516229E-3</c:v>
                </c:pt>
                <c:pt idx="2">
                  <c:v>9.7123886458414417E-3</c:v>
                </c:pt>
                <c:pt idx="3">
                  <c:v>1.1710402974272938E-2</c:v>
                </c:pt>
                <c:pt idx="4">
                  <c:v>1.2218316371287985E-2</c:v>
                </c:pt>
                <c:pt idx="5">
                  <c:v>1.1476936136604962E-2</c:v>
                </c:pt>
                <c:pt idx="6">
                  <c:v>9.0967359384339259E-3</c:v>
                </c:pt>
                <c:pt idx="7">
                  <c:v>9.9606024336899232E-3</c:v>
                </c:pt>
                <c:pt idx="8">
                  <c:v>1.0814717688487638E-2</c:v>
                </c:pt>
                <c:pt idx="9">
                  <c:v>9.1842738981427856E-3</c:v>
                </c:pt>
                <c:pt idx="10">
                  <c:v>1.0383230294655973E-2</c:v>
                </c:pt>
                <c:pt idx="11">
                  <c:v>1.325954861912907E-2</c:v>
                </c:pt>
                <c:pt idx="12">
                  <c:v>1.0807342815888773E-2</c:v>
                </c:pt>
                <c:pt idx="13">
                  <c:v>9.9641958504358887E-3</c:v>
                </c:pt>
                <c:pt idx="14">
                  <c:v>1.0648355944150027E-2</c:v>
                </c:pt>
                <c:pt idx="15">
                  <c:v>9.56486996720665E-3</c:v>
                </c:pt>
                <c:pt idx="16">
                  <c:v>8.8513967850046577E-3</c:v>
                </c:pt>
                <c:pt idx="17">
                  <c:v>1.0491333593242542E-2</c:v>
                </c:pt>
                <c:pt idx="18">
                  <c:v>9.6142703970197776E-3</c:v>
                </c:pt>
                <c:pt idx="19">
                  <c:v>1.1637826851689084E-2</c:v>
                </c:pt>
                <c:pt idx="20">
                  <c:v>1.1183817417892638E-2</c:v>
                </c:pt>
                <c:pt idx="21">
                  <c:v>8.8247400668791196E-3</c:v>
                </c:pt>
                <c:pt idx="22">
                  <c:v>1.0059024854993338E-2</c:v>
                </c:pt>
                <c:pt idx="23">
                  <c:v>1.1678564895936083E-2</c:v>
                </c:pt>
                <c:pt idx="24">
                  <c:v>9.4054651048037282E-3</c:v>
                </c:pt>
                <c:pt idx="25">
                  <c:v>9.3405954632466096E-3</c:v>
                </c:pt>
                <c:pt idx="26">
                  <c:v>9.6652211207378016E-3</c:v>
                </c:pt>
                <c:pt idx="27">
                  <c:v>8.3598009217876069E-3</c:v>
                </c:pt>
                <c:pt idx="28">
                  <c:v>8.9555864557192884E-3</c:v>
                </c:pt>
                <c:pt idx="29">
                  <c:v>1.0788522784158414E-2</c:v>
                </c:pt>
                <c:pt idx="30">
                  <c:v>8.8533774517979939E-3</c:v>
                </c:pt>
                <c:pt idx="31">
                  <c:v>1.129897871928533E-2</c:v>
                </c:pt>
                <c:pt idx="32">
                  <c:v>1.0293446827038066E-2</c:v>
                </c:pt>
                <c:pt idx="33">
                  <c:v>8.7858798482082084E-3</c:v>
                </c:pt>
                <c:pt idx="34">
                  <c:v>9.6616602580581606E-3</c:v>
                </c:pt>
                <c:pt idx="35">
                  <c:v>1.3498368030038219E-2</c:v>
                </c:pt>
                <c:pt idx="36">
                  <c:v>8.3344462857342563E-3</c:v>
                </c:pt>
                <c:pt idx="37">
                  <c:v>1.0062400187506058E-2</c:v>
                </c:pt>
                <c:pt idx="38">
                  <c:v>1.08692661984251E-2</c:v>
                </c:pt>
                <c:pt idx="39">
                  <c:v>9.4255981987610548E-3</c:v>
                </c:pt>
                <c:pt idx="40">
                  <c:v>1.1647612652635839E-2</c:v>
                </c:pt>
                <c:pt idx="41">
                  <c:v>1.112433489887954E-2</c:v>
                </c:pt>
                <c:pt idx="42">
                  <c:v>1.0009983242866413E-2</c:v>
                </c:pt>
                <c:pt idx="43">
                  <c:v>1.4809211900085039E-2</c:v>
                </c:pt>
                <c:pt idx="44">
                  <c:v>1.3520805877423228E-2</c:v>
                </c:pt>
                <c:pt idx="45">
                  <c:v>1.0739453517458189E-2</c:v>
                </c:pt>
                <c:pt idx="46">
                  <c:v>1.2056280151951936E-2</c:v>
                </c:pt>
                <c:pt idx="47">
                  <c:v>1.498045017356908E-2</c:v>
                </c:pt>
                <c:pt idx="48">
                  <c:v>9.5293307462916109E-3</c:v>
                </c:pt>
                <c:pt idx="49">
                  <c:v>9.4359081502751636E-3</c:v>
                </c:pt>
                <c:pt idx="50">
                  <c:v>1.2699500855120779E-2</c:v>
                </c:pt>
                <c:pt idx="51">
                  <c:v>1.0839214532744466E-2</c:v>
                </c:pt>
                <c:pt idx="52">
                  <c:v>1.1588226863715764E-2</c:v>
                </c:pt>
                <c:pt idx="53">
                  <c:v>1.2307699241583394E-2</c:v>
                </c:pt>
                <c:pt idx="54">
                  <c:v>1.0192785176734137E-2</c:v>
                </c:pt>
                <c:pt idx="55">
                  <c:v>1.3247507527374337E-2</c:v>
                </c:pt>
                <c:pt idx="56">
                  <c:v>1.4869001481782171E-2</c:v>
                </c:pt>
                <c:pt idx="57">
                  <c:v>1.2345751690476497E-2</c:v>
                </c:pt>
                <c:pt idx="58">
                  <c:v>1.4812571120476306E-2</c:v>
                </c:pt>
                <c:pt idx="59">
                  <c:v>1.7240634984107613E-2</c:v>
                </c:pt>
                <c:pt idx="60">
                  <c:v>1.1623090617338523E-2</c:v>
                </c:pt>
                <c:pt idx="61">
                  <c:v>1.3341814796411382E-2</c:v>
                </c:pt>
                <c:pt idx="62">
                  <c:v>1.3504512485518223E-2</c:v>
                </c:pt>
                <c:pt idx="63">
                  <c:v>1.2544460585534718E-2</c:v>
                </c:pt>
                <c:pt idx="64">
                  <c:v>1.3359928389740152E-2</c:v>
                </c:pt>
                <c:pt idx="65">
                  <c:v>1.3792708038846467E-2</c:v>
                </c:pt>
                <c:pt idx="66">
                  <c:v>1.2077969497561224E-2</c:v>
                </c:pt>
                <c:pt idx="67">
                  <c:v>1.5014662745458145E-2</c:v>
                </c:pt>
                <c:pt idx="68">
                  <c:v>1.632165794848003E-2</c:v>
                </c:pt>
                <c:pt idx="69">
                  <c:v>1.2322565426896956E-2</c:v>
                </c:pt>
                <c:pt idx="70">
                  <c:v>1.4578425923966696E-2</c:v>
                </c:pt>
                <c:pt idx="71">
                  <c:v>2.1402755638407104E-2</c:v>
                </c:pt>
                <c:pt idx="72">
                  <c:v>1.4311085949920482E-2</c:v>
                </c:pt>
                <c:pt idx="73">
                  <c:v>1.3670861887068725E-2</c:v>
                </c:pt>
                <c:pt idx="74">
                  <c:v>1.5643812412491125E-2</c:v>
                </c:pt>
                <c:pt idx="75">
                  <c:v>1.6152162713404934E-2</c:v>
                </c:pt>
                <c:pt idx="76">
                  <c:v>1.5558681381620719E-2</c:v>
                </c:pt>
                <c:pt idx="77">
                  <c:v>2.0718913587684823E-2</c:v>
                </c:pt>
                <c:pt idx="78">
                  <c:v>1.9930675056461393E-2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C1-4EB6-89C5-A31428E19A71}"/>
            </c:ext>
          </c:extLst>
        </c:ser>
        <c:ser>
          <c:idx val="2"/>
          <c:order val="2"/>
          <c:tx>
            <c:v>EA excl NL</c:v>
          </c:tx>
          <c:spPr>
            <a:ln w="24000">
              <a:solidFill>
                <a:srgbClr val="A5A5A5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hs_export_monthly!$L$1101:$L$1179</c:f>
              <c:numCache>
                <c:formatCode>0.0000%</c:formatCode>
                <c:ptCount val="79"/>
                <c:pt idx="0">
                  <c:v>4.594038277552428E-3</c:v>
                </c:pt>
                <c:pt idx="1">
                  <c:v>3.9900406414012457E-3</c:v>
                </c:pt>
                <c:pt idx="2">
                  <c:v>4.2830752193674685E-3</c:v>
                </c:pt>
                <c:pt idx="3">
                  <c:v>5.6633902632086015E-3</c:v>
                </c:pt>
                <c:pt idx="4">
                  <c:v>5.561729022860543E-3</c:v>
                </c:pt>
                <c:pt idx="5">
                  <c:v>4.8323435326026983E-3</c:v>
                </c:pt>
                <c:pt idx="6">
                  <c:v>4.3576126107663111E-3</c:v>
                </c:pt>
                <c:pt idx="7">
                  <c:v>4.7352079493253093E-3</c:v>
                </c:pt>
                <c:pt idx="8">
                  <c:v>4.263131973485013E-3</c:v>
                </c:pt>
                <c:pt idx="9">
                  <c:v>4.2162618942561368E-3</c:v>
                </c:pt>
                <c:pt idx="10">
                  <c:v>4.7507638701368565E-3</c:v>
                </c:pt>
                <c:pt idx="11">
                  <c:v>5.1701555779704788E-3</c:v>
                </c:pt>
                <c:pt idx="12">
                  <c:v>4.9853381309924744E-3</c:v>
                </c:pt>
                <c:pt idx="13">
                  <c:v>4.2500207682554534E-3</c:v>
                </c:pt>
                <c:pt idx="14">
                  <c:v>4.3027747765739758E-3</c:v>
                </c:pt>
                <c:pt idx="15">
                  <c:v>4.2955793530106041E-3</c:v>
                </c:pt>
                <c:pt idx="16">
                  <c:v>4.3819872110502237E-3</c:v>
                </c:pt>
                <c:pt idx="17">
                  <c:v>4.426696563245373E-3</c:v>
                </c:pt>
                <c:pt idx="18">
                  <c:v>4.3850124484381293E-3</c:v>
                </c:pt>
                <c:pt idx="19">
                  <c:v>5.1173808204073874E-3</c:v>
                </c:pt>
                <c:pt idx="20">
                  <c:v>4.5593347238617084E-3</c:v>
                </c:pt>
                <c:pt idx="21">
                  <c:v>4.2575190174435921E-3</c:v>
                </c:pt>
                <c:pt idx="22">
                  <c:v>4.6137183807508034E-3</c:v>
                </c:pt>
                <c:pt idx="23">
                  <c:v>4.7938048097622829E-3</c:v>
                </c:pt>
                <c:pt idx="24">
                  <c:v>4.9630650782112717E-3</c:v>
                </c:pt>
                <c:pt idx="25">
                  <c:v>4.1620283124489494E-3</c:v>
                </c:pt>
                <c:pt idx="26">
                  <c:v>3.9961416024139459E-3</c:v>
                </c:pt>
                <c:pt idx="27">
                  <c:v>3.8858571481569784E-3</c:v>
                </c:pt>
                <c:pt idx="28">
                  <c:v>3.9573837612364941E-3</c:v>
                </c:pt>
                <c:pt idx="29">
                  <c:v>4.3561289830271023E-3</c:v>
                </c:pt>
                <c:pt idx="30">
                  <c:v>4.1636009404273262E-3</c:v>
                </c:pt>
                <c:pt idx="31">
                  <c:v>4.4105082421174602E-3</c:v>
                </c:pt>
                <c:pt idx="32">
                  <c:v>3.902963718368499E-3</c:v>
                </c:pt>
                <c:pt idx="33">
                  <c:v>3.888034685284585E-3</c:v>
                </c:pt>
                <c:pt idx="34">
                  <c:v>4.0919432107792888E-3</c:v>
                </c:pt>
                <c:pt idx="35">
                  <c:v>4.7388973128727465E-3</c:v>
                </c:pt>
                <c:pt idx="36">
                  <c:v>3.9599130563009195E-3</c:v>
                </c:pt>
                <c:pt idx="37">
                  <c:v>3.6649598537092428E-3</c:v>
                </c:pt>
                <c:pt idx="38">
                  <c:v>4.8363213693272764E-3</c:v>
                </c:pt>
                <c:pt idx="39">
                  <c:v>4.0094312729796596E-3</c:v>
                </c:pt>
                <c:pt idx="40">
                  <c:v>3.6689448053811584E-3</c:v>
                </c:pt>
                <c:pt idx="41">
                  <c:v>4.0300095431918736E-3</c:v>
                </c:pt>
                <c:pt idx="42">
                  <c:v>3.9674044644606044E-3</c:v>
                </c:pt>
                <c:pt idx="43">
                  <c:v>4.5477326971527475E-3</c:v>
                </c:pt>
                <c:pt idx="44">
                  <c:v>4.7472897941552234E-3</c:v>
                </c:pt>
                <c:pt idx="45">
                  <c:v>4.2734280282094896E-3</c:v>
                </c:pt>
                <c:pt idx="46">
                  <c:v>4.4776577920887231E-3</c:v>
                </c:pt>
                <c:pt idx="47">
                  <c:v>5.3176965605781909E-3</c:v>
                </c:pt>
                <c:pt idx="48">
                  <c:v>3.9422603696950007E-3</c:v>
                </c:pt>
                <c:pt idx="49">
                  <c:v>4.1435685921207893E-3</c:v>
                </c:pt>
                <c:pt idx="50">
                  <c:v>4.5428494476128598E-3</c:v>
                </c:pt>
                <c:pt idx="51">
                  <c:v>4.1511844351681901E-3</c:v>
                </c:pt>
                <c:pt idx="52">
                  <c:v>4.4051863843879834E-3</c:v>
                </c:pt>
                <c:pt idx="53">
                  <c:v>4.5307925927241871E-3</c:v>
                </c:pt>
                <c:pt idx="54">
                  <c:v>4.6981761325566177E-3</c:v>
                </c:pt>
                <c:pt idx="55">
                  <c:v>5.1061326376465842E-3</c:v>
                </c:pt>
                <c:pt idx="56">
                  <c:v>5.3311638641315882E-3</c:v>
                </c:pt>
                <c:pt idx="57">
                  <c:v>4.5369216258444606E-3</c:v>
                </c:pt>
                <c:pt idx="58">
                  <c:v>5.7017354625863957E-3</c:v>
                </c:pt>
                <c:pt idx="59">
                  <c:v>5.4362182301445315E-3</c:v>
                </c:pt>
                <c:pt idx="60">
                  <c:v>5.1346459584533551E-3</c:v>
                </c:pt>
                <c:pt idx="61">
                  <c:v>5.9517765096080751E-3</c:v>
                </c:pt>
                <c:pt idx="62">
                  <c:v>5.1349788998156249E-3</c:v>
                </c:pt>
                <c:pt idx="63">
                  <c:v>5.2316624361637924E-3</c:v>
                </c:pt>
                <c:pt idx="64">
                  <c:v>5.6341954505637641E-3</c:v>
                </c:pt>
                <c:pt idx="65">
                  <c:v>5.4005173475836898E-3</c:v>
                </c:pt>
                <c:pt idx="66">
                  <c:v>4.8583706777454985E-3</c:v>
                </c:pt>
                <c:pt idx="67">
                  <c:v>5.7021761180348308E-3</c:v>
                </c:pt>
                <c:pt idx="68">
                  <c:v>5.5273659513665994E-3</c:v>
                </c:pt>
                <c:pt idx="69">
                  <c:v>5.4087090675539731E-3</c:v>
                </c:pt>
                <c:pt idx="70">
                  <c:v>5.8554639701100045E-3</c:v>
                </c:pt>
                <c:pt idx="71">
                  <c:v>6.8060261928487506E-3</c:v>
                </c:pt>
                <c:pt idx="72">
                  <c:v>8.1745376369006181E-3</c:v>
                </c:pt>
                <c:pt idx="73">
                  <c:v>6.2840932640285075E-3</c:v>
                </c:pt>
                <c:pt idx="74">
                  <c:v>7.5052932009846661E-3</c:v>
                </c:pt>
                <c:pt idx="75">
                  <c:v>8.7227932532009302E-3</c:v>
                </c:pt>
                <c:pt idx="76">
                  <c:v>8.390133692525668E-3</c:v>
                </c:pt>
                <c:pt idx="77">
                  <c:v>7.292956695336558E-3</c:v>
                </c:pt>
                <c:pt idx="78">
                  <c:v>1.9930675056461393E-2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4C1-4EB6-89C5-A31428E19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total goods exports</a:t>
                </a:r>
              </a:p>
            </c:rich>
          </c:tx>
          <c:overlay val="1"/>
        </c:title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8 product groups, by 6 months rolling average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NL</c:v>
          </c:tx>
          <c:spPr>
            <a:ln w="2400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hs_export_monthly!$L$1180:$L$1258</c:f>
              <c:numCache>
                <c:formatCode>0.0000%</c:formatCode>
                <c:ptCount val="7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4.0057770267456445E-2</c:v>
                </c:pt>
                <c:pt idx="6">
                  <c:v>4.0513901523564246E-2</c:v>
                </c:pt>
                <c:pt idx="7">
                  <c:v>4.0709633082036172E-2</c:v>
                </c:pt>
                <c:pt idx="8">
                  <c:v>4.2135309273904215E-2</c:v>
                </c:pt>
                <c:pt idx="9">
                  <c:v>4.1607438560066254E-2</c:v>
                </c:pt>
                <c:pt idx="10">
                  <c:v>4.0679757089258757E-2</c:v>
                </c:pt>
                <c:pt idx="11">
                  <c:v>4.1889249755787041E-2</c:v>
                </c:pt>
                <c:pt idx="12">
                  <c:v>4.2704369141898645E-2</c:v>
                </c:pt>
                <c:pt idx="13">
                  <c:v>4.3308336510446153E-2</c:v>
                </c:pt>
                <c:pt idx="14">
                  <c:v>4.2757819965469714E-2</c:v>
                </c:pt>
                <c:pt idx="15">
                  <c:v>4.2970675527607249E-2</c:v>
                </c:pt>
                <c:pt idx="16">
                  <c:v>4.16724596086804E-2</c:v>
                </c:pt>
                <c:pt idx="17">
                  <c:v>3.9651917177374991E-2</c:v>
                </c:pt>
                <c:pt idx="18">
                  <c:v>3.9076020460259542E-2</c:v>
                </c:pt>
                <c:pt idx="19">
                  <c:v>3.9385224718915798E-2</c:v>
                </c:pt>
                <c:pt idx="20">
                  <c:v>3.9507319289500305E-2</c:v>
                </c:pt>
                <c:pt idx="21">
                  <c:v>3.8671267847187864E-2</c:v>
                </c:pt>
                <c:pt idx="22">
                  <c:v>3.9383028384592927E-2</c:v>
                </c:pt>
                <c:pt idx="23">
                  <c:v>3.9748975431545923E-2</c:v>
                </c:pt>
                <c:pt idx="24">
                  <c:v>3.8801124291265476E-2</c:v>
                </c:pt>
                <c:pt idx="25">
                  <c:v>3.7817222048854439E-2</c:v>
                </c:pt>
                <c:pt idx="26">
                  <c:v>3.6739646887830046E-2</c:v>
                </c:pt>
                <c:pt idx="27">
                  <c:v>3.6259974112484654E-2</c:v>
                </c:pt>
                <c:pt idx="28">
                  <c:v>3.5694035836730052E-2</c:v>
                </c:pt>
                <c:pt idx="29">
                  <c:v>3.5118769096041481E-2</c:v>
                </c:pt>
                <c:pt idx="30">
                  <c:v>3.5108966031947207E-2</c:v>
                </c:pt>
                <c:pt idx="31">
                  <c:v>3.5986940328231465E-2</c:v>
                </c:pt>
                <c:pt idx="32">
                  <c:v>3.6248294903648032E-2</c:v>
                </c:pt>
                <c:pt idx="33">
                  <c:v>3.6390183030100165E-2</c:v>
                </c:pt>
                <c:pt idx="34">
                  <c:v>3.6803738602222226E-2</c:v>
                </c:pt>
                <c:pt idx="35">
                  <c:v>3.9013487372631106E-2</c:v>
                </c:pt>
                <c:pt idx="36">
                  <c:v>3.8516613508530091E-2</c:v>
                </c:pt>
                <c:pt idx="37">
                  <c:v>3.8482403205118143E-2</c:v>
                </c:pt>
                <c:pt idx="38">
                  <c:v>3.8782245228024648E-2</c:v>
                </c:pt>
                <c:pt idx="39">
                  <c:v>3.9817750368948933E-2</c:v>
                </c:pt>
                <c:pt idx="40">
                  <c:v>4.2403975913812654E-2</c:v>
                </c:pt>
                <c:pt idx="41">
                  <c:v>4.1286593113986345E-2</c:v>
                </c:pt>
                <c:pt idx="42">
                  <c:v>4.3418368459506605E-2</c:v>
                </c:pt>
                <c:pt idx="43">
                  <c:v>4.6836751073620793E-2</c:v>
                </c:pt>
                <c:pt idx="44">
                  <c:v>4.9287269598676693E-2</c:v>
                </c:pt>
                <c:pt idx="45">
                  <c:v>5.0317280299411217E-2</c:v>
                </c:pt>
                <c:pt idx="46">
                  <c:v>5.0129856919013886E-2</c:v>
                </c:pt>
                <c:pt idx="47">
                  <c:v>5.2476401793346387E-2</c:v>
                </c:pt>
                <c:pt idx="48">
                  <c:v>5.1930753401684439E-2</c:v>
                </c:pt>
                <c:pt idx="49">
                  <c:v>4.785228733913207E-2</c:v>
                </c:pt>
                <c:pt idx="50">
                  <c:v>4.7353416750800098E-2</c:v>
                </c:pt>
                <c:pt idx="51">
                  <c:v>4.7835254565702645E-2</c:v>
                </c:pt>
                <c:pt idx="52">
                  <c:v>4.7449586621239138E-2</c:v>
                </c:pt>
                <c:pt idx="53">
                  <c:v>4.5774534300163261E-2</c:v>
                </c:pt>
                <c:pt idx="54">
                  <c:v>4.5849989077559224E-2</c:v>
                </c:pt>
                <c:pt idx="55">
                  <c:v>4.8006182757055038E-2</c:v>
                </c:pt>
                <c:pt idx="56">
                  <c:v>4.9359806167639048E-2</c:v>
                </c:pt>
                <c:pt idx="57">
                  <c:v>5.015827998340449E-2</c:v>
                </c:pt>
                <c:pt idx="58">
                  <c:v>5.1981693852744905E-2</c:v>
                </c:pt>
                <c:pt idx="59">
                  <c:v>5.5511531365147339E-2</c:v>
                </c:pt>
                <c:pt idx="60">
                  <c:v>5.631657214021115E-2</c:v>
                </c:pt>
                <c:pt idx="61">
                  <c:v>5.6423053236004252E-2</c:v>
                </c:pt>
                <c:pt idx="62">
                  <c:v>5.5640223119736563E-2</c:v>
                </c:pt>
                <c:pt idx="63">
                  <c:v>5.539704895709896E-2</c:v>
                </c:pt>
                <c:pt idx="64">
                  <c:v>5.4296817206622244E-2</c:v>
                </c:pt>
                <c:pt idx="65">
                  <c:v>5.1387581135267979E-2</c:v>
                </c:pt>
                <c:pt idx="66">
                  <c:v>5.2432871449145498E-2</c:v>
                </c:pt>
                <c:pt idx="67">
                  <c:v>5.3398816573761665E-2</c:v>
                </c:pt>
                <c:pt idx="68">
                  <c:v>5.5740723454325493E-2</c:v>
                </c:pt>
                <c:pt idx="69">
                  <c:v>5.5272325229976486E-2</c:v>
                </c:pt>
                <c:pt idx="70">
                  <c:v>5.5794182647082975E-2</c:v>
                </c:pt>
                <c:pt idx="71">
                  <c:v>6.1312177585303711E-2</c:v>
                </c:pt>
                <c:pt idx="72">
                  <c:v>6.0354544760687141E-2</c:v>
                </c:pt>
                <c:pt idx="73">
                  <c:v>5.9609820575758359E-2</c:v>
                </c:pt>
                <c:pt idx="74">
                  <c:v>5.7154069945943159E-2</c:v>
                </c:pt>
                <c:pt idx="75">
                  <c:v>5.8161964742636928E-2</c:v>
                </c:pt>
                <c:pt idx="76">
                  <c:v>5.711696521336735E-2</c:v>
                </c:pt>
                <c:pt idx="77">
                  <c:v>5.632087538057054E-2</c:v>
                </c:pt>
                <c:pt idx="78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60-4A63-948E-1776DBA4350B}"/>
            </c:ext>
          </c:extLst>
        </c:ser>
        <c:ser>
          <c:idx val="1"/>
          <c:order val="1"/>
          <c:tx>
            <c:v>EA</c:v>
          </c:tx>
          <c:spPr>
            <a:ln w="2400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hs_export_monthly!$L$1259:$L$1337</c:f>
              <c:numCache>
                <c:formatCode>0.0000%</c:formatCode>
                <c:ptCount val="7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1.0517372117994507E-2</c:v>
                </c:pt>
                <c:pt idx="6">
                  <c:v>1.0507686631765481E-2</c:v>
                </c:pt>
                <c:pt idx="7">
                  <c:v>1.0695897083355199E-2</c:v>
                </c:pt>
                <c:pt idx="8">
                  <c:v>1.0879618590462894E-2</c:v>
                </c:pt>
                <c:pt idx="9">
                  <c:v>1.0458597077774537E-2</c:v>
                </c:pt>
                <c:pt idx="10">
                  <c:v>1.0152749398335867E-2</c:v>
                </c:pt>
                <c:pt idx="11">
                  <c:v>1.0449851478756553E-2</c:v>
                </c:pt>
                <c:pt idx="12">
                  <c:v>1.0734952624999029E-2</c:v>
                </c:pt>
                <c:pt idx="13">
                  <c:v>1.0735551527790021E-2</c:v>
                </c:pt>
                <c:pt idx="14">
                  <c:v>1.0707824570400419E-2</c:v>
                </c:pt>
                <c:pt idx="15">
                  <c:v>1.0771257248577729E-2</c:v>
                </c:pt>
                <c:pt idx="16">
                  <c:v>1.0515951663635845E-2</c:v>
                </c:pt>
                <c:pt idx="17">
                  <c:v>1.0054582492654757E-2</c:v>
                </c:pt>
                <c:pt idx="18">
                  <c:v>9.8557370895099253E-3</c:v>
                </c:pt>
                <c:pt idx="19">
                  <c:v>1.013467558971879E-2</c:v>
                </c:pt>
                <c:pt idx="20">
                  <c:v>1.0223919168675892E-2</c:v>
                </c:pt>
                <c:pt idx="21">
                  <c:v>1.010056418528797E-2</c:v>
                </c:pt>
                <c:pt idx="22">
                  <c:v>1.0301835530286083E-2</c:v>
                </c:pt>
                <c:pt idx="23">
                  <c:v>1.0499707414068339E-2</c:v>
                </c:pt>
                <c:pt idx="24">
                  <c:v>1.0464906532032331E-2</c:v>
                </c:pt>
                <c:pt idx="25">
                  <c:v>1.0082034633958585E-2</c:v>
                </c:pt>
                <c:pt idx="26">
                  <c:v>9.8289352510994472E-3</c:v>
                </c:pt>
                <c:pt idx="27">
                  <c:v>9.751445393584194E-3</c:v>
                </c:pt>
                <c:pt idx="28">
                  <c:v>9.5675389937051863E-3</c:v>
                </c:pt>
                <c:pt idx="29">
                  <c:v>9.4191986417422411E-3</c:v>
                </c:pt>
                <c:pt idx="30">
                  <c:v>9.3271840329079512E-3</c:v>
                </c:pt>
                <c:pt idx="31">
                  <c:v>9.6535812422477389E-3</c:v>
                </c:pt>
                <c:pt idx="32">
                  <c:v>9.7582855266311157E-3</c:v>
                </c:pt>
                <c:pt idx="33">
                  <c:v>9.8292986810345501E-3</c:v>
                </c:pt>
                <c:pt idx="34">
                  <c:v>9.9469776480910297E-3</c:v>
                </c:pt>
                <c:pt idx="35">
                  <c:v>1.039861852240433E-2</c:v>
                </c:pt>
                <c:pt idx="36">
                  <c:v>1.031212999472704E-2</c:v>
                </c:pt>
                <c:pt idx="37">
                  <c:v>1.0106033572763828E-2</c:v>
                </c:pt>
                <c:pt idx="38">
                  <c:v>1.0202003467995E-2</c:v>
                </c:pt>
                <c:pt idx="39">
                  <c:v>1.0308623193087141E-2</c:v>
                </c:pt>
                <c:pt idx="40">
                  <c:v>1.0639615258850087E-2</c:v>
                </c:pt>
                <c:pt idx="41">
                  <c:v>1.0243943070323641E-2</c:v>
                </c:pt>
                <c:pt idx="42">
                  <c:v>1.0523199229845667E-2</c:v>
                </c:pt>
                <c:pt idx="43">
                  <c:v>1.1314334515275498E-2</c:v>
                </c:pt>
                <c:pt idx="44">
                  <c:v>1.1756257795108518E-2</c:v>
                </c:pt>
                <c:pt idx="45">
                  <c:v>1.1975233681558041E-2</c:v>
                </c:pt>
                <c:pt idx="46">
                  <c:v>1.2043344931444058E-2</c:v>
                </c:pt>
                <c:pt idx="47">
                  <c:v>1.2686030810558982E-2</c:v>
                </c:pt>
                <c:pt idx="48">
                  <c:v>1.2605922061129848E-2</c:v>
                </c:pt>
                <c:pt idx="49">
                  <c:v>1.1710371436161535E-2</c:v>
                </c:pt>
                <c:pt idx="50">
                  <c:v>1.1573487265777794E-2</c:v>
                </c:pt>
                <c:pt idx="51">
                  <c:v>1.1590114101658838E-2</c:v>
                </c:pt>
                <c:pt idx="52">
                  <c:v>1.1512105220286145E-2</c:v>
                </c:pt>
                <c:pt idx="53">
                  <c:v>1.1066646731621865E-2</c:v>
                </c:pt>
                <c:pt idx="54">
                  <c:v>1.1177222470028952E-2</c:v>
                </c:pt>
                <c:pt idx="55">
                  <c:v>1.1812489032878811E-2</c:v>
                </c:pt>
                <c:pt idx="56">
                  <c:v>1.2174072470655712E-2</c:v>
                </c:pt>
                <c:pt idx="57">
                  <c:v>1.2425161996944383E-2</c:v>
                </c:pt>
                <c:pt idx="58">
                  <c:v>1.2962552706404472E-2</c:v>
                </c:pt>
                <c:pt idx="59">
                  <c:v>1.3784708663491843E-2</c:v>
                </c:pt>
                <c:pt idx="60">
                  <c:v>1.4023092903592571E-2</c:v>
                </c:pt>
                <c:pt idx="61">
                  <c:v>1.4038810781765415E-2</c:v>
                </c:pt>
                <c:pt idx="62">
                  <c:v>1.3811395949054757E-2</c:v>
                </c:pt>
                <c:pt idx="63">
                  <c:v>1.3844514098231129E-2</c:v>
                </c:pt>
                <c:pt idx="64">
                  <c:v>1.3602406976441767E-2</c:v>
                </c:pt>
                <c:pt idx="65">
                  <c:v>1.3027752485564911E-2</c:v>
                </c:pt>
                <c:pt idx="66">
                  <c:v>1.3103565632268693E-2</c:v>
                </c:pt>
                <c:pt idx="67">
                  <c:v>1.3382373623776487E-2</c:v>
                </c:pt>
                <c:pt idx="68">
                  <c:v>1.3851897867603456E-2</c:v>
                </c:pt>
                <c:pt idx="69">
                  <c:v>1.3814915341163829E-2</c:v>
                </c:pt>
                <c:pt idx="70">
                  <c:v>1.401799826353492E-2</c:v>
                </c:pt>
                <c:pt idx="71">
                  <c:v>1.5286339530128359E-2</c:v>
                </c:pt>
                <c:pt idx="72">
                  <c:v>1.5658525605521566E-2</c:v>
                </c:pt>
                <c:pt idx="73">
                  <c:v>1.5434558795789999E-2</c:v>
                </c:pt>
                <c:pt idx="74">
                  <c:v>1.5321584539791849E-2</c:v>
                </c:pt>
                <c:pt idx="75">
                  <c:v>1.5959850754209842E-2</c:v>
                </c:pt>
                <c:pt idx="76">
                  <c:v>1.6123226663818848E-2</c:v>
                </c:pt>
                <c:pt idx="77">
                  <c:v>1.6009252988698468E-2</c:v>
                </c:pt>
                <c:pt idx="78">
                  <c:v>1.6945851173121956E-2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A60-4A63-948E-1776DBA4350B}"/>
            </c:ext>
          </c:extLst>
        </c:ser>
        <c:ser>
          <c:idx val="2"/>
          <c:order val="2"/>
          <c:tx>
            <c:v>EA excl NL</c:v>
          </c:tx>
          <c:spPr>
            <a:ln w="24000">
              <a:solidFill>
                <a:srgbClr val="A5A5A5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hs_export_monthly!$L$1338:$L$1416</c:f>
              <c:numCache>
                <c:formatCode>0.0000%</c:formatCode>
                <c:ptCount val="7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4.8207694928321639E-3</c:v>
                </c:pt>
                <c:pt idx="6">
                  <c:v>4.7813652150344782E-3</c:v>
                </c:pt>
                <c:pt idx="7">
                  <c:v>4.9055597663551559E-3</c:v>
                </c:pt>
                <c:pt idx="8">
                  <c:v>4.9022358920414134E-3</c:v>
                </c:pt>
                <c:pt idx="9">
                  <c:v>4.6610478305493348E-3</c:v>
                </c:pt>
                <c:pt idx="10">
                  <c:v>4.5258869717620543E-3</c:v>
                </c:pt>
                <c:pt idx="11">
                  <c:v>4.5821889793233516E-3</c:v>
                </c:pt>
                <c:pt idx="12">
                  <c:v>4.686809899361045E-3</c:v>
                </c:pt>
                <c:pt idx="13">
                  <c:v>4.6059453691827358E-3</c:v>
                </c:pt>
                <c:pt idx="14">
                  <c:v>4.6125525030308962E-3</c:v>
                </c:pt>
                <c:pt idx="15">
                  <c:v>4.6257720794899747E-3</c:v>
                </c:pt>
                <c:pt idx="16">
                  <c:v>4.5643093029755343E-3</c:v>
                </c:pt>
                <c:pt idx="17">
                  <c:v>4.4403994671880177E-3</c:v>
                </c:pt>
                <c:pt idx="18">
                  <c:v>4.3403451867622929E-3</c:v>
                </c:pt>
                <c:pt idx="19">
                  <c:v>4.4849051954542821E-3</c:v>
                </c:pt>
                <c:pt idx="20">
                  <c:v>4.5276651866689045E-3</c:v>
                </c:pt>
                <c:pt idx="21">
                  <c:v>4.5213217974077362E-3</c:v>
                </c:pt>
                <c:pt idx="22">
                  <c:v>4.5599436590244994E-3</c:v>
                </c:pt>
                <c:pt idx="23">
                  <c:v>4.6211283667773181E-3</c:v>
                </c:pt>
                <c:pt idx="24">
                  <c:v>4.7174704717395073E-3</c:v>
                </c:pt>
                <c:pt idx="25">
                  <c:v>4.5582450537464351E-3</c:v>
                </c:pt>
                <c:pt idx="26">
                  <c:v>4.4643795335051412E-3</c:v>
                </c:pt>
                <c:pt idx="27">
                  <c:v>4.4024358886240386E-3</c:v>
                </c:pt>
                <c:pt idx="28">
                  <c:v>4.293046785371654E-3</c:v>
                </c:pt>
                <c:pt idx="29">
                  <c:v>4.2201008142491231E-3</c:v>
                </c:pt>
                <c:pt idx="30">
                  <c:v>4.0868567912851319E-3</c:v>
                </c:pt>
                <c:pt idx="31">
                  <c:v>4.1282701128965505E-3</c:v>
                </c:pt>
                <c:pt idx="32">
                  <c:v>4.1127404655556428E-3</c:v>
                </c:pt>
                <c:pt idx="33">
                  <c:v>4.1131033884102448E-3</c:v>
                </c:pt>
                <c:pt idx="34">
                  <c:v>4.1355299633340434E-3</c:v>
                </c:pt>
                <c:pt idx="35">
                  <c:v>4.1993246849749847E-3</c:v>
                </c:pt>
                <c:pt idx="36">
                  <c:v>4.1653767042872493E-3</c:v>
                </c:pt>
                <c:pt idx="37">
                  <c:v>4.041118639552547E-3</c:v>
                </c:pt>
                <c:pt idx="38">
                  <c:v>4.1966782480456766E-3</c:v>
                </c:pt>
                <c:pt idx="39">
                  <c:v>4.2169110126615223E-3</c:v>
                </c:pt>
                <c:pt idx="40">
                  <c:v>4.1464112784285008E-3</c:v>
                </c:pt>
                <c:pt idx="41">
                  <c:v>4.0282633168150219E-3</c:v>
                </c:pt>
                <c:pt idx="42">
                  <c:v>4.0295118848416361E-3</c:v>
                </c:pt>
                <c:pt idx="43">
                  <c:v>4.1766406920822194E-3</c:v>
                </c:pt>
                <c:pt idx="44">
                  <c:v>4.1618020962202107E-3</c:v>
                </c:pt>
                <c:pt idx="45">
                  <c:v>4.2058015554251827E-3</c:v>
                </c:pt>
                <c:pt idx="46">
                  <c:v>4.3405870532097768E-3</c:v>
                </c:pt>
                <c:pt idx="47">
                  <c:v>4.5552015561074969E-3</c:v>
                </c:pt>
                <c:pt idx="48">
                  <c:v>4.5510108736465625E-3</c:v>
                </c:pt>
                <c:pt idx="49">
                  <c:v>4.4836501894745693E-3</c:v>
                </c:pt>
                <c:pt idx="50">
                  <c:v>4.4495767983841758E-3</c:v>
                </c:pt>
                <c:pt idx="51">
                  <c:v>4.4292028662106251E-3</c:v>
                </c:pt>
                <c:pt idx="52">
                  <c:v>4.4171242982605019E-3</c:v>
                </c:pt>
                <c:pt idx="53">
                  <c:v>4.2859736369515013E-3</c:v>
                </c:pt>
                <c:pt idx="54">
                  <c:v>4.4119595974284375E-3</c:v>
                </c:pt>
                <c:pt idx="55">
                  <c:v>4.5723869383494037E-3</c:v>
                </c:pt>
                <c:pt idx="56">
                  <c:v>4.7037726744358589E-3</c:v>
                </c:pt>
                <c:pt idx="57">
                  <c:v>4.7680622062152367E-3</c:v>
                </c:pt>
                <c:pt idx="58">
                  <c:v>4.9841537192483057E-3</c:v>
                </c:pt>
                <c:pt idx="59">
                  <c:v>5.135057992151696E-3</c:v>
                </c:pt>
                <c:pt idx="60">
                  <c:v>5.2078029631344863E-3</c:v>
                </c:pt>
                <c:pt idx="61">
                  <c:v>5.3487436084614015E-3</c:v>
                </c:pt>
                <c:pt idx="62">
                  <c:v>5.3160461144087399E-3</c:v>
                </c:pt>
                <c:pt idx="63">
                  <c:v>5.4318362494619613E-3</c:v>
                </c:pt>
                <c:pt idx="64">
                  <c:v>5.4205795807915234E-3</c:v>
                </c:pt>
                <c:pt idx="65">
                  <c:v>5.4146294336980504E-3</c:v>
                </c:pt>
                <c:pt idx="66">
                  <c:v>5.3685835535800738E-3</c:v>
                </c:pt>
                <c:pt idx="67">
                  <c:v>5.3269834883178666E-3</c:v>
                </c:pt>
                <c:pt idx="68">
                  <c:v>5.392381330243029E-3</c:v>
                </c:pt>
                <c:pt idx="69">
                  <c:v>5.4218891021413926E-3</c:v>
                </c:pt>
                <c:pt idx="70">
                  <c:v>5.4587671887324331E-3</c:v>
                </c:pt>
                <c:pt idx="71">
                  <c:v>5.6930186629432769E-3</c:v>
                </c:pt>
                <c:pt idx="72">
                  <c:v>6.2457131561357961E-3</c:v>
                </c:pt>
                <c:pt idx="73">
                  <c:v>6.3426993471347413E-3</c:v>
                </c:pt>
                <c:pt idx="74">
                  <c:v>6.6723538887377533E-3</c:v>
                </c:pt>
                <c:pt idx="75">
                  <c:v>7.2247012530122466E-3</c:v>
                </c:pt>
                <c:pt idx="76">
                  <c:v>7.6471462067481911E-3</c:v>
                </c:pt>
                <c:pt idx="77">
                  <c:v>7.7283012904961583E-3</c:v>
                </c:pt>
                <c:pt idx="78">
                  <c:v>9.6876575270896208E-3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A60-4A63-948E-1776DBA43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total goods exports</a:t>
                </a:r>
              </a:p>
            </c:rich>
          </c:tx>
          <c:overlay val="1"/>
        </c:title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5 product groups, by month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NL</c:v>
          </c:tx>
          <c:spPr>
            <a:ln w="2400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hs_export_monthly!$M$943:$M$1021</c:f>
              <c:numCache>
                <c:formatCode>0.0000%</c:formatCode>
                <c:ptCount val="79"/>
                <c:pt idx="0">
                  <c:v>1.3331178233230169E-2</c:v>
                </c:pt>
                <c:pt idx="1">
                  <c:v>1.8502533047319948E-2</c:v>
                </c:pt>
                <c:pt idx="2">
                  <c:v>2.1631372436293119E-2</c:v>
                </c:pt>
                <c:pt idx="3">
                  <c:v>2.0166324243845637E-2</c:v>
                </c:pt>
                <c:pt idx="4">
                  <c:v>2.694091785696905E-2</c:v>
                </c:pt>
                <c:pt idx="5">
                  <c:v>2.7887057747965162E-2</c:v>
                </c:pt>
                <c:pt idx="6">
                  <c:v>1.6138115948902194E-2</c:v>
                </c:pt>
                <c:pt idx="7">
                  <c:v>1.8303486604514706E-2</c:v>
                </c:pt>
                <c:pt idx="8">
                  <c:v>2.978450008147325E-2</c:v>
                </c:pt>
                <c:pt idx="9">
                  <c:v>1.7553448756224378E-2</c:v>
                </c:pt>
                <c:pt idx="10">
                  <c:v>2.215117416372097E-2</c:v>
                </c:pt>
                <c:pt idx="11">
                  <c:v>3.6004672599143028E-2</c:v>
                </c:pt>
                <c:pt idx="12">
                  <c:v>2.1637886602659757E-2</c:v>
                </c:pt>
                <c:pt idx="13">
                  <c:v>2.3674856370620029E-2</c:v>
                </c:pt>
                <c:pt idx="14">
                  <c:v>2.7187532045373004E-2</c:v>
                </c:pt>
                <c:pt idx="15">
                  <c:v>2.2478440958922964E-2</c:v>
                </c:pt>
                <c:pt idx="16">
                  <c:v>1.6011792238233357E-2</c:v>
                </c:pt>
                <c:pt idx="17">
                  <c:v>2.8092458429607264E-2</c:v>
                </c:pt>
                <c:pt idx="18">
                  <c:v>2.3648914980305691E-2</c:v>
                </c:pt>
                <c:pt idx="19">
                  <c:v>2.6088110514465222E-2</c:v>
                </c:pt>
                <c:pt idx="20">
                  <c:v>2.8698316879152617E-2</c:v>
                </c:pt>
                <c:pt idx="21">
                  <c:v>1.7796392195534267E-2</c:v>
                </c:pt>
                <c:pt idx="22">
                  <c:v>2.0837370262082835E-2</c:v>
                </c:pt>
                <c:pt idx="23">
                  <c:v>2.9111856068295645E-2</c:v>
                </c:pt>
                <c:pt idx="24">
                  <c:v>1.4959705582574565E-2</c:v>
                </c:pt>
                <c:pt idx="25">
                  <c:v>2.0993185520254157E-2</c:v>
                </c:pt>
                <c:pt idx="26">
                  <c:v>2.4988932444137819E-2</c:v>
                </c:pt>
                <c:pt idx="27">
                  <c:v>1.6445597380328417E-2</c:v>
                </c:pt>
                <c:pt idx="28">
                  <c:v>1.9335982540086817E-2</c:v>
                </c:pt>
                <c:pt idx="29">
                  <c:v>2.6835753227891307E-2</c:v>
                </c:pt>
                <c:pt idx="30">
                  <c:v>1.6351243064847504E-2</c:v>
                </c:pt>
                <c:pt idx="31">
                  <c:v>2.3768285492367442E-2</c:v>
                </c:pt>
                <c:pt idx="32">
                  <c:v>2.45565978998558E-2</c:v>
                </c:pt>
                <c:pt idx="33">
                  <c:v>1.6001421699667392E-2</c:v>
                </c:pt>
                <c:pt idx="34">
                  <c:v>2.0653275215343825E-2</c:v>
                </c:pt>
                <c:pt idx="35">
                  <c:v>3.919103259774627E-2</c:v>
                </c:pt>
                <c:pt idx="36">
                  <c:v>1.2046844364415932E-2</c:v>
                </c:pt>
                <c:pt idx="37">
                  <c:v>2.149750768218333E-2</c:v>
                </c:pt>
                <c:pt idx="38">
                  <c:v>2.4549444586585593E-2</c:v>
                </c:pt>
                <c:pt idx="39">
                  <c:v>2.0627071150978574E-2</c:v>
                </c:pt>
                <c:pt idx="40">
                  <c:v>2.9092845895870863E-2</c:v>
                </c:pt>
                <c:pt idx="41">
                  <c:v>3.2209477082603521E-2</c:v>
                </c:pt>
                <c:pt idx="42">
                  <c:v>2.1165760404117911E-2</c:v>
                </c:pt>
                <c:pt idx="43">
                  <c:v>3.0474872546587609E-2</c:v>
                </c:pt>
                <c:pt idx="44">
                  <c:v>3.0319154095411985E-2</c:v>
                </c:pt>
                <c:pt idx="45">
                  <c:v>1.9495192946570161E-2</c:v>
                </c:pt>
                <c:pt idx="46">
                  <c:v>2.9743685904103225E-2</c:v>
                </c:pt>
                <c:pt idx="47">
                  <c:v>3.9450082455015627E-2</c:v>
                </c:pt>
                <c:pt idx="48">
                  <c:v>1.9063468098310835E-2</c:v>
                </c:pt>
                <c:pt idx="49">
                  <c:v>1.8736398618738173E-2</c:v>
                </c:pt>
                <c:pt idx="50">
                  <c:v>3.2171771936116027E-2</c:v>
                </c:pt>
                <c:pt idx="51">
                  <c:v>2.3253762564886708E-2</c:v>
                </c:pt>
                <c:pt idx="52">
                  <c:v>2.4216161538288723E-2</c:v>
                </c:pt>
                <c:pt idx="53">
                  <c:v>3.1424043618757204E-2</c:v>
                </c:pt>
                <c:pt idx="54">
                  <c:v>2.0716200531154864E-2</c:v>
                </c:pt>
                <c:pt idx="55">
                  <c:v>2.1057472702280949E-2</c:v>
                </c:pt>
                <c:pt idx="56">
                  <c:v>3.9514571316933034E-2</c:v>
                </c:pt>
                <c:pt idx="57">
                  <c:v>2.3448214287147686E-2</c:v>
                </c:pt>
                <c:pt idx="58">
                  <c:v>3.3311552835309163E-2</c:v>
                </c:pt>
                <c:pt idx="59">
                  <c:v>5.3180908983710647E-2</c:v>
                </c:pt>
                <c:pt idx="60">
                  <c:v>1.5356975461163269E-2</c:v>
                </c:pt>
                <c:pt idx="61">
                  <c:v>2.8456133259787991E-2</c:v>
                </c:pt>
                <c:pt idx="62">
                  <c:v>3.3578217875222874E-2</c:v>
                </c:pt>
                <c:pt idx="63">
                  <c:v>2.3858228608330784E-2</c:v>
                </c:pt>
                <c:pt idx="64">
                  <c:v>2.7829473213782242E-2</c:v>
                </c:pt>
                <c:pt idx="65">
                  <c:v>3.4255518659844129E-2</c:v>
                </c:pt>
                <c:pt idx="66">
                  <c:v>2.4146441192013455E-2</c:v>
                </c:pt>
                <c:pt idx="67">
                  <c:v>2.8894325271759985E-2</c:v>
                </c:pt>
                <c:pt idx="68">
                  <c:v>4.0068606014284712E-2</c:v>
                </c:pt>
                <c:pt idx="69">
                  <c:v>2.491902387112057E-2</c:v>
                </c:pt>
                <c:pt idx="70">
                  <c:v>2.4192836974430483E-2</c:v>
                </c:pt>
                <c:pt idx="71">
                  <c:v>4.9132358792279139E-2</c:v>
                </c:pt>
                <c:pt idx="72">
                  <c:v>1.5178900279464998E-2</c:v>
                </c:pt>
                <c:pt idx="73">
                  <c:v>2.4981126428904106E-2</c:v>
                </c:pt>
                <c:pt idx="74">
                  <c:v>2.1652003163561841E-2</c:v>
                </c:pt>
                <c:pt idx="75">
                  <c:v>1.9515765743765009E-2</c:v>
                </c:pt>
                <c:pt idx="76">
                  <c:v>1.3017046921638362E-2</c:v>
                </c:pt>
                <c:pt idx="77">
                  <c:v>3.3550875140152488E-2</c:v>
                </c:pt>
                <c:pt idx="78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D5-4F29-96AB-16A14FEFCE5B}"/>
            </c:ext>
          </c:extLst>
        </c:ser>
        <c:ser>
          <c:idx val="1"/>
          <c:order val="1"/>
          <c:tx>
            <c:v>EA</c:v>
          </c:tx>
          <c:spPr>
            <a:ln w="2400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hs_export_monthly!$M$1022:$M$1100</c:f>
              <c:numCache>
                <c:formatCode>0.0000%</c:formatCode>
                <c:ptCount val="79"/>
                <c:pt idx="0">
                  <c:v>3.1267896401969125E-3</c:v>
                </c:pt>
                <c:pt idx="1">
                  <c:v>3.4992236314853398E-3</c:v>
                </c:pt>
                <c:pt idx="2">
                  <c:v>4.2005932915515597E-3</c:v>
                </c:pt>
                <c:pt idx="3">
                  <c:v>4.596163436251406E-3</c:v>
                </c:pt>
                <c:pt idx="4">
                  <c:v>5.5749635868425308E-3</c:v>
                </c:pt>
                <c:pt idx="5">
                  <c:v>5.3774325936019702E-3</c:v>
                </c:pt>
                <c:pt idx="6">
                  <c:v>3.3147448872913811E-3</c:v>
                </c:pt>
                <c:pt idx="7">
                  <c:v>3.9244466429268132E-3</c:v>
                </c:pt>
                <c:pt idx="8">
                  <c:v>5.3248876591764256E-3</c:v>
                </c:pt>
                <c:pt idx="9">
                  <c:v>3.5410061812683876E-3</c:v>
                </c:pt>
                <c:pt idx="10">
                  <c:v>4.3802873870595468E-3</c:v>
                </c:pt>
                <c:pt idx="11">
                  <c:v>6.9682769860970094E-3</c:v>
                </c:pt>
                <c:pt idx="12">
                  <c:v>4.6967042504278316E-3</c:v>
                </c:pt>
                <c:pt idx="13">
                  <c:v>4.5036203465952419E-3</c:v>
                </c:pt>
                <c:pt idx="14">
                  <c:v>5.1992179749981758E-3</c:v>
                </c:pt>
                <c:pt idx="15">
                  <c:v>4.363665817064653E-3</c:v>
                </c:pt>
                <c:pt idx="16">
                  <c:v>3.4487313775252077E-3</c:v>
                </c:pt>
                <c:pt idx="17">
                  <c:v>5.4163626742705188E-3</c:v>
                </c:pt>
                <c:pt idx="18">
                  <c:v>4.6470653876596575E-3</c:v>
                </c:pt>
                <c:pt idx="19">
                  <c:v>5.5821087655658786E-3</c:v>
                </c:pt>
                <c:pt idx="20">
                  <c:v>5.7713235032553116E-3</c:v>
                </c:pt>
                <c:pt idx="21">
                  <c:v>3.795592535605765E-3</c:v>
                </c:pt>
                <c:pt idx="22">
                  <c:v>4.397279846961164E-3</c:v>
                </c:pt>
                <c:pt idx="23">
                  <c:v>6.1091103181118971E-3</c:v>
                </c:pt>
                <c:pt idx="24">
                  <c:v>3.3344796128468475E-3</c:v>
                </c:pt>
                <c:pt idx="25">
                  <c:v>4.2528030098395305E-3</c:v>
                </c:pt>
                <c:pt idx="26">
                  <c:v>5.0144420026967222E-3</c:v>
                </c:pt>
                <c:pt idx="27">
                  <c:v>3.7823768533762326E-3</c:v>
                </c:pt>
                <c:pt idx="28">
                  <c:v>4.2095535438552651E-3</c:v>
                </c:pt>
                <c:pt idx="29">
                  <c:v>5.8795723034173741E-3</c:v>
                </c:pt>
                <c:pt idx="30">
                  <c:v>3.7622709946378364E-3</c:v>
                </c:pt>
                <c:pt idx="31">
                  <c:v>5.4327681767610903E-3</c:v>
                </c:pt>
                <c:pt idx="32">
                  <c:v>5.2816267708330833E-3</c:v>
                </c:pt>
                <c:pt idx="33">
                  <c:v>3.7802277085954906E-3</c:v>
                </c:pt>
                <c:pt idx="34">
                  <c:v>4.5859021889704905E-3</c:v>
                </c:pt>
                <c:pt idx="35">
                  <c:v>8.2816551641537121E-3</c:v>
                </c:pt>
                <c:pt idx="36">
                  <c:v>3.0399751042781802E-3</c:v>
                </c:pt>
                <c:pt idx="37">
                  <c:v>4.5623810326115635E-3</c:v>
                </c:pt>
                <c:pt idx="38">
                  <c:v>5.5298300519619368E-3</c:v>
                </c:pt>
                <c:pt idx="39">
                  <c:v>4.5050022061690603E-3</c:v>
                </c:pt>
                <c:pt idx="40">
                  <c:v>5.7380617994281687E-3</c:v>
                </c:pt>
                <c:pt idx="41">
                  <c:v>6.5335576405137052E-3</c:v>
                </c:pt>
                <c:pt idx="42">
                  <c:v>4.6510335851662468E-3</c:v>
                </c:pt>
                <c:pt idx="43">
                  <c:v>6.744798473976135E-3</c:v>
                </c:pt>
                <c:pt idx="44">
                  <c:v>6.510468375187933E-3</c:v>
                </c:pt>
                <c:pt idx="45">
                  <c:v>4.3438438701513581E-3</c:v>
                </c:pt>
                <c:pt idx="46">
                  <c:v>6.1760553832492585E-3</c:v>
                </c:pt>
                <c:pt idx="47">
                  <c:v>8.5326064998199717E-3</c:v>
                </c:pt>
                <c:pt idx="48">
                  <c:v>4.170916947110229E-3</c:v>
                </c:pt>
                <c:pt idx="49">
                  <c:v>4.0472377035352522E-3</c:v>
                </c:pt>
                <c:pt idx="50">
                  <c:v>6.8279418116195534E-3</c:v>
                </c:pt>
                <c:pt idx="51">
                  <c:v>5.0008560878907074E-3</c:v>
                </c:pt>
                <c:pt idx="52">
                  <c:v>5.379110398100179E-3</c:v>
                </c:pt>
                <c:pt idx="53">
                  <c:v>6.6065609045451576E-3</c:v>
                </c:pt>
                <c:pt idx="54">
                  <c:v>4.6398790099308231E-3</c:v>
                </c:pt>
                <c:pt idx="55">
                  <c:v>5.1417950343299159E-3</c:v>
                </c:pt>
                <c:pt idx="56">
                  <c:v>8.2007418597489293E-3</c:v>
                </c:pt>
                <c:pt idx="57">
                  <c:v>5.1455648083666592E-3</c:v>
                </c:pt>
                <c:pt idx="58">
                  <c:v>7.0059751907810865E-3</c:v>
                </c:pt>
                <c:pt idx="59">
                  <c:v>1.1179679835389793E-2</c:v>
                </c:pt>
                <c:pt idx="60">
                  <c:v>3.6874487829915105E-3</c:v>
                </c:pt>
                <c:pt idx="61">
                  <c:v>6.2213256013539144E-3</c:v>
                </c:pt>
                <c:pt idx="62">
                  <c:v>6.7731739184516996E-3</c:v>
                </c:pt>
                <c:pt idx="63">
                  <c:v>5.2807519879878567E-3</c:v>
                </c:pt>
                <c:pt idx="64">
                  <c:v>5.9062750873660579E-3</c:v>
                </c:pt>
                <c:pt idx="65">
                  <c:v>6.9578824040836644E-3</c:v>
                </c:pt>
                <c:pt idx="66">
                  <c:v>5.0605192475068833E-3</c:v>
                </c:pt>
                <c:pt idx="67">
                  <c:v>6.6815554323437715E-3</c:v>
                </c:pt>
                <c:pt idx="68">
                  <c:v>7.6445062915886227E-3</c:v>
                </c:pt>
                <c:pt idx="69">
                  <c:v>5.4991262430783838E-3</c:v>
                </c:pt>
                <c:pt idx="70">
                  <c:v>5.7720490467442244E-3</c:v>
                </c:pt>
                <c:pt idx="71">
                  <c:v>1.0269028636006533E-2</c:v>
                </c:pt>
                <c:pt idx="72">
                  <c:v>3.6822306919883402E-3</c:v>
                </c:pt>
                <c:pt idx="73">
                  <c:v>5.0457063421157347E-3</c:v>
                </c:pt>
                <c:pt idx="74">
                  <c:v>4.8098066476328707E-3</c:v>
                </c:pt>
                <c:pt idx="75">
                  <c:v>4.2935850761286649E-3</c:v>
                </c:pt>
                <c:pt idx="76">
                  <c:v>3.3317485440855343E-3</c:v>
                </c:pt>
                <c:pt idx="77">
                  <c:v>7.1527580522279637E-3</c:v>
                </c:pt>
                <c:pt idx="78">
                  <c:v>2.687306235747699E-4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D5-4F29-96AB-16A14FEFCE5B}"/>
            </c:ext>
          </c:extLst>
        </c:ser>
        <c:ser>
          <c:idx val="2"/>
          <c:order val="2"/>
          <c:tx>
            <c:v>EA excl NL</c:v>
          </c:tx>
          <c:spPr>
            <a:ln w="24000">
              <a:solidFill>
                <a:srgbClr val="A5A5A5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hs_export_monthly!$M$1101:$M$1179</c:f>
              <c:numCache>
                <c:formatCode>0.0000%</c:formatCode>
                <c:ptCount val="79"/>
                <c:pt idx="0">
                  <c:v>1.1675654998262763E-3</c:v>
                </c:pt>
                <c:pt idx="1">
                  <c:v>8.0554042316188486E-4</c:v>
                </c:pt>
                <c:pt idx="2">
                  <c:v>9.5746251870720389E-4</c:v>
                </c:pt>
                <c:pt idx="3">
                  <c:v>1.2271603060794417E-3</c:v>
                </c:pt>
                <c:pt idx="4">
                  <c:v>1.3501079347997714E-3</c:v>
                </c:pt>
                <c:pt idx="5">
                  <c:v>1.1915621245412991E-3</c:v>
                </c:pt>
                <c:pt idx="6">
                  <c:v>1.0257417380416312E-3</c:v>
                </c:pt>
                <c:pt idx="7">
                  <c:v>1.1426823967934526E-3</c:v>
                </c:pt>
                <c:pt idx="8">
                  <c:v>9.5038122008841671E-4</c:v>
                </c:pt>
                <c:pt idx="9">
                  <c:v>9.9157905542846458E-4</c:v>
                </c:pt>
                <c:pt idx="10">
                  <c:v>1.0363231361106391E-3</c:v>
                </c:pt>
                <c:pt idx="11">
                  <c:v>1.2679444669103925E-3</c:v>
                </c:pt>
                <c:pt idx="12">
                  <c:v>1.3790638469045921E-3</c:v>
                </c:pt>
                <c:pt idx="13">
                  <c:v>9.2718742420699581E-4</c:v>
                </c:pt>
                <c:pt idx="14">
                  <c:v>1.0336612642142388E-3</c:v>
                </c:pt>
                <c:pt idx="15">
                  <c:v>9.7911539059126508E-4</c:v>
                </c:pt>
                <c:pt idx="16">
                  <c:v>1.0770790617076419E-3</c:v>
                </c:pt>
                <c:pt idx="17">
                  <c:v>1.0986557641912628E-3</c:v>
                </c:pt>
                <c:pt idx="18">
                  <c:v>1.0294501149563913E-3</c:v>
                </c:pt>
                <c:pt idx="19">
                  <c:v>1.2426298455238316E-3</c:v>
                </c:pt>
                <c:pt idx="20">
                  <c:v>1.2635646371681143E-3</c:v>
                </c:pt>
                <c:pt idx="21">
                  <c:v>1.1229980605829679E-3</c:v>
                </c:pt>
                <c:pt idx="22">
                  <c:v>1.049209436652166E-3</c:v>
                </c:pt>
                <c:pt idx="23">
                  <c:v>1.2895077600644778E-3</c:v>
                </c:pt>
                <c:pt idx="24">
                  <c:v>9.8583867909444946E-4</c:v>
                </c:pt>
                <c:pt idx="25">
                  <c:v>1.0663151336662436E-3</c:v>
                </c:pt>
                <c:pt idx="26">
                  <c:v>1.0752228345772793E-3</c:v>
                </c:pt>
                <c:pt idx="27">
                  <c:v>1.1488740602759798E-3</c:v>
                </c:pt>
                <c:pt idx="28">
                  <c:v>1.1168196354741935E-3</c:v>
                </c:pt>
                <c:pt idx="29">
                  <c:v>1.4304367531333521E-3</c:v>
                </c:pt>
                <c:pt idx="30">
                  <c:v>1.1362073696294325E-3</c:v>
                </c:pt>
                <c:pt idx="31">
                  <c:v>1.2937458152606576E-3</c:v>
                </c:pt>
                <c:pt idx="32">
                  <c:v>1.1323107619901716E-3</c:v>
                </c:pt>
                <c:pt idx="33">
                  <c:v>1.0517728130517872E-3</c:v>
                </c:pt>
                <c:pt idx="34">
                  <c:v>1.172994524835018E-3</c:v>
                </c:pt>
                <c:pt idx="35">
                  <c:v>1.6531546726496181E-3</c:v>
                </c:pt>
                <c:pt idx="36">
                  <c:v>1.0718814081550605E-3</c:v>
                </c:pt>
                <c:pt idx="37">
                  <c:v>1.1280562052000931E-3</c:v>
                </c:pt>
                <c:pt idx="38">
                  <c:v>1.8175256824194195E-3</c:v>
                </c:pt>
                <c:pt idx="39">
                  <c:v>1.3310702298343555E-3</c:v>
                </c:pt>
                <c:pt idx="40">
                  <c:v>1.0505745909539126E-3</c:v>
                </c:pt>
                <c:pt idx="41">
                  <c:v>1.5452485498534728E-3</c:v>
                </c:pt>
                <c:pt idx="42">
                  <c:v>1.4459011306812326E-3</c:v>
                </c:pt>
                <c:pt idx="43">
                  <c:v>1.5977905772207625E-3</c:v>
                </c:pt>
                <c:pt idx="44">
                  <c:v>1.6482190340654751E-3</c:v>
                </c:pt>
                <c:pt idx="45">
                  <c:v>1.3180327674724537E-3</c:v>
                </c:pt>
                <c:pt idx="46">
                  <c:v>1.5027756393222911E-3</c:v>
                </c:pt>
                <c:pt idx="47">
                  <c:v>2.1407994092405803E-3</c:v>
                </c:pt>
                <c:pt idx="48">
                  <c:v>1.2351089985378956E-3</c:v>
                </c:pt>
                <c:pt idx="49">
                  <c:v>1.2917349055971792E-3</c:v>
                </c:pt>
                <c:pt idx="50">
                  <c:v>1.7598687382143828E-3</c:v>
                </c:pt>
                <c:pt idx="51">
                  <c:v>1.5297346184500471E-3</c:v>
                </c:pt>
                <c:pt idx="52">
                  <c:v>1.6591679949947485E-3</c:v>
                </c:pt>
                <c:pt idx="53">
                  <c:v>1.7032271238435004E-3</c:v>
                </c:pt>
                <c:pt idx="54">
                  <c:v>1.499811353194736E-3</c:v>
                </c:pt>
                <c:pt idx="55">
                  <c:v>1.6714760230168298E-3</c:v>
                </c:pt>
                <c:pt idx="56">
                  <c:v>1.8109394736468437E-3</c:v>
                </c:pt>
                <c:pt idx="57">
                  <c:v>1.4287932182258719E-3</c:v>
                </c:pt>
                <c:pt idx="58">
                  <c:v>1.5700987411283356E-3</c:v>
                </c:pt>
                <c:pt idx="59">
                  <c:v>2.2636524740445229E-3</c:v>
                </c:pt>
                <c:pt idx="60">
                  <c:v>1.2860871917720301E-3</c:v>
                </c:pt>
                <c:pt idx="61">
                  <c:v>1.8838392448194592E-3</c:v>
                </c:pt>
                <c:pt idx="62">
                  <c:v>1.6049397045735092E-3</c:v>
                </c:pt>
                <c:pt idx="63">
                  <c:v>1.5886423337490539E-3</c:v>
                </c:pt>
                <c:pt idx="64">
                  <c:v>1.5567906002693325E-3</c:v>
                </c:pt>
                <c:pt idx="65">
                  <c:v>1.4510155199684174E-3</c:v>
                </c:pt>
                <c:pt idx="66">
                  <c:v>1.3710687903456915E-3</c:v>
                </c:pt>
                <c:pt idx="67">
                  <c:v>1.7570676355326866E-3</c:v>
                </c:pt>
                <c:pt idx="68">
                  <c:v>1.2393677294170258E-3</c:v>
                </c:pt>
                <c:pt idx="69">
                  <c:v>1.5740224894945361E-3</c:v>
                </c:pt>
                <c:pt idx="70">
                  <c:v>1.8388803411655379E-3</c:v>
                </c:pt>
                <c:pt idx="71">
                  <c:v>1.8145863422043525E-3</c:v>
                </c:pt>
                <c:pt idx="72">
                  <c:v>1.2800296023672986E-3</c:v>
                </c:pt>
                <c:pt idx="73">
                  <c:v>1.2583016913698666E-3</c:v>
                </c:pt>
                <c:pt idx="74">
                  <c:v>1.4325386167606698E-3</c:v>
                </c:pt>
                <c:pt idx="75">
                  <c:v>1.1888045691797898E-3</c:v>
                </c:pt>
                <c:pt idx="76">
                  <c:v>1.2655953201968022E-3</c:v>
                </c:pt>
                <c:pt idx="77">
                  <c:v>1.5275317791652542E-3</c:v>
                </c:pt>
                <c:pt idx="78">
                  <c:v>2.687306235747699E-4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D5-4F29-96AB-16A14FEFC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total goods exports</a:t>
                </a:r>
              </a:p>
            </c:rich>
          </c:tx>
          <c:overlay val="1"/>
        </c:title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5 product groups, by 6 months rolling average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NL</c:v>
          </c:tx>
          <c:spPr>
            <a:ln w="2400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hs_export_monthly!$M$1180:$M$1258</c:f>
              <c:numCache>
                <c:formatCode>0.0000%</c:formatCode>
                <c:ptCount val="7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2.1409897260937182E-2</c:v>
                </c:pt>
                <c:pt idx="6">
                  <c:v>2.1877720213549182E-2</c:v>
                </c:pt>
                <c:pt idx="7">
                  <c:v>2.1844545806414973E-2</c:v>
                </c:pt>
                <c:pt idx="8">
                  <c:v>2.3203400413944999E-2</c:v>
                </c:pt>
                <c:pt idx="9">
                  <c:v>2.2767921166008124E-2</c:v>
                </c:pt>
                <c:pt idx="10">
                  <c:v>2.1969630550466777E-2</c:v>
                </c:pt>
                <c:pt idx="11">
                  <c:v>2.3322566358996419E-2</c:v>
                </c:pt>
                <c:pt idx="12">
                  <c:v>2.4239194801289346E-2</c:v>
                </c:pt>
                <c:pt idx="13">
                  <c:v>2.5134423095640235E-2</c:v>
                </c:pt>
                <c:pt idx="14">
                  <c:v>2.4701595089623527E-2</c:v>
                </c:pt>
                <c:pt idx="15">
                  <c:v>2.5522427123406622E-2</c:v>
                </c:pt>
                <c:pt idx="16">
                  <c:v>2.4499196802492018E-2</c:v>
                </c:pt>
                <c:pt idx="17">
                  <c:v>2.318049444090273E-2</c:v>
                </c:pt>
                <c:pt idx="18">
                  <c:v>2.3515665837177051E-2</c:v>
                </c:pt>
                <c:pt idx="19">
                  <c:v>2.3917874861151253E-2</c:v>
                </c:pt>
                <c:pt idx="20">
                  <c:v>2.4169672333447852E-2</c:v>
                </c:pt>
                <c:pt idx="21">
                  <c:v>2.3389330872883071E-2</c:v>
                </c:pt>
                <c:pt idx="22">
                  <c:v>2.4193593876857978E-2</c:v>
                </c:pt>
                <c:pt idx="23">
                  <c:v>2.4363493483306044E-2</c:v>
                </c:pt>
                <c:pt idx="24">
                  <c:v>2.2915291917017525E-2</c:v>
                </c:pt>
                <c:pt idx="25">
                  <c:v>2.2066137751315679E-2</c:v>
                </c:pt>
                <c:pt idx="26">
                  <c:v>2.1447907012146546E-2</c:v>
                </c:pt>
                <c:pt idx="27">
                  <c:v>2.1222774542945574E-2</c:v>
                </c:pt>
                <c:pt idx="28">
                  <c:v>2.0972543255946236E-2</c:v>
                </c:pt>
                <c:pt idx="29">
                  <c:v>2.0593192782545511E-2</c:v>
                </c:pt>
                <c:pt idx="30">
                  <c:v>2.0825115696257668E-2</c:v>
                </c:pt>
                <c:pt idx="31">
                  <c:v>2.1287632358276552E-2</c:v>
                </c:pt>
                <c:pt idx="32">
                  <c:v>2.1215576600896218E-2</c:v>
                </c:pt>
                <c:pt idx="33">
                  <c:v>2.1141547320786044E-2</c:v>
                </c:pt>
                <c:pt idx="34">
                  <c:v>2.1361096099995546E-2</c:v>
                </c:pt>
                <c:pt idx="35">
                  <c:v>2.3420309328304707E-2</c:v>
                </c:pt>
                <c:pt idx="36">
                  <c:v>2.2702909544899442E-2</c:v>
                </c:pt>
                <c:pt idx="37">
                  <c:v>2.2324446576535425E-2</c:v>
                </c:pt>
                <c:pt idx="38">
                  <c:v>2.2323254357657057E-2</c:v>
                </c:pt>
                <c:pt idx="39">
                  <c:v>2.3094195932875584E-2</c:v>
                </c:pt>
                <c:pt idx="40">
                  <c:v>2.4500791046296762E-2</c:v>
                </c:pt>
                <c:pt idx="41">
                  <c:v>2.3337198460439634E-2</c:v>
                </c:pt>
                <c:pt idx="42">
                  <c:v>2.4857017800389968E-2</c:v>
                </c:pt>
                <c:pt idx="43">
                  <c:v>2.6353245277790677E-2</c:v>
                </c:pt>
                <c:pt idx="44">
                  <c:v>2.731486352926174E-2</c:v>
                </c:pt>
                <c:pt idx="45">
                  <c:v>2.7126217161860339E-2</c:v>
                </c:pt>
                <c:pt idx="46">
                  <c:v>2.7234690496565735E-2</c:v>
                </c:pt>
                <c:pt idx="47">
                  <c:v>2.844145805863442E-2</c:v>
                </c:pt>
                <c:pt idx="48">
                  <c:v>2.8091076007666572E-2</c:v>
                </c:pt>
                <c:pt idx="49">
                  <c:v>2.6134663686358334E-2</c:v>
                </c:pt>
                <c:pt idx="50">
                  <c:v>2.6443433326475679E-2</c:v>
                </c:pt>
                <c:pt idx="51">
                  <c:v>2.7069861596195097E-2</c:v>
                </c:pt>
                <c:pt idx="52">
                  <c:v>2.6148607535226017E-2</c:v>
                </c:pt>
                <c:pt idx="53">
                  <c:v>2.481093439584961E-2</c:v>
                </c:pt>
                <c:pt idx="54">
                  <c:v>2.5086389801323616E-2</c:v>
                </c:pt>
                <c:pt idx="55">
                  <c:v>2.5473235481914078E-2</c:v>
                </c:pt>
                <c:pt idx="56">
                  <c:v>2.6697035378716913E-2</c:v>
                </c:pt>
                <c:pt idx="57">
                  <c:v>2.6729443999093744E-2</c:v>
                </c:pt>
                <c:pt idx="58">
                  <c:v>2.8245342548597147E-2</c:v>
                </c:pt>
                <c:pt idx="59">
                  <c:v>3.1871486776089392E-2</c:v>
                </c:pt>
                <c:pt idx="60">
                  <c:v>3.0978282597757461E-2</c:v>
                </c:pt>
                <c:pt idx="61">
                  <c:v>3.22113926906753E-2</c:v>
                </c:pt>
                <c:pt idx="62">
                  <c:v>3.122200045039027E-2</c:v>
                </c:pt>
                <c:pt idx="63">
                  <c:v>3.1290336170587456E-2</c:v>
                </c:pt>
                <c:pt idx="64">
                  <c:v>3.03766562336663E-2</c:v>
                </c:pt>
                <c:pt idx="65">
                  <c:v>2.7222424513021884E-2</c:v>
                </c:pt>
                <c:pt idx="66">
                  <c:v>2.8687335468163582E-2</c:v>
                </c:pt>
                <c:pt idx="67">
                  <c:v>2.876036747015891E-2</c:v>
                </c:pt>
                <c:pt idx="68">
                  <c:v>2.9842098826669217E-2</c:v>
                </c:pt>
                <c:pt idx="69">
                  <c:v>3.0018898037134183E-2</c:v>
                </c:pt>
                <c:pt idx="70">
                  <c:v>2.9412791997242223E-2</c:v>
                </c:pt>
                <c:pt idx="71">
                  <c:v>3.189226535264806E-2</c:v>
                </c:pt>
                <c:pt idx="72">
                  <c:v>3.039767520055665E-2</c:v>
                </c:pt>
                <c:pt idx="73">
                  <c:v>2.9745475393414003E-2</c:v>
                </c:pt>
                <c:pt idx="74">
                  <c:v>2.6676041584960189E-2</c:v>
                </c:pt>
                <c:pt idx="75">
                  <c:v>2.5775498563734262E-2</c:v>
                </c:pt>
                <c:pt idx="76">
                  <c:v>2.3912866888268908E-2</c:v>
                </c:pt>
                <c:pt idx="77">
                  <c:v>2.1315952946247801E-2</c:v>
                </c:pt>
                <c:pt idx="78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FC-40B0-BD5F-A38EBAA46C90}"/>
            </c:ext>
          </c:extLst>
        </c:ser>
        <c:ser>
          <c:idx val="1"/>
          <c:order val="1"/>
          <c:tx>
            <c:v>EA</c:v>
          </c:tx>
          <c:spPr>
            <a:ln w="2400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hs_export_monthly!$M$1259:$M$1337</c:f>
              <c:numCache>
                <c:formatCode>0.0000%</c:formatCode>
                <c:ptCount val="7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4.3958610299882871E-3</c:v>
                </c:pt>
                <c:pt idx="6">
                  <c:v>4.4271869045040312E-3</c:v>
                </c:pt>
                <c:pt idx="7">
                  <c:v>4.4980574064109437E-3</c:v>
                </c:pt>
                <c:pt idx="8">
                  <c:v>4.685439801015088E-3</c:v>
                </c:pt>
                <c:pt idx="9">
                  <c:v>4.509580258517918E-3</c:v>
                </c:pt>
                <c:pt idx="10">
                  <c:v>4.3104675585540876E-3</c:v>
                </c:pt>
                <c:pt idx="11">
                  <c:v>4.5756082906365939E-3</c:v>
                </c:pt>
                <c:pt idx="12">
                  <c:v>4.8059348511593361E-3</c:v>
                </c:pt>
                <c:pt idx="13">
                  <c:v>4.9024638017707402E-3</c:v>
                </c:pt>
                <c:pt idx="14">
                  <c:v>4.8815188544076987E-3</c:v>
                </c:pt>
                <c:pt idx="15">
                  <c:v>5.0186287937070764E-3</c:v>
                </c:pt>
                <c:pt idx="16">
                  <c:v>4.8633694587846867E-3</c:v>
                </c:pt>
                <c:pt idx="17">
                  <c:v>4.6047170734802708E-3</c:v>
                </c:pt>
                <c:pt idx="18">
                  <c:v>4.5964439296855755E-3</c:v>
                </c:pt>
                <c:pt idx="19">
                  <c:v>4.7761919995140158E-3</c:v>
                </c:pt>
                <c:pt idx="20">
                  <c:v>4.8715429208902048E-3</c:v>
                </c:pt>
                <c:pt idx="21">
                  <c:v>4.7768640406470565E-3</c:v>
                </c:pt>
                <c:pt idx="22">
                  <c:v>4.9349554522197152E-3</c:v>
                </c:pt>
                <c:pt idx="23">
                  <c:v>5.0504133928599461E-3</c:v>
                </c:pt>
                <c:pt idx="24">
                  <c:v>4.8316490970578109E-3</c:v>
                </c:pt>
                <c:pt idx="25">
                  <c:v>4.6100981377700861E-3</c:v>
                </c:pt>
                <c:pt idx="26">
                  <c:v>4.4839512210103219E-3</c:v>
                </c:pt>
                <c:pt idx="27">
                  <c:v>4.4817486073053985E-3</c:v>
                </c:pt>
                <c:pt idx="28">
                  <c:v>4.4504608901210817E-3</c:v>
                </c:pt>
                <c:pt idx="29">
                  <c:v>4.4122045543386621E-3</c:v>
                </c:pt>
                <c:pt idx="30">
                  <c:v>4.4835031179704934E-3</c:v>
                </c:pt>
                <c:pt idx="31">
                  <c:v>4.6801639791240867E-3</c:v>
                </c:pt>
                <c:pt idx="32">
                  <c:v>4.7246947738134801E-3</c:v>
                </c:pt>
                <c:pt idx="33">
                  <c:v>4.7243365830166896E-3</c:v>
                </c:pt>
                <c:pt idx="34">
                  <c:v>4.7870613572025605E-3</c:v>
                </c:pt>
                <c:pt idx="35">
                  <c:v>5.1874085006586171E-3</c:v>
                </c:pt>
                <c:pt idx="36">
                  <c:v>5.0670258522653418E-3</c:v>
                </c:pt>
                <c:pt idx="37">
                  <c:v>4.9219613282404208E-3</c:v>
                </c:pt>
                <c:pt idx="38">
                  <c:v>4.9633285417618961E-3</c:v>
                </c:pt>
                <c:pt idx="39">
                  <c:v>5.08412429135749E-3</c:v>
                </c:pt>
                <c:pt idx="40">
                  <c:v>5.2761508931004368E-3</c:v>
                </c:pt>
                <c:pt idx="41">
                  <c:v>4.9848013058271029E-3</c:v>
                </c:pt>
                <c:pt idx="42">
                  <c:v>5.2533110526417808E-3</c:v>
                </c:pt>
                <c:pt idx="43">
                  <c:v>5.6170472928692081E-3</c:v>
                </c:pt>
                <c:pt idx="44">
                  <c:v>5.7804870134068745E-3</c:v>
                </c:pt>
                <c:pt idx="45">
                  <c:v>5.7536272907372579E-3</c:v>
                </c:pt>
                <c:pt idx="46">
                  <c:v>5.8266262213741054E-3</c:v>
                </c:pt>
                <c:pt idx="47">
                  <c:v>6.159801031258484E-3</c:v>
                </c:pt>
                <c:pt idx="48">
                  <c:v>6.0797815915824803E-3</c:v>
                </c:pt>
                <c:pt idx="49">
                  <c:v>5.6301881298423334E-3</c:v>
                </c:pt>
                <c:pt idx="50">
                  <c:v>5.6831003692476038E-3</c:v>
                </c:pt>
                <c:pt idx="51">
                  <c:v>5.7926024055374959E-3</c:v>
                </c:pt>
                <c:pt idx="52">
                  <c:v>5.6597782413459821E-3</c:v>
                </c:pt>
                <c:pt idx="53">
                  <c:v>5.3387706421335127E-3</c:v>
                </c:pt>
                <c:pt idx="54">
                  <c:v>5.4169309859369462E-3</c:v>
                </c:pt>
                <c:pt idx="55">
                  <c:v>5.5993572077360559E-3</c:v>
                </c:pt>
                <c:pt idx="56">
                  <c:v>5.828157215757618E-3</c:v>
                </c:pt>
                <c:pt idx="57">
                  <c:v>5.852275335836943E-3</c:v>
                </c:pt>
                <c:pt idx="58">
                  <c:v>6.123419467950429E-3</c:v>
                </c:pt>
                <c:pt idx="59">
                  <c:v>6.8856059564245354E-3</c:v>
                </c:pt>
                <c:pt idx="60">
                  <c:v>6.7268675852679817E-3</c:v>
                </c:pt>
                <c:pt idx="61">
                  <c:v>6.9067893464386495E-3</c:v>
                </c:pt>
                <c:pt idx="62">
                  <c:v>6.6688613562224429E-3</c:v>
                </c:pt>
                <c:pt idx="63">
                  <c:v>6.6913925528259768E-3</c:v>
                </c:pt>
                <c:pt idx="64">
                  <c:v>6.5081092022568066E-3</c:v>
                </c:pt>
                <c:pt idx="65">
                  <c:v>5.8044762970391175E-3</c:v>
                </c:pt>
                <c:pt idx="66">
                  <c:v>6.0333213744583466E-3</c:v>
                </c:pt>
                <c:pt idx="67">
                  <c:v>6.1100263462899882E-3</c:v>
                </c:pt>
                <c:pt idx="68">
                  <c:v>6.2552484084794765E-3</c:v>
                </c:pt>
                <c:pt idx="69">
                  <c:v>6.2916441176612305E-3</c:v>
                </c:pt>
                <c:pt idx="70">
                  <c:v>6.2692731108909246E-3</c:v>
                </c:pt>
                <c:pt idx="71">
                  <c:v>6.8211308162114031E-3</c:v>
                </c:pt>
                <c:pt idx="72">
                  <c:v>6.5914160569583132E-3</c:v>
                </c:pt>
                <c:pt idx="73">
                  <c:v>6.3187745419203073E-3</c:v>
                </c:pt>
                <c:pt idx="74">
                  <c:v>5.8463246012610158E-3</c:v>
                </c:pt>
                <c:pt idx="75">
                  <c:v>5.6454010734360615E-3</c:v>
                </c:pt>
                <c:pt idx="76">
                  <c:v>5.2386843229929462E-3</c:v>
                </c:pt>
                <c:pt idx="77">
                  <c:v>4.7193058923631851E-3</c:v>
                </c:pt>
                <c:pt idx="78">
                  <c:v>4.1503892142942559E-3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FC-40B0-BD5F-A38EBAA46C90}"/>
            </c:ext>
          </c:extLst>
        </c:ser>
        <c:ser>
          <c:idx val="2"/>
          <c:order val="2"/>
          <c:tx>
            <c:v>EA excl NL</c:v>
          </c:tx>
          <c:spPr>
            <a:ln w="24000">
              <a:solidFill>
                <a:srgbClr val="A5A5A5"/>
              </a:solidFill>
              <a:prstDash val="solid"/>
            </a:ln>
          </c:spPr>
          <c:marker>
            <c:symbol val="none"/>
          </c:marker>
          <c:cat>
            <c:strRef>
              <c:f>hs_export_monthly!$B$785:$B$863</c:f>
              <c:strCache>
                <c:ptCount val="7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</c:strCache>
            </c:strRef>
          </c:cat>
          <c:val>
            <c:numRef>
              <c:f>hs_export_monthly!$M$1338:$M$1416</c:f>
              <c:numCache>
                <c:formatCode>0.0000%</c:formatCode>
                <c:ptCount val="7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1.1165664678526462E-3</c:v>
                </c:pt>
                <c:pt idx="6">
                  <c:v>1.092929174221872E-3</c:v>
                </c:pt>
                <c:pt idx="7">
                  <c:v>1.1491195031604667E-3</c:v>
                </c:pt>
                <c:pt idx="8">
                  <c:v>1.1479392867240021E-3</c:v>
                </c:pt>
                <c:pt idx="9">
                  <c:v>1.1086757449488393E-3</c:v>
                </c:pt>
                <c:pt idx="10">
                  <c:v>1.0563782785006505E-3</c:v>
                </c:pt>
                <c:pt idx="11">
                  <c:v>1.0691086688954994E-3</c:v>
                </c:pt>
                <c:pt idx="12">
                  <c:v>1.1279956870393264E-3</c:v>
                </c:pt>
                <c:pt idx="13">
                  <c:v>1.0920798582749168E-3</c:v>
                </c:pt>
                <c:pt idx="14">
                  <c:v>1.1059598656292205E-3</c:v>
                </c:pt>
                <c:pt idx="15">
                  <c:v>1.103882588156354E-3</c:v>
                </c:pt>
                <c:pt idx="16">
                  <c:v>1.1106752424225208E-3</c:v>
                </c:pt>
                <c:pt idx="17">
                  <c:v>1.0824604586359993E-3</c:v>
                </c:pt>
                <c:pt idx="18">
                  <c:v>1.0241915033112994E-3</c:v>
                </c:pt>
                <c:pt idx="19">
                  <c:v>1.0767652401974387E-3</c:v>
                </c:pt>
                <c:pt idx="20">
                  <c:v>1.1150824690230846E-3</c:v>
                </c:pt>
                <c:pt idx="21">
                  <c:v>1.1390629140217018E-3</c:v>
                </c:pt>
                <c:pt idx="22">
                  <c:v>1.1344179765124557E-3</c:v>
                </c:pt>
                <c:pt idx="23">
                  <c:v>1.1662266424913249E-3</c:v>
                </c:pt>
                <c:pt idx="24">
                  <c:v>1.1589580698476679E-3</c:v>
                </c:pt>
                <c:pt idx="25">
                  <c:v>1.1295722845380699E-3</c:v>
                </c:pt>
                <c:pt idx="26">
                  <c:v>1.0981819841062641E-3</c:v>
                </c:pt>
                <c:pt idx="27">
                  <c:v>1.1024946507217661E-3</c:v>
                </c:pt>
                <c:pt idx="28">
                  <c:v>1.1137630171921039E-3</c:v>
                </c:pt>
                <c:pt idx="29">
                  <c:v>1.1372511827035831E-3</c:v>
                </c:pt>
                <c:pt idx="30">
                  <c:v>1.16231263112608E-3</c:v>
                </c:pt>
                <c:pt idx="31">
                  <c:v>1.2002177447251491E-3</c:v>
                </c:pt>
                <c:pt idx="32">
                  <c:v>1.2097323992939645E-3</c:v>
                </c:pt>
                <c:pt idx="33">
                  <c:v>1.1935488580899324E-3</c:v>
                </c:pt>
                <c:pt idx="34">
                  <c:v>1.2029113396500697E-3</c:v>
                </c:pt>
                <c:pt idx="35">
                  <c:v>1.2400309929027809E-3</c:v>
                </c:pt>
                <c:pt idx="36">
                  <c:v>1.2293099993237187E-3</c:v>
                </c:pt>
                <c:pt idx="37">
                  <c:v>1.2016950643136248E-3</c:v>
                </c:pt>
                <c:pt idx="38">
                  <c:v>1.3158975510518328E-3</c:v>
                </c:pt>
                <c:pt idx="39">
                  <c:v>1.3624471205155942E-3</c:v>
                </c:pt>
                <c:pt idx="40">
                  <c:v>1.3420437982020765E-3</c:v>
                </c:pt>
                <c:pt idx="41">
                  <c:v>1.3240594444027193E-3</c:v>
                </c:pt>
                <c:pt idx="42">
                  <c:v>1.3863960648237477E-3</c:v>
                </c:pt>
                <c:pt idx="43">
                  <c:v>1.4646851268271925E-3</c:v>
                </c:pt>
                <c:pt idx="44">
                  <c:v>1.4364673521015351E-3</c:v>
                </c:pt>
                <c:pt idx="45">
                  <c:v>1.4342944417078849E-3</c:v>
                </c:pt>
                <c:pt idx="46">
                  <c:v>1.5096612831026147E-3</c:v>
                </c:pt>
                <c:pt idx="47">
                  <c:v>1.6089197596671327E-3</c:v>
                </c:pt>
                <c:pt idx="48">
                  <c:v>1.5737877376432428E-3</c:v>
                </c:pt>
                <c:pt idx="49">
                  <c:v>1.5227784590393124E-3</c:v>
                </c:pt>
                <c:pt idx="50">
                  <c:v>1.5413867430641305E-3</c:v>
                </c:pt>
                <c:pt idx="51">
                  <c:v>1.5766703848937294E-3</c:v>
                </c:pt>
                <c:pt idx="52">
                  <c:v>1.6027357775058055E-3</c:v>
                </c:pt>
                <c:pt idx="53">
                  <c:v>1.5298070632729591E-3</c:v>
                </c:pt>
                <c:pt idx="54">
                  <c:v>1.5739241223824323E-3</c:v>
                </c:pt>
                <c:pt idx="55">
                  <c:v>1.6372143086190408E-3</c:v>
                </c:pt>
                <c:pt idx="56">
                  <c:v>1.6457260978577843E-3</c:v>
                </c:pt>
                <c:pt idx="57">
                  <c:v>1.6289025311537551E-3</c:v>
                </c:pt>
                <c:pt idx="58">
                  <c:v>1.6140576555093531E-3</c:v>
                </c:pt>
                <c:pt idx="59">
                  <c:v>1.7074618805428567E-3</c:v>
                </c:pt>
                <c:pt idx="60">
                  <c:v>1.6718411869724057E-3</c:v>
                </c:pt>
                <c:pt idx="61">
                  <c:v>1.7072350572728441E-3</c:v>
                </c:pt>
                <c:pt idx="62">
                  <c:v>1.672901762427288E-3</c:v>
                </c:pt>
                <c:pt idx="63">
                  <c:v>1.6995432816811519E-3</c:v>
                </c:pt>
                <c:pt idx="64">
                  <c:v>1.6973252582046516E-3</c:v>
                </c:pt>
                <c:pt idx="65">
                  <c:v>1.5618857658586339E-3</c:v>
                </c:pt>
                <c:pt idx="66">
                  <c:v>1.5760493656209107E-3</c:v>
                </c:pt>
                <c:pt idx="67">
                  <c:v>1.5549207640731151E-3</c:v>
                </c:pt>
                <c:pt idx="68">
                  <c:v>1.4939921015470344E-3</c:v>
                </c:pt>
                <c:pt idx="69">
                  <c:v>1.4915554608379482E-3</c:v>
                </c:pt>
                <c:pt idx="70">
                  <c:v>1.5385704176539823E-3</c:v>
                </c:pt>
                <c:pt idx="71">
                  <c:v>1.5991655546933048E-3</c:v>
                </c:pt>
                <c:pt idx="72">
                  <c:v>1.5839923566969059E-3</c:v>
                </c:pt>
                <c:pt idx="73">
                  <c:v>1.5008646993364362E-3</c:v>
                </c:pt>
                <c:pt idx="74">
                  <c:v>1.5330598472270435E-3</c:v>
                </c:pt>
                <c:pt idx="75">
                  <c:v>1.4688568605079192E-3</c:v>
                </c:pt>
                <c:pt idx="76">
                  <c:v>1.3733093570131299E-3</c:v>
                </c:pt>
                <c:pt idx="77">
                  <c:v>1.325466929839947E-3</c:v>
                </c:pt>
                <c:pt idx="78">
                  <c:v>1.1569171000411923E-3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FFC-40B0-BD5F-A38EBAA46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total goods exports</a:t>
                </a:r>
              </a:p>
            </c:rich>
          </c:tx>
          <c:overlay val="1"/>
        </c:title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19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6"/>
  <sheetViews>
    <sheetView tabSelected="1" workbookViewId="0">
      <pane xSplit="2" ySplit="1" topLeftCell="U24" activePane="bottomRight" state="frozen"/>
      <selection pane="topRight"/>
      <selection pane="bottomLeft"/>
      <selection pane="bottomRight" activeCell="AJ39" sqref="AJ39"/>
    </sheetView>
  </sheetViews>
  <sheetFormatPr defaultRowHeight="14.5" x14ac:dyDescent="0.35"/>
  <cols>
    <col min="1" max="2" width="12" customWidth="1"/>
    <col min="3" max="11" width="17" customWidth="1"/>
    <col min="12" max="13" width="13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s="2">
        <v>12508284</v>
      </c>
      <c r="D2" s="2">
        <v>2624000</v>
      </c>
      <c r="E2" s="2">
        <v>10408815</v>
      </c>
      <c r="F2" s="2">
        <v>10438</v>
      </c>
      <c r="G2" s="2">
        <v>53115860</v>
      </c>
      <c r="H2" s="2"/>
      <c r="I2" s="2">
        <v>62013323</v>
      </c>
      <c r="J2" s="2">
        <v>14510715</v>
      </c>
      <c r="K2" s="2">
        <v>12774683394</v>
      </c>
      <c r="L2" s="3">
        <f t="shared" ref="L2:L65" si="0">SUM(C2:J2)/K2</f>
        <v>1.2148358610037267E-2</v>
      </c>
      <c r="M2" s="3">
        <f t="shared" ref="M2:M65" si="1">SUM(F2:J2)/K2</f>
        <v>1.0149005811047657E-2</v>
      </c>
    </row>
    <row r="3" spans="1:13" x14ac:dyDescent="0.35">
      <c r="A3" t="s">
        <v>13</v>
      </c>
      <c r="B3" t="s">
        <v>15</v>
      </c>
      <c r="C3" s="2">
        <v>9919085</v>
      </c>
      <c r="D3" s="2">
        <v>3208760</v>
      </c>
      <c r="E3" s="2">
        <v>11007117</v>
      </c>
      <c r="F3" s="2">
        <v>498296</v>
      </c>
      <c r="G3" s="2">
        <v>31575846</v>
      </c>
      <c r="H3" s="2">
        <v>518</v>
      </c>
      <c r="I3" s="2">
        <v>1665976</v>
      </c>
      <c r="J3" s="2">
        <v>23257575</v>
      </c>
      <c r="K3" s="2">
        <v>12738879838</v>
      </c>
      <c r="L3" s="3">
        <f t="shared" si="0"/>
        <v>6.3689409140967202E-3</v>
      </c>
      <c r="M3" s="3">
        <f t="shared" si="1"/>
        <v>4.4743503137516603E-3</v>
      </c>
    </row>
    <row r="4" spans="1:13" x14ac:dyDescent="0.35">
      <c r="A4" t="s">
        <v>13</v>
      </c>
      <c r="B4" t="s">
        <v>16</v>
      </c>
      <c r="C4" s="2">
        <v>13500688</v>
      </c>
      <c r="D4" s="2">
        <v>2745022</v>
      </c>
      <c r="E4" s="2">
        <v>9367196</v>
      </c>
      <c r="F4" s="2">
        <v>972194</v>
      </c>
      <c r="G4" s="2">
        <v>37694776</v>
      </c>
      <c r="H4" s="2"/>
      <c r="I4" s="2">
        <v>2124443</v>
      </c>
      <c r="J4" s="2">
        <v>15349779</v>
      </c>
      <c r="K4" s="2">
        <v>13601886634</v>
      </c>
      <c r="L4" s="3">
        <f t="shared" si="0"/>
        <v>6.0104969405966897E-3</v>
      </c>
      <c r="M4" s="3">
        <f t="shared" si="1"/>
        <v>4.1274562500518489E-3</v>
      </c>
    </row>
    <row r="5" spans="1:13" x14ac:dyDescent="0.35">
      <c r="A5" t="s">
        <v>13</v>
      </c>
      <c r="B5" t="s">
        <v>17</v>
      </c>
      <c r="C5" s="2">
        <v>10914511</v>
      </c>
      <c r="D5" s="2">
        <v>1755126</v>
      </c>
      <c r="E5" s="2">
        <v>9588680</v>
      </c>
      <c r="F5" s="2">
        <v>87897</v>
      </c>
      <c r="G5" s="2">
        <v>44151222</v>
      </c>
      <c r="H5" s="2"/>
      <c r="I5" s="2">
        <v>2076882</v>
      </c>
      <c r="J5" s="2">
        <v>14037913</v>
      </c>
      <c r="K5" s="2">
        <v>10337423154</v>
      </c>
      <c r="L5" s="3">
        <f t="shared" si="0"/>
        <v>7.9915690563594401E-3</v>
      </c>
      <c r="M5" s="3">
        <f t="shared" si="1"/>
        <v>5.8383905835030503E-3</v>
      </c>
    </row>
    <row r="6" spans="1:13" x14ac:dyDescent="0.35">
      <c r="A6" t="s">
        <v>13</v>
      </c>
      <c r="B6" t="s">
        <v>18</v>
      </c>
      <c r="C6" s="2">
        <v>8194822</v>
      </c>
      <c r="D6" s="2">
        <v>2439326</v>
      </c>
      <c r="E6" s="2">
        <v>9495837</v>
      </c>
      <c r="F6" s="2">
        <v>2087372</v>
      </c>
      <c r="G6" s="2">
        <v>62955980</v>
      </c>
      <c r="H6" s="2">
        <v>300</v>
      </c>
      <c r="I6" s="2">
        <v>2602205</v>
      </c>
      <c r="J6" s="2">
        <v>11776850</v>
      </c>
      <c r="K6" s="2">
        <v>10286916723</v>
      </c>
      <c r="L6" s="3">
        <f t="shared" si="0"/>
        <v>9.6776025976194734E-3</v>
      </c>
      <c r="M6" s="3">
        <f t="shared" si="1"/>
        <v>7.7207494858418328E-3</v>
      </c>
    </row>
    <row r="7" spans="1:13" x14ac:dyDescent="0.35">
      <c r="A7" t="s">
        <v>13</v>
      </c>
      <c r="B7" t="s">
        <v>19</v>
      </c>
      <c r="C7" s="2">
        <v>8926384</v>
      </c>
      <c r="D7" s="2">
        <v>2698283</v>
      </c>
      <c r="E7" s="2">
        <v>10808854</v>
      </c>
      <c r="F7" s="2">
        <v>1656723</v>
      </c>
      <c r="G7" s="2">
        <v>60661665</v>
      </c>
      <c r="H7" s="2"/>
      <c r="I7" s="2">
        <v>2954011</v>
      </c>
      <c r="J7" s="2">
        <v>22233617</v>
      </c>
      <c r="K7" s="2">
        <v>12078666154</v>
      </c>
      <c r="L7" s="3">
        <f t="shared" si="0"/>
        <v>9.1019600673036376E-3</v>
      </c>
      <c r="M7" s="3">
        <f t="shared" si="1"/>
        <v>7.2446754371981127E-3</v>
      </c>
    </row>
    <row r="8" spans="1:13" x14ac:dyDescent="0.35">
      <c r="A8" t="s">
        <v>13</v>
      </c>
      <c r="B8" t="s">
        <v>20</v>
      </c>
      <c r="C8" s="2">
        <v>12632629</v>
      </c>
      <c r="D8" s="2">
        <v>3090813</v>
      </c>
      <c r="E8" s="2">
        <v>10008064</v>
      </c>
      <c r="F8" s="2">
        <v>79842</v>
      </c>
      <c r="G8" s="2">
        <v>52512336</v>
      </c>
      <c r="H8" s="2"/>
      <c r="I8" s="2">
        <v>1032219</v>
      </c>
      <c r="J8" s="2">
        <v>13649990</v>
      </c>
      <c r="K8" s="2">
        <v>13253551453</v>
      </c>
      <c r="L8" s="3">
        <f t="shared" si="0"/>
        <v>7.0174317676148382E-3</v>
      </c>
      <c r="M8" s="3">
        <f t="shared" si="1"/>
        <v>5.0759516978199941E-3</v>
      </c>
    </row>
    <row r="9" spans="1:13" x14ac:dyDescent="0.35">
      <c r="A9" t="s">
        <v>13</v>
      </c>
      <c r="B9" t="s">
        <v>21</v>
      </c>
      <c r="C9" s="2">
        <v>10073975</v>
      </c>
      <c r="D9" s="2">
        <v>2001320</v>
      </c>
      <c r="E9" s="2">
        <v>8094502</v>
      </c>
      <c r="F9" s="2">
        <v>1298518</v>
      </c>
      <c r="G9" s="2">
        <v>47160837</v>
      </c>
      <c r="H9" s="2"/>
      <c r="I9" s="2">
        <v>1347172</v>
      </c>
      <c r="J9" s="2">
        <v>12539195</v>
      </c>
      <c r="K9" s="2">
        <v>10805964459</v>
      </c>
      <c r="L9" s="3">
        <f t="shared" si="0"/>
        <v>7.6361086798943725E-3</v>
      </c>
      <c r="M9" s="3">
        <f t="shared" si="1"/>
        <v>5.7695657094331745E-3</v>
      </c>
    </row>
    <row r="10" spans="1:13" x14ac:dyDescent="0.35">
      <c r="A10" t="s">
        <v>13</v>
      </c>
      <c r="B10" t="s">
        <v>22</v>
      </c>
      <c r="C10" s="2">
        <v>11302434</v>
      </c>
      <c r="D10" s="2">
        <v>3070096</v>
      </c>
      <c r="E10" s="2">
        <v>9170953</v>
      </c>
      <c r="F10" s="2">
        <v>1541602</v>
      </c>
      <c r="G10" s="2">
        <v>55279947</v>
      </c>
      <c r="H10" s="2"/>
      <c r="I10" s="2">
        <v>1369656</v>
      </c>
      <c r="J10" s="2">
        <v>14993523</v>
      </c>
      <c r="K10" s="2">
        <v>13308550542</v>
      </c>
      <c r="L10" s="3">
        <f t="shared" si="0"/>
        <v>7.2681251571866329E-3</v>
      </c>
      <c r="M10" s="3">
        <f t="shared" si="1"/>
        <v>5.4990757835752897E-3</v>
      </c>
    </row>
    <row r="11" spans="1:13" x14ac:dyDescent="0.35">
      <c r="A11" t="s">
        <v>13</v>
      </c>
      <c r="B11" t="s">
        <v>23</v>
      </c>
      <c r="C11" s="2">
        <v>12423002</v>
      </c>
      <c r="D11" s="2">
        <v>2888545</v>
      </c>
      <c r="E11" s="2">
        <v>9195009</v>
      </c>
      <c r="F11" s="2">
        <v>51875</v>
      </c>
      <c r="G11" s="2">
        <v>53644691</v>
      </c>
      <c r="H11" s="2"/>
      <c r="I11" s="2">
        <v>902817</v>
      </c>
      <c r="J11" s="2">
        <v>13627629</v>
      </c>
      <c r="K11" s="2">
        <v>13652163632</v>
      </c>
      <c r="L11" s="3">
        <f t="shared" si="0"/>
        <v>6.7925913063799706E-3</v>
      </c>
      <c r="M11" s="3">
        <f t="shared" si="1"/>
        <v>4.997523750746676E-3</v>
      </c>
    </row>
    <row r="12" spans="1:13" x14ac:dyDescent="0.35">
      <c r="A12" t="s">
        <v>13</v>
      </c>
      <c r="B12" t="s">
        <v>24</v>
      </c>
      <c r="C12" s="2">
        <v>12006689</v>
      </c>
      <c r="D12" s="2">
        <v>2783191</v>
      </c>
      <c r="E12" s="2">
        <v>13094490</v>
      </c>
      <c r="F12" s="2">
        <v>191400</v>
      </c>
      <c r="G12" s="2">
        <v>45979051</v>
      </c>
      <c r="H12" s="2">
        <v>577</v>
      </c>
      <c r="I12" s="2">
        <v>1051122</v>
      </c>
      <c r="J12" s="2">
        <v>18702257</v>
      </c>
      <c r="K12" s="2">
        <v>13693059385</v>
      </c>
      <c r="L12" s="3">
        <f t="shared" si="0"/>
        <v>6.8508267117253869E-3</v>
      </c>
      <c r="M12" s="3">
        <f t="shared" si="1"/>
        <v>4.8144395745640736E-3</v>
      </c>
    </row>
    <row r="13" spans="1:13" x14ac:dyDescent="0.35">
      <c r="A13" t="s">
        <v>13</v>
      </c>
      <c r="B13" t="s">
        <v>25</v>
      </c>
      <c r="C13" s="2">
        <v>14067482</v>
      </c>
      <c r="D13" s="2">
        <v>3408887</v>
      </c>
      <c r="E13" s="2">
        <v>12809151</v>
      </c>
      <c r="F13" s="2">
        <v>6251223</v>
      </c>
      <c r="G13" s="2">
        <v>57138441</v>
      </c>
      <c r="H13" s="2"/>
      <c r="I13" s="2">
        <v>2996254</v>
      </c>
      <c r="J13" s="2">
        <v>15022823</v>
      </c>
      <c r="K13" s="2">
        <v>11756253273</v>
      </c>
      <c r="L13" s="3">
        <f t="shared" si="0"/>
        <v>9.5008382693253669E-3</v>
      </c>
      <c r="M13" s="3">
        <f t="shared" si="1"/>
        <v>6.9247181997148183E-3</v>
      </c>
    </row>
    <row r="14" spans="1:13" x14ac:dyDescent="0.35">
      <c r="A14" t="s">
        <v>13</v>
      </c>
      <c r="B14" t="s">
        <v>26</v>
      </c>
      <c r="C14" s="2">
        <v>13200563</v>
      </c>
      <c r="D14" s="2">
        <v>2302366</v>
      </c>
      <c r="E14" s="2">
        <v>11773495</v>
      </c>
      <c r="F14" s="2">
        <v>2251980</v>
      </c>
      <c r="G14" s="2">
        <v>119921842</v>
      </c>
      <c r="H14" s="2"/>
      <c r="I14" s="2">
        <v>966434</v>
      </c>
      <c r="J14" s="2">
        <v>8303355</v>
      </c>
      <c r="K14" s="2">
        <v>11730600513</v>
      </c>
      <c r="L14" s="3">
        <f t="shared" si="0"/>
        <v>1.3530427093148764E-2</v>
      </c>
      <c r="M14" s="3">
        <f t="shared" si="1"/>
        <v>1.1205190293057251E-2</v>
      </c>
    </row>
    <row r="15" spans="1:13" x14ac:dyDescent="0.35">
      <c r="A15" t="s">
        <v>13</v>
      </c>
      <c r="B15" t="s">
        <v>27</v>
      </c>
      <c r="C15" s="2">
        <v>13807126</v>
      </c>
      <c r="D15" s="2">
        <v>2148783</v>
      </c>
      <c r="E15" s="2">
        <v>10416454</v>
      </c>
      <c r="F15" s="2">
        <v>827122</v>
      </c>
      <c r="G15" s="2">
        <v>65160783</v>
      </c>
      <c r="H15" s="2"/>
      <c r="I15" s="2">
        <v>1537096</v>
      </c>
      <c r="J15" s="2">
        <v>15495533</v>
      </c>
      <c r="K15" s="2">
        <v>13149811651</v>
      </c>
      <c r="L15" s="3">
        <f t="shared" si="0"/>
        <v>8.3189706364867229E-3</v>
      </c>
      <c r="M15" s="3">
        <f t="shared" si="1"/>
        <v>6.3134390212871653E-3</v>
      </c>
    </row>
    <row r="16" spans="1:13" x14ac:dyDescent="0.35">
      <c r="A16" t="s">
        <v>13</v>
      </c>
      <c r="B16" t="s">
        <v>28</v>
      </c>
      <c r="C16" s="2">
        <v>17871152</v>
      </c>
      <c r="D16" s="2">
        <v>2884046</v>
      </c>
      <c r="E16" s="2">
        <v>14253768</v>
      </c>
      <c r="F16" s="2">
        <v>114500</v>
      </c>
      <c r="G16" s="2">
        <v>52234273</v>
      </c>
      <c r="H16" s="2">
        <v>4117</v>
      </c>
      <c r="I16" s="2">
        <v>3556144</v>
      </c>
      <c r="J16" s="2">
        <v>20125677</v>
      </c>
      <c r="K16" s="2">
        <v>15861655030</v>
      </c>
      <c r="L16" s="3">
        <f t="shared" si="0"/>
        <v>7.0007623283936723E-3</v>
      </c>
      <c r="M16" s="3">
        <f t="shared" si="1"/>
        <v>4.7936177439360187E-3</v>
      </c>
    </row>
    <row r="17" spans="1:13" x14ac:dyDescent="0.35">
      <c r="A17" t="s">
        <v>13</v>
      </c>
      <c r="B17" t="s">
        <v>29</v>
      </c>
      <c r="C17" s="2">
        <v>15226571</v>
      </c>
      <c r="D17" s="2">
        <v>2869002</v>
      </c>
      <c r="E17" s="2">
        <v>13212630</v>
      </c>
      <c r="F17" s="2">
        <v>3683727</v>
      </c>
      <c r="G17" s="2">
        <v>36250956</v>
      </c>
      <c r="H17" s="2"/>
      <c r="I17" s="2">
        <v>960136</v>
      </c>
      <c r="J17" s="2">
        <v>14794430</v>
      </c>
      <c r="K17" s="2">
        <v>14314558168</v>
      </c>
      <c r="L17" s="3">
        <f t="shared" si="0"/>
        <v>6.0775506291547033E-3</v>
      </c>
      <c r="M17" s="3">
        <f t="shared" si="1"/>
        <v>3.890392448471973E-3</v>
      </c>
    </row>
    <row r="18" spans="1:13" x14ac:dyDescent="0.35">
      <c r="A18" t="s">
        <v>13</v>
      </c>
      <c r="B18" t="s">
        <v>30</v>
      </c>
      <c r="C18" s="2">
        <v>12183164</v>
      </c>
      <c r="D18" s="2">
        <v>3069672</v>
      </c>
      <c r="E18" s="2">
        <v>11087655</v>
      </c>
      <c r="F18" s="2">
        <v>4018379</v>
      </c>
      <c r="G18" s="2">
        <v>77974594</v>
      </c>
      <c r="H18" s="2"/>
      <c r="I18" s="2">
        <v>2459726</v>
      </c>
      <c r="J18" s="2">
        <v>21162320</v>
      </c>
      <c r="K18" s="2">
        <v>13710079256</v>
      </c>
      <c r="L18" s="3">
        <f t="shared" si="0"/>
        <v>9.6247080367716873E-3</v>
      </c>
      <c r="M18" s="3">
        <f t="shared" si="1"/>
        <v>7.7034579470997046E-3</v>
      </c>
    </row>
    <row r="19" spans="1:13" x14ac:dyDescent="0.35">
      <c r="A19" t="s">
        <v>13</v>
      </c>
      <c r="B19" t="s">
        <v>31</v>
      </c>
      <c r="C19" s="2">
        <v>16644789</v>
      </c>
      <c r="D19" s="2">
        <v>3293062</v>
      </c>
      <c r="E19" s="2">
        <v>10208564</v>
      </c>
      <c r="F19" s="2">
        <v>2521619</v>
      </c>
      <c r="G19" s="2">
        <v>63305697</v>
      </c>
      <c r="H19" s="2">
        <v>4</v>
      </c>
      <c r="I19" s="2">
        <v>1279602</v>
      </c>
      <c r="J19" s="2">
        <v>17925145</v>
      </c>
      <c r="K19" s="2">
        <v>14554492805</v>
      </c>
      <c r="L19" s="3">
        <f t="shared" si="0"/>
        <v>7.9136032799735894E-3</v>
      </c>
      <c r="M19" s="3">
        <f t="shared" si="1"/>
        <v>5.8423243007676897E-3</v>
      </c>
    </row>
    <row r="20" spans="1:13" x14ac:dyDescent="0.35">
      <c r="A20" t="s">
        <v>13</v>
      </c>
      <c r="B20" t="s">
        <v>32</v>
      </c>
      <c r="C20" s="2">
        <v>14620388</v>
      </c>
      <c r="D20" s="2">
        <v>5332370</v>
      </c>
      <c r="E20" s="2">
        <v>9985285</v>
      </c>
      <c r="F20" s="2">
        <v>4543895</v>
      </c>
      <c r="G20" s="2">
        <v>49548447</v>
      </c>
      <c r="H20" s="2">
        <v>7128</v>
      </c>
      <c r="I20" s="2">
        <v>3541560</v>
      </c>
      <c r="J20" s="2">
        <v>14179773</v>
      </c>
      <c r="K20" s="2">
        <v>14575310494</v>
      </c>
      <c r="L20" s="3">
        <f t="shared" si="0"/>
        <v>6.9815902749989127E-3</v>
      </c>
      <c r="M20" s="3">
        <f t="shared" si="1"/>
        <v>4.9275659019110017E-3</v>
      </c>
    </row>
    <row r="21" spans="1:13" x14ac:dyDescent="0.35">
      <c r="A21" t="s">
        <v>13</v>
      </c>
      <c r="B21" t="s">
        <v>33</v>
      </c>
      <c r="C21" s="2">
        <v>9764008</v>
      </c>
      <c r="D21" s="2">
        <v>3846177</v>
      </c>
      <c r="E21" s="2">
        <v>9753429</v>
      </c>
      <c r="F21" s="2">
        <v>2595082</v>
      </c>
      <c r="G21" s="2">
        <v>74339554</v>
      </c>
      <c r="H21" s="2"/>
      <c r="I21" s="2">
        <v>27320064</v>
      </c>
      <c r="J21" s="2">
        <v>12451396</v>
      </c>
      <c r="K21" s="2">
        <v>12844728173</v>
      </c>
      <c r="L21" s="3">
        <f t="shared" si="0"/>
        <v>1.0904840344884113E-2</v>
      </c>
      <c r="M21" s="3">
        <f t="shared" si="1"/>
        <v>9.0859140363374665E-3</v>
      </c>
    </row>
    <row r="22" spans="1:13" x14ac:dyDescent="0.35">
      <c r="A22" t="s">
        <v>13</v>
      </c>
      <c r="B22" t="s">
        <v>34</v>
      </c>
      <c r="C22" s="2">
        <v>12731206</v>
      </c>
      <c r="D22" s="2">
        <v>3953519</v>
      </c>
      <c r="E22" s="2">
        <v>12091903</v>
      </c>
      <c r="F22" s="2">
        <v>3404682</v>
      </c>
      <c r="G22" s="2">
        <v>71529928</v>
      </c>
      <c r="H22" s="2"/>
      <c r="I22" s="2">
        <v>2283012</v>
      </c>
      <c r="J22" s="2">
        <v>17681379</v>
      </c>
      <c r="K22" s="2">
        <v>15324873060</v>
      </c>
      <c r="L22" s="3">
        <f t="shared" si="0"/>
        <v>8.0702547104817592E-3</v>
      </c>
      <c r="M22" s="3">
        <f t="shared" si="1"/>
        <v>6.1924820276455846E-3</v>
      </c>
    </row>
    <row r="23" spans="1:13" x14ac:dyDescent="0.35">
      <c r="A23" t="s">
        <v>13</v>
      </c>
      <c r="B23" t="s">
        <v>35</v>
      </c>
      <c r="C23" s="2">
        <v>16492702</v>
      </c>
      <c r="D23" s="2">
        <v>3770228</v>
      </c>
      <c r="E23" s="2">
        <v>12324565</v>
      </c>
      <c r="F23" s="2">
        <v>3540090</v>
      </c>
      <c r="G23" s="2">
        <v>57450733</v>
      </c>
      <c r="H23" s="2"/>
      <c r="I23" s="2">
        <v>42279789</v>
      </c>
      <c r="J23" s="2">
        <v>18297316</v>
      </c>
      <c r="K23" s="2">
        <v>14750301359</v>
      </c>
      <c r="L23" s="3">
        <f t="shared" si="0"/>
        <v>1.0451001592990571E-2</v>
      </c>
      <c r="M23" s="3">
        <f t="shared" si="1"/>
        <v>8.2417250360667695E-3</v>
      </c>
    </row>
    <row r="24" spans="1:13" x14ac:dyDescent="0.35">
      <c r="A24" t="s">
        <v>13</v>
      </c>
      <c r="B24" t="s">
        <v>36</v>
      </c>
      <c r="C24" s="2">
        <v>13892050</v>
      </c>
      <c r="D24" s="2">
        <v>4071138</v>
      </c>
      <c r="E24" s="2">
        <v>11942703</v>
      </c>
      <c r="F24" s="2">
        <v>7650</v>
      </c>
      <c r="G24" s="2">
        <v>86413932</v>
      </c>
      <c r="H24" s="2">
        <v>10</v>
      </c>
      <c r="I24" s="2">
        <v>3886632</v>
      </c>
      <c r="J24" s="2">
        <v>14106024</v>
      </c>
      <c r="K24" s="2">
        <v>16405469476</v>
      </c>
      <c r="L24" s="3">
        <f t="shared" si="0"/>
        <v>8.1875218015857766E-3</v>
      </c>
      <c r="M24" s="3">
        <f t="shared" si="1"/>
        <v>6.3645998154914368E-3</v>
      </c>
    </row>
    <row r="25" spans="1:13" x14ac:dyDescent="0.35">
      <c r="A25" t="s">
        <v>13</v>
      </c>
      <c r="B25" t="s">
        <v>37</v>
      </c>
      <c r="C25" s="2">
        <v>14155183</v>
      </c>
      <c r="D25" s="2">
        <v>3344946</v>
      </c>
      <c r="E25" s="2">
        <v>13727976</v>
      </c>
      <c r="F25" s="2">
        <v>1200000</v>
      </c>
      <c r="G25" s="2">
        <v>68979427</v>
      </c>
      <c r="H25" s="2"/>
      <c r="I25" s="2">
        <v>5358456</v>
      </c>
      <c r="J25" s="2">
        <v>18177207</v>
      </c>
      <c r="K25" s="2">
        <v>14319352904</v>
      </c>
      <c r="L25" s="3">
        <f t="shared" si="0"/>
        <v>8.7254777389485314E-3</v>
      </c>
      <c r="M25" s="3">
        <f t="shared" si="1"/>
        <v>6.5446456015356268E-3</v>
      </c>
    </row>
    <row r="26" spans="1:13" x14ac:dyDescent="0.35">
      <c r="A26" t="s">
        <v>13</v>
      </c>
      <c r="B26" t="s">
        <v>38</v>
      </c>
      <c r="C26" s="2">
        <v>15754722</v>
      </c>
      <c r="D26" s="2">
        <v>4196501</v>
      </c>
      <c r="E26" s="2">
        <v>9988734</v>
      </c>
      <c r="F26" s="2">
        <v>5636810</v>
      </c>
      <c r="G26" s="2">
        <v>84706683</v>
      </c>
      <c r="H26" s="2"/>
      <c r="I26" s="2">
        <v>1517079</v>
      </c>
      <c r="J26" s="2">
        <v>14753343</v>
      </c>
      <c r="K26" s="2">
        <v>14924871232</v>
      </c>
      <c r="L26" s="3">
        <f t="shared" si="0"/>
        <v>9.1494170956208081E-3</v>
      </c>
      <c r="M26" s="3">
        <f t="shared" si="1"/>
        <v>7.1433725184450554E-3</v>
      </c>
    </row>
    <row r="27" spans="1:13" x14ac:dyDescent="0.35">
      <c r="A27" t="s">
        <v>13</v>
      </c>
      <c r="B27" t="s">
        <v>39</v>
      </c>
      <c r="C27" s="2">
        <v>9764304</v>
      </c>
      <c r="D27" s="2">
        <v>3983887</v>
      </c>
      <c r="E27" s="2">
        <v>12851326</v>
      </c>
      <c r="F27" s="2">
        <v>16559</v>
      </c>
      <c r="G27" s="2">
        <v>78091514</v>
      </c>
      <c r="H27" s="2"/>
      <c r="I27" s="2">
        <v>2488631</v>
      </c>
      <c r="J27" s="2">
        <v>15141348</v>
      </c>
      <c r="K27" s="2">
        <v>15597648534</v>
      </c>
      <c r="L27" s="3">
        <f t="shared" si="0"/>
        <v>7.8433341239435312E-3</v>
      </c>
      <c r="M27" s="3">
        <f t="shared" si="1"/>
        <v>6.1379798237733516E-3</v>
      </c>
    </row>
    <row r="28" spans="1:13" x14ac:dyDescent="0.35">
      <c r="A28" t="s">
        <v>13</v>
      </c>
      <c r="B28" t="s">
        <v>40</v>
      </c>
      <c r="C28" s="2">
        <v>19861482</v>
      </c>
      <c r="D28" s="2">
        <v>4875516</v>
      </c>
      <c r="E28" s="2">
        <v>16020551</v>
      </c>
      <c r="F28" s="2">
        <v>356032</v>
      </c>
      <c r="G28" s="2">
        <v>82860347</v>
      </c>
      <c r="H28" s="2"/>
      <c r="I28" s="2">
        <v>1931862</v>
      </c>
      <c r="J28" s="2">
        <v>14994874</v>
      </c>
      <c r="K28" s="2">
        <v>18345042361</v>
      </c>
      <c r="L28" s="3">
        <f t="shared" si="0"/>
        <v>7.6805853716393063E-3</v>
      </c>
      <c r="M28" s="3">
        <f t="shared" si="1"/>
        <v>5.4588652906518084E-3</v>
      </c>
    </row>
    <row r="29" spans="1:13" x14ac:dyDescent="0.35">
      <c r="A29" t="s">
        <v>13</v>
      </c>
      <c r="B29" t="s">
        <v>41</v>
      </c>
      <c r="C29" s="2">
        <v>13278340</v>
      </c>
      <c r="D29" s="2">
        <v>3452422</v>
      </c>
      <c r="E29" s="2">
        <v>10928749</v>
      </c>
      <c r="F29" s="2">
        <v>995291</v>
      </c>
      <c r="G29" s="2">
        <v>60974899</v>
      </c>
      <c r="H29" s="2"/>
      <c r="I29" s="2">
        <v>5581833</v>
      </c>
      <c r="J29" s="2">
        <v>30881795</v>
      </c>
      <c r="K29" s="2">
        <v>16053134345</v>
      </c>
      <c r="L29" s="3">
        <f t="shared" si="0"/>
        <v>7.8547482560172889E-3</v>
      </c>
      <c r="M29" s="3">
        <f t="shared" si="1"/>
        <v>6.1317507151280246E-3</v>
      </c>
    </row>
    <row r="30" spans="1:13" x14ac:dyDescent="0.35">
      <c r="A30" t="s">
        <v>13</v>
      </c>
      <c r="B30" t="s">
        <v>42</v>
      </c>
      <c r="C30" s="2">
        <v>17307668</v>
      </c>
      <c r="D30" s="2">
        <v>4522865</v>
      </c>
      <c r="E30" s="2">
        <v>14505053</v>
      </c>
      <c r="F30" s="2">
        <v>1668736</v>
      </c>
      <c r="G30" s="2">
        <v>91928529</v>
      </c>
      <c r="H30" s="2"/>
      <c r="I30" s="2">
        <v>1659267</v>
      </c>
      <c r="J30" s="2">
        <v>14632839</v>
      </c>
      <c r="K30" s="2">
        <v>17581389399</v>
      </c>
      <c r="L30" s="3">
        <f t="shared" si="0"/>
        <v>8.3170307921350654E-3</v>
      </c>
      <c r="M30" s="3">
        <f t="shared" si="1"/>
        <v>6.2503234816157546E-3</v>
      </c>
    </row>
    <row r="31" spans="1:13" x14ac:dyDescent="0.35">
      <c r="A31" t="s">
        <v>13</v>
      </c>
      <c r="B31" t="s">
        <v>43</v>
      </c>
      <c r="C31" s="2">
        <v>19699037</v>
      </c>
      <c r="D31" s="2">
        <v>5462860</v>
      </c>
      <c r="E31" s="2">
        <v>13557646</v>
      </c>
      <c r="F31" s="2">
        <v>4115799</v>
      </c>
      <c r="G31" s="2">
        <v>75165634</v>
      </c>
      <c r="H31" s="2"/>
      <c r="I31" s="2">
        <v>113628281</v>
      </c>
      <c r="J31" s="2">
        <v>20335892</v>
      </c>
      <c r="K31" s="2">
        <v>17327027891</v>
      </c>
      <c r="L31" s="3">
        <f t="shared" si="0"/>
        <v>1.4541740833168259E-2</v>
      </c>
      <c r="M31" s="3">
        <f t="shared" si="1"/>
        <v>1.2307108140038487E-2</v>
      </c>
    </row>
    <row r="32" spans="1:13" x14ac:dyDescent="0.35">
      <c r="A32" t="s">
        <v>13</v>
      </c>
      <c r="B32" t="s">
        <v>44</v>
      </c>
      <c r="C32" s="2">
        <v>14201380</v>
      </c>
      <c r="D32" s="2">
        <v>4524285</v>
      </c>
      <c r="E32" s="2">
        <v>12533951</v>
      </c>
      <c r="F32" s="2">
        <v>58922</v>
      </c>
      <c r="G32" s="2">
        <v>95901749</v>
      </c>
      <c r="H32" s="2"/>
      <c r="I32" s="2">
        <v>2743909</v>
      </c>
      <c r="J32" s="2">
        <v>12858640</v>
      </c>
      <c r="K32" s="2">
        <v>16247254318</v>
      </c>
      <c r="L32" s="3">
        <f t="shared" si="0"/>
        <v>8.7905829012456284E-3</v>
      </c>
      <c r="M32" s="3">
        <f t="shared" si="1"/>
        <v>6.866589136627313E-3</v>
      </c>
    </row>
    <row r="33" spans="1:13" x14ac:dyDescent="0.35">
      <c r="A33" t="s">
        <v>13</v>
      </c>
      <c r="B33" t="s">
        <v>45</v>
      </c>
      <c r="C33" s="2">
        <v>13596029</v>
      </c>
      <c r="D33" s="2">
        <v>4312209</v>
      </c>
      <c r="E33" s="2">
        <v>12487042</v>
      </c>
      <c r="F33" s="2">
        <v>1952187</v>
      </c>
      <c r="G33" s="2">
        <v>73837253</v>
      </c>
      <c r="H33" s="2"/>
      <c r="I33" s="2">
        <v>66288169</v>
      </c>
      <c r="J33" s="2">
        <v>13906795</v>
      </c>
      <c r="K33" s="2">
        <v>15355121870</v>
      </c>
      <c r="L33" s="3">
        <f t="shared" si="0"/>
        <v>1.2137948860187067E-2</v>
      </c>
      <c r="M33" s="3">
        <f t="shared" si="1"/>
        <v>1.0158460826335336E-2</v>
      </c>
    </row>
    <row r="34" spans="1:13" x14ac:dyDescent="0.35">
      <c r="A34" t="s">
        <v>13</v>
      </c>
      <c r="B34" t="s">
        <v>46</v>
      </c>
      <c r="C34" s="2">
        <v>14164996</v>
      </c>
      <c r="D34" s="2">
        <v>4650448</v>
      </c>
      <c r="E34" s="2">
        <v>12086136</v>
      </c>
      <c r="F34" s="2">
        <v>4526828</v>
      </c>
      <c r="G34" s="2">
        <v>95286504</v>
      </c>
      <c r="H34" s="2"/>
      <c r="I34" s="2">
        <v>4053149</v>
      </c>
      <c r="J34" s="2">
        <v>14213172</v>
      </c>
      <c r="K34" s="2">
        <v>18294531143</v>
      </c>
      <c r="L34" s="3">
        <f t="shared" si="0"/>
        <v>8.1434846203754397E-3</v>
      </c>
      <c r="M34" s="3">
        <f t="shared" si="1"/>
        <v>6.4543689082286531E-3</v>
      </c>
    </row>
    <row r="35" spans="1:13" x14ac:dyDescent="0.35">
      <c r="A35" t="s">
        <v>13</v>
      </c>
      <c r="B35" t="s">
        <v>47</v>
      </c>
      <c r="C35" s="2">
        <v>16664953</v>
      </c>
      <c r="D35" s="2">
        <v>4810997</v>
      </c>
      <c r="E35" s="2">
        <v>11272242</v>
      </c>
      <c r="F35" s="2">
        <v>373702</v>
      </c>
      <c r="G35" s="2">
        <v>86476259</v>
      </c>
      <c r="H35" s="2"/>
      <c r="I35" s="2">
        <v>2493037</v>
      </c>
      <c r="J35" s="2">
        <v>15977340</v>
      </c>
      <c r="K35" s="2">
        <v>17452657377</v>
      </c>
      <c r="L35" s="3">
        <f t="shared" si="0"/>
        <v>7.911031943018244E-3</v>
      </c>
      <c r="M35" s="3">
        <f t="shared" si="1"/>
        <v>6.0346304705893384E-3</v>
      </c>
    </row>
    <row r="36" spans="1:13" x14ac:dyDescent="0.35">
      <c r="A36" t="s">
        <v>13</v>
      </c>
      <c r="B36" t="s">
        <v>48</v>
      </c>
      <c r="C36" s="2">
        <v>16989585</v>
      </c>
      <c r="D36" s="2">
        <v>4013281</v>
      </c>
      <c r="E36" s="2">
        <v>13695386</v>
      </c>
      <c r="F36" s="2">
        <v>1706858</v>
      </c>
      <c r="G36" s="2">
        <v>89020612</v>
      </c>
      <c r="H36" s="2"/>
      <c r="I36" s="2">
        <v>3110854</v>
      </c>
      <c r="J36" s="2">
        <v>15854551</v>
      </c>
      <c r="K36" s="2">
        <v>18813298573</v>
      </c>
      <c r="L36" s="3">
        <f t="shared" si="0"/>
        <v>7.6749500593810624E-3</v>
      </c>
      <c r="M36" s="3">
        <f t="shared" si="1"/>
        <v>5.8306029947043031E-3</v>
      </c>
    </row>
    <row r="37" spans="1:13" x14ac:dyDescent="0.35">
      <c r="A37" t="s">
        <v>13</v>
      </c>
      <c r="B37" t="s">
        <v>49</v>
      </c>
      <c r="C37" s="2">
        <v>23120806</v>
      </c>
      <c r="D37" s="2">
        <v>3760536</v>
      </c>
      <c r="E37" s="2">
        <v>11262549</v>
      </c>
      <c r="F37" s="2">
        <v>4354282</v>
      </c>
      <c r="G37" s="2">
        <v>84768942</v>
      </c>
      <c r="H37" s="2">
        <v>797764</v>
      </c>
      <c r="I37" s="2">
        <v>3131332</v>
      </c>
      <c r="J37" s="2">
        <v>15856663</v>
      </c>
      <c r="K37" s="2">
        <v>15406421325</v>
      </c>
      <c r="L37" s="3">
        <f t="shared" si="0"/>
        <v>9.5449079898507847E-3</v>
      </c>
      <c r="M37" s="3">
        <f t="shared" si="1"/>
        <v>7.0690643013425446E-3</v>
      </c>
    </row>
    <row r="38" spans="1:13" x14ac:dyDescent="0.35">
      <c r="A38" t="s">
        <v>13</v>
      </c>
      <c r="B38" t="s">
        <v>50</v>
      </c>
      <c r="C38" s="2">
        <v>19961661</v>
      </c>
      <c r="D38" s="2">
        <v>3098749</v>
      </c>
      <c r="E38" s="2">
        <v>10877875</v>
      </c>
      <c r="F38" s="2">
        <v>329050</v>
      </c>
      <c r="G38" s="2">
        <v>73839825</v>
      </c>
      <c r="H38" s="2"/>
      <c r="I38" s="2">
        <v>1478849</v>
      </c>
      <c r="J38" s="2">
        <v>15651942</v>
      </c>
      <c r="K38" s="2">
        <v>16370751379</v>
      </c>
      <c r="L38" s="3">
        <f t="shared" si="0"/>
        <v>7.6501040239760889E-3</v>
      </c>
      <c r="M38" s="3">
        <f t="shared" si="1"/>
        <v>5.5769991178973603E-3</v>
      </c>
    </row>
    <row r="39" spans="1:13" x14ac:dyDescent="0.35">
      <c r="A39" t="s">
        <v>13</v>
      </c>
      <c r="B39" t="s">
        <v>51</v>
      </c>
      <c r="C39" s="2">
        <v>12800964</v>
      </c>
      <c r="D39" s="2">
        <v>3292333</v>
      </c>
      <c r="E39" s="2">
        <v>10931732</v>
      </c>
      <c r="F39" s="2">
        <v>510891</v>
      </c>
      <c r="G39" s="2">
        <v>65769602</v>
      </c>
      <c r="H39" s="2"/>
      <c r="I39" s="2">
        <v>3434257</v>
      </c>
      <c r="J39" s="2">
        <v>21172269</v>
      </c>
      <c r="K39" s="2">
        <v>16452152838</v>
      </c>
      <c r="L39" s="3">
        <f t="shared" si="0"/>
        <v>7.1669677008868544E-3</v>
      </c>
      <c r="M39" s="3">
        <f t="shared" si="1"/>
        <v>5.5243237705691435E-3</v>
      </c>
    </row>
    <row r="40" spans="1:13" x14ac:dyDescent="0.35">
      <c r="A40" t="s">
        <v>13</v>
      </c>
      <c r="B40" t="s">
        <v>52</v>
      </c>
      <c r="C40" s="2">
        <v>16849482</v>
      </c>
      <c r="D40" s="2">
        <v>4106861</v>
      </c>
      <c r="E40" s="2">
        <v>15617768</v>
      </c>
      <c r="F40" s="2">
        <v>7658825</v>
      </c>
      <c r="G40" s="2">
        <v>125032310</v>
      </c>
      <c r="H40" s="2"/>
      <c r="I40" s="2">
        <v>195951996</v>
      </c>
      <c r="J40" s="2">
        <v>16320491</v>
      </c>
      <c r="K40" s="2">
        <v>20746469817</v>
      </c>
      <c r="L40" s="3">
        <f t="shared" si="0"/>
        <v>1.8390489387614353E-2</v>
      </c>
      <c r="M40" s="3">
        <f t="shared" si="1"/>
        <v>1.6627581706326302E-2</v>
      </c>
    </row>
    <row r="41" spans="1:13" x14ac:dyDescent="0.35">
      <c r="A41" t="s">
        <v>13</v>
      </c>
      <c r="B41" t="s">
        <v>53</v>
      </c>
      <c r="C41" s="2">
        <v>21338677</v>
      </c>
      <c r="D41" s="2">
        <v>3762901</v>
      </c>
      <c r="E41" s="2">
        <v>9957140</v>
      </c>
      <c r="F41" s="2">
        <v>9898623</v>
      </c>
      <c r="G41" s="2">
        <v>78044404</v>
      </c>
      <c r="H41" s="2"/>
      <c r="I41" s="2">
        <v>5066706</v>
      </c>
      <c r="J41" s="2">
        <v>28567460</v>
      </c>
      <c r="K41" s="2">
        <v>17059935073</v>
      </c>
      <c r="L41" s="3">
        <f t="shared" si="0"/>
        <v>9.1815068656328405E-3</v>
      </c>
      <c r="M41" s="3">
        <f t="shared" si="1"/>
        <v>7.1264745428260634E-3</v>
      </c>
    </row>
    <row r="42" spans="1:13" x14ac:dyDescent="0.35">
      <c r="A42" t="s">
        <v>13</v>
      </c>
      <c r="B42" t="s">
        <v>54</v>
      </c>
      <c r="C42" s="2">
        <v>17099491</v>
      </c>
      <c r="D42" s="2">
        <v>4298471</v>
      </c>
      <c r="E42" s="2">
        <v>11883021</v>
      </c>
      <c r="F42" s="2">
        <v>62658</v>
      </c>
      <c r="G42" s="2">
        <v>66067150</v>
      </c>
      <c r="H42" s="2"/>
      <c r="I42" s="2">
        <v>1615110</v>
      </c>
      <c r="J42" s="2">
        <v>27664429</v>
      </c>
      <c r="K42" s="2">
        <v>17511793824</v>
      </c>
      <c r="L42" s="3">
        <f t="shared" si="0"/>
        <v>7.3487805585987012E-3</v>
      </c>
      <c r="M42" s="3">
        <f t="shared" si="1"/>
        <v>5.4482909037702936E-3</v>
      </c>
    </row>
    <row r="43" spans="1:13" x14ac:dyDescent="0.35">
      <c r="A43" t="s">
        <v>13</v>
      </c>
      <c r="B43" t="s">
        <v>55</v>
      </c>
      <c r="C43" s="2">
        <v>15178888</v>
      </c>
      <c r="D43" s="2">
        <v>4548833</v>
      </c>
      <c r="E43" s="2">
        <v>12068302</v>
      </c>
      <c r="F43" s="2">
        <v>68875</v>
      </c>
      <c r="G43" s="2">
        <v>75400410</v>
      </c>
      <c r="H43" s="2"/>
      <c r="I43" s="2">
        <v>2761812</v>
      </c>
      <c r="J43" s="2">
        <v>21257437</v>
      </c>
      <c r="K43" s="2">
        <v>17765144748</v>
      </c>
      <c r="L43" s="3">
        <f t="shared" si="0"/>
        <v>7.3900077293082575E-3</v>
      </c>
      <c r="M43" s="3">
        <f t="shared" si="1"/>
        <v>5.6002095908168955E-3</v>
      </c>
    </row>
    <row r="44" spans="1:13" x14ac:dyDescent="0.35">
      <c r="A44" t="s">
        <v>13</v>
      </c>
      <c r="B44" t="s">
        <v>56</v>
      </c>
      <c r="C44" s="2">
        <v>22124085</v>
      </c>
      <c r="D44" s="2">
        <v>3610104</v>
      </c>
      <c r="E44" s="2">
        <v>10394165</v>
      </c>
      <c r="F44" s="2">
        <v>17504</v>
      </c>
      <c r="G44" s="2">
        <v>82647736</v>
      </c>
      <c r="H44" s="2"/>
      <c r="I44" s="2">
        <v>9691394</v>
      </c>
      <c r="J44" s="2">
        <v>34923913</v>
      </c>
      <c r="K44" s="2">
        <v>16674679206</v>
      </c>
      <c r="L44" s="3">
        <f t="shared" si="0"/>
        <v>9.7998227720747441E-3</v>
      </c>
      <c r="M44" s="3">
        <f t="shared" si="1"/>
        <v>7.6331631587971431E-3</v>
      </c>
    </row>
    <row r="45" spans="1:13" x14ac:dyDescent="0.35">
      <c r="A45" t="s">
        <v>13</v>
      </c>
      <c r="B45" t="s">
        <v>57</v>
      </c>
      <c r="C45" s="2">
        <v>13643795</v>
      </c>
      <c r="D45" s="2">
        <v>2597160</v>
      </c>
      <c r="E45" s="2">
        <v>10986026</v>
      </c>
      <c r="F45" s="2">
        <v>20675</v>
      </c>
      <c r="G45" s="2">
        <v>86459881</v>
      </c>
      <c r="H45" s="2"/>
      <c r="I45" s="2">
        <v>2461802</v>
      </c>
      <c r="J45" s="2">
        <v>30815392</v>
      </c>
      <c r="K45" s="2">
        <v>15312905129</v>
      </c>
      <c r="L45" s="3">
        <f t="shared" si="0"/>
        <v>9.5987488828384558E-3</v>
      </c>
      <c r="M45" s="3">
        <f t="shared" si="1"/>
        <v>7.8207073700991905E-3</v>
      </c>
    </row>
    <row r="46" spans="1:13" x14ac:dyDescent="0.35">
      <c r="A46" t="s">
        <v>13</v>
      </c>
      <c r="B46" t="s">
        <v>58</v>
      </c>
      <c r="C46" s="2">
        <v>18833175</v>
      </c>
      <c r="D46" s="2">
        <v>2126936</v>
      </c>
      <c r="E46" s="2">
        <v>13018994</v>
      </c>
      <c r="F46" s="2">
        <v>5088</v>
      </c>
      <c r="G46" s="2">
        <v>156353871</v>
      </c>
      <c r="H46" s="2"/>
      <c r="I46" s="2">
        <v>5119880</v>
      </c>
      <c r="J46" s="2">
        <v>18888471</v>
      </c>
      <c r="K46" s="2">
        <v>17038994551</v>
      </c>
      <c r="L46" s="3">
        <f t="shared" si="0"/>
        <v>1.2579757236169798E-2</v>
      </c>
      <c r="M46" s="3">
        <f t="shared" si="1"/>
        <v>1.058556063622982E-2</v>
      </c>
    </row>
    <row r="47" spans="1:13" x14ac:dyDescent="0.35">
      <c r="A47" t="s">
        <v>13</v>
      </c>
      <c r="B47" t="s">
        <v>59</v>
      </c>
      <c r="C47" s="2">
        <v>22843178</v>
      </c>
      <c r="D47" s="2">
        <v>3266477</v>
      </c>
      <c r="E47" s="2">
        <v>12608695</v>
      </c>
      <c r="F47" s="2">
        <v>103584</v>
      </c>
      <c r="G47" s="2">
        <v>105872941</v>
      </c>
      <c r="H47" s="2"/>
      <c r="I47" s="2">
        <v>6479382</v>
      </c>
      <c r="J47" s="2">
        <v>26158337</v>
      </c>
      <c r="K47" s="2">
        <v>18276032348</v>
      </c>
      <c r="L47" s="3">
        <f t="shared" si="0"/>
        <v>9.7030137955192459E-3</v>
      </c>
      <c r="M47" s="3">
        <f t="shared" si="1"/>
        <v>7.5844823077897954E-3</v>
      </c>
    </row>
    <row r="48" spans="1:13" x14ac:dyDescent="0.35">
      <c r="A48" t="s">
        <v>13</v>
      </c>
      <c r="B48" t="s">
        <v>60</v>
      </c>
      <c r="C48" s="2">
        <v>23456519</v>
      </c>
      <c r="D48" s="2">
        <v>3828978</v>
      </c>
      <c r="E48" s="2">
        <v>13783554</v>
      </c>
      <c r="F48" s="2">
        <v>2882</v>
      </c>
      <c r="G48" s="2">
        <v>123257789</v>
      </c>
      <c r="H48" s="2">
        <v>23</v>
      </c>
      <c r="I48" s="2">
        <v>5058998</v>
      </c>
      <c r="J48" s="2">
        <v>35689245</v>
      </c>
      <c r="K48" s="2">
        <v>19658010515</v>
      </c>
      <c r="L48" s="3">
        <f t="shared" si="0"/>
        <v>1.0432286005926984E-2</v>
      </c>
      <c r="M48" s="3">
        <f t="shared" si="1"/>
        <v>8.3431096384272135E-3</v>
      </c>
    </row>
    <row r="49" spans="1:13" x14ac:dyDescent="0.35">
      <c r="A49" t="s">
        <v>13</v>
      </c>
      <c r="B49" t="s">
        <v>61</v>
      </c>
      <c r="C49" s="2">
        <v>21793347</v>
      </c>
      <c r="D49" s="2">
        <v>4781830</v>
      </c>
      <c r="E49" s="2">
        <v>12883781</v>
      </c>
      <c r="F49" s="2">
        <v>211595</v>
      </c>
      <c r="G49" s="2">
        <v>83752025</v>
      </c>
      <c r="H49" s="2">
        <v>817</v>
      </c>
      <c r="I49" s="2">
        <v>7083433</v>
      </c>
      <c r="J49" s="2">
        <v>21724436</v>
      </c>
      <c r="K49" s="2">
        <v>14387625421</v>
      </c>
      <c r="L49" s="3">
        <f t="shared" si="0"/>
        <v>1.0580708042190558E-2</v>
      </c>
      <c r="M49" s="3">
        <f t="shared" si="1"/>
        <v>7.8381458162928644E-3</v>
      </c>
    </row>
    <row r="50" spans="1:13" x14ac:dyDescent="0.35">
      <c r="A50" t="s">
        <v>13</v>
      </c>
      <c r="B50" t="s">
        <v>62</v>
      </c>
      <c r="C50" s="2">
        <v>21882269</v>
      </c>
      <c r="D50" s="2">
        <v>3679328</v>
      </c>
      <c r="E50" s="2">
        <v>11627352</v>
      </c>
      <c r="F50" s="2">
        <v>1922198</v>
      </c>
      <c r="G50" s="2">
        <v>88446781</v>
      </c>
      <c r="H50" s="2"/>
      <c r="I50" s="2">
        <v>3507824</v>
      </c>
      <c r="J50" s="2">
        <v>20593426</v>
      </c>
      <c r="K50" s="2">
        <v>16594213260</v>
      </c>
      <c r="L50" s="3">
        <f t="shared" si="0"/>
        <v>9.1392810025872837E-3</v>
      </c>
      <c r="M50" s="3">
        <f t="shared" si="1"/>
        <v>6.8982016324888431E-3</v>
      </c>
    </row>
    <row r="51" spans="1:13" x14ac:dyDescent="0.35">
      <c r="A51" t="s">
        <v>13</v>
      </c>
      <c r="B51" t="s">
        <v>63</v>
      </c>
      <c r="C51" s="2">
        <v>15270272</v>
      </c>
      <c r="D51" s="2">
        <v>3198921</v>
      </c>
      <c r="E51" s="2">
        <v>16232853</v>
      </c>
      <c r="F51" s="2">
        <v>40963</v>
      </c>
      <c r="G51" s="2">
        <v>70383343</v>
      </c>
      <c r="H51" s="2"/>
      <c r="I51" s="2">
        <v>1833657</v>
      </c>
      <c r="J51" s="2">
        <v>32986446</v>
      </c>
      <c r="K51" s="2">
        <v>17182905588</v>
      </c>
      <c r="L51" s="3">
        <f t="shared" si="0"/>
        <v>8.1445163207865268E-3</v>
      </c>
      <c r="M51" s="3">
        <f t="shared" si="1"/>
        <v>6.1249483366479871E-3</v>
      </c>
    </row>
    <row r="52" spans="1:13" x14ac:dyDescent="0.35">
      <c r="A52" t="s">
        <v>13</v>
      </c>
      <c r="B52" t="s">
        <v>64</v>
      </c>
      <c r="C52" s="2">
        <v>20179110</v>
      </c>
      <c r="D52" s="2">
        <v>2717759</v>
      </c>
      <c r="E52" s="2">
        <v>12674490</v>
      </c>
      <c r="F52" s="2">
        <v>97991</v>
      </c>
      <c r="G52" s="2">
        <v>126553232</v>
      </c>
      <c r="H52" s="2"/>
      <c r="I52" s="2">
        <v>2471610</v>
      </c>
      <c r="J52" s="2">
        <v>21968171</v>
      </c>
      <c r="K52" s="2">
        <v>17154075109</v>
      </c>
      <c r="L52" s="3">
        <f t="shared" si="0"/>
        <v>1.0881517179673904E-2</v>
      </c>
      <c r="M52" s="3">
        <f t="shared" si="1"/>
        <v>8.80787818870684E-3</v>
      </c>
    </row>
    <row r="53" spans="1:13" x14ac:dyDescent="0.35">
      <c r="A53" t="s">
        <v>13</v>
      </c>
      <c r="B53" t="s">
        <v>65</v>
      </c>
      <c r="C53" s="2">
        <v>20162033</v>
      </c>
      <c r="D53" s="2">
        <v>2360905</v>
      </c>
      <c r="E53" s="2">
        <v>10041876</v>
      </c>
      <c r="F53" s="2">
        <v>15555</v>
      </c>
      <c r="G53" s="2">
        <v>139610354</v>
      </c>
      <c r="H53" s="2"/>
      <c r="I53" s="2">
        <v>9330493</v>
      </c>
      <c r="J53" s="2">
        <v>17312806</v>
      </c>
      <c r="K53" s="2">
        <v>16745142560</v>
      </c>
      <c r="L53" s="3">
        <f t="shared" si="0"/>
        <v>1.1874131336150296E-2</v>
      </c>
      <c r="M53" s="3">
        <f t="shared" si="1"/>
        <v>9.929399370846562E-3</v>
      </c>
    </row>
    <row r="54" spans="1:13" x14ac:dyDescent="0.35">
      <c r="A54" t="s">
        <v>13</v>
      </c>
      <c r="B54" t="s">
        <v>66</v>
      </c>
      <c r="C54" s="2">
        <v>15222492</v>
      </c>
      <c r="D54" s="2">
        <v>3368042</v>
      </c>
      <c r="E54" s="2">
        <v>11192858</v>
      </c>
      <c r="F54" s="2">
        <v>456914</v>
      </c>
      <c r="G54" s="2">
        <v>151962716</v>
      </c>
      <c r="H54" s="2"/>
      <c r="I54" s="2">
        <v>3326848</v>
      </c>
      <c r="J54" s="2">
        <v>20330994</v>
      </c>
      <c r="K54" s="2">
        <v>15956145583</v>
      </c>
      <c r="L54" s="3">
        <f t="shared" si="0"/>
        <v>1.2901666190569754E-2</v>
      </c>
      <c r="M54" s="3">
        <f t="shared" si="1"/>
        <v>1.1035088084656015E-2</v>
      </c>
    </row>
    <row r="55" spans="1:13" x14ac:dyDescent="0.35">
      <c r="A55" t="s">
        <v>13</v>
      </c>
      <c r="B55" t="s">
        <v>67</v>
      </c>
      <c r="C55" s="2">
        <v>14252083</v>
      </c>
      <c r="D55" s="2">
        <v>2538536</v>
      </c>
      <c r="E55" s="2">
        <v>10914027</v>
      </c>
      <c r="F55" s="2">
        <v>837</v>
      </c>
      <c r="G55" s="2">
        <v>106960979</v>
      </c>
      <c r="H55" s="2"/>
      <c r="I55" s="2">
        <v>3609217</v>
      </c>
      <c r="J55" s="2">
        <v>28415565</v>
      </c>
      <c r="K55" s="2">
        <v>16760691331</v>
      </c>
      <c r="L55" s="3">
        <f t="shared" si="0"/>
        <v>9.9453680464655775E-3</v>
      </c>
      <c r="M55" s="3">
        <f t="shared" si="1"/>
        <v>8.2924143912211524E-3</v>
      </c>
    </row>
    <row r="56" spans="1:13" x14ac:dyDescent="0.35">
      <c r="A56" t="s">
        <v>13</v>
      </c>
      <c r="B56" t="s">
        <v>68</v>
      </c>
      <c r="C56" s="2">
        <v>21065725</v>
      </c>
      <c r="D56" s="2">
        <v>2262040</v>
      </c>
      <c r="E56" s="2">
        <v>12028510</v>
      </c>
      <c r="F56" s="2">
        <v>738034</v>
      </c>
      <c r="G56" s="2">
        <v>78812146</v>
      </c>
      <c r="H56" s="2"/>
      <c r="I56" s="2">
        <v>12961999</v>
      </c>
      <c r="J56" s="2">
        <v>20590266</v>
      </c>
      <c r="K56" s="2">
        <v>17731842512</v>
      </c>
      <c r="L56" s="3">
        <f t="shared" si="0"/>
        <v>8.3724361920951406E-3</v>
      </c>
      <c r="M56" s="3">
        <f t="shared" si="1"/>
        <v>6.3784936575800328E-3</v>
      </c>
    </row>
    <row r="57" spans="1:13" x14ac:dyDescent="0.35">
      <c r="A57" t="s">
        <v>13</v>
      </c>
      <c r="B57" t="s">
        <v>69</v>
      </c>
      <c r="C57" s="2">
        <v>10440115</v>
      </c>
      <c r="D57" s="2">
        <v>2560574</v>
      </c>
      <c r="E57" s="2">
        <v>12098247</v>
      </c>
      <c r="F57" s="2">
        <v>26658</v>
      </c>
      <c r="G57" s="2">
        <v>125400451</v>
      </c>
      <c r="H57" s="2"/>
      <c r="I57" s="2">
        <v>10860696</v>
      </c>
      <c r="J57" s="2">
        <v>21345844</v>
      </c>
      <c r="K57" s="2">
        <v>14036568155</v>
      </c>
      <c r="L57" s="3">
        <f t="shared" si="0"/>
        <v>1.3018323494899883E-2</v>
      </c>
      <c r="M57" s="3">
        <f t="shared" si="1"/>
        <v>1.1230212916670016E-2</v>
      </c>
    </row>
    <row r="58" spans="1:13" x14ac:dyDescent="0.35">
      <c r="A58" t="s">
        <v>13</v>
      </c>
      <c r="B58" t="s">
        <v>70</v>
      </c>
      <c r="C58" s="2">
        <v>15241771</v>
      </c>
      <c r="D58" s="2">
        <v>2554351</v>
      </c>
      <c r="E58" s="2">
        <v>11631894</v>
      </c>
      <c r="F58" s="2">
        <v>13349</v>
      </c>
      <c r="G58" s="2">
        <v>157789625</v>
      </c>
      <c r="H58" s="2"/>
      <c r="I58" s="2">
        <v>2134125</v>
      </c>
      <c r="J58" s="2">
        <v>25298233</v>
      </c>
      <c r="K58" s="2">
        <v>16614427021</v>
      </c>
      <c r="L58" s="3">
        <f t="shared" si="0"/>
        <v>1.2920297987325939E-2</v>
      </c>
      <c r="M58" s="3">
        <f t="shared" si="1"/>
        <v>1.1149065313288844E-2</v>
      </c>
    </row>
    <row r="59" spans="1:13" x14ac:dyDescent="0.35">
      <c r="A59" t="s">
        <v>13</v>
      </c>
      <c r="B59" t="s">
        <v>71</v>
      </c>
      <c r="C59" s="2">
        <v>22308920</v>
      </c>
      <c r="D59" s="2">
        <v>3873632</v>
      </c>
      <c r="E59" s="2">
        <v>13605041</v>
      </c>
      <c r="F59" s="2">
        <v>622162</v>
      </c>
      <c r="G59" s="2">
        <v>130297377</v>
      </c>
      <c r="H59" s="2">
        <v>1180</v>
      </c>
      <c r="I59" s="2">
        <v>5590817</v>
      </c>
      <c r="J59" s="2">
        <v>22291529</v>
      </c>
      <c r="K59" s="2">
        <v>18203622750</v>
      </c>
      <c r="L59" s="3">
        <f t="shared" si="0"/>
        <v>1.0909403074725882E-2</v>
      </c>
      <c r="M59" s="3">
        <f t="shared" si="1"/>
        <v>8.7237066588846997E-3</v>
      </c>
    </row>
    <row r="60" spans="1:13" x14ac:dyDescent="0.35">
      <c r="A60" t="s">
        <v>13</v>
      </c>
      <c r="B60" t="s">
        <v>72</v>
      </c>
      <c r="C60" s="2">
        <v>22251843</v>
      </c>
      <c r="D60" s="2">
        <v>1861760</v>
      </c>
      <c r="E60" s="2">
        <v>12191389</v>
      </c>
      <c r="F60" s="2">
        <v>30931</v>
      </c>
      <c r="G60" s="2">
        <v>109869615</v>
      </c>
      <c r="H60" s="2"/>
      <c r="I60" s="2">
        <v>4164056</v>
      </c>
      <c r="J60" s="2">
        <v>23391330</v>
      </c>
      <c r="K60" s="2">
        <v>16871392134</v>
      </c>
      <c r="L60" s="3">
        <f t="shared" si="0"/>
        <v>1.0299145596280052E-2</v>
      </c>
      <c r="M60" s="3">
        <f t="shared" si="1"/>
        <v>8.1472785949294919E-3</v>
      </c>
    </row>
    <row r="61" spans="1:13" x14ac:dyDescent="0.35">
      <c r="A61" t="s">
        <v>13</v>
      </c>
      <c r="B61" t="s">
        <v>73</v>
      </c>
      <c r="C61" s="2">
        <v>17529068</v>
      </c>
      <c r="D61" s="2">
        <v>2456037</v>
      </c>
      <c r="E61" s="2">
        <v>10986218</v>
      </c>
      <c r="F61" s="2">
        <v>94892</v>
      </c>
      <c r="G61" s="2">
        <v>131149066</v>
      </c>
      <c r="H61" s="2">
        <v>764</v>
      </c>
      <c r="I61" s="2">
        <v>5470477</v>
      </c>
      <c r="J61" s="2">
        <v>28678321</v>
      </c>
      <c r="K61" s="2">
        <v>13996635901</v>
      </c>
      <c r="L61" s="3">
        <f t="shared" si="0"/>
        <v>1.4029431385435307E-2</v>
      </c>
      <c r="M61" s="3">
        <f t="shared" si="1"/>
        <v>1.1816662315848577E-2</v>
      </c>
    </row>
    <row r="62" spans="1:13" x14ac:dyDescent="0.35">
      <c r="A62" t="s">
        <v>13</v>
      </c>
      <c r="B62" t="s">
        <v>74</v>
      </c>
      <c r="C62" s="2">
        <v>15791107</v>
      </c>
      <c r="D62" s="2">
        <v>2222822</v>
      </c>
      <c r="E62" s="2">
        <v>9659616</v>
      </c>
      <c r="F62" s="2">
        <v>610491</v>
      </c>
      <c r="G62" s="2">
        <v>82637877</v>
      </c>
      <c r="H62" s="2"/>
      <c r="I62" s="2">
        <v>1803021</v>
      </c>
      <c r="J62" s="2">
        <v>30258379</v>
      </c>
      <c r="K62" s="2">
        <v>16115985463</v>
      </c>
      <c r="L62" s="3">
        <f t="shared" si="0"/>
        <v>8.8721420932197578E-3</v>
      </c>
      <c r="M62" s="3">
        <f t="shared" si="1"/>
        <v>7.1549932993383962E-3</v>
      </c>
    </row>
    <row r="63" spans="1:13" x14ac:dyDescent="0.35">
      <c r="A63" t="s">
        <v>13</v>
      </c>
      <c r="B63" t="s">
        <v>75</v>
      </c>
      <c r="C63" s="2">
        <v>14568830</v>
      </c>
      <c r="D63" s="2">
        <v>1563936</v>
      </c>
      <c r="E63" s="2">
        <v>10500066</v>
      </c>
      <c r="F63" s="2">
        <v>645391</v>
      </c>
      <c r="G63" s="2">
        <v>217086779</v>
      </c>
      <c r="H63" s="2"/>
      <c r="I63" s="2">
        <v>2912363</v>
      </c>
      <c r="J63" s="2">
        <v>24311846</v>
      </c>
      <c r="K63" s="2">
        <v>16427246009</v>
      </c>
      <c r="L63" s="3">
        <f t="shared" si="0"/>
        <v>1.6532851023915045E-2</v>
      </c>
      <c r="M63" s="3">
        <f t="shared" si="1"/>
        <v>1.4911591320042062E-2</v>
      </c>
    </row>
    <row r="64" spans="1:13" x14ac:dyDescent="0.35">
      <c r="A64" t="s">
        <v>13</v>
      </c>
      <c r="B64" t="s">
        <v>76</v>
      </c>
      <c r="C64" s="2">
        <v>10571712</v>
      </c>
      <c r="D64" s="2">
        <v>2696324</v>
      </c>
      <c r="E64" s="2">
        <v>8728151</v>
      </c>
      <c r="F64" s="2">
        <v>3883</v>
      </c>
      <c r="G64" s="2">
        <v>91497939</v>
      </c>
      <c r="H64" s="2"/>
      <c r="I64" s="2">
        <v>5417827</v>
      </c>
      <c r="J64" s="2">
        <v>20772041</v>
      </c>
      <c r="K64" s="2">
        <v>17367958681</v>
      </c>
      <c r="L64" s="3">
        <f t="shared" si="0"/>
        <v>8.0428494543123338E-3</v>
      </c>
      <c r="M64" s="3">
        <f t="shared" si="1"/>
        <v>6.7763686085199528E-3</v>
      </c>
    </row>
    <row r="65" spans="1:13" x14ac:dyDescent="0.35">
      <c r="A65" t="s">
        <v>13</v>
      </c>
      <c r="B65" t="s">
        <v>77</v>
      </c>
      <c r="C65" s="2">
        <v>13985862</v>
      </c>
      <c r="D65" s="2">
        <v>2862670</v>
      </c>
      <c r="E65" s="2">
        <v>6879643</v>
      </c>
      <c r="F65" s="2"/>
      <c r="G65" s="2">
        <v>137613425</v>
      </c>
      <c r="H65" s="2"/>
      <c r="I65" s="2">
        <v>2830446</v>
      </c>
      <c r="J65" s="2">
        <v>18288136</v>
      </c>
      <c r="K65" s="2">
        <v>16640324643</v>
      </c>
      <c r="L65" s="3">
        <f t="shared" si="0"/>
        <v>1.0964941244505984E-2</v>
      </c>
      <c r="M65" s="3">
        <f t="shared" si="1"/>
        <v>9.5389970090981949E-3</v>
      </c>
    </row>
    <row r="66" spans="1:13" x14ac:dyDescent="0.35">
      <c r="A66" t="s">
        <v>13</v>
      </c>
      <c r="B66" t="s">
        <v>78</v>
      </c>
      <c r="C66" s="2">
        <v>13015427</v>
      </c>
      <c r="D66" s="2">
        <v>5233687</v>
      </c>
      <c r="E66" s="2">
        <v>8464124</v>
      </c>
      <c r="F66" s="2">
        <v>3376</v>
      </c>
      <c r="G66" s="2">
        <v>157048214</v>
      </c>
      <c r="H66" s="2"/>
      <c r="I66" s="2">
        <v>3073606</v>
      </c>
      <c r="J66" s="2">
        <v>30744710</v>
      </c>
      <c r="K66" s="2">
        <v>16161344481</v>
      </c>
      <c r="L66" s="3">
        <f t="shared" ref="L66:L129" si="2">SUM(C66:J66)/K66</f>
        <v>1.3463183354318106E-2</v>
      </c>
      <c r="M66" s="3">
        <f t="shared" ref="M66:M129" si="3">SUM(F66:J66)/K66</f>
        <v>1.1810273967267712E-2</v>
      </c>
    </row>
    <row r="67" spans="1:13" x14ac:dyDescent="0.35">
      <c r="A67" t="s">
        <v>13</v>
      </c>
      <c r="B67" t="s">
        <v>79</v>
      </c>
      <c r="C67" s="2">
        <v>13658659</v>
      </c>
      <c r="D67" s="2">
        <v>4766138</v>
      </c>
      <c r="E67" s="2">
        <v>10474219</v>
      </c>
      <c r="F67" s="2">
        <v>3595</v>
      </c>
      <c r="G67" s="2">
        <v>103744642</v>
      </c>
      <c r="H67" s="2"/>
      <c r="I67" s="2">
        <v>4642289</v>
      </c>
      <c r="J67" s="2">
        <v>20895146</v>
      </c>
      <c r="K67" s="2">
        <v>15837043479</v>
      </c>
      <c r="L67" s="3">
        <f t="shared" si="2"/>
        <v>9.9882713721000833E-3</v>
      </c>
      <c r="M67" s="3">
        <f t="shared" si="3"/>
        <v>8.1634979515863206E-3</v>
      </c>
    </row>
    <row r="68" spans="1:13" x14ac:dyDescent="0.35">
      <c r="A68" t="s">
        <v>13</v>
      </c>
      <c r="B68" t="s">
        <v>80</v>
      </c>
      <c r="C68" s="2">
        <v>16834808</v>
      </c>
      <c r="D68" s="2">
        <v>4228555</v>
      </c>
      <c r="E68" s="2">
        <v>10381230</v>
      </c>
      <c r="F68" s="2">
        <v>1682</v>
      </c>
      <c r="G68" s="2">
        <v>103430363</v>
      </c>
      <c r="H68" s="2"/>
      <c r="I68" s="2">
        <v>5549037</v>
      </c>
      <c r="J68" s="2">
        <v>25657779</v>
      </c>
      <c r="K68" s="2">
        <v>17073740444</v>
      </c>
      <c r="L68" s="3">
        <f t="shared" si="2"/>
        <v>9.7274205698941931E-3</v>
      </c>
      <c r="M68" s="3">
        <f t="shared" si="3"/>
        <v>7.8857272922474558E-3</v>
      </c>
    </row>
    <row r="69" spans="1:13" x14ac:dyDescent="0.35">
      <c r="A69" t="s">
        <v>13</v>
      </c>
      <c r="B69" t="s">
        <v>81</v>
      </c>
      <c r="C69" s="2">
        <v>10316856</v>
      </c>
      <c r="D69" s="2">
        <v>5020389</v>
      </c>
      <c r="E69" s="2">
        <v>10928242</v>
      </c>
      <c r="F69" s="2">
        <v>2795</v>
      </c>
      <c r="G69" s="2">
        <v>158627515</v>
      </c>
      <c r="H69" s="2"/>
      <c r="I69" s="2">
        <v>2567542</v>
      </c>
      <c r="J69" s="2">
        <v>21552481</v>
      </c>
      <c r="K69" s="2">
        <v>13595869896</v>
      </c>
      <c r="L69" s="3">
        <f t="shared" si="2"/>
        <v>1.5373478975515492E-2</v>
      </c>
      <c r="M69" s="3">
        <f t="shared" si="3"/>
        <v>1.3441606487700094E-2</v>
      </c>
    </row>
    <row r="70" spans="1:13" x14ac:dyDescent="0.35">
      <c r="A70" t="s">
        <v>13</v>
      </c>
      <c r="B70" t="s">
        <v>82</v>
      </c>
      <c r="C70" s="2">
        <v>16444014</v>
      </c>
      <c r="D70" s="2">
        <v>3813210</v>
      </c>
      <c r="E70" s="2">
        <v>10549260</v>
      </c>
      <c r="F70" s="2"/>
      <c r="G70" s="2">
        <v>133355157</v>
      </c>
      <c r="H70" s="2"/>
      <c r="I70" s="2">
        <v>2455661</v>
      </c>
      <c r="J70" s="2">
        <v>31415561</v>
      </c>
      <c r="K70" s="2">
        <v>17466822019</v>
      </c>
      <c r="L70" s="3">
        <f t="shared" si="2"/>
        <v>1.1337658492459848E-2</v>
      </c>
      <c r="M70" s="3">
        <f t="shared" si="3"/>
        <v>9.5739441793186563E-3</v>
      </c>
    </row>
    <row r="71" spans="1:13" x14ac:dyDescent="0.35">
      <c r="A71" t="s">
        <v>13</v>
      </c>
      <c r="B71" t="s">
        <v>83</v>
      </c>
      <c r="C71" s="2">
        <v>13044437</v>
      </c>
      <c r="D71" s="2">
        <v>5661031</v>
      </c>
      <c r="E71" s="2">
        <v>10220380</v>
      </c>
      <c r="F71" s="2">
        <v>117210</v>
      </c>
      <c r="G71" s="2">
        <v>208739518</v>
      </c>
      <c r="H71" s="2"/>
      <c r="I71" s="2">
        <v>3244520</v>
      </c>
      <c r="J71" s="2">
        <v>23296936</v>
      </c>
      <c r="K71" s="2">
        <v>18121744351</v>
      </c>
      <c r="L71" s="3">
        <f t="shared" si="2"/>
        <v>1.4586014838323993E-2</v>
      </c>
      <c r="M71" s="3">
        <f t="shared" si="3"/>
        <v>1.2989819271289421E-2</v>
      </c>
    </row>
    <row r="72" spans="1:13" x14ac:dyDescent="0.35">
      <c r="A72" t="s">
        <v>13</v>
      </c>
      <c r="B72" t="s">
        <v>84</v>
      </c>
      <c r="C72" s="2">
        <v>20455438</v>
      </c>
      <c r="D72" s="2">
        <v>5955850</v>
      </c>
      <c r="E72" s="2">
        <v>10058942</v>
      </c>
      <c r="F72" s="2">
        <v>18126</v>
      </c>
      <c r="G72" s="2">
        <v>179724307</v>
      </c>
      <c r="H72" s="2"/>
      <c r="I72" s="2">
        <v>11622411</v>
      </c>
      <c r="J72" s="2">
        <v>17339744</v>
      </c>
      <c r="K72" s="2">
        <v>17110267678</v>
      </c>
      <c r="L72" s="3">
        <f t="shared" si="2"/>
        <v>1.4329104758263969E-2</v>
      </c>
      <c r="M72" s="3">
        <f t="shared" si="3"/>
        <v>1.2197622616293004E-2</v>
      </c>
    </row>
    <row r="73" spans="1:13" x14ac:dyDescent="0.35">
      <c r="A73" t="s">
        <v>13</v>
      </c>
      <c r="B73" t="s">
        <v>85</v>
      </c>
      <c r="C73" s="2">
        <v>19606236</v>
      </c>
      <c r="D73" s="2">
        <v>3377971</v>
      </c>
      <c r="E73" s="2">
        <v>11217422</v>
      </c>
      <c r="F73" s="2">
        <v>586803</v>
      </c>
      <c r="G73" s="2">
        <v>136343893</v>
      </c>
      <c r="H73" s="2"/>
      <c r="I73" s="2">
        <v>2620027</v>
      </c>
      <c r="J73" s="2">
        <v>28625282</v>
      </c>
      <c r="K73" s="2">
        <v>14764777096</v>
      </c>
      <c r="L73" s="3">
        <f t="shared" si="2"/>
        <v>1.3706785594130449E-2</v>
      </c>
      <c r="M73" s="3">
        <f t="shared" si="3"/>
        <v>1.1390351774803386E-2</v>
      </c>
    </row>
    <row r="74" spans="1:13" x14ac:dyDescent="0.35">
      <c r="A74" t="s">
        <v>13</v>
      </c>
      <c r="B74" t="s">
        <v>86</v>
      </c>
      <c r="C74" s="2">
        <v>12076070</v>
      </c>
      <c r="D74" s="2">
        <v>3775002</v>
      </c>
      <c r="E74" s="2">
        <v>7080698</v>
      </c>
      <c r="F74" s="2"/>
      <c r="G74" s="2">
        <v>109868209</v>
      </c>
      <c r="H74" s="2"/>
      <c r="I74" s="2">
        <v>2196170</v>
      </c>
      <c r="J74" s="2">
        <v>41338764</v>
      </c>
      <c r="K74" s="2">
        <v>15307723183</v>
      </c>
      <c r="L74" s="3">
        <f t="shared" si="2"/>
        <v>1.1519342941596228E-2</v>
      </c>
      <c r="M74" s="3">
        <f t="shared" si="3"/>
        <v>1.002129063650445E-2</v>
      </c>
    </row>
    <row r="75" spans="1:13" x14ac:dyDescent="0.35">
      <c r="A75" t="s">
        <v>13</v>
      </c>
      <c r="B75" t="s">
        <v>87</v>
      </c>
      <c r="C75" s="2">
        <v>11605788</v>
      </c>
      <c r="D75" s="2">
        <v>3908233</v>
      </c>
      <c r="E75" s="2">
        <v>6378162</v>
      </c>
      <c r="F75" s="2">
        <v>73611</v>
      </c>
      <c r="G75" s="2">
        <v>107932881</v>
      </c>
      <c r="H75" s="2"/>
      <c r="I75" s="2">
        <v>1436272</v>
      </c>
      <c r="J75" s="2">
        <v>25570115</v>
      </c>
      <c r="K75" s="2">
        <v>16778567771</v>
      </c>
      <c r="L75" s="3">
        <f t="shared" si="2"/>
        <v>9.351517015128907E-3</v>
      </c>
      <c r="M75" s="3">
        <f t="shared" si="3"/>
        <v>8.0467463518164913E-3</v>
      </c>
    </row>
    <row r="76" spans="1:13" x14ac:dyDescent="0.35">
      <c r="A76" t="s">
        <v>13</v>
      </c>
      <c r="B76" t="s">
        <v>88</v>
      </c>
      <c r="C76" s="2">
        <v>15805101</v>
      </c>
      <c r="D76" s="2">
        <v>7378656</v>
      </c>
      <c r="E76" s="2">
        <v>8388581</v>
      </c>
      <c r="F76" s="2">
        <v>5830</v>
      </c>
      <c r="G76" s="2">
        <v>163290491</v>
      </c>
      <c r="H76" s="2"/>
      <c r="I76" s="2">
        <v>5965107</v>
      </c>
      <c r="J76" s="2">
        <v>41202917</v>
      </c>
      <c r="K76" s="2">
        <v>18797528218</v>
      </c>
      <c r="L76" s="3">
        <f t="shared" si="2"/>
        <v>1.2875984554619914E-2</v>
      </c>
      <c r="M76" s="3">
        <f t="shared" si="3"/>
        <v>1.1196384043645967E-2</v>
      </c>
    </row>
    <row r="77" spans="1:13" x14ac:dyDescent="0.35">
      <c r="A77" t="s">
        <v>13</v>
      </c>
      <c r="B77" t="s">
        <v>89</v>
      </c>
      <c r="C77" s="2">
        <v>12766774</v>
      </c>
      <c r="D77" s="2">
        <v>9179003</v>
      </c>
      <c r="E77" s="2">
        <v>9231090</v>
      </c>
      <c r="F77" s="2">
        <v>81333</v>
      </c>
      <c r="G77" s="2">
        <v>70479709</v>
      </c>
      <c r="H77" s="2"/>
      <c r="I77" s="2">
        <v>2962169</v>
      </c>
      <c r="J77" s="2">
        <v>38285018</v>
      </c>
      <c r="K77" s="2">
        <v>17701375160</v>
      </c>
      <c r="L77" s="3">
        <f t="shared" si="2"/>
        <v>8.0776264390523198E-3</v>
      </c>
      <c r="M77" s="3">
        <f t="shared" si="3"/>
        <v>6.3163583613918498E-3</v>
      </c>
    </row>
    <row r="78" spans="1:13" x14ac:dyDescent="0.35">
      <c r="A78" t="s">
        <v>13</v>
      </c>
      <c r="B78" t="s">
        <v>90</v>
      </c>
      <c r="C78" s="2">
        <v>14002972</v>
      </c>
      <c r="D78" s="2">
        <v>8646663</v>
      </c>
      <c r="E78" s="2">
        <v>9622252</v>
      </c>
      <c r="F78" s="2"/>
      <c r="G78" s="2">
        <v>89126861</v>
      </c>
      <c r="H78" s="2"/>
      <c r="I78" s="2">
        <v>2941263</v>
      </c>
      <c r="J78" s="2">
        <v>22957118</v>
      </c>
      <c r="K78" s="2">
        <v>16328897045</v>
      </c>
      <c r="L78" s="3">
        <f t="shared" si="2"/>
        <v>9.0206416633083746E-3</v>
      </c>
      <c r="M78" s="3">
        <f t="shared" si="3"/>
        <v>7.0442750470535529E-3</v>
      </c>
    </row>
    <row r="79" spans="1:13" x14ac:dyDescent="0.35">
      <c r="A79" t="s">
        <v>13</v>
      </c>
      <c r="B79" t="s">
        <v>91</v>
      </c>
      <c r="C79" s="2">
        <v>16379965</v>
      </c>
      <c r="D79" s="2">
        <v>20357958</v>
      </c>
      <c r="E79" s="2">
        <v>11498581</v>
      </c>
      <c r="F79" s="2">
        <v>44203</v>
      </c>
      <c r="G79" s="2">
        <v>148674140</v>
      </c>
      <c r="H79" s="2"/>
      <c r="I79" s="2">
        <v>3854892</v>
      </c>
      <c r="J79" s="2">
        <v>38272044</v>
      </c>
      <c r="K79" s="2">
        <v>18238657727</v>
      </c>
      <c r="L79" s="3">
        <f t="shared" si="2"/>
        <v>1.3108518542242832E-2</v>
      </c>
      <c r="M79" s="3">
        <f t="shared" si="3"/>
        <v>1.0463778741649282E-2</v>
      </c>
    </row>
    <row r="80" spans="1:13" x14ac:dyDescent="0.35">
      <c r="A80" t="s">
        <v>92</v>
      </c>
      <c r="B80" t="s">
        <v>14</v>
      </c>
      <c r="C80" s="2">
        <v>13526064</v>
      </c>
      <c r="D80" s="2">
        <v>8876747</v>
      </c>
      <c r="E80" s="2">
        <v>10215226</v>
      </c>
      <c r="F80" s="2">
        <v>713</v>
      </c>
      <c r="G80" s="2">
        <v>432892</v>
      </c>
      <c r="H80" s="2">
        <v>203</v>
      </c>
      <c r="I80" s="2">
        <v>257047</v>
      </c>
      <c r="J80" s="2">
        <v>993772</v>
      </c>
      <c r="K80" s="2">
        <v>34240046894</v>
      </c>
      <c r="L80" s="3">
        <f t="shared" si="2"/>
        <v>1.001828768114537E-3</v>
      </c>
      <c r="M80" s="3">
        <f t="shared" si="3"/>
        <v>4.9200487523140717E-5</v>
      </c>
    </row>
    <row r="81" spans="1:13" x14ac:dyDescent="0.35">
      <c r="A81" t="s">
        <v>92</v>
      </c>
      <c r="B81" t="s">
        <v>15</v>
      </c>
      <c r="C81" s="2">
        <v>11502885</v>
      </c>
      <c r="D81" s="2">
        <v>8098825</v>
      </c>
      <c r="E81" s="2">
        <v>10525282</v>
      </c>
      <c r="F81" s="2">
        <v>127</v>
      </c>
      <c r="G81" s="2">
        <v>502277</v>
      </c>
      <c r="H81" s="2">
        <v>5383</v>
      </c>
      <c r="I81" s="2">
        <v>54317</v>
      </c>
      <c r="J81" s="2">
        <v>1483528</v>
      </c>
      <c r="K81" s="2">
        <v>33415566425</v>
      </c>
      <c r="L81" s="3">
        <f t="shared" si="2"/>
        <v>9.6280349076859918E-4</v>
      </c>
      <c r="M81" s="3">
        <f t="shared" si="3"/>
        <v>6.1217935796220753E-5</v>
      </c>
    </row>
    <row r="82" spans="1:13" x14ac:dyDescent="0.35">
      <c r="A82" t="s">
        <v>92</v>
      </c>
      <c r="B82" t="s">
        <v>16</v>
      </c>
      <c r="C82" s="2">
        <v>12106567</v>
      </c>
      <c r="D82" s="2">
        <v>7419073</v>
      </c>
      <c r="E82" s="2">
        <v>10267962</v>
      </c>
      <c r="F82" s="2">
        <v>3313</v>
      </c>
      <c r="G82" s="2">
        <v>3412510</v>
      </c>
      <c r="H82" s="2">
        <v>14097</v>
      </c>
      <c r="I82" s="2">
        <v>129110</v>
      </c>
      <c r="J82" s="2">
        <v>1830797</v>
      </c>
      <c r="K82" s="2">
        <v>33295460395</v>
      </c>
      <c r="L82" s="3">
        <f t="shared" si="2"/>
        <v>1.0567034839765578E-3</v>
      </c>
      <c r="M82" s="3">
        <f t="shared" si="3"/>
        <v>1.6187873470010326E-4</v>
      </c>
    </row>
    <row r="83" spans="1:13" x14ac:dyDescent="0.35">
      <c r="A83" t="s">
        <v>92</v>
      </c>
      <c r="B83" t="s">
        <v>17</v>
      </c>
      <c r="C83" s="2">
        <v>10450653</v>
      </c>
      <c r="D83" s="2">
        <v>10752900</v>
      </c>
      <c r="E83" s="2">
        <v>8599231</v>
      </c>
      <c r="F83" s="2">
        <v>30754</v>
      </c>
      <c r="G83" s="2">
        <v>33515</v>
      </c>
      <c r="H83" s="2">
        <v>2519</v>
      </c>
      <c r="I83" s="2">
        <v>11387</v>
      </c>
      <c r="J83" s="2">
        <v>968364</v>
      </c>
      <c r="K83" s="2">
        <v>24842425902</v>
      </c>
      <c r="L83" s="3">
        <f t="shared" si="2"/>
        <v>1.2417999402190589E-3</v>
      </c>
      <c r="M83" s="3">
        <f t="shared" si="3"/>
        <v>4.2127085499961012E-5</v>
      </c>
    </row>
    <row r="84" spans="1:13" x14ac:dyDescent="0.35">
      <c r="A84" t="s">
        <v>92</v>
      </c>
      <c r="B84" t="s">
        <v>18</v>
      </c>
      <c r="C84" s="2">
        <v>8254132</v>
      </c>
      <c r="D84" s="2">
        <v>5093358</v>
      </c>
      <c r="E84" s="2">
        <v>8469221</v>
      </c>
      <c r="F84" s="2">
        <v>103</v>
      </c>
      <c r="G84" s="2">
        <v>31165</v>
      </c>
      <c r="H84" s="2">
        <v>27187</v>
      </c>
      <c r="I84" s="2">
        <v>44378</v>
      </c>
      <c r="J84" s="2">
        <v>1011260</v>
      </c>
      <c r="K84" s="2">
        <v>25669396836</v>
      </c>
      <c r="L84" s="3">
        <f t="shared" si="2"/>
        <v>8.9331292614716737E-4</v>
      </c>
      <c r="M84" s="3">
        <f t="shared" si="3"/>
        <v>4.3401604140442534E-5</v>
      </c>
    </row>
    <row r="85" spans="1:13" x14ac:dyDescent="0.35">
      <c r="A85" t="s">
        <v>92</v>
      </c>
      <c r="B85" t="s">
        <v>19</v>
      </c>
      <c r="C85" s="2">
        <v>10909369</v>
      </c>
      <c r="D85" s="2">
        <v>6864059</v>
      </c>
      <c r="E85" s="2">
        <v>12924404</v>
      </c>
      <c r="F85" s="2">
        <v>20605</v>
      </c>
      <c r="G85" s="2">
        <v>107164</v>
      </c>
      <c r="H85" s="2">
        <v>44114</v>
      </c>
      <c r="I85" s="2">
        <v>44294</v>
      </c>
      <c r="J85" s="2">
        <v>2891662</v>
      </c>
      <c r="K85" s="2">
        <v>30803086216</v>
      </c>
      <c r="L85" s="3">
        <f t="shared" si="2"/>
        <v>1.0974767516132968E-3</v>
      </c>
      <c r="M85" s="3">
        <f t="shared" si="3"/>
        <v>1.0089375389877979E-4</v>
      </c>
    </row>
    <row r="86" spans="1:13" x14ac:dyDescent="0.35">
      <c r="A86" t="s">
        <v>92</v>
      </c>
      <c r="B86" t="s">
        <v>20</v>
      </c>
      <c r="C86" s="2">
        <v>8701556</v>
      </c>
      <c r="D86" s="2">
        <v>8575072</v>
      </c>
      <c r="E86" s="2">
        <v>11244152</v>
      </c>
      <c r="F86" s="2"/>
      <c r="G86" s="2">
        <v>78904</v>
      </c>
      <c r="H86" s="2">
        <v>76846</v>
      </c>
      <c r="I86" s="2">
        <v>126981</v>
      </c>
      <c r="J86" s="2">
        <v>7037289</v>
      </c>
      <c r="K86" s="2">
        <v>30049695967</v>
      </c>
      <c r="L86" s="3">
        <f t="shared" si="2"/>
        <v>1.1927175582528249E-3</v>
      </c>
      <c r="M86" s="3">
        <f t="shared" si="3"/>
        <v>2.4359714015205697E-4</v>
      </c>
    </row>
    <row r="87" spans="1:13" x14ac:dyDescent="0.35">
      <c r="A87" t="s">
        <v>92</v>
      </c>
      <c r="B87" t="s">
        <v>21</v>
      </c>
      <c r="C87" s="2">
        <v>9538249</v>
      </c>
      <c r="D87" s="2">
        <v>6687968</v>
      </c>
      <c r="E87" s="2">
        <v>10817145</v>
      </c>
      <c r="F87" s="2">
        <v>1813</v>
      </c>
      <c r="G87" s="2">
        <v>1830939</v>
      </c>
      <c r="H87" s="2">
        <v>61115</v>
      </c>
      <c r="I87" s="2">
        <v>60012</v>
      </c>
      <c r="J87" s="2">
        <v>1308013</v>
      </c>
      <c r="K87" s="2">
        <v>27323960071</v>
      </c>
      <c r="L87" s="3">
        <f t="shared" si="2"/>
        <v>1.1091091452795734E-3</v>
      </c>
      <c r="M87" s="3">
        <f t="shared" si="3"/>
        <v>1.1937844995835634E-4</v>
      </c>
    </row>
    <row r="88" spans="1:13" x14ac:dyDescent="0.35">
      <c r="A88" t="s">
        <v>92</v>
      </c>
      <c r="B88" t="s">
        <v>22</v>
      </c>
      <c r="C88" s="2">
        <v>13798074</v>
      </c>
      <c r="D88" s="2">
        <v>9828394</v>
      </c>
      <c r="E88" s="2">
        <v>16502111</v>
      </c>
      <c r="F88" s="2">
        <v>27430</v>
      </c>
      <c r="G88" s="2">
        <v>133597</v>
      </c>
      <c r="H88" s="2">
        <v>100946</v>
      </c>
      <c r="I88" s="2">
        <v>264867</v>
      </c>
      <c r="J88" s="2">
        <v>1177538</v>
      </c>
      <c r="K88" s="2">
        <v>32823788881</v>
      </c>
      <c r="L88" s="3">
        <f t="shared" si="2"/>
        <v>1.274470694156059E-3</v>
      </c>
      <c r="M88" s="3">
        <f t="shared" si="3"/>
        <v>5.1925084157075374E-5</v>
      </c>
    </row>
    <row r="89" spans="1:13" x14ac:dyDescent="0.35">
      <c r="A89" t="s">
        <v>92</v>
      </c>
      <c r="B89" t="s">
        <v>23</v>
      </c>
      <c r="C89" s="2">
        <v>14870359</v>
      </c>
      <c r="D89" s="2">
        <v>9424452</v>
      </c>
      <c r="E89" s="2">
        <v>11548567</v>
      </c>
      <c r="F89" s="2">
        <v>519</v>
      </c>
      <c r="G89" s="2">
        <v>255177</v>
      </c>
      <c r="H89" s="2">
        <v>85901</v>
      </c>
      <c r="I89" s="2">
        <v>34671</v>
      </c>
      <c r="J89" s="2">
        <v>2325070</v>
      </c>
      <c r="K89" s="2">
        <v>33604444630</v>
      </c>
      <c r="L89" s="3">
        <f t="shared" si="2"/>
        <v>1.1470124391102011E-3</v>
      </c>
      <c r="M89" s="3">
        <f t="shared" si="3"/>
        <v>8.0386330729251507E-5</v>
      </c>
    </row>
    <row r="90" spans="1:13" x14ac:dyDescent="0.35">
      <c r="A90" t="s">
        <v>92</v>
      </c>
      <c r="B90" t="s">
        <v>24</v>
      </c>
      <c r="C90" s="2">
        <v>12099301</v>
      </c>
      <c r="D90" s="2">
        <v>10702463</v>
      </c>
      <c r="E90" s="2">
        <v>12199835</v>
      </c>
      <c r="F90" s="2">
        <v>625022</v>
      </c>
      <c r="G90" s="2">
        <v>478151</v>
      </c>
      <c r="H90" s="2">
        <v>41372</v>
      </c>
      <c r="I90" s="2">
        <v>133469</v>
      </c>
      <c r="J90" s="2">
        <v>4170263</v>
      </c>
      <c r="K90" s="2">
        <v>32045477486</v>
      </c>
      <c r="L90" s="3">
        <f t="shared" si="2"/>
        <v>1.2622647304185654E-3</v>
      </c>
      <c r="M90" s="3">
        <f t="shared" si="3"/>
        <v>1.7001703289895551E-4</v>
      </c>
    </row>
    <row r="91" spans="1:13" x14ac:dyDescent="0.35">
      <c r="A91" t="s">
        <v>92</v>
      </c>
      <c r="B91" t="s">
        <v>25</v>
      </c>
      <c r="C91" s="2">
        <v>14327312</v>
      </c>
      <c r="D91" s="2">
        <v>8393507</v>
      </c>
      <c r="E91" s="2">
        <v>11600190</v>
      </c>
      <c r="F91" s="2">
        <v>7816</v>
      </c>
      <c r="G91" s="2">
        <v>107421</v>
      </c>
      <c r="H91" s="2">
        <v>8203</v>
      </c>
      <c r="I91" s="2">
        <v>726341</v>
      </c>
      <c r="J91" s="2">
        <v>2837494</v>
      </c>
      <c r="K91" s="2">
        <v>31850293226</v>
      </c>
      <c r="L91" s="3">
        <f t="shared" si="2"/>
        <v>1.1933417293933455E-3</v>
      </c>
      <c r="M91" s="3">
        <f t="shared" si="3"/>
        <v>1.1576894987547578E-4</v>
      </c>
    </row>
    <row r="92" spans="1:13" x14ac:dyDescent="0.35">
      <c r="A92" t="s">
        <v>92</v>
      </c>
      <c r="B92" t="s">
        <v>26</v>
      </c>
      <c r="C92" s="2">
        <v>14322505</v>
      </c>
      <c r="D92" s="2">
        <v>8550373</v>
      </c>
      <c r="E92" s="2">
        <v>10126266</v>
      </c>
      <c r="F92" s="2">
        <v>31656</v>
      </c>
      <c r="G92" s="2">
        <v>235929</v>
      </c>
      <c r="H92" s="2">
        <v>9147</v>
      </c>
      <c r="I92" s="2">
        <v>69061</v>
      </c>
      <c r="J92" s="2">
        <v>901004</v>
      </c>
      <c r="K92" s="2">
        <v>31651603425</v>
      </c>
      <c r="L92" s="3">
        <f t="shared" si="2"/>
        <v>1.0819654391647933E-3</v>
      </c>
      <c r="M92" s="3">
        <f t="shared" si="3"/>
        <v>3.9391274535406889E-5</v>
      </c>
    </row>
    <row r="93" spans="1:13" x14ac:dyDescent="0.35">
      <c r="A93" t="s">
        <v>92</v>
      </c>
      <c r="B93" t="s">
        <v>27</v>
      </c>
      <c r="C93" s="2">
        <v>16877864</v>
      </c>
      <c r="D93" s="2">
        <v>9694414</v>
      </c>
      <c r="E93" s="2">
        <v>12793322</v>
      </c>
      <c r="F93" s="2">
        <v>318</v>
      </c>
      <c r="G93" s="2">
        <v>54045</v>
      </c>
      <c r="H93" s="2">
        <v>2986</v>
      </c>
      <c r="I93" s="2">
        <v>83572</v>
      </c>
      <c r="J93" s="2">
        <v>1617235</v>
      </c>
      <c r="K93" s="2">
        <v>31496279949</v>
      </c>
      <c r="L93" s="3">
        <f t="shared" si="2"/>
        <v>1.3056702590461217E-3</v>
      </c>
      <c r="M93" s="3">
        <f t="shared" si="3"/>
        <v>5.5821068483226414E-5</v>
      </c>
    </row>
    <row r="94" spans="1:13" x14ac:dyDescent="0.35">
      <c r="A94" t="s">
        <v>92</v>
      </c>
      <c r="B94" t="s">
        <v>28</v>
      </c>
      <c r="C94" s="2">
        <v>16445843</v>
      </c>
      <c r="D94" s="2">
        <v>8095912</v>
      </c>
      <c r="E94" s="2">
        <v>13684858</v>
      </c>
      <c r="F94" s="2">
        <v>301316</v>
      </c>
      <c r="G94" s="2">
        <v>69042</v>
      </c>
      <c r="H94" s="2">
        <v>18444</v>
      </c>
      <c r="I94" s="2">
        <v>996403</v>
      </c>
      <c r="J94" s="2">
        <v>2294147</v>
      </c>
      <c r="K94" s="2">
        <v>39862178611</v>
      </c>
      <c r="L94" s="3">
        <f t="shared" si="2"/>
        <v>1.0512713168275257E-3</v>
      </c>
      <c r="M94" s="3">
        <f t="shared" si="3"/>
        <v>9.2301829157543334E-5</v>
      </c>
    </row>
    <row r="95" spans="1:13" x14ac:dyDescent="0.35">
      <c r="A95" t="s">
        <v>92</v>
      </c>
      <c r="B95" t="s">
        <v>29</v>
      </c>
      <c r="C95" s="2">
        <v>13397257</v>
      </c>
      <c r="D95" s="2">
        <v>8786906</v>
      </c>
      <c r="E95" s="2">
        <v>13223333</v>
      </c>
      <c r="F95" s="2">
        <v>219</v>
      </c>
      <c r="G95" s="2">
        <v>151798</v>
      </c>
      <c r="H95" s="2">
        <v>3629</v>
      </c>
      <c r="I95" s="2">
        <v>201254</v>
      </c>
      <c r="J95" s="2">
        <v>1513363</v>
      </c>
      <c r="K95" s="2">
        <v>37294604214</v>
      </c>
      <c r="L95" s="3">
        <f t="shared" si="2"/>
        <v>9.9954832034405451E-4</v>
      </c>
      <c r="M95" s="3">
        <f t="shared" si="3"/>
        <v>5.0148353613521468E-5</v>
      </c>
    </row>
    <row r="96" spans="1:13" x14ac:dyDescent="0.35">
      <c r="A96" t="s">
        <v>92</v>
      </c>
      <c r="B96" t="s">
        <v>30</v>
      </c>
      <c r="C96" s="2">
        <v>11177807</v>
      </c>
      <c r="D96" s="2">
        <v>7872729</v>
      </c>
      <c r="E96" s="2">
        <v>11426216</v>
      </c>
      <c r="F96" s="2"/>
      <c r="G96" s="2">
        <v>916204</v>
      </c>
      <c r="H96" s="2">
        <v>24347</v>
      </c>
      <c r="I96" s="2">
        <v>93200</v>
      </c>
      <c r="J96" s="2">
        <v>1920723</v>
      </c>
      <c r="K96" s="2">
        <v>36605320701</v>
      </c>
      <c r="L96" s="3">
        <f t="shared" si="2"/>
        <v>9.1328870666298274E-4</v>
      </c>
      <c r="M96" s="3">
        <f t="shared" si="3"/>
        <v>8.071159993741807E-5</v>
      </c>
    </row>
    <row r="97" spans="1:13" x14ac:dyDescent="0.35">
      <c r="A97" t="s">
        <v>92</v>
      </c>
      <c r="B97" t="s">
        <v>31</v>
      </c>
      <c r="C97" s="2">
        <v>19421701</v>
      </c>
      <c r="D97" s="2">
        <v>6937786</v>
      </c>
      <c r="E97" s="2">
        <v>12490970</v>
      </c>
      <c r="F97" s="2">
        <v>16785</v>
      </c>
      <c r="G97" s="2">
        <v>175628</v>
      </c>
      <c r="H97" s="2">
        <v>9999</v>
      </c>
      <c r="I97" s="2">
        <v>302793</v>
      </c>
      <c r="J97" s="2">
        <v>2345902</v>
      </c>
      <c r="K97" s="2">
        <v>41610598740</v>
      </c>
      <c r="L97" s="3">
        <f t="shared" si="2"/>
        <v>1.0021861079329425E-3</v>
      </c>
      <c r="M97" s="3">
        <f t="shared" si="3"/>
        <v>6.8518768927476389E-5</v>
      </c>
    </row>
    <row r="98" spans="1:13" x14ac:dyDescent="0.35">
      <c r="A98" t="s">
        <v>92</v>
      </c>
      <c r="B98" t="s">
        <v>32</v>
      </c>
      <c r="C98" s="2">
        <v>14565617</v>
      </c>
      <c r="D98" s="2">
        <v>8002657</v>
      </c>
      <c r="E98" s="2">
        <v>12183462</v>
      </c>
      <c r="F98" s="2">
        <v>104</v>
      </c>
      <c r="G98" s="2">
        <v>3524723</v>
      </c>
      <c r="H98" s="2">
        <v>5157</v>
      </c>
      <c r="I98" s="2">
        <v>244716</v>
      </c>
      <c r="J98" s="2">
        <v>2308536</v>
      </c>
      <c r="K98" s="2">
        <v>38243323196</v>
      </c>
      <c r="L98" s="3">
        <f t="shared" si="2"/>
        <v>1.0677673535513009E-3</v>
      </c>
      <c r="M98" s="3">
        <f t="shared" si="3"/>
        <v>1.5906661585926891E-4</v>
      </c>
    </row>
    <row r="99" spans="1:13" x14ac:dyDescent="0.35">
      <c r="A99" t="s">
        <v>92</v>
      </c>
      <c r="B99" t="s">
        <v>33</v>
      </c>
      <c r="C99" s="2">
        <v>16600159</v>
      </c>
      <c r="D99" s="2">
        <v>7342051</v>
      </c>
      <c r="E99" s="2">
        <v>11149547</v>
      </c>
      <c r="F99" s="2">
        <v>524</v>
      </c>
      <c r="G99" s="2">
        <v>612643</v>
      </c>
      <c r="H99" s="2">
        <v>4697</v>
      </c>
      <c r="I99" s="2">
        <v>532786</v>
      </c>
      <c r="J99" s="2">
        <v>1492008</v>
      </c>
      <c r="K99" s="2">
        <v>36882538035</v>
      </c>
      <c r="L99" s="3">
        <f t="shared" si="2"/>
        <v>1.023097026679444E-3</v>
      </c>
      <c r="M99" s="3">
        <f t="shared" si="3"/>
        <v>7.1650654775770232E-5</v>
      </c>
    </row>
    <row r="100" spans="1:13" x14ac:dyDescent="0.35">
      <c r="A100" t="s">
        <v>92</v>
      </c>
      <c r="B100" t="s">
        <v>34</v>
      </c>
      <c r="C100" s="2">
        <v>15457112</v>
      </c>
      <c r="D100" s="2">
        <v>10257185</v>
      </c>
      <c r="E100" s="2">
        <v>10952004</v>
      </c>
      <c r="F100" s="2">
        <v>874</v>
      </c>
      <c r="G100" s="2">
        <v>54933</v>
      </c>
      <c r="H100" s="2">
        <v>336</v>
      </c>
      <c r="I100" s="2">
        <v>270051</v>
      </c>
      <c r="J100" s="2">
        <v>1765511</v>
      </c>
      <c r="K100" s="2">
        <v>41649627974</v>
      </c>
      <c r="L100" s="3">
        <f t="shared" si="2"/>
        <v>9.3057268180630299E-4</v>
      </c>
      <c r="M100" s="3">
        <f t="shared" si="3"/>
        <v>5.0221456991302729E-5</v>
      </c>
    </row>
    <row r="101" spans="1:13" x14ac:dyDescent="0.35">
      <c r="A101" t="s">
        <v>92</v>
      </c>
      <c r="B101" t="s">
        <v>35</v>
      </c>
      <c r="C101" s="2">
        <v>17387301</v>
      </c>
      <c r="D101" s="2">
        <v>9314273</v>
      </c>
      <c r="E101" s="2">
        <v>14556426</v>
      </c>
      <c r="F101" s="2">
        <v>1036950</v>
      </c>
      <c r="G101" s="2">
        <v>33339</v>
      </c>
      <c r="H101" s="2">
        <v>482</v>
      </c>
      <c r="I101" s="2">
        <v>300094</v>
      </c>
      <c r="J101" s="2">
        <v>3239125</v>
      </c>
      <c r="K101" s="2">
        <v>43869260126</v>
      </c>
      <c r="L101" s="3">
        <f t="shared" si="2"/>
        <v>1.0455610572929497E-3</v>
      </c>
      <c r="M101" s="3">
        <f t="shared" si="3"/>
        <v>1.0508474468817851E-4</v>
      </c>
    </row>
    <row r="102" spans="1:13" x14ac:dyDescent="0.35">
      <c r="A102" t="s">
        <v>92</v>
      </c>
      <c r="B102" t="s">
        <v>36</v>
      </c>
      <c r="C102" s="2">
        <v>18857278</v>
      </c>
      <c r="D102" s="2">
        <v>8843918</v>
      </c>
      <c r="E102" s="2">
        <v>14844878</v>
      </c>
      <c r="F102" s="2">
        <v>186</v>
      </c>
      <c r="G102" s="2">
        <v>1281</v>
      </c>
      <c r="H102" s="2">
        <v>3732</v>
      </c>
      <c r="I102" s="2">
        <v>1</v>
      </c>
      <c r="J102" s="2">
        <v>2537825</v>
      </c>
      <c r="K102" s="2">
        <v>42909792331</v>
      </c>
      <c r="L102" s="3">
        <f t="shared" si="2"/>
        <v>1.0507880963904262E-3</v>
      </c>
      <c r="M102" s="3">
        <f t="shared" si="3"/>
        <v>5.9264444357676421E-5</v>
      </c>
    </row>
    <row r="103" spans="1:13" x14ac:dyDescent="0.35">
      <c r="A103" t="s">
        <v>92</v>
      </c>
      <c r="B103" t="s">
        <v>37</v>
      </c>
      <c r="C103" s="2">
        <v>19579953</v>
      </c>
      <c r="D103" s="2">
        <v>9802875</v>
      </c>
      <c r="E103" s="2">
        <v>13415733</v>
      </c>
      <c r="F103" s="2">
        <v>10727</v>
      </c>
      <c r="G103" s="2">
        <v>754400</v>
      </c>
      <c r="H103" s="2">
        <v>2252</v>
      </c>
      <c r="I103" s="2">
        <v>2673</v>
      </c>
      <c r="J103" s="2">
        <v>3030088</v>
      </c>
      <c r="K103" s="2">
        <v>44792463466</v>
      </c>
      <c r="L103" s="3">
        <f t="shared" si="2"/>
        <v>1.0403245857502576E-3</v>
      </c>
      <c r="M103" s="3">
        <f t="shared" si="3"/>
        <v>8.4838825685140543E-5</v>
      </c>
    </row>
    <row r="104" spans="1:13" x14ac:dyDescent="0.35">
      <c r="A104" t="s">
        <v>92</v>
      </c>
      <c r="B104" t="s">
        <v>38</v>
      </c>
      <c r="C104" s="2">
        <v>17389884</v>
      </c>
      <c r="D104" s="2">
        <v>11115917</v>
      </c>
      <c r="E104" s="2">
        <v>14428656</v>
      </c>
      <c r="F104" s="2">
        <v>1328</v>
      </c>
      <c r="G104" s="2">
        <v>1310249</v>
      </c>
      <c r="H104" s="2">
        <v>3853</v>
      </c>
      <c r="I104" s="2">
        <v>338713</v>
      </c>
      <c r="J104" s="2">
        <v>1043024</v>
      </c>
      <c r="K104" s="2">
        <v>44629210923</v>
      </c>
      <c r="L104" s="3">
        <f t="shared" si="2"/>
        <v>1.0224609186734108E-3</v>
      </c>
      <c r="M104" s="3">
        <f t="shared" si="3"/>
        <v>6.043501429262319E-5</v>
      </c>
    </row>
    <row r="105" spans="1:13" x14ac:dyDescent="0.35">
      <c r="A105" t="s">
        <v>92</v>
      </c>
      <c r="B105" t="s">
        <v>39</v>
      </c>
      <c r="C105" s="2">
        <v>14448974</v>
      </c>
      <c r="D105" s="2">
        <v>9894494</v>
      </c>
      <c r="E105" s="2">
        <v>13637897</v>
      </c>
      <c r="F105" s="2">
        <v>183</v>
      </c>
      <c r="G105" s="2">
        <v>173963</v>
      </c>
      <c r="H105" s="2">
        <v>6331</v>
      </c>
      <c r="I105" s="2">
        <v>335468</v>
      </c>
      <c r="J105" s="2">
        <v>2968464</v>
      </c>
      <c r="K105" s="2">
        <v>45499812502</v>
      </c>
      <c r="L105" s="3">
        <f t="shared" si="2"/>
        <v>9.113394477873358E-4</v>
      </c>
      <c r="M105" s="3">
        <f t="shared" si="3"/>
        <v>7.6580733158995728E-5</v>
      </c>
    </row>
    <row r="106" spans="1:13" x14ac:dyDescent="0.35">
      <c r="A106" t="s">
        <v>92</v>
      </c>
      <c r="B106" t="s">
        <v>40</v>
      </c>
      <c r="C106" s="2">
        <v>18644024</v>
      </c>
      <c r="D106" s="2">
        <v>10188059</v>
      </c>
      <c r="E106" s="2">
        <v>14431893</v>
      </c>
      <c r="F106" s="2"/>
      <c r="G106" s="2">
        <v>1801461</v>
      </c>
      <c r="H106" s="2">
        <v>3511</v>
      </c>
      <c r="I106" s="2">
        <v>416274</v>
      </c>
      <c r="J106" s="2">
        <v>2999208</v>
      </c>
      <c r="K106" s="2">
        <v>53887925619</v>
      </c>
      <c r="L106" s="3">
        <f t="shared" si="2"/>
        <v>8.997271548880179E-4</v>
      </c>
      <c r="M106" s="3">
        <f t="shared" si="3"/>
        <v>9.6876135795424898E-5</v>
      </c>
    </row>
    <row r="107" spans="1:13" x14ac:dyDescent="0.35">
      <c r="A107" t="s">
        <v>92</v>
      </c>
      <c r="B107" t="s">
        <v>41</v>
      </c>
      <c r="C107" s="2">
        <v>17358180</v>
      </c>
      <c r="D107" s="2">
        <v>8840463</v>
      </c>
      <c r="E107" s="2">
        <v>14305172</v>
      </c>
      <c r="F107" s="2"/>
      <c r="G107" s="2">
        <v>799347</v>
      </c>
      <c r="H107" s="2">
        <v>326</v>
      </c>
      <c r="I107" s="2">
        <v>762290</v>
      </c>
      <c r="J107" s="2">
        <v>2568353</v>
      </c>
      <c r="K107" s="2">
        <v>46838221024</v>
      </c>
      <c r="L107" s="3">
        <f t="shared" si="2"/>
        <v>9.5294249064518011E-4</v>
      </c>
      <c r="M107" s="3">
        <f t="shared" si="3"/>
        <v>8.8182597667055241E-5</v>
      </c>
    </row>
    <row r="108" spans="1:13" x14ac:dyDescent="0.35">
      <c r="A108" t="s">
        <v>92</v>
      </c>
      <c r="B108" t="s">
        <v>42</v>
      </c>
      <c r="C108" s="2">
        <v>18892036</v>
      </c>
      <c r="D108" s="2">
        <v>10952172</v>
      </c>
      <c r="E108" s="2">
        <v>14391665</v>
      </c>
      <c r="F108" s="2">
        <v>7914</v>
      </c>
      <c r="G108" s="2">
        <v>71327</v>
      </c>
      <c r="H108" s="2">
        <v>392</v>
      </c>
      <c r="I108" s="2">
        <v>1619379</v>
      </c>
      <c r="J108" s="2">
        <v>2245696</v>
      </c>
      <c r="K108" s="2">
        <v>52528910917</v>
      </c>
      <c r="L108" s="3">
        <f t="shared" si="2"/>
        <v>9.172202537404456E-4</v>
      </c>
      <c r="M108" s="3">
        <f t="shared" si="3"/>
        <v>7.5095941094856569E-5</v>
      </c>
    </row>
    <row r="109" spans="1:13" x14ac:dyDescent="0.35">
      <c r="A109" t="s">
        <v>92</v>
      </c>
      <c r="B109" t="s">
        <v>43</v>
      </c>
      <c r="C109" s="2">
        <v>25112252</v>
      </c>
      <c r="D109" s="2">
        <v>10426295</v>
      </c>
      <c r="E109" s="2">
        <v>15804969</v>
      </c>
      <c r="F109" s="2"/>
      <c r="G109" s="2">
        <v>3205</v>
      </c>
      <c r="H109" s="2">
        <v>1105</v>
      </c>
      <c r="I109" s="2">
        <v>343698</v>
      </c>
      <c r="J109" s="2">
        <v>3337349</v>
      </c>
      <c r="K109" s="2">
        <v>51626158231</v>
      </c>
      <c r="L109" s="3">
        <f t="shared" si="2"/>
        <v>1.0659106717523824E-3</v>
      </c>
      <c r="M109" s="3">
        <f t="shared" si="3"/>
        <v>7.1385458966556433E-5</v>
      </c>
    </row>
    <row r="110" spans="1:13" x14ac:dyDescent="0.35">
      <c r="A110" t="s">
        <v>92</v>
      </c>
      <c r="B110" t="s">
        <v>44</v>
      </c>
      <c r="C110" s="2">
        <v>15260585</v>
      </c>
      <c r="D110" s="2">
        <v>8442571</v>
      </c>
      <c r="E110" s="2">
        <v>12915222</v>
      </c>
      <c r="F110" s="2"/>
      <c r="G110" s="2">
        <v>83818</v>
      </c>
      <c r="H110" s="2">
        <v>280</v>
      </c>
      <c r="I110" s="2">
        <v>180951</v>
      </c>
      <c r="J110" s="2">
        <v>2348446</v>
      </c>
      <c r="K110" s="2">
        <v>49301457253</v>
      </c>
      <c r="L110" s="3">
        <f t="shared" si="2"/>
        <v>7.9575483537279695E-4</v>
      </c>
      <c r="M110" s="3">
        <f t="shared" si="3"/>
        <v>5.3010502034216616E-5</v>
      </c>
    </row>
    <row r="111" spans="1:13" x14ac:dyDescent="0.35">
      <c r="A111" t="s">
        <v>92</v>
      </c>
      <c r="B111" t="s">
        <v>45</v>
      </c>
      <c r="C111" s="2">
        <v>19993653</v>
      </c>
      <c r="D111" s="2">
        <v>7693752</v>
      </c>
      <c r="E111" s="2">
        <v>17821087</v>
      </c>
      <c r="F111" s="2"/>
      <c r="G111" s="2">
        <v>1788154</v>
      </c>
      <c r="H111" s="2">
        <v>1087</v>
      </c>
      <c r="I111" s="2">
        <v>1</v>
      </c>
      <c r="J111" s="2">
        <v>1019083</v>
      </c>
      <c r="K111" s="2">
        <v>50889259292</v>
      </c>
      <c r="L111" s="3">
        <f t="shared" si="2"/>
        <v>9.4945019189138799E-4</v>
      </c>
      <c r="M111" s="3">
        <f t="shared" si="3"/>
        <v>5.5185024090957447E-5</v>
      </c>
    </row>
    <row r="112" spans="1:13" x14ac:dyDescent="0.35">
      <c r="A112" t="s">
        <v>92</v>
      </c>
      <c r="B112" t="s">
        <v>46</v>
      </c>
      <c r="C112" s="2">
        <v>24390309</v>
      </c>
      <c r="D112" s="2">
        <v>9555522</v>
      </c>
      <c r="E112" s="2">
        <v>14467692</v>
      </c>
      <c r="F112" s="2"/>
      <c r="G112" s="2">
        <v>336811</v>
      </c>
      <c r="H112" s="2">
        <v>261</v>
      </c>
      <c r="I112" s="2">
        <v>406405</v>
      </c>
      <c r="J112" s="2">
        <v>2226851</v>
      </c>
      <c r="K112" s="2">
        <v>57359377708</v>
      </c>
      <c r="L112" s="3">
        <f t="shared" si="2"/>
        <v>8.9582302063283042E-4</v>
      </c>
      <c r="M112" s="3">
        <f t="shared" si="3"/>
        <v>5.1784522752688858E-5</v>
      </c>
    </row>
    <row r="113" spans="1:13" x14ac:dyDescent="0.35">
      <c r="A113" t="s">
        <v>92</v>
      </c>
      <c r="B113" t="s">
        <v>47</v>
      </c>
      <c r="C113" s="2">
        <v>19991348</v>
      </c>
      <c r="D113" s="2">
        <v>14090198</v>
      </c>
      <c r="E113" s="2">
        <v>16431536</v>
      </c>
      <c r="F113" s="2">
        <v>30</v>
      </c>
      <c r="G113" s="2">
        <v>2322995</v>
      </c>
      <c r="H113" s="2">
        <v>574</v>
      </c>
      <c r="I113" s="2">
        <v>1099</v>
      </c>
      <c r="J113" s="2">
        <v>1652871</v>
      </c>
      <c r="K113" s="2">
        <v>52557336300</v>
      </c>
      <c r="L113" s="3">
        <f t="shared" si="2"/>
        <v>1.0367848684142693E-3</v>
      </c>
      <c r="M113" s="3">
        <f t="shared" si="3"/>
        <v>7.5680566787019601E-5</v>
      </c>
    </row>
    <row r="114" spans="1:13" x14ac:dyDescent="0.35">
      <c r="A114" t="s">
        <v>92</v>
      </c>
      <c r="B114" t="s">
        <v>48</v>
      </c>
      <c r="C114" s="2">
        <v>24874271</v>
      </c>
      <c r="D114" s="2">
        <v>18050146</v>
      </c>
      <c r="E114" s="2">
        <v>16391554</v>
      </c>
      <c r="F114" s="2">
        <v>2426</v>
      </c>
      <c r="G114" s="2">
        <v>14525340</v>
      </c>
      <c r="H114" s="2">
        <v>41370</v>
      </c>
      <c r="I114" s="2">
        <v>214931</v>
      </c>
      <c r="J114" s="2">
        <v>1281509</v>
      </c>
      <c r="K114" s="2">
        <v>53598769956</v>
      </c>
      <c r="L114" s="3">
        <f t="shared" si="2"/>
        <v>1.4064044205096833E-3</v>
      </c>
      <c r="M114" s="3">
        <f t="shared" si="3"/>
        <v>2.9973777407930186E-4</v>
      </c>
    </row>
    <row r="115" spans="1:13" x14ac:dyDescent="0.35">
      <c r="A115" t="s">
        <v>92</v>
      </c>
      <c r="B115" t="s">
        <v>49</v>
      </c>
      <c r="C115" s="2">
        <v>22117753</v>
      </c>
      <c r="D115" s="2">
        <v>15292756</v>
      </c>
      <c r="E115" s="2">
        <v>19155269</v>
      </c>
      <c r="F115" s="2">
        <v>242747</v>
      </c>
      <c r="G115" s="2">
        <v>294214</v>
      </c>
      <c r="H115" s="2">
        <v>127858</v>
      </c>
      <c r="I115" s="2">
        <v>559051</v>
      </c>
      <c r="J115" s="2">
        <v>3238950</v>
      </c>
      <c r="K115" s="2">
        <v>48312571328</v>
      </c>
      <c r="L115" s="3">
        <f t="shared" si="2"/>
        <v>1.2632032682688183E-3</v>
      </c>
      <c r="M115" s="3">
        <f t="shared" si="3"/>
        <v>9.2373886906191871E-5</v>
      </c>
    </row>
    <row r="116" spans="1:13" x14ac:dyDescent="0.35">
      <c r="A116" t="s">
        <v>92</v>
      </c>
      <c r="B116" t="s">
        <v>50</v>
      </c>
      <c r="C116" s="2">
        <v>21473258</v>
      </c>
      <c r="D116" s="2">
        <v>17250645</v>
      </c>
      <c r="E116" s="2">
        <v>17937212</v>
      </c>
      <c r="F116" s="2">
        <v>1126</v>
      </c>
      <c r="G116" s="2">
        <v>1284182</v>
      </c>
      <c r="H116" s="2">
        <v>51775</v>
      </c>
      <c r="I116" s="2">
        <v>367808</v>
      </c>
      <c r="J116" s="2">
        <v>3886138</v>
      </c>
      <c r="K116" s="2">
        <v>47072737153</v>
      </c>
      <c r="L116" s="3">
        <f t="shared" si="2"/>
        <v>1.3224670534382255E-3</v>
      </c>
      <c r="M116" s="3">
        <f t="shared" si="3"/>
        <v>1.1877424892093145E-4</v>
      </c>
    </row>
    <row r="117" spans="1:13" x14ac:dyDescent="0.35">
      <c r="A117" t="s">
        <v>92</v>
      </c>
      <c r="B117" t="s">
        <v>51</v>
      </c>
      <c r="C117" s="2">
        <v>22858902</v>
      </c>
      <c r="D117" s="2">
        <v>12845922</v>
      </c>
      <c r="E117" s="2">
        <v>15476669</v>
      </c>
      <c r="F117" s="2">
        <v>750000</v>
      </c>
      <c r="G117" s="2">
        <v>411906</v>
      </c>
      <c r="H117" s="2">
        <v>283080</v>
      </c>
      <c r="I117" s="2">
        <v>48689</v>
      </c>
      <c r="J117" s="2">
        <v>1794581</v>
      </c>
      <c r="K117" s="2">
        <v>45322623812</v>
      </c>
      <c r="L117" s="3">
        <f t="shared" si="2"/>
        <v>1.2018224987578529E-3</v>
      </c>
      <c r="M117" s="3">
        <f t="shared" si="3"/>
        <v>7.2552198514362574E-5</v>
      </c>
    </row>
    <row r="118" spans="1:13" x14ac:dyDescent="0.35">
      <c r="A118" t="s">
        <v>92</v>
      </c>
      <c r="B118" t="s">
        <v>52</v>
      </c>
      <c r="C118" s="2">
        <v>26503378</v>
      </c>
      <c r="D118" s="2">
        <v>15288674</v>
      </c>
      <c r="E118" s="2">
        <v>17558917</v>
      </c>
      <c r="F118" s="2"/>
      <c r="G118" s="2">
        <v>209478</v>
      </c>
      <c r="H118" s="2">
        <v>232279</v>
      </c>
      <c r="I118" s="2">
        <v>954974</v>
      </c>
      <c r="J118" s="2">
        <v>18811721</v>
      </c>
      <c r="K118" s="2">
        <v>51055172084</v>
      </c>
      <c r="L118" s="3">
        <f t="shared" si="2"/>
        <v>1.5583028663404084E-3</v>
      </c>
      <c r="M118" s="3">
        <f t="shared" si="3"/>
        <v>3.9581596095203555E-4</v>
      </c>
    </row>
    <row r="119" spans="1:13" x14ac:dyDescent="0.35">
      <c r="A119" t="s">
        <v>92</v>
      </c>
      <c r="B119" t="s">
        <v>53</v>
      </c>
      <c r="C119" s="2">
        <v>25137010</v>
      </c>
      <c r="D119" s="2">
        <v>13666138</v>
      </c>
      <c r="E119" s="2">
        <v>16536496</v>
      </c>
      <c r="F119" s="2"/>
      <c r="G119" s="2">
        <v>424740</v>
      </c>
      <c r="H119" s="2">
        <v>576</v>
      </c>
      <c r="I119" s="2">
        <v>396621</v>
      </c>
      <c r="J119" s="2">
        <v>2490145</v>
      </c>
      <c r="K119" s="2">
        <v>42414396438</v>
      </c>
      <c r="L119" s="3">
        <f t="shared" si="2"/>
        <v>1.3828259017132356E-3</v>
      </c>
      <c r="M119" s="3">
        <f t="shared" si="3"/>
        <v>7.8088627403704661E-5</v>
      </c>
    </row>
    <row r="120" spans="1:13" x14ac:dyDescent="0.35">
      <c r="A120" t="s">
        <v>92</v>
      </c>
      <c r="B120" t="s">
        <v>54</v>
      </c>
      <c r="C120" s="2">
        <v>18287086</v>
      </c>
      <c r="D120" s="2">
        <v>14745876</v>
      </c>
      <c r="E120" s="2">
        <v>16053064</v>
      </c>
      <c r="F120" s="2"/>
      <c r="G120" s="2">
        <v>469735</v>
      </c>
      <c r="H120" s="2">
        <v>136322</v>
      </c>
      <c r="I120" s="2">
        <v>9515</v>
      </c>
      <c r="J120" s="2">
        <v>4104734</v>
      </c>
      <c r="K120" s="2">
        <v>43452648834</v>
      </c>
      <c r="L120" s="3">
        <f t="shared" si="2"/>
        <v>1.2382750751410729E-3</v>
      </c>
      <c r="M120" s="3">
        <f t="shared" si="3"/>
        <v>1.0863103002150112E-4</v>
      </c>
    </row>
    <row r="121" spans="1:13" x14ac:dyDescent="0.35">
      <c r="A121" t="s">
        <v>92</v>
      </c>
      <c r="B121" t="s">
        <v>55</v>
      </c>
      <c r="C121" s="2">
        <v>21191687</v>
      </c>
      <c r="D121" s="2">
        <v>16513038</v>
      </c>
      <c r="E121" s="2">
        <v>17006239</v>
      </c>
      <c r="F121" s="2">
        <v>203978</v>
      </c>
      <c r="G121" s="2">
        <v>68461</v>
      </c>
      <c r="H121" s="2">
        <v>216975</v>
      </c>
      <c r="I121" s="2">
        <v>584128</v>
      </c>
      <c r="J121" s="2">
        <v>3244270</v>
      </c>
      <c r="K121" s="2">
        <v>45734153651</v>
      </c>
      <c r="L121" s="3">
        <f t="shared" si="2"/>
        <v>1.2906935252470625E-3</v>
      </c>
      <c r="M121" s="3">
        <f t="shared" si="3"/>
        <v>9.4411105384161604E-5</v>
      </c>
    </row>
    <row r="122" spans="1:13" x14ac:dyDescent="0.35">
      <c r="A122" t="s">
        <v>92</v>
      </c>
      <c r="B122" t="s">
        <v>56</v>
      </c>
      <c r="C122" s="2">
        <v>22876466</v>
      </c>
      <c r="D122" s="2">
        <v>14385395</v>
      </c>
      <c r="E122" s="2">
        <v>12404473</v>
      </c>
      <c r="F122" s="2"/>
      <c r="G122" s="2">
        <v>75127</v>
      </c>
      <c r="H122" s="2">
        <v>273</v>
      </c>
      <c r="I122" s="2">
        <v>43849</v>
      </c>
      <c r="J122" s="2">
        <v>5281305</v>
      </c>
      <c r="K122" s="2">
        <v>42171183548</v>
      </c>
      <c r="L122" s="3">
        <f t="shared" si="2"/>
        <v>1.3057942264608692E-3</v>
      </c>
      <c r="M122" s="3">
        <f t="shared" si="3"/>
        <v>1.280626614107947E-4</v>
      </c>
    </row>
    <row r="123" spans="1:13" x14ac:dyDescent="0.35">
      <c r="A123" t="s">
        <v>92</v>
      </c>
      <c r="B123" t="s">
        <v>57</v>
      </c>
      <c r="C123" s="2">
        <v>17446032</v>
      </c>
      <c r="D123" s="2">
        <v>15001299</v>
      </c>
      <c r="E123" s="2">
        <v>16109410</v>
      </c>
      <c r="F123" s="2">
        <v>308</v>
      </c>
      <c r="G123" s="2">
        <v>79697</v>
      </c>
      <c r="H123" s="2">
        <v>10002</v>
      </c>
      <c r="I123" s="2">
        <v>70749</v>
      </c>
      <c r="J123" s="2">
        <v>3318955</v>
      </c>
      <c r="K123" s="2">
        <v>41118405542</v>
      </c>
      <c r="L123" s="3">
        <f t="shared" si="2"/>
        <v>1.2655269900202688E-3</v>
      </c>
      <c r="M123" s="3">
        <f t="shared" si="3"/>
        <v>8.4626603442725489E-5</v>
      </c>
    </row>
    <row r="124" spans="1:13" x14ac:dyDescent="0.35">
      <c r="A124" t="s">
        <v>92</v>
      </c>
      <c r="B124" t="s">
        <v>58</v>
      </c>
      <c r="C124" s="2">
        <v>16228914</v>
      </c>
      <c r="D124" s="2">
        <v>13355324</v>
      </c>
      <c r="E124" s="2">
        <v>13964107</v>
      </c>
      <c r="F124" s="2"/>
      <c r="G124" s="2">
        <v>2723635</v>
      </c>
      <c r="H124" s="2">
        <v>2661</v>
      </c>
      <c r="I124" s="2">
        <v>275522</v>
      </c>
      <c r="J124" s="2">
        <v>6510322</v>
      </c>
      <c r="K124" s="2">
        <v>45887307636</v>
      </c>
      <c r="L124" s="3">
        <f t="shared" si="2"/>
        <v>1.1563216003192226E-3</v>
      </c>
      <c r="M124" s="3">
        <f t="shared" si="3"/>
        <v>2.0729348680586861E-4</v>
      </c>
    </row>
    <row r="125" spans="1:13" x14ac:dyDescent="0.35">
      <c r="A125" t="s">
        <v>92</v>
      </c>
      <c r="B125" t="s">
        <v>59</v>
      </c>
      <c r="C125" s="2">
        <v>51385957</v>
      </c>
      <c r="D125" s="2">
        <v>12913566</v>
      </c>
      <c r="E125" s="2">
        <v>13394111</v>
      </c>
      <c r="F125" s="2">
        <v>11337</v>
      </c>
      <c r="G125" s="2">
        <v>615398</v>
      </c>
      <c r="H125" s="2">
        <v>212</v>
      </c>
      <c r="I125" s="2">
        <v>41088</v>
      </c>
      <c r="J125" s="2">
        <v>5009683</v>
      </c>
      <c r="K125" s="2">
        <v>46645467027</v>
      </c>
      <c r="L125" s="3">
        <f t="shared" si="2"/>
        <v>1.7873409210747487E-3</v>
      </c>
      <c r="M125" s="3">
        <f t="shared" si="3"/>
        <v>1.2172068074082186E-4</v>
      </c>
    </row>
    <row r="126" spans="1:13" x14ac:dyDescent="0.35">
      <c r="A126" t="s">
        <v>92</v>
      </c>
      <c r="B126" t="s">
        <v>60</v>
      </c>
      <c r="C126" s="2">
        <v>21726644</v>
      </c>
      <c r="D126" s="2">
        <v>18295050</v>
      </c>
      <c r="E126" s="2">
        <v>15629537</v>
      </c>
      <c r="F126" s="2"/>
      <c r="G126" s="2">
        <v>725106</v>
      </c>
      <c r="H126" s="2">
        <v>220668</v>
      </c>
      <c r="I126" s="2">
        <v>134094</v>
      </c>
      <c r="J126" s="2">
        <v>5082815</v>
      </c>
      <c r="K126" s="2">
        <v>44038104876</v>
      </c>
      <c r="L126" s="3">
        <f t="shared" si="2"/>
        <v>1.4036460963534219E-3</v>
      </c>
      <c r="M126" s="3">
        <f t="shared" si="3"/>
        <v>1.3993978663143052E-4</v>
      </c>
    </row>
    <row r="127" spans="1:13" x14ac:dyDescent="0.35">
      <c r="A127" t="s">
        <v>92</v>
      </c>
      <c r="B127" t="s">
        <v>61</v>
      </c>
      <c r="C127" s="2">
        <v>21128792</v>
      </c>
      <c r="D127" s="2">
        <v>11910804</v>
      </c>
      <c r="E127" s="2">
        <v>21656985</v>
      </c>
      <c r="F127" s="2">
        <v>288</v>
      </c>
      <c r="G127" s="2">
        <v>769593</v>
      </c>
      <c r="H127" s="2">
        <v>73364</v>
      </c>
      <c r="I127" s="2">
        <v>218020</v>
      </c>
      <c r="J127" s="2">
        <v>4670251</v>
      </c>
      <c r="K127" s="2">
        <v>39196553200</v>
      </c>
      <c r="L127" s="3">
        <f t="shared" si="2"/>
        <v>1.5416686434561293E-3</v>
      </c>
      <c r="M127" s="3">
        <f t="shared" si="3"/>
        <v>1.4622500021251869E-4</v>
      </c>
    </row>
    <row r="128" spans="1:13" x14ac:dyDescent="0.35">
      <c r="A128" t="s">
        <v>92</v>
      </c>
      <c r="B128" t="s">
        <v>62</v>
      </c>
      <c r="C128" s="2">
        <v>18106284</v>
      </c>
      <c r="D128" s="2">
        <v>15716633</v>
      </c>
      <c r="E128" s="2">
        <v>16395068</v>
      </c>
      <c r="F128" s="2"/>
      <c r="G128" s="2">
        <v>306302</v>
      </c>
      <c r="H128" s="2">
        <v>3257</v>
      </c>
      <c r="I128" s="2">
        <v>359992</v>
      </c>
      <c r="J128" s="2">
        <v>3571704</v>
      </c>
      <c r="K128" s="2">
        <v>42369049930</v>
      </c>
      <c r="L128" s="3">
        <f t="shared" si="2"/>
        <v>1.2853542878581135E-3</v>
      </c>
      <c r="M128" s="3">
        <f t="shared" si="3"/>
        <v>1.0010266944874116E-4</v>
      </c>
    </row>
    <row r="129" spans="1:13" x14ac:dyDescent="0.35">
      <c r="A129" t="s">
        <v>92</v>
      </c>
      <c r="B129" t="s">
        <v>63</v>
      </c>
      <c r="C129" s="2">
        <v>24472750</v>
      </c>
      <c r="D129" s="2">
        <v>15926336</v>
      </c>
      <c r="E129" s="2">
        <v>14356654</v>
      </c>
      <c r="F129" s="2"/>
      <c r="G129" s="2">
        <v>214083</v>
      </c>
      <c r="H129" s="2">
        <v>4197</v>
      </c>
      <c r="I129" s="2">
        <v>433918</v>
      </c>
      <c r="J129" s="2">
        <v>5149546</v>
      </c>
      <c r="K129" s="2">
        <v>41857991516</v>
      </c>
      <c r="L129" s="3">
        <f t="shared" si="2"/>
        <v>1.4467364965863739E-3</v>
      </c>
      <c r="M129" s="3">
        <f t="shared" si="3"/>
        <v>1.3860540818788004E-4</v>
      </c>
    </row>
    <row r="130" spans="1:13" x14ac:dyDescent="0.35">
      <c r="A130" t="s">
        <v>92</v>
      </c>
      <c r="B130" t="s">
        <v>64</v>
      </c>
      <c r="C130" s="2">
        <v>22923002</v>
      </c>
      <c r="D130" s="2">
        <v>14420439</v>
      </c>
      <c r="E130" s="2">
        <v>14576214</v>
      </c>
      <c r="F130" s="2">
        <v>868</v>
      </c>
      <c r="G130" s="2">
        <v>372204</v>
      </c>
      <c r="H130" s="2">
        <v>40525</v>
      </c>
      <c r="I130" s="2">
        <v>10382</v>
      </c>
      <c r="J130" s="2">
        <v>4266120</v>
      </c>
      <c r="K130" s="2">
        <v>43794593761</v>
      </c>
      <c r="L130" s="3">
        <f t="shared" ref="L130:L193" si="4">SUM(C130:J130)/K130</f>
        <v>1.2926196851816027E-3</v>
      </c>
      <c r="M130" s="3">
        <f t="shared" ref="M130:M193" si="5">SUM(F130:J130)/K130</f>
        <v>1.0709310435884511E-4</v>
      </c>
    </row>
    <row r="131" spans="1:13" x14ac:dyDescent="0.35">
      <c r="A131" t="s">
        <v>92</v>
      </c>
      <c r="B131" t="s">
        <v>65</v>
      </c>
      <c r="C131" s="2">
        <v>26566986</v>
      </c>
      <c r="D131" s="2">
        <v>15017437</v>
      </c>
      <c r="E131" s="2">
        <v>15699513</v>
      </c>
      <c r="F131" s="2">
        <v>11750</v>
      </c>
      <c r="G131" s="2">
        <v>142707</v>
      </c>
      <c r="H131" s="2">
        <v>7267</v>
      </c>
      <c r="I131" s="2">
        <v>168491</v>
      </c>
      <c r="J131" s="2">
        <v>5207686</v>
      </c>
      <c r="K131" s="2">
        <v>43016765168</v>
      </c>
      <c r="L131" s="3">
        <f t="shared" si="4"/>
        <v>1.4604035602084956E-3</v>
      </c>
      <c r="M131" s="3">
        <f t="shared" si="5"/>
        <v>1.287382019166709E-4</v>
      </c>
    </row>
    <row r="132" spans="1:13" x14ac:dyDescent="0.35">
      <c r="A132" t="s">
        <v>92</v>
      </c>
      <c r="B132" t="s">
        <v>66</v>
      </c>
      <c r="C132" s="2">
        <v>23439414</v>
      </c>
      <c r="D132" s="2">
        <v>16419093</v>
      </c>
      <c r="E132" s="2">
        <v>21166626</v>
      </c>
      <c r="F132" s="2"/>
      <c r="G132" s="2">
        <v>19328</v>
      </c>
      <c r="H132" s="2">
        <v>21654</v>
      </c>
      <c r="I132" s="2">
        <v>10953</v>
      </c>
      <c r="J132" s="2">
        <v>5324488</v>
      </c>
      <c r="K132" s="2">
        <v>42952454523</v>
      </c>
      <c r="L132" s="3">
        <f t="shared" si="4"/>
        <v>1.5459315826629552E-3</v>
      </c>
      <c r="M132" s="3">
        <f t="shared" si="5"/>
        <v>1.2517149624408671E-4</v>
      </c>
    </row>
    <row r="133" spans="1:13" x14ac:dyDescent="0.35">
      <c r="A133" t="s">
        <v>92</v>
      </c>
      <c r="B133" t="s">
        <v>67</v>
      </c>
      <c r="C133" s="2">
        <v>22364847</v>
      </c>
      <c r="D133" s="2">
        <v>16825710</v>
      </c>
      <c r="E133" s="2">
        <v>20742994</v>
      </c>
      <c r="F133" s="2"/>
      <c r="G133" s="2">
        <v>441490</v>
      </c>
      <c r="H133" s="2">
        <v>80196</v>
      </c>
      <c r="I133" s="2">
        <v>360231</v>
      </c>
      <c r="J133" s="2">
        <v>10209825</v>
      </c>
      <c r="K133" s="2">
        <v>41046555848</v>
      </c>
      <c r="L133" s="3">
        <f t="shared" si="4"/>
        <v>1.7303593817472682E-3</v>
      </c>
      <c r="M133" s="3">
        <f t="shared" si="5"/>
        <v>2.70223451659963E-4</v>
      </c>
    </row>
    <row r="134" spans="1:13" x14ac:dyDescent="0.35">
      <c r="A134" t="s">
        <v>92</v>
      </c>
      <c r="B134" t="s">
        <v>68</v>
      </c>
      <c r="C134" s="2">
        <v>31139487</v>
      </c>
      <c r="D134" s="2">
        <v>22664806</v>
      </c>
      <c r="E134" s="2">
        <v>17974654</v>
      </c>
      <c r="F134" s="2">
        <v>1675</v>
      </c>
      <c r="G134" s="2">
        <v>87039</v>
      </c>
      <c r="H134" s="2">
        <v>5673</v>
      </c>
      <c r="I134" s="2">
        <v>64361</v>
      </c>
      <c r="J134" s="2">
        <v>5519725</v>
      </c>
      <c r="K134" s="2">
        <v>45593939339</v>
      </c>
      <c r="L134" s="3">
        <f t="shared" si="4"/>
        <v>1.6988534248837041E-3</v>
      </c>
      <c r="M134" s="3">
        <f t="shared" si="5"/>
        <v>1.2454446977655132E-4</v>
      </c>
    </row>
    <row r="135" spans="1:13" x14ac:dyDescent="0.35">
      <c r="A135" t="s">
        <v>92</v>
      </c>
      <c r="B135" t="s">
        <v>69</v>
      </c>
      <c r="C135" s="2">
        <v>28409861</v>
      </c>
      <c r="D135" s="2">
        <v>24756769</v>
      </c>
      <c r="E135" s="2">
        <v>20861534</v>
      </c>
      <c r="F135" s="2"/>
      <c r="G135" s="2">
        <v>276305</v>
      </c>
      <c r="H135" s="2">
        <v>483</v>
      </c>
      <c r="I135" s="2">
        <v>7343</v>
      </c>
      <c r="J135" s="2">
        <v>7075897</v>
      </c>
      <c r="K135" s="2">
        <v>38736438191</v>
      </c>
      <c r="L135" s="3">
        <f t="shared" si="4"/>
        <v>2.1010757777649696E-3</v>
      </c>
      <c r="M135" s="3">
        <f t="shared" si="5"/>
        <v>1.900027040098391E-4</v>
      </c>
    </row>
    <row r="136" spans="1:13" x14ac:dyDescent="0.35">
      <c r="A136" t="s">
        <v>92</v>
      </c>
      <c r="B136" t="s">
        <v>70</v>
      </c>
      <c r="C136" s="2">
        <v>24121748</v>
      </c>
      <c r="D136" s="2">
        <v>21670064</v>
      </c>
      <c r="E136" s="2">
        <v>20029712</v>
      </c>
      <c r="F136" s="2">
        <v>0</v>
      </c>
      <c r="G136" s="2">
        <v>120808</v>
      </c>
      <c r="H136" s="2">
        <v>4820</v>
      </c>
      <c r="I136" s="2">
        <v>14060</v>
      </c>
      <c r="J136" s="2">
        <v>5123848</v>
      </c>
      <c r="K136" s="2">
        <v>44303243051</v>
      </c>
      <c r="L136" s="3">
        <f t="shared" si="4"/>
        <v>1.6045114331284939E-3</v>
      </c>
      <c r="M136" s="3">
        <f t="shared" si="5"/>
        <v>1.1880701360712674E-4</v>
      </c>
    </row>
    <row r="137" spans="1:13" x14ac:dyDescent="0.35">
      <c r="A137" t="s">
        <v>92</v>
      </c>
      <c r="B137" t="s">
        <v>71</v>
      </c>
      <c r="C137" s="2">
        <v>33714733</v>
      </c>
      <c r="D137" s="2">
        <v>19381000</v>
      </c>
      <c r="E137" s="2">
        <v>20278074</v>
      </c>
      <c r="F137" s="2"/>
      <c r="G137" s="2">
        <v>29191</v>
      </c>
      <c r="H137" s="2">
        <v>18017</v>
      </c>
      <c r="I137" s="2">
        <v>5159</v>
      </c>
      <c r="J137" s="2">
        <v>5269199</v>
      </c>
      <c r="K137" s="2">
        <v>47303259258</v>
      </c>
      <c r="L137" s="3">
        <f t="shared" si="4"/>
        <v>1.6636353231134051E-3</v>
      </c>
      <c r="M137" s="3">
        <f t="shared" si="5"/>
        <v>1.1249892889991526E-4</v>
      </c>
    </row>
    <row r="138" spans="1:13" x14ac:dyDescent="0.35">
      <c r="A138" t="s">
        <v>92</v>
      </c>
      <c r="B138" t="s">
        <v>72</v>
      </c>
      <c r="C138" s="2">
        <v>27427772</v>
      </c>
      <c r="D138" s="2">
        <v>16987746</v>
      </c>
      <c r="E138" s="2">
        <v>19373846</v>
      </c>
      <c r="F138" s="2">
        <v>3785</v>
      </c>
      <c r="G138" s="2">
        <v>225773</v>
      </c>
      <c r="H138" s="2">
        <v>348</v>
      </c>
      <c r="I138" s="2">
        <v>131806</v>
      </c>
      <c r="J138" s="2">
        <v>7303289</v>
      </c>
      <c r="K138" s="2">
        <v>42403197541</v>
      </c>
      <c r="L138" s="3">
        <f t="shared" si="4"/>
        <v>1.6851173766060964E-3</v>
      </c>
      <c r="M138" s="3">
        <f t="shared" si="5"/>
        <v>1.8076469333683261E-4</v>
      </c>
    </row>
    <row r="139" spans="1:13" x14ac:dyDescent="0.35">
      <c r="A139" t="s">
        <v>92</v>
      </c>
      <c r="B139" t="s">
        <v>73</v>
      </c>
      <c r="C139" s="2">
        <v>30475320</v>
      </c>
      <c r="D139" s="2">
        <v>14204890</v>
      </c>
      <c r="E139" s="2">
        <v>16035176</v>
      </c>
      <c r="F139" s="2">
        <v>361</v>
      </c>
      <c r="G139" s="2">
        <v>351543</v>
      </c>
      <c r="H139" s="2">
        <v>7423</v>
      </c>
      <c r="I139" s="2">
        <v>23398</v>
      </c>
      <c r="J139" s="2">
        <v>5853169</v>
      </c>
      <c r="K139" s="2">
        <v>38623555440</v>
      </c>
      <c r="L139" s="3">
        <f t="shared" si="4"/>
        <v>1.7334313021494325E-3</v>
      </c>
      <c r="M139" s="3">
        <f t="shared" si="5"/>
        <v>1.6145313213557431E-4</v>
      </c>
    </row>
    <row r="140" spans="1:13" x14ac:dyDescent="0.35">
      <c r="A140" t="s">
        <v>92</v>
      </c>
      <c r="B140" t="s">
        <v>74</v>
      </c>
      <c r="C140" s="2">
        <v>25928361</v>
      </c>
      <c r="D140" s="2">
        <v>27610295</v>
      </c>
      <c r="E140" s="2">
        <v>21888742</v>
      </c>
      <c r="F140" s="2">
        <v>952744</v>
      </c>
      <c r="G140" s="2">
        <v>178355</v>
      </c>
      <c r="H140" s="2">
        <v>42527</v>
      </c>
      <c r="I140" s="2">
        <v>167362</v>
      </c>
      <c r="J140" s="2">
        <v>3807177</v>
      </c>
      <c r="K140" s="2">
        <v>42087204209</v>
      </c>
      <c r="L140" s="3">
        <f t="shared" si="4"/>
        <v>1.9144907464005315E-3</v>
      </c>
      <c r="M140" s="3">
        <f t="shared" si="5"/>
        <v>1.2232138239534352E-4</v>
      </c>
    </row>
    <row r="141" spans="1:13" x14ac:dyDescent="0.35">
      <c r="A141" t="s">
        <v>92</v>
      </c>
      <c r="B141" t="s">
        <v>75</v>
      </c>
      <c r="C141" s="2">
        <v>19159199</v>
      </c>
      <c r="D141" s="2">
        <v>19458636</v>
      </c>
      <c r="E141" s="2">
        <v>16818287</v>
      </c>
      <c r="F141" s="2">
        <v>1031</v>
      </c>
      <c r="G141" s="2">
        <v>4829969</v>
      </c>
      <c r="H141" s="2">
        <v>433</v>
      </c>
      <c r="I141" s="2">
        <v>54948</v>
      </c>
      <c r="J141" s="2">
        <v>4204726</v>
      </c>
      <c r="K141" s="2">
        <v>41793294403</v>
      </c>
      <c r="L141" s="3">
        <f t="shared" si="4"/>
        <v>1.5439612962257437E-3</v>
      </c>
      <c r="M141" s="3">
        <f t="shared" si="5"/>
        <v>2.1752549373919237E-4</v>
      </c>
    </row>
    <row r="142" spans="1:13" x14ac:dyDescent="0.35">
      <c r="A142" t="s">
        <v>92</v>
      </c>
      <c r="B142" t="s">
        <v>76</v>
      </c>
      <c r="C142" s="2">
        <v>39116124</v>
      </c>
      <c r="D142" s="2">
        <v>20266405</v>
      </c>
      <c r="E142" s="2">
        <v>19501079</v>
      </c>
      <c r="F142" s="2"/>
      <c r="G142" s="2">
        <v>1072892</v>
      </c>
      <c r="H142" s="2">
        <v>490</v>
      </c>
      <c r="I142" s="2">
        <v>53623</v>
      </c>
      <c r="J142" s="2">
        <v>5546310</v>
      </c>
      <c r="K142" s="2">
        <v>45544640285</v>
      </c>
      <c r="L142" s="3">
        <f t="shared" si="4"/>
        <v>1.8785288996601853E-3</v>
      </c>
      <c r="M142" s="3">
        <f t="shared" si="5"/>
        <v>1.4652250974518812E-4</v>
      </c>
    </row>
    <row r="143" spans="1:13" x14ac:dyDescent="0.35">
      <c r="A143" t="s">
        <v>92</v>
      </c>
      <c r="B143" t="s">
        <v>77</v>
      </c>
      <c r="C143" s="2">
        <v>26236262</v>
      </c>
      <c r="D143" s="2">
        <v>15548658</v>
      </c>
      <c r="E143" s="2">
        <v>21061860</v>
      </c>
      <c r="F143" s="2">
        <v>28531</v>
      </c>
      <c r="G143" s="2">
        <v>915112</v>
      </c>
      <c r="H143" s="2">
        <v>394</v>
      </c>
      <c r="I143" s="2">
        <v>184393</v>
      </c>
      <c r="J143" s="2">
        <v>3567428</v>
      </c>
      <c r="K143" s="2">
        <v>43371513967</v>
      </c>
      <c r="L143" s="3">
        <f t="shared" si="4"/>
        <v>1.5573041340311762E-3</v>
      </c>
      <c r="M143" s="3">
        <f t="shared" si="5"/>
        <v>1.0827055757317875E-4</v>
      </c>
    </row>
    <row r="144" spans="1:13" x14ac:dyDescent="0.35">
      <c r="A144" t="s">
        <v>92</v>
      </c>
      <c r="B144" t="s">
        <v>78</v>
      </c>
      <c r="C144" s="2">
        <v>21333712</v>
      </c>
      <c r="D144" s="2">
        <v>13183209</v>
      </c>
      <c r="E144" s="2">
        <v>16406822</v>
      </c>
      <c r="F144" s="2"/>
      <c r="G144" s="2">
        <v>2627277</v>
      </c>
      <c r="H144" s="2">
        <v>977</v>
      </c>
      <c r="I144" s="2">
        <v>83526</v>
      </c>
      <c r="J144" s="2">
        <v>5270702</v>
      </c>
      <c r="K144" s="2">
        <v>41761117388</v>
      </c>
      <c r="L144" s="3">
        <f t="shared" si="4"/>
        <v>1.4105519364509779E-3</v>
      </c>
      <c r="M144" s="3">
        <f t="shared" si="5"/>
        <v>1.9114627431625561E-4</v>
      </c>
    </row>
    <row r="145" spans="1:13" x14ac:dyDescent="0.35">
      <c r="A145" t="s">
        <v>92</v>
      </c>
      <c r="B145" t="s">
        <v>79</v>
      </c>
      <c r="C145" s="2">
        <v>20813786</v>
      </c>
      <c r="D145" s="2">
        <v>16470016</v>
      </c>
      <c r="E145" s="2">
        <v>18085220</v>
      </c>
      <c r="F145" s="2">
        <v>391</v>
      </c>
      <c r="G145" s="2">
        <v>4439991</v>
      </c>
      <c r="H145" s="2">
        <v>183</v>
      </c>
      <c r="I145" s="2">
        <v>11000</v>
      </c>
      <c r="J145" s="2">
        <v>3928828</v>
      </c>
      <c r="K145" s="2">
        <v>43532218635</v>
      </c>
      <c r="L145" s="3">
        <f t="shared" si="4"/>
        <v>1.4644191589340528E-3</v>
      </c>
      <c r="M145" s="3">
        <f t="shared" si="5"/>
        <v>1.9251012842387376E-4</v>
      </c>
    </row>
    <row r="146" spans="1:13" x14ac:dyDescent="0.35">
      <c r="A146" t="s">
        <v>92</v>
      </c>
      <c r="B146" t="s">
        <v>80</v>
      </c>
      <c r="C146" s="2">
        <v>16764369</v>
      </c>
      <c r="D146" s="2">
        <v>22257048</v>
      </c>
      <c r="E146" s="2">
        <v>19505054</v>
      </c>
      <c r="F146" s="2">
        <v>986</v>
      </c>
      <c r="G146" s="2">
        <v>319210</v>
      </c>
      <c r="H146" s="2">
        <v>25600</v>
      </c>
      <c r="I146" s="2">
        <v>32395</v>
      </c>
      <c r="J146" s="2">
        <v>5628921</v>
      </c>
      <c r="K146" s="2">
        <v>43355490388</v>
      </c>
      <c r="L146" s="3">
        <f t="shared" si="4"/>
        <v>1.4884754484950241E-3</v>
      </c>
      <c r="M146" s="3">
        <f t="shared" si="5"/>
        <v>1.3855481615455693E-4</v>
      </c>
    </row>
    <row r="147" spans="1:13" x14ac:dyDescent="0.35">
      <c r="A147" t="s">
        <v>92</v>
      </c>
      <c r="B147" t="s">
        <v>81</v>
      </c>
      <c r="C147" s="2">
        <v>18679947</v>
      </c>
      <c r="D147" s="2">
        <v>16918144</v>
      </c>
      <c r="E147" s="2">
        <v>17996738</v>
      </c>
      <c r="F147" s="2">
        <v>33540</v>
      </c>
      <c r="G147" s="2">
        <v>1466101</v>
      </c>
      <c r="H147" s="2">
        <v>223</v>
      </c>
      <c r="I147" s="2">
        <v>471450</v>
      </c>
      <c r="J147" s="2">
        <v>4568521</v>
      </c>
      <c r="K147" s="2">
        <v>37387406477</v>
      </c>
      <c r="L147" s="3">
        <f t="shared" si="4"/>
        <v>1.60842031225123E-3</v>
      </c>
      <c r="M147" s="3">
        <f t="shared" si="5"/>
        <v>1.7492079863905987E-4</v>
      </c>
    </row>
    <row r="148" spans="1:13" x14ac:dyDescent="0.35">
      <c r="A148" t="s">
        <v>92</v>
      </c>
      <c r="B148" t="s">
        <v>82</v>
      </c>
      <c r="C148" s="2">
        <v>27735452</v>
      </c>
      <c r="D148" s="2">
        <v>20919317</v>
      </c>
      <c r="E148" s="2">
        <v>27926856</v>
      </c>
      <c r="F148" s="2">
        <v>17</v>
      </c>
      <c r="G148" s="2">
        <v>441310</v>
      </c>
      <c r="H148" s="2">
        <v>429</v>
      </c>
      <c r="I148" s="2">
        <v>104760</v>
      </c>
      <c r="J148" s="2">
        <v>7312899</v>
      </c>
      <c r="K148" s="2">
        <v>43290855656</v>
      </c>
      <c r="L148" s="3">
        <f t="shared" si="4"/>
        <v>1.9505514206277115E-3</v>
      </c>
      <c r="M148" s="3">
        <f t="shared" si="5"/>
        <v>1.8154907961286058E-4</v>
      </c>
    </row>
    <row r="149" spans="1:13" x14ac:dyDescent="0.35">
      <c r="A149" t="s">
        <v>92</v>
      </c>
      <c r="B149" t="s">
        <v>83</v>
      </c>
      <c r="C149" s="2">
        <v>23452864</v>
      </c>
      <c r="D149" s="2">
        <v>19867183</v>
      </c>
      <c r="E149" s="2">
        <v>45332038</v>
      </c>
      <c r="F149" s="2">
        <v>16</v>
      </c>
      <c r="G149" s="2">
        <v>1567594</v>
      </c>
      <c r="H149" s="2">
        <v>8722</v>
      </c>
      <c r="I149" s="2">
        <v>78848</v>
      </c>
      <c r="J149" s="2">
        <v>5623742</v>
      </c>
      <c r="K149" s="2">
        <v>44212272775</v>
      </c>
      <c r="L149" s="3">
        <f t="shared" si="4"/>
        <v>2.1697823020363828E-3</v>
      </c>
      <c r="M149" s="3">
        <f t="shared" si="5"/>
        <v>1.6463577968594943E-4</v>
      </c>
    </row>
    <row r="150" spans="1:13" x14ac:dyDescent="0.35">
      <c r="A150" t="s">
        <v>92</v>
      </c>
      <c r="B150" t="s">
        <v>84</v>
      </c>
      <c r="C150" s="2">
        <v>22315288</v>
      </c>
      <c r="D150" s="2">
        <v>30471468</v>
      </c>
      <c r="E150" s="2">
        <v>19495704</v>
      </c>
      <c r="F150" s="2">
        <v>1491</v>
      </c>
      <c r="G150" s="2">
        <v>98284</v>
      </c>
      <c r="H150" s="2">
        <v>9696</v>
      </c>
      <c r="I150" s="2">
        <v>90359</v>
      </c>
      <c r="J150" s="2">
        <v>5232390</v>
      </c>
      <c r="K150" s="2">
        <v>40347381612</v>
      </c>
      <c r="L150" s="3">
        <f t="shared" si="4"/>
        <v>1.9261393650607138E-3</v>
      </c>
      <c r="M150" s="3">
        <f t="shared" si="5"/>
        <v>1.3463624609494771E-4</v>
      </c>
    </row>
    <row r="151" spans="1:13" x14ac:dyDescent="0.35">
      <c r="A151" t="s">
        <v>92</v>
      </c>
      <c r="B151" t="s">
        <v>85</v>
      </c>
      <c r="C151" s="2">
        <v>24826341</v>
      </c>
      <c r="D151" s="2">
        <v>24525981</v>
      </c>
      <c r="E151" s="2">
        <v>24372804</v>
      </c>
      <c r="F151" s="2">
        <v>62</v>
      </c>
      <c r="G151" s="2">
        <v>11653</v>
      </c>
      <c r="H151" s="2">
        <v>758</v>
      </c>
      <c r="I151" s="2">
        <v>96585</v>
      </c>
      <c r="J151" s="2">
        <v>6756068</v>
      </c>
      <c r="K151" s="2">
        <v>39246953090</v>
      </c>
      <c r="L151" s="3">
        <f t="shared" si="4"/>
        <v>2.0534142310408843E-3</v>
      </c>
      <c r="M151" s="3">
        <f t="shared" si="5"/>
        <v>1.749212476254421E-4</v>
      </c>
    </row>
    <row r="152" spans="1:13" x14ac:dyDescent="0.35">
      <c r="A152" t="s">
        <v>92</v>
      </c>
      <c r="B152" t="s">
        <v>86</v>
      </c>
      <c r="C152" s="2">
        <v>32260083</v>
      </c>
      <c r="D152" s="2">
        <v>27875672</v>
      </c>
      <c r="E152" s="2">
        <v>19762324</v>
      </c>
      <c r="F152" s="2">
        <v>235</v>
      </c>
      <c r="G152" s="2">
        <v>2169086</v>
      </c>
      <c r="H152" s="2">
        <v>3513</v>
      </c>
      <c r="I152" s="2">
        <v>15362</v>
      </c>
      <c r="J152" s="2">
        <v>2873540</v>
      </c>
      <c r="K152" s="2">
        <v>39743027404</v>
      </c>
      <c r="L152" s="3">
        <f t="shared" si="4"/>
        <v>2.1377288180982681E-3</v>
      </c>
      <c r="M152" s="3">
        <f t="shared" si="5"/>
        <v>1.2736161109585108E-4</v>
      </c>
    </row>
    <row r="153" spans="1:13" x14ac:dyDescent="0.35">
      <c r="A153" t="s">
        <v>92</v>
      </c>
      <c r="B153" t="s">
        <v>87</v>
      </c>
      <c r="C153" s="2">
        <v>30085846</v>
      </c>
      <c r="D153" s="2">
        <v>27740701</v>
      </c>
      <c r="E153" s="2">
        <v>22092423</v>
      </c>
      <c r="F153" s="2">
        <v>2514</v>
      </c>
      <c r="G153" s="2">
        <v>555179</v>
      </c>
      <c r="H153" s="2">
        <v>717</v>
      </c>
      <c r="I153" s="2">
        <v>491365</v>
      </c>
      <c r="J153" s="2">
        <v>9774272</v>
      </c>
      <c r="K153" s="2">
        <v>41160413065</v>
      </c>
      <c r="L153" s="3">
        <f t="shared" si="4"/>
        <v>2.2046187159662314E-3</v>
      </c>
      <c r="M153" s="3">
        <f t="shared" si="5"/>
        <v>2.6297226373571137E-4</v>
      </c>
    </row>
    <row r="154" spans="1:13" x14ac:dyDescent="0.35">
      <c r="A154" t="s">
        <v>92</v>
      </c>
      <c r="B154" t="s">
        <v>88</v>
      </c>
      <c r="C154" s="2">
        <v>32144340</v>
      </c>
      <c r="D154" s="2">
        <v>15870077</v>
      </c>
      <c r="E154" s="2">
        <v>21262837</v>
      </c>
      <c r="F154" s="2">
        <v>109</v>
      </c>
      <c r="G154" s="2">
        <v>551</v>
      </c>
      <c r="H154" s="2">
        <v>1226</v>
      </c>
      <c r="I154" s="2">
        <v>119359</v>
      </c>
      <c r="J154" s="2">
        <v>6504974</v>
      </c>
      <c r="K154" s="2">
        <v>46431953590</v>
      </c>
      <c r="L154" s="3">
        <f t="shared" si="4"/>
        <v>1.634724949767077E-3</v>
      </c>
      <c r="M154" s="3">
        <f t="shared" si="5"/>
        <v>1.4270816727873111E-4</v>
      </c>
    </row>
    <row r="155" spans="1:13" x14ac:dyDescent="0.35">
      <c r="A155" t="s">
        <v>92</v>
      </c>
      <c r="B155" t="s">
        <v>89</v>
      </c>
      <c r="C155" s="2">
        <v>25659043</v>
      </c>
      <c r="D155" s="2">
        <v>19987356</v>
      </c>
      <c r="E155" s="2">
        <v>21884592</v>
      </c>
      <c r="F155" s="2">
        <v>95</v>
      </c>
      <c r="G155" s="2">
        <v>15713</v>
      </c>
      <c r="H155" s="2">
        <v>2031</v>
      </c>
      <c r="I155" s="2">
        <v>165951</v>
      </c>
      <c r="J155" s="2">
        <v>3331740</v>
      </c>
      <c r="K155" s="2">
        <v>45044693740</v>
      </c>
      <c r="L155" s="3">
        <f t="shared" si="4"/>
        <v>1.5772450670901153E-3</v>
      </c>
      <c r="M155" s="3">
        <f t="shared" si="5"/>
        <v>7.8045374673691814E-5</v>
      </c>
    </row>
    <row r="156" spans="1:13" x14ac:dyDescent="0.35">
      <c r="A156" t="s">
        <v>92</v>
      </c>
      <c r="B156" t="s">
        <v>90</v>
      </c>
      <c r="C156" s="2">
        <v>35016307</v>
      </c>
      <c r="D156" s="2">
        <v>20675481</v>
      </c>
      <c r="E156" s="2">
        <v>30711613</v>
      </c>
      <c r="F156" s="2">
        <v>495</v>
      </c>
      <c r="G156" s="2">
        <v>296098</v>
      </c>
      <c r="H156" s="2">
        <v>728</v>
      </c>
      <c r="I156" s="2">
        <v>89708</v>
      </c>
      <c r="J156" s="2">
        <v>3440931</v>
      </c>
      <c r="K156" s="2">
        <v>43731800162</v>
      </c>
      <c r="L156" s="3">
        <f t="shared" si="4"/>
        <v>2.0632894293339653E-3</v>
      </c>
      <c r="M156" s="3">
        <f t="shared" si="5"/>
        <v>8.7532641826307449E-5</v>
      </c>
    </row>
    <row r="157" spans="1:13" x14ac:dyDescent="0.35">
      <c r="A157" t="s">
        <v>92</v>
      </c>
      <c r="B157" t="s">
        <v>91</v>
      </c>
      <c r="C157" s="2">
        <v>27723527</v>
      </c>
      <c r="D157" s="2">
        <v>23320224</v>
      </c>
      <c r="E157" s="2">
        <v>34369714</v>
      </c>
      <c r="F157" s="2">
        <v>2908</v>
      </c>
      <c r="G157" s="2">
        <v>2256</v>
      </c>
      <c r="H157" s="2">
        <v>503</v>
      </c>
      <c r="I157" s="2">
        <v>153834</v>
      </c>
      <c r="J157" s="2">
        <v>3044608</v>
      </c>
      <c r="K157" s="2">
        <v>47196045057</v>
      </c>
      <c r="L157" s="3">
        <f t="shared" si="4"/>
        <v>1.8776483049156778E-3</v>
      </c>
      <c r="M157" s="3">
        <f t="shared" si="5"/>
        <v>6.788935378229907E-5</v>
      </c>
    </row>
    <row r="158" spans="1:13" x14ac:dyDescent="0.35">
      <c r="A158" t="s">
        <v>93</v>
      </c>
      <c r="B158" t="s">
        <v>14</v>
      </c>
      <c r="C158" s="2">
        <v>192794674</v>
      </c>
      <c r="D158" s="2">
        <v>57788688</v>
      </c>
      <c r="E158" s="2">
        <v>218091825</v>
      </c>
      <c r="F158" s="2">
        <v>24920792</v>
      </c>
      <c r="G158" s="2">
        <v>43564021</v>
      </c>
      <c r="H158" s="2">
        <v>3060655</v>
      </c>
      <c r="I158" s="2">
        <v>21444160</v>
      </c>
      <c r="J158" s="2">
        <v>60988525</v>
      </c>
      <c r="K158" s="2">
        <v>106918791988</v>
      </c>
      <c r="L158" s="3">
        <f t="shared" si="4"/>
        <v>5.823609941925675E-3</v>
      </c>
      <c r="M158" s="3">
        <f t="shared" si="5"/>
        <v>1.4401411588832924E-3</v>
      </c>
    </row>
    <row r="159" spans="1:13" x14ac:dyDescent="0.35">
      <c r="A159" t="s">
        <v>93</v>
      </c>
      <c r="B159" t="s">
        <v>15</v>
      </c>
      <c r="C159" s="2">
        <v>225763715</v>
      </c>
      <c r="D159" s="2">
        <v>58337486</v>
      </c>
      <c r="E159" s="2">
        <v>210729591</v>
      </c>
      <c r="F159" s="2">
        <v>16933790</v>
      </c>
      <c r="G159" s="2">
        <v>39478215</v>
      </c>
      <c r="H159" s="2">
        <v>1546897</v>
      </c>
      <c r="I159" s="2">
        <v>24799674</v>
      </c>
      <c r="J159" s="2">
        <v>58673426</v>
      </c>
      <c r="K159" s="2">
        <v>109403368097</v>
      </c>
      <c r="L159" s="3">
        <f t="shared" si="4"/>
        <v>5.8157514258233081E-3</v>
      </c>
      <c r="M159" s="3">
        <f t="shared" si="5"/>
        <v>1.2927572931265019E-3</v>
      </c>
    </row>
    <row r="160" spans="1:13" x14ac:dyDescent="0.35">
      <c r="A160" t="s">
        <v>93</v>
      </c>
      <c r="B160" t="s">
        <v>16</v>
      </c>
      <c r="C160" s="2">
        <v>212544764</v>
      </c>
      <c r="D160" s="2">
        <v>58623229</v>
      </c>
      <c r="E160" s="2">
        <v>250122887</v>
      </c>
      <c r="F160" s="2">
        <v>13224324</v>
      </c>
      <c r="G160" s="2">
        <v>73859424</v>
      </c>
      <c r="H160" s="2">
        <v>5940</v>
      </c>
      <c r="I160" s="2">
        <v>21012811</v>
      </c>
      <c r="J160" s="2">
        <v>65698165</v>
      </c>
      <c r="K160" s="2">
        <v>109406266200</v>
      </c>
      <c r="L160" s="3">
        <f t="shared" si="4"/>
        <v>6.3533065165512432E-3</v>
      </c>
      <c r="M160" s="3">
        <f t="shared" si="5"/>
        <v>1.5885805268437176E-3</v>
      </c>
    </row>
    <row r="161" spans="1:13" x14ac:dyDescent="0.35">
      <c r="A161" t="s">
        <v>93</v>
      </c>
      <c r="B161" t="s">
        <v>17</v>
      </c>
      <c r="C161" s="2">
        <v>168027773</v>
      </c>
      <c r="D161" s="2">
        <v>54061079</v>
      </c>
      <c r="E161" s="2">
        <v>252988156</v>
      </c>
      <c r="F161" s="2">
        <v>16819131</v>
      </c>
      <c r="G161" s="2">
        <v>56204524</v>
      </c>
      <c r="H161" s="2">
        <v>5528437</v>
      </c>
      <c r="I161" s="2">
        <v>15642885</v>
      </c>
      <c r="J161" s="2">
        <v>57916564</v>
      </c>
      <c r="K161" s="2">
        <v>75860922459</v>
      </c>
      <c r="L161" s="3">
        <f t="shared" si="4"/>
        <v>8.2676103673663074E-3</v>
      </c>
      <c r="M161" s="3">
        <f t="shared" si="5"/>
        <v>2.0051369805344854E-3</v>
      </c>
    </row>
    <row r="162" spans="1:13" x14ac:dyDescent="0.35">
      <c r="A162" t="s">
        <v>93</v>
      </c>
      <c r="B162" t="s">
        <v>18</v>
      </c>
      <c r="C162" s="2">
        <v>200161478</v>
      </c>
      <c r="D162" s="2">
        <v>55453272</v>
      </c>
      <c r="E162" s="2">
        <v>235564862</v>
      </c>
      <c r="F162" s="2">
        <v>9178248</v>
      </c>
      <c r="G162" s="2">
        <v>65804369</v>
      </c>
      <c r="H162" s="2">
        <v>3441800</v>
      </c>
      <c r="I162" s="2">
        <v>36837752</v>
      </c>
      <c r="J162" s="2">
        <v>64865493</v>
      </c>
      <c r="K162" s="2">
        <v>80565820750</v>
      </c>
      <c r="L162" s="3">
        <f t="shared" si="4"/>
        <v>8.332407809548692E-3</v>
      </c>
      <c r="M162" s="3">
        <f t="shared" si="5"/>
        <v>2.2357826224962776E-3</v>
      </c>
    </row>
    <row r="163" spans="1:13" x14ac:dyDescent="0.35">
      <c r="A163" t="s">
        <v>93</v>
      </c>
      <c r="B163" t="s">
        <v>19</v>
      </c>
      <c r="C163" s="2">
        <v>223644168</v>
      </c>
      <c r="D163" s="2">
        <v>60990674</v>
      </c>
      <c r="E163" s="2">
        <v>206265909</v>
      </c>
      <c r="F163" s="2">
        <v>37710821</v>
      </c>
      <c r="G163" s="2">
        <v>48409195</v>
      </c>
      <c r="H163" s="2">
        <v>4526954</v>
      </c>
      <c r="I163" s="2">
        <v>34174522</v>
      </c>
      <c r="J163" s="2">
        <v>57577663</v>
      </c>
      <c r="K163" s="2">
        <v>96123994314</v>
      </c>
      <c r="L163" s="3">
        <f t="shared" si="4"/>
        <v>7.0044936314297241E-3</v>
      </c>
      <c r="M163" s="3">
        <f t="shared" si="5"/>
        <v>1.8975403207254615E-3</v>
      </c>
    </row>
    <row r="164" spans="1:13" x14ac:dyDescent="0.35">
      <c r="A164" t="s">
        <v>93</v>
      </c>
      <c r="B164" t="s">
        <v>20</v>
      </c>
      <c r="C164" s="2">
        <v>196224136</v>
      </c>
      <c r="D164" s="2">
        <v>55390328</v>
      </c>
      <c r="E164" s="2">
        <v>199385494</v>
      </c>
      <c r="F164" s="2">
        <v>16665945</v>
      </c>
      <c r="G164" s="2">
        <v>33950178</v>
      </c>
      <c r="H164" s="2">
        <v>1439034</v>
      </c>
      <c r="I164" s="2">
        <v>37345140</v>
      </c>
      <c r="J164" s="2">
        <v>57257407</v>
      </c>
      <c r="K164" s="2">
        <v>102986746677</v>
      </c>
      <c r="L164" s="3">
        <f t="shared" si="4"/>
        <v>5.8032482944086897E-3</v>
      </c>
      <c r="M164" s="3">
        <f t="shared" si="5"/>
        <v>1.4240444400090272E-3</v>
      </c>
    </row>
    <row r="165" spans="1:13" x14ac:dyDescent="0.35">
      <c r="A165" t="s">
        <v>93</v>
      </c>
      <c r="B165" t="s">
        <v>21</v>
      </c>
      <c r="C165" s="2">
        <v>182659933</v>
      </c>
      <c r="D165" s="2">
        <v>52925618</v>
      </c>
      <c r="E165" s="2">
        <v>189079536</v>
      </c>
      <c r="F165" s="2">
        <v>17472575</v>
      </c>
      <c r="G165" s="2">
        <v>40310624</v>
      </c>
      <c r="H165" s="2">
        <v>1046003</v>
      </c>
      <c r="I165" s="2">
        <v>39634414</v>
      </c>
      <c r="J165" s="2">
        <v>62171732</v>
      </c>
      <c r="K165" s="2">
        <v>91362801854</v>
      </c>
      <c r="L165" s="3">
        <f t="shared" si="4"/>
        <v>6.406331932938358E-3</v>
      </c>
      <c r="M165" s="3">
        <f t="shared" si="5"/>
        <v>1.7582138982197505E-3</v>
      </c>
    </row>
    <row r="166" spans="1:13" x14ac:dyDescent="0.35">
      <c r="A166" t="s">
        <v>93</v>
      </c>
      <c r="B166" t="s">
        <v>22</v>
      </c>
      <c r="C166" s="2">
        <v>201347628</v>
      </c>
      <c r="D166" s="2">
        <v>60101826</v>
      </c>
      <c r="E166" s="2">
        <v>240595039</v>
      </c>
      <c r="F166" s="2">
        <v>18969948</v>
      </c>
      <c r="G166" s="2">
        <v>67936042</v>
      </c>
      <c r="H166" s="2">
        <v>1201307</v>
      </c>
      <c r="I166" s="2">
        <v>16425805</v>
      </c>
      <c r="J166" s="2">
        <v>56509389</v>
      </c>
      <c r="K166" s="2">
        <v>110188934044</v>
      </c>
      <c r="L166" s="3">
        <f t="shared" si="4"/>
        <v>6.0177275490769337E-3</v>
      </c>
      <c r="M166" s="3">
        <f t="shared" si="5"/>
        <v>1.4615123777828132E-3</v>
      </c>
    </row>
    <row r="167" spans="1:13" x14ac:dyDescent="0.35">
      <c r="A167" t="s">
        <v>93</v>
      </c>
      <c r="B167" t="s">
        <v>23</v>
      </c>
      <c r="C167" s="2">
        <v>160566368</v>
      </c>
      <c r="D167" s="2">
        <v>66616334</v>
      </c>
      <c r="E167" s="2">
        <v>240989802</v>
      </c>
      <c r="F167" s="2">
        <v>24042706</v>
      </c>
      <c r="G167" s="2">
        <v>77308970</v>
      </c>
      <c r="H167" s="2">
        <v>23344</v>
      </c>
      <c r="I167" s="2">
        <v>15129919</v>
      </c>
      <c r="J167" s="2">
        <v>62343393</v>
      </c>
      <c r="K167" s="2">
        <v>112565629813</v>
      </c>
      <c r="L167" s="3">
        <f t="shared" si="4"/>
        <v>5.7479431072776418E-3</v>
      </c>
      <c r="M167" s="3">
        <f t="shared" si="5"/>
        <v>1.588836062100948E-3</v>
      </c>
    </row>
    <row r="168" spans="1:13" x14ac:dyDescent="0.35">
      <c r="A168" t="s">
        <v>93</v>
      </c>
      <c r="B168" t="s">
        <v>24</v>
      </c>
      <c r="C168" s="2">
        <v>231867267</v>
      </c>
      <c r="D168" s="2">
        <v>75172423</v>
      </c>
      <c r="E168" s="2">
        <v>287218953</v>
      </c>
      <c r="F168" s="2">
        <v>40321403</v>
      </c>
      <c r="G168" s="2">
        <v>62071397</v>
      </c>
      <c r="H168" s="2">
        <v>1075122</v>
      </c>
      <c r="I168" s="2">
        <v>25245327</v>
      </c>
      <c r="J168" s="2">
        <v>55906758</v>
      </c>
      <c r="K168" s="2">
        <v>112374195958</v>
      </c>
      <c r="L168" s="3">
        <f t="shared" si="4"/>
        <v>6.9311165553621124E-3</v>
      </c>
      <c r="M168" s="3">
        <f t="shared" si="5"/>
        <v>1.6429039195884612E-3</v>
      </c>
    </row>
    <row r="169" spans="1:13" x14ac:dyDescent="0.35">
      <c r="A169" t="s">
        <v>93</v>
      </c>
      <c r="B169" t="s">
        <v>25</v>
      </c>
      <c r="C169" s="2">
        <v>216188676</v>
      </c>
      <c r="D169" s="2">
        <v>69933994</v>
      </c>
      <c r="E169" s="2">
        <v>248805071</v>
      </c>
      <c r="F169" s="2">
        <v>36239972</v>
      </c>
      <c r="G169" s="2">
        <v>90192941</v>
      </c>
      <c r="H169" s="2">
        <v>1542143</v>
      </c>
      <c r="I169" s="2">
        <v>26989335</v>
      </c>
      <c r="J169" s="2">
        <v>60696726</v>
      </c>
      <c r="K169" s="2">
        <v>101450216298</v>
      </c>
      <c r="L169" s="3">
        <f t="shared" si="4"/>
        <v>7.3985929787987762E-3</v>
      </c>
      <c r="M169" s="3">
        <f t="shared" si="5"/>
        <v>2.1257827224982623E-3</v>
      </c>
    </row>
    <row r="170" spans="1:13" x14ac:dyDescent="0.35">
      <c r="A170" t="s">
        <v>93</v>
      </c>
      <c r="B170" t="s">
        <v>26</v>
      </c>
      <c r="C170" s="2">
        <v>175891281</v>
      </c>
      <c r="D170" s="2">
        <v>59567816</v>
      </c>
      <c r="E170" s="2">
        <v>313515905</v>
      </c>
      <c r="F170" s="2">
        <v>19000466</v>
      </c>
      <c r="G170" s="2">
        <v>68252977</v>
      </c>
      <c r="H170" s="2">
        <v>2143326</v>
      </c>
      <c r="I170" s="2">
        <v>31108393</v>
      </c>
      <c r="J170" s="2">
        <v>53001384</v>
      </c>
      <c r="K170" s="2">
        <v>98484429860</v>
      </c>
      <c r="L170" s="3">
        <f t="shared" si="4"/>
        <v>7.3359976701600415E-3</v>
      </c>
      <c r="M170" s="3">
        <f t="shared" si="5"/>
        <v>1.761766263425064E-3</v>
      </c>
    </row>
    <row r="171" spans="1:13" x14ac:dyDescent="0.35">
      <c r="A171" t="s">
        <v>93</v>
      </c>
      <c r="B171" t="s">
        <v>27</v>
      </c>
      <c r="C171" s="2">
        <v>216477923</v>
      </c>
      <c r="D171" s="2">
        <v>66667052</v>
      </c>
      <c r="E171" s="2">
        <v>227917038</v>
      </c>
      <c r="F171" s="2">
        <v>8618115</v>
      </c>
      <c r="G171" s="2">
        <v>65423876</v>
      </c>
      <c r="H171" s="2">
        <v>60322</v>
      </c>
      <c r="I171" s="2">
        <v>17198455</v>
      </c>
      <c r="J171" s="2">
        <v>57818076</v>
      </c>
      <c r="K171" s="2">
        <v>107771698958</v>
      </c>
      <c r="L171" s="3">
        <f t="shared" si="4"/>
        <v>6.1257348949957709E-3</v>
      </c>
      <c r="M171" s="3">
        <f t="shared" si="5"/>
        <v>1.3836549431972256E-3</v>
      </c>
    </row>
    <row r="172" spans="1:13" x14ac:dyDescent="0.35">
      <c r="A172" t="s">
        <v>93</v>
      </c>
      <c r="B172" t="s">
        <v>28</v>
      </c>
      <c r="C172" s="2">
        <v>252351330</v>
      </c>
      <c r="D172" s="2">
        <v>69882252</v>
      </c>
      <c r="E172" s="2">
        <v>285869264</v>
      </c>
      <c r="F172" s="2">
        <v>25826064</v>
      </c>
      <c r="G172" s="2">
        <v>87701492</v>
      </c>
      <c r="H172" s="2">
        <v>519225</v>
      </c>
      <c r="I172" s="2">
        <v>33095185</v>
      </c>
      <c r="J172" s="2">
        <v>79337399</v>
      </c>
      <c r="K172" s="2">
        <v>127966803240</v>
      </c>
      <c r="L172" s="3">
        <f t="shared" si="4"/>
        <v>6.5218649670786295E-3</v>
      </c>
      <c r="M172" s="3">
        <f t="shared" si="5"/>
        <v>1.7698290436719047E-3</v>
      </c>
    </row>
    <row r="173" spans="1:13" x14ac:dyDescent="0.35">
      <c r="A173" t="s">
        <v>93</v>
      </c>
      <c r="B173" t="s">
        <v>29</v>
      </c>
      <c r="C173" s="2">
        <v>224128189</v>
      </c>
      <c r="D173" s="2">
        <v>64857776</v>
      </c>
      <c r="E173" s="2">
        <v>257126082</v>
      </c>
      <c r="F173" s="2">
        <v>21103758</v>
      </c>
      <c r="G173" s="2">
        <v>63765479</v>
      </c>
      <c r="H173" s="2">
        <v>1477340</v>
      </c>
      <c r="I173" s="2">
        <v>41178065</v>
      </c>
      <c r="J173" s="2">
        <v>80998844</v>
      </c>
      <c r="K173" s="2">
        <v>112608611012</v>
      </c>
      <c r="L173" s="3">
        <f t="shared" si="4"/>
        <v>6.701401662077007E-3</v>
      </c>
      <c r="M173" s="3">
        <f t="shared" si="5"/>
        <v>1.8517543563145358E-3</v>
      </c>
    </row>
    <row r="174" spans="1:13" x14ac:dyDescent="0.35">
      <c r="A174" t="s">
        <v>93</v>
      </c>
      <c r="B174" t="s">
        <v>30</v>
      </c>
      <c r="C174" s="2">
        <v>195081472</v>
      </c>
      <c r="D174" s="2">
        <v>67424041</v>
      </c>
      <c r="E174" s="2">
        <v>295227263</v>
      </c>
      <c r="F174" s="2">
        <v>15203333</v>
      </c>
      <c r="G174" s="2">
        <v>68010701</v>
      </c>
      <c r="H174" s="2">
        <v>2793126</v>
      </c>
      <c r="I174" s="2">
        <v>26301382</v>
      </c>
      <c r="J174" s="2">
        <v>62218950</v>
      </c>
      <c r="K174" s="2">
        <v>110116545106</v>
      </c>
      <c r="L174" s="3">
        <f t="shared" si="4"/>
        <v>6.6498659878505466E-3</v>
      </c>
      <c r="M174" s="3">
        <f t="shared" si="5"/>
        <v>1.5849343241925813E-3</v>
      </c>
    </row>
    <row r="175" spans="1:13" x14ac:dyDescent="0.35">
      <c r="A175" t="s">
        <v>93</v>
      </c>
      <c r="B175" t="s">
        <v>31</v>
      </c>
      <c r="C175" s="2">
        <v>265970534</v>
      </c>
      <c r="D175" s="2">
        <v>71460989</v>
      </c>
      <c r="E175" s="2">
        <v>276135660</v>
      </c>
      <c r="F175" s="2">
        <v>22814104</v>
      </c>
      <c r="G175" s="2">
        <v>84475694</v>
      </c>
      <c r="H175" s="2">
        <v>2311450</v>
      </c>
      <c r="I175" s="2">
        <v>40542290</v>
      </c>
      <c r="J175" s="2">
        <v>82718638</v>
      </c>
      <c r="K175" s="2">
        <v>118855249548</v>
      </c>
      <c r="L175" s="3">
        <f t="shared" si="4"/>
        <v>7.1215142975924453E-3</v>
      </c>
      <c r="M175" s="3">
        <f t="shared" si="5"/>
        <v>1.9592081703211435E-3</v>
      </c>
    </row>
    <row r="176" spans="1:13" x14ac:dyDescent="0.35">
      <c r="A176" t="s">
        <v>93</v>
      </c>
      <c r="B176" t="s">
        <v>32</v>
      </c>
      <c r="C176" s="2">
        <v>265574602</v>
      </c>
      <c r="D176" s="2">
        <v>64404897</v>
      </c>
      <c r="E176" s="2">
        <v>266152611</v>
      </c>
      <c r="F176" s="2">
        <v>17478628</v>
      </c>
      <c r="G176" s="2">
        <v>72065794</v>
      </c>
      <c r="H176" s="2">
        <v>4609262</v>
      </c>
      <c r="I176" s="2">
        <v>28336109</v>
      </c>
      <c r="J176" s="2">
        <v>73475883</v>
      </c>
      <c r="K176" s="2">
        <v>115091014943</v>
      </c>
      <c r="L176" s="3">
        <f t="shared" si="4"/>
        <v>6.8823598991832203E-3</v>
      </c>
      <c r="M176" s="3">
        <f t="shared" si="5"/>
        <v>1.7027017799526227E-3</v>
      </c>
    </row>
    <row r="177" spans="1:13" x14ac:dyDescent="0.35">
      <c r="A177" t="s">
        <v>93</v>
      </c>
      <c r="B177" t="s">
        <v>33</v>
      </c>
      <c r="C177" s="2">
        <v>248691506</v>
      </c>
      <c r="D177" s="2">
        <v>65703736</v>
      </c>
      <c r="E177" s="2">
        <v>259689262</v>
      </c>
      <c r="F177" s="2">
        <v>17179082</v>
      </c>
      <c r="G177" s="2">
        <v>60785199</v>
      </c>
      <c r="H177" s="2">
        <v>2636230</v>
      </c>
      <c r="I177" s="2">
        <v>31934891</v>
      </c>
      <c r="J177" s="2">
        <v>73417866</v>
      </c>
      <c r="K177" s="2">
        <v>103968362181</v>
      </c>
      <c r="L177" s="3">
        <f t="shared" si="4"/>
        <v>7.3102793586075675E-3</v>
      </c>
      <c r="M177" s="3">
        <f t="shared" si="5"/>
        <v>1.7885562886551132E-3</v>
      </c>
    </row>
    <row r="178" spans="1:13" x14ac:dyDescent="0.35">
      <c r="A178" t="s">
        <v>93</v>
      </c>
      <c r="B178" t="s">
        <v>34</v>
      </c>
      <c r="C178" s="2">
        <v>251694076</v>
      </c>
      <c r="D178" s="2">
        <v>82254215</v>
      </c>
      <c r="E178" s="2">
        <v>313722494</v>
      </c>
      <c r="F178" s="2">
        <v>86311522</v>
      </c>
      <c r="G178" s="2">
        <v>56414656</v>
      </c>
      <c r="H178" s="2">
        <v>2424268</v>
      </c>
      <c r="I178" s="2">
        <v>33877710</v>
      </c>
      <c r="J178" s="2">
        <v>86712625</v>
      </c>
      <c r="K178" s="2">
        <v>118100960918</v>
      </c>
      <c r="L178" s="3">
        <f t="shared" si="4"/>
        <v>7.7341586291935511E-3</v>
      </c>
      <c r="M178" s="3">
        <f t="shared" si="5"/>
        <v>2.2501153160346381E-3</v>
      </c>
    </row>
    <row r="179" spans="1:13" x14ac:dyDescent="0.35">
      <c r="A179" t="s">
        <v>93</v>
      </c>
      <c r="B179" t="s">
        <v>35</v>
      </c>
      <c r="C179" s="2">
        <v>226986622</v>
      </c>
      <c r="D179" s="2">
        <v>69470386</v>
      </c>
      <c r="E179" s="2">
        <v>302122978</v>
      </c>
      <c r="F179" s="2">
        <v>36301053</v>
      </c>
      <c r="G179" s="2">
        <v>57136087</v>
      </c>
      <c r="H179" s="2">
        <v>3021760</v>
      </c>
      <c r="I179" s="2">
        <v>16133865</v>
      </c>
      <c r="J179" s="2">
        <v>77520680</v>
      </c>
      <c r="K179" s="2">
        <v>121044634320</v>
      </c>
      <c r="L179" s="3">
        <f t="shared" si="4"/>
        <v>6.5157240172659643E-3</v>
      </c>
      <c r="M179" s="3">
        <f t="shared" si="5"/>
        <v>1.5706061327543526E-3</v>
      </c>
    </row>
    <row r="180" spans="1:13" x14ac:dyDescent="0.35">
      <c r="A180" t="s">
        <v>93</v>
      </c>
      <c r="B180" t="s">
        <v>36</v>
      </c>
      <c r="C180" s="2">
        <v>269586816</v>
      </c>
      <c r="D180" s="2">
        <v>81348393</v>
      </c>
      <c r="E180" s="2">
        <v>307820492</v>
      </c>
      <c r="F180" s="2">
        <v>48202104</v>
      </c>
      <c r="G180" s="2">
        <v>50944642</v>
      </c>
      <c r="H180" s="2">
        <v>8375948</v>
      </c>
      <c r="I180" s="2">
        <v>19620688</v>
      </c>
      <c r="J180" s="2">
        <v>74493777</v>
      </c>
      <c r="K180" s="2">
        <v>125879017378</v>
      </c>
      <c r="L180" s="3">
        <f t="shared" si="4"/>
        <v>6.8350776636295204E-3</v>
      </c>
      <c r="M180" s="3">
        <f t="shared" si="5"/>
        <v>1.6018329599325289E-3</v>
      </c>
    </row>
    <row r="181" spans="1:13" x14ac:dyDescent="0.35">
      <c r="A181" t="s">
        <v>93</v>
      </c>
      <c r="B181" t="s">
        <v>37</v>
      </c>
      <c r="C181" s="2">
        <v>256598295</v>
      </c>
      <c r="D181" s="2">
        <v>76819150</v>
      </c>
      <c r="E181" s="2">
        <v>325375302</v>
      </c>
      <c r="F181" s="2">
        <v>65049918</v>
      </c>
      <c r="G181" s="2">
        <v>64439763</v>
      </c>
      <c r="H181" s="2">
        <v>4997903</v>
      </c>
      <c r="I181" s="2">
        <v>46915941</v>
      </c>
      <c r="J181" s="2">
        <v>89477827</v>
      </c>
      <c r="K181" s="2">
        <v>116308138035</v>
      </c>
      <c r="L181" s="3">
        <f t="shared" si="4"/>
        <v>7.99319905474059E-3</v>
      </c>
      <c r="M181" s="3">
        <f t="shared" si="5"/>
        <v>2.3289974078897651E-3</v>
      </c>
    </row>
    <row r="182" spans="1:13" x14ac:dyDescent="0.35">
      <c r="A182" t="s">
        <v>93</v>
      </c>
      <c r="B182" t="s">
        <v>38</v>
      </c>
      <c r="C182" s="2">
        <v>327227985</v>
      </c>
      <c r="D182" s="2">
        <v>76221568</v>
      </c>
      <c r="E182" s="2">
        <v>331999349</v>
      </c>
      <c r="F182" s="2">
        <v>18743177</v>
      </c>
      <c r="G182" s="2">
        <v>29996103</v>
      </c>
      <c r="H182" s="2">
        <v>2800340</v>
      </c>
      <c r="I182" s="2">
        <v>15173823</v>
      </c>
      <c r="J182" s="2">
        <v>68533195</v>
      </c>
      <c r="K182" s="2">
        <v>116488099697</v>
      </c>
      <c r="L182" s="3">
        <f t="shared" si="4"/>
        <v>7.4745449729610759E-3</v>
      </c>
      <c r="M182" s="3">
        <f t="shared" si="5"/>
        <v>1.1610339455428776E-3</v>
      </c>
    </row>
    <row r="183" spans="1:13" x14ac:dyDescent="0.35">
      <c r="A183" t="s">
        <v>93</v>
      </c>
      <c r="B183" t="s">
        <v>39</v>
      </c>
      <c r="C183" s="2">
        <v>249024935</v>
      </c>
      <c r="D183" s="2">
        <v>75890065</v>
      </c>
      <c r="E183" s="2">
        <v>239153398</v>
      </c>
      <c r="F183" s="2">
        <v>32711409</v>
      </c>
      <c r="G183" s="2">
        <v>52118564</v>
      </c>
      <c r="H183" s="2">
        <v>3748788</v>
      </c>
      <c r="I183" s="2">
        <v>27018150</v>
      </c>
      <c r="J183" s="2">
        <v>81857963</v>
      </c>
      <c r="K183" s="2">
        <v>124063171740</v>
      </c>
      <c r="L183" s="3">
        <f t="shared" si="4"/>
        <v>6.1381896119497032E-3</v>
      </c>
      <c r="M183" s="3">
        <f t="shared" si="5"/>
        <v>1.5915671929926753E-3</v>
      </c>
    </row>
    <row r="184" spans="1:13" x14ac:dyDescent="0.35">
      <c r="A184" t="s">
        <v>93</v>
      </c>
      <c r="B184" t="s">
        <v>40</v>
      </c>
      <c r="C184" s="2">
        <v>296653270</v>
      </c>
      <c r="D184" s="2">
        <v>84310475</v>
      </c>
      <c r="E184" s="2">
        <v>283631453</v>
      </c>
      <c r="F184" s="2">
        <v>47685766</v>
      </c>
      <c r="G184" s="2">
        <v>63296445</v>
      </c>
      <c r="H184" s="2">
        <v>2833630</v>
      </c>
      <c r="I184" s="2">
        <v>42126753</v>
      </c>
      <c r="J184" s="2">
        <v>79650156</v>
      </c>
      <c r="K184" s="2">
        <v>142981303729</v>
      </c>
      <c r="L184" s="3">
        <f t="shared" si="4"/>
        <v>6.2958437538531168E-3</v>
      </c>
      <c r="M184" s="3">
        <f t="shared" si="5"/>
        <v>1.6477171759919839E-3</v>
      </c>
    </row>
    <row r="185" spans="1:13" x14ac:dyDescent="0.35">
      <c r="A185" t="s">
        <v>93</v>
      </c>
      <c r="B185" t="s">
        <v>41</v>
      </c>
      <c r="C185" s="2">
        <v>253293807</v>
      </c>
      <c r="D185" s="2">
        <v>77187121</v>
      </c>
      <c r="E185" s="2">
        <v>201486894</v>
      </c>
      <c r="F185" s="2">
        <v>13126690</v>
      </c>
      <c r="G185" s="2">
        <v>58033015</v>
      </c>
      <c r="H185" s="2">
        <v>3506519</v>
      </c>
      <c r="I185" s="2">
        <v>61636425</v>
      </c>
      <c r="J185" s="2">
        <v>95987831</v>
      </c>
      <c r="K185" s="2">
        <v>123186484182</v>
      </c>
      <c r="L185" s="3">
        <f t="shared" si="4"/>
        <v>6.204075934749937E-3</v>
      </c>
      <c r="M185" s="3">
        <f t="shared" si="5"/>
        <v>1.8856815464982828E-3</v>
      </c>
    </row>
    <row r="186" spans="1:13" x14ac:dyDescent="0.35">
      <c r="A186" t="s">
        <v>93</v>
      </c>
      <c r="B186" t="s">
        <v>42</v>
      </c>
      <c r="C186" s="2">
        <v>256673140</v>
      </c>
      <c r="D186" s="2">
        <v>74399287</v>
      </c>
      <c r="E186" s="2">
        <v>269084061</v>
      </c>
      <c r="F186" s="2">
        <v>43071875</v>
      </c>
      <c r="G186" s="2">
        <v>66729832</v>
      </c>
      <c r="H186" s="2">
        <v>2772672</v>
      </c>
      <c r="I186" s="2">
        <v>44131632</v>
      </c>
      <c r="J186" s="2">
        <v>107206024</v>
      </c>
      <c r="K186" s="2">
        <v>137361149212</v>
      </c>
      <c r="L186" s="3">
        <f t="shared" si="4"/>
        <v>6.2904869969194616E-3</v>
      </c>
      <c r="M186" s="3">
        <f t="shared" si="5"/>
        <v>1.9213004296628612E-3</v>
      </c>
    </row>
    <row r="187" spans="1:13" x14ac:dyDescent="0.35">
      <c r="A187" t="s">
        <v>93</v>
      </c>
      <c r="B187" t="s">
        <v>43</v>
      </c>
      <c r="C187" s="2">
        <v>294518934</v>
      </c>
      <c r="D187" s="2">
        <v>70420962</v>
      </c>
      <c r="E187" s="2">
        <v>319776510</v>
      </c>
      <c r="F187" s="2">
        <v>62677724</v>
      </c>
      <c r="G187" s="2">
        <v>74821969</v>
      </c>
      <c r="H187" s="2">
        <v>2837912</v>
      </c>
      <c r="I187" s="2">
        <v>31782898</v>
      </c>
      <c r="J187" s="2">
        <v>96972553</v>
      </c>
      <c r="K187" s="2">
        <v>137745876794</v>
      </c>
      <c r="L187" s="3">
        <f t="shared" si="4"/>
        <v>6.9244138859156507E-3</v>
      </c>
      <c r="M187" s="3">
        <f t="shared" si="5"/>
        <v>1.953547084406967E-3</v>
      </c>
    </row>
    <row r="188" spans="1:13" x14ac:dyDescent="0.35">
      <c r="A188" t="s">
        <v>93</v>
      </c>
      <c r="B188" t="s">
        <v>44</v>
      </c>
      <c r="C188" s="2">
        <v>260971748</v>
      </c>
      <c r="D188" s="2">
        <v>68629103</v>
      </c>
      <c r="E188" s="2">
        <v>284210625</v>
      </c>
      <c r="F188" s="2">
        <v>26210948</v>
      </c>
      <c r="G188" s="2">
        <v>65520126</v>
      </c>
      <c r="H188" s="2">
        <v>5592065</v>
      </c>
      <c r="I188" s="2">
        <v>54379345</v>
      </c>
      <c r="J188" s="2">
        <v>102607099</v>
      </c>
      <c r="K188" s="2">
        <v>129143419014</v>
      </c>
      <c r="L188" s="3">
        <f t="shared" si="4"/>
        <v>6.7221470952839642E-3</v>
      </c>
      <c r="M188" s="3">
        <f t="shared" si="5"/>
        <v>1.9692028052349392E-3</v>
      </c>
    </row>
    <row r="189" spans="1:13" x14ac:dyDescent="0.35">
      <c r="A189" t="s">
        <v>93</v>
      </c>
      <c r="B189" t="s">
        <v>45</v>
      </c>
      <c r="C189" s="2">
        <v>273667641</v>
      </c>
      <c r="D189" s="2">
        <v>74087921</v>
      </c>
      <c r="E189" s="2">
        <v>255088232</v>
      </c>
      <c r="F189" s="2">
        <v>30323922</v>
      </c>
      <c r="G189" s="2">
        <v>56097223</v>
      </c>
      <c r="H189" s="2">
        <v>4557566</v>
      </c>
      <c r="I189" s="2">
        <v>38287514</v>
      </c>
      <c r="J189" s="2">
        <v>91261031</v>
      </c>
      <c r="K189" s="2">
        <v>129597473563</v>
      </c>
      <c r="L189" s="3">
        <f t="shared" si="4"/>
        <v>6.3532955339576308E-3</v>
      </c>
      <c r="M189" s="3">
        <f t="shared" si="5"/>
        <v>1.7016323693439684E-3</v>
      </c>
    </row>
    <row r="190" spans="1:13" x14ac:dyDescent="0.35">
      <c r="A190" t="s">
        <v>93</v>
      </c>
      <c r="B190" t="s">
        <v>46</v>
      </c>
      <c r="C190" s="2">
        <v>328820671</v>
      </c>
      <c r="D190" s="2">
        <v>73470998</v>
      </c>
      <c r="E190" s="2">
        <v>214184553</v>
      </c>
      <c r="F190" s="2">
        <v>36735978</v>
      </c>
      <c r="G190" s="2">
        <v>71903776</v>
      </c>
      <c r="H190" s="2">
        <v>4275149</v>
      </c>
      <c r="I190" s="2">
        <v>58164873</v>
      </c>
      <c r="J190" s="2">
        <v>99627376</v>
      </c>
      <c r="K190" s="2">
        <v>146559340130</v>
      </c>
      <c r="L190" s="3">
        <f t="shared" si="4"/>
        <v>6.0534072629766008E-3</v>
      </c>
      <c r="M190" s="3">
        <f t="shared" si="5"/>
        <v>1.8470822245779718E-3</v>
      </c>
    </row>
    <row r="191" spans="1:13" x14ac:dyDescent="0.35">
      <c r="A191" t="s">
        <v>93</v>
      </c>
      <c r="B191" t="s">
        <v>47</v>
      </c>
      <c r="C191" s="2">
        <v>292863689</v>
      </c>
      <c r="D191" s="2">
        <v>76979183</v>
      </c>
      <c r="E191" s="2">
        <v>251337456</v>
      </c>
      <c r="F191" s="2">
        <v>39449737</v>
      </c>
      <c r="G191" s="2">
        <v>50501740</v>
      </c>
      <c r="H191" s="2">
        <v>3801830</v>
      </c>
      <c r="I191" s="2">
        <v>24360216</v>
      </c>
      <c r="J191" s="2">
        <v>101237027</v>
      </c>
      <c r="K191" s="2">
        <v>135587120921</v>
      </c>
      <c r="L191" s="3">
        <f t="shared" si="4"/>
        <v>6.1991940848846279E-3</v>
      </c>
      <c r="M191" s="3">
        <f t="shared" si="5"/>
        <v>1.6177830793221494E-3</v>
      </c>
    </row>
    <row r="192" spans="1:13" x14ac:dyDescent="0.35">
      <c r="A192" t="s">
        <v>93</v>
      </c>
      <c r="B192" t="s">
        <v>48</v>
      </c>
      <c r="C192" s="2">
        <v>346852802</v>
      </c>
      <c r="D192" s="2">
        <v>83993149</v>
      </c>
      <c r="E192" s="2">
        <v>247612957</v>
      </c>
      <c r="F192" s="2">
        <v>35400773</v>
      </c>
      <c r="G192" s="2">
        <v>99220739</v>
      </c>
      <c r="H192" s="2">
        <v>2870693</v>
      </c>
      <c r="I192" s="2">
        <v>36796895</v>
      </c>
      <c r="J192" s="2">
        <v>115919377</v>
      </c>
      <c r="K192" s="2">
        <v>145457430670</v>
      </c>
      <c r="L192" s="3">
        <f t="shared" si="4"/>
        <v>6.6594561758595927E-3</v>
      </c>
      <c r="M192" s="3">
        <f t="shared" si="5"/>
        <v>1.9951437039912897E-3</v>
      </c>
    </row>
    <row r="193" spans="1:13" x14ac:dyDescent="0.35">
      <c r="A193" t="s">
        <v>93</v>
      </c>
      <c r="B193" t="s">
        <v>49</v>
      </c>
      <c r="C193" s="2">
        <v>323290746</v>
      </c>
      <c r="D193" s="2">
        <v>75236138</v>
      </c>
      <c r="E193" s="2">
        <v>213539409</v>
      </c>
      <c r="F193" s="2">
        <v>113782634</v>
      </c>
      <c r="G193" s="2">
        <v>145866036</v>
      </c>
      <c r="H193" s="2">
        <v>9277268</v>
      </c>
      <c r="I193" s="2">
        <v>36019794</v>
      </c>
      <c r="J193" s="2">
        <v>103250873</v>
      </c>
      <c r="K193" s="2">
        <v>125422082280</v>
      </c>
      <c r="L193" s="3">
        <f t="shared" si="4"/>
        <v>8.1346353006825547E-3</v>
      </c>
      <c r="M193" s="3">
        <f t="shared" si="5"/>
        <v>3.2545832247364279E-3</v>
      </c>
    </row>
    <row r="194" spans="1:13" x14ac:dyDescent="0.35">
      <c r="A194" t="s">
        <v>93</v>
      </c>
      <c r="B194" t="s">
        <v>50</v>
      </c>
      <c r="C194" s="2">
        <v>268529427</v>
      </c>
      <c r="D194" s="2">
        <v>75010389</v>
      </c>
      <c r="E194" s="2">
        <v>229607595</v>
      </c>
      <c r="F194" s="2">
        <v>30132221</v>
      </c>
      <c r="G194" s="2">
        <v>61640407</v>
      </c>
      <c r="H194" s="2">
        <v>3009857</v>
      </c>
      <c r="I194" s="2">
        <v>17982501</v>
      </c>
      <c r="J194" s="2">
        <v>113299136</v>
      </c>
      <c r="K194" s="2">
        <v>128930903661</v>
      </c>
      <c r="L194" s="3">
        <f t="shared" ref="L194:L257" si="6">SUM(C194:J194)/K194</f>
        <v>6.198758484632816E-3</v>
      </c>
      <c r="M194" s="3">
        <f t="shared" ref="M194:M257" si="7">SUM(F194:J194)/K194</f>
        <v>1.7533742150322149E-3</v>
      </c>
    </row>
    <row r="195" spans="1:13" x14ac:dyDescent="0.35">
      <c r="A195" t="s">
        <v>93</v>
      </c>
      <c r="B195" t="s">
        <v>51</v>
      </c>
      <c r="C195" s="2">
        <v>255516668</v>
      </c>
      <c r="D195" s="2">
        <v>69370822</v>
      </c>
      <c r="E195" s="2">
        <v>204457460</v>
      </c>
      <c r="F195" s="2">
        <v>39415669</v>
      </c>
      <c r="G195" s="2">
        <v>64451223</v>
      </c>
      <c r="H195" s="2">
        <v>622756</v>
      </c>
      <c r="I195" s="2">
        <v>35855608</v>
      </c>
      <c r="J195" s="2">
        <v>100706237</v>
      </c>
      <c r="K195" s="2">
        <v>132001389375</v>
      </c>
      <c r="L195" s="3">
        <f t="shared" si="6"/>
        <v>5.8362752592807697E-3</v>
      </c>
      <c r="M195" s="3">
        <f t="shared" si="7"/>
        <v>1.8261284532028813E-3</v>
      </c>
    </row>
    <row r="196" spans="1:13" x14ac:dyDescent="0.35">
      <c r="A196" t="s">
        <v>93</v>
      </c>
      <c r="B196" t="s">
        <v>52</v>
      </c>
      <c r="C196" s="2">
        <v>406937930</v>
      </c>
      <c r="D196" s="2">
        <v>84718606</v>
      </c>
      <c r="E196" s="2">
        <v>274497637</v>
      </c>
      <c r="F196" s="2">
        <v>49951681</v>
      </c>
      <c r="G196" s="2">
        <v>101733270</v>
      </c>
      <c r="H196" s="2">
        <v>8486963</v>
      </c>
      <c r="I196" s="2">
        <v>46430802</v>
      </c>
      <c r="J196" s="2">
        <v>109854256</v>
      </c>
      <c r="K196" s="2">
        <v>151793108120</v>
      </c>
      <c r="L196" s="3">
        <f t="shared" si="6"/>
        <v>7.1321495317438399E-3</v>
      </c>
      <c r="M196" s="3">
        <f t="shared" si="7"/>
        <v>2.0847914369723887E-3</v>
      </c>
    </row>
    <row r="197" spans="1:13" x14ac:dyDescent="0.35">
      <c r="A197" t="s">
        <v>93</v>
      </c>
      <c r="B197" t="s">
        <v>53</v>
      </c>
      <c r="C197" s="2">
        <v>275562499</v>
      </c>
      <c r="D197" s="2">
        <v>62503344</v>
      </c>
      <c r="E197" s="2">
        <v>173357487</v>
      </c>
      <c r="F197" s="2">
        <v>34832361</v>
      </c>
      <c r="G197" s="2">
        <v>72910889</v>
      </c>
      <c r="H197" s="2">
        <v>4051308</v>
      </c>
      <c r="I197" s="2">
        <v>22543072</v>
      </c>
      <c r="J197" s="2">
        <v>100769795</v>
      </c>
      <c r="K197" s="2">
        <v>120250120197</v>
      </c>
      <c r="L197" s="3">
        <f t="shared" si="6"/>
        <v>6.2081497613224379E-3</v>
      </c>
      <c r="M197" s="3">
        <f t="shared" si="7"/>
        <v>1.9551533471636852E-3</v>
      </c>
    </row>
    <row r="198" spans="1:13" x14ac:dyDescent="0.35">
      <c r="A198" t="s">
        <v>93</v>
      </c>
      <c r="B198" t="s">
        <v>54</v>
      </c>
      <c r="C198" s="2">
        <v>266035102</v>
      </c>
      <c r="D198" s="2">
        <v>67086091</v>
      </c>
      <c r="E198" s="2">
        <v>211952303</v>
      </c>
      <c r="F198" s="2">
        <v>47567421</v>
      </c>
      <c r="G198" s="2">
        <v>60938716</v>
      </c>
      <c r="H198" s="2">
        <v>6061595</v>
      </c>
      <c r="I198" s="2">
        <v>31334747</v>
      </c>
      <c r="J198" s="2">
        <v>102156665</v>
      </c>
      <c r="K198" s="2">
        <v>132648772128</v>
      </c>
      <c r="L198" s="3">
        <f t="shared" si="6"/>
        <v>5.9791932279227075E-3</v>
      </c>
      <c r="M198" s="3">
        <f t="shared" si="7"/>
        <v>1.8700447808188852E-3</v>
      </c>
    </row>
    <row r="199" spans="1:13" x14ac:dyDescent="0.35">
      <c r="A199" t="s">
        <v>93</v>
      </c>
      <c r="B199" t="s">
        <v>55</v>
      </c>
      <c r="C199" s="2">
        <v>256148515</v>
      </c>
      <c r="D199" s="2">
        <v>70722685</v>
      </c>
      <c r="E199" s="2">
        <v>177930623</v>
      </c>
      <c r="F199" s="2">
        <v>140938840</v>
      </c>
      <c r="G199" s="2">
        <v>75141865</v>
      </c>
      <c r="H199" s="2">
        <v>4254844</v>
      </c>
      <c r="I199" s="2">
        <v>58973392</v>
      </c>
      <c r="J199" s="2">
        <v>123413653</v>
      </c>
      <c r="K199" s="2">
        <v>140346911384</v>
      </c>
      <c r="L199" s="3">
        <f t="shared" si="6"/>
        <v>6.4662941852488866E-3</v>
      </c>
      <c r="M199" s="3">
        <f t="shared" si="7"/>
        <v>2.8694795633807703E-3</v>
      </c>
    </row>
    <row r="200" spans="1:13" x14ac:dyDescent="0.35">
      <c r="A200" t="s">
        <v>93</v>
      </c>
      <c r="B200" t="s">
        <v>56</v>
      </c>
      <c r="C200" s="2">
        <v>276423032</v>
      </c>
      <c r="D200" s="2">
        <v>75019082</v>
      </c>
      <c r="E200" s="2">
        <v>145132425</v>
      </c>
      <c r="F200" s="2">
        <v>47979458</v>
      </c>
      <c r="G200" s="2">
        <v>60759092</v>
      </c>
      <c r="H200" s="2">
        <v>3873329</v>
      </c>
      <c r="I200" s="2">
        <v>39772253</v>
      </c>
      <c r="J200" s="2">
        <v>119100671</v>
      </c>
      <c r="K200" s="2">
        <v>127152834426</v>
      </c>
      <c r="L200" s="3">
        <f t="shared" si="6"/>
        <v>6.0404421613345369E-3</v>
      </c>
      <c r="M200" s="3">
        <f t="shared" si="7"/>
        <v>2.1351061832443684E-3</v>
      </c>
    </row>
    <row r="201" spans="1:13" x14ac:dyDescent="0.35">
      <c r="A201" t="s">
        <v>93</v>
      </c>
      <c r="B201" t="s">
        <v>57</v>
      </c>
      <c r="C201" s="2">
        <v>362337206</v>
      </c>
      <c r="D201" s="2">
        <v>77334737</v>
      </c>
      <c r="E201" s="2">
        <v>149829740</v>
      </c>
      <c r="F201" s="2">
        <v>75249628</v>
      </c>
      <c r="G201" s="2">
        <v>61168923</v>
      </c>
      <c r="H201" s="2">
        <v>2225563</v>
      </c>
      <c r="I201" s="2">
        <v>39255100</v>
      </c>
      <c r="J201" s="2">
        <v>113188805</v>
      </c>
      <c r="K201" s="2">
        <v>124224326931</v>
      </c>
      <c r="L201" s="3">
        <f t="shared" si="6"/>
        <v>7.088705761224375E-3</v>
      </c>
      <c r="M201" s="3">
        <f t="shared" si="7"/>
        <v>2.3432448876272351E-3</v>
      </c>
    </row>
    <row r="202" spans="1:13" x14ac:dyDescent="0.35">
      <c r="A202" t="s">
        <v>93</v>
      </c>
      <c r="B202" t="s">
        <v>58</v>
      </c>
      <c r="C202" s="2">
        <v>325613978</v>
      </c>
      <c r="D202" s="2">
        <v>76149291</v>
      </c>
      <c r="E202" s="2">
        <v>238865593</v>
      </c>
      <c r="F202" s="2">
        <v>79879287</v>
      </c>
      <c r="G202" s="2">
        <v>88480948</v>
      </c>
      <c r="H202" s="2">
        <v>1968514</v>
      </c>
      <c r="I202" s="2">
        <v>54366051</v>
      </c>
      <c r="J202" s="2">
        <v>109083713</v>
      </c>
      <c r="K202" s="2">
        <v>130045702484</v>
      </c>
      <c r="L202" s="3">
        <f t="shared" si="6"/>
        <v>7.4928071930703355E-3</v>
      </c>
      <c r="M202" s="3">
        <f t="shared" si="7"/>
        <v>2.5666247067338962E-3</v>
      </c>
    </row>
    <row r="203" spans="1:13" x14ac:dyDescent="0.35">
      <c r="A203" t="s">
        <v>93</v>
      </c>
      <c r="B203" t="s">
        <v>59</v>
      </c>
      <c r="C203" s="2">
        <v>302097991</v>
      </c>
      <c r="D203" s="2">
        <v>75377589</v>
      </c>
      <c r="E203" s="2">
        <v>165563072</v>
      </c>
      <c r="F203" s="2">
        <v>30581208</v>
      </c>
      <c r="G203" s="2">
        <v>77749733</v>
      </c>
      <c r="H203" s="2">
        <v>2554663</v>
      </c>
      <c r="I203" s="2">
        <v>54282171</v>
      </c>
      <c r="J203" s="2">
        <v>126035512</v>
      </c>
      <c r="K203" s="2">
        <v>132893284453</v>
      </c>
      <c r="L203" s="3">
        <f t="shared" si="6"/>
        <v>6.2775327017750397E-3</v>
      </c>
      <c r="M203" s="3">
        <f t="shared" si="7"/>
        <v>2.1912566026087575E-3</v>
      </c>
    </row>
    <row r="204" spans="1:13" x14ac:dyDescent="0.35">
      <c r="A204" t="s">
        <v>93</v>
      </c>
      <c r="B204" t="s">
        <v>60</v>
      </c>
      <c r="C204" s="2">
        <v>320463245</v>
      </c>
      <c r="D204" s="2">
        <v>85000457</v>
      </c>
      <c r="E204" s="2">
        <v>191572050</v>
      </c>
      <c r="F204" s="2">
        <v>90514155</v>
      </c>
      <c r="G204" s="2">
        <v>70996268</v>
      </c>
      <c r="H204" s="2">
        <v>4914073</v>
      </c>
      <c r="I204" s="2">
        <v>49728778</v>
      </c>
      <c r="J204" s="2">
        <v>119740422</v>
      </c>
      <c r="K204" s="2">
        <v>140058016248</v>
      </c>
      <c r="L204" s="3">
        <f t="shared" si="6"/>
        <v>6.6610214323474829E-3</v>
      </c>
      <c r="M204" s="3">
        <f t="shared" si="7"/>
        <v>2.3982468479721631E-3</v>
      </c>
    </row>
    <row r="205" spans="1:13" x14ac:dyDescent="0.35">
      <c r="A205" t="s">
        <v>93</v>
      </c>
      <c r="B205" t="s">
        <v>61</v>
      </c>
      <c r="C205" s="2">
        <v>265357672</v>
      </c>
      <c r="D205" s="2">
        <v>70199617</v>
      </c>
      <c r="E205" s="2">
        <v>213216462</v>
      </c>
      <c r="F205" s="2">
        <v>117317394</v>
      </c>
      <c r="G205" s="2">
        <v>132338586</v>
      </c>
      <c r="H205" s="2">
        <v>2311829</v>
      </c>
      <c r="I205" s="2">
        <v>69150177</v>
      </c>
      <c r="J205" s="2">
        <v>124848262</v>
      </c>
      <c r="K205" s="2">
        <v>114117074278</v>
      </c>
      <c r="L205" s="3">
        <f t="shared" si="6"/>
        <v>8.716837557337995E-3</v>
      </c>
      <c r="M205" s="3">
        <f t="shared" si="7"/>
        <v>3.9079712726737452E-3</v>
      </c>
    </row>
    <row r="206" spans="1:13" x14ac:dyDescent="0.35">
      <c r="A206" t="s">
        <v>93</v>
      </c>
      <c r="B206" t="s">
        <v>62</v>
      </c>
      <c r="C206" s="2">
        <v>293964488</v>
      </c>
      <c r="D206" s="2">
        <v>78367388</v>
      </c>
      <c r="E206" s="2">
        <v>161276419</v>
      </c>
      <c r="F206" s="2">
        <v>28248241</v>
      </c>
      <c r="G206" s="2">
        <v>106533360</v>
      </c>
      <c r="H206" s="2">
        <v>2896357</v>
      </c>
      <c r="I206" s="2">
        <v>17964934</v>
      </c>
      <c r="J206" s="2">
        <v>103115253</v>
      </c>
      <c r="K206" s="2">
        <v>126702750016</v>
      </c>
      <c r="L206" s="3">
        <f t="shared" si="6"/>
        <v>6.2537430316227556E-3</v>
      </c>
      <c r="M206" s="3">
        <f t="shared" si="7"/>
        <v>2.0422456889635314E-3</v>
      </c>
    </row>
    <row r="207" spans="1:13" x14ac:dyDescent="0.35">
      <c r="A207" t="s">
        <v>93</v>
      </c>
      <c r="B207" t="s">
        <v>63</v>
      </c>
      <c r="C207" s="2">
        <v>315679660</v>
      </c>
      <c r="D207" s="2">
        <v>78422334</v>
      </c>
      <c r="E207" s="2">
        <v>164909935</v>
      </c>
      <c r="F207" s="2">
        <v>34333375</v>
      </c>
      <c r="G207" s="2">
        <v>115349422</v>
      </c>
      <c r="H207" s="2">
        <v>3076032</v>
      </c>
      <c r="I207" s="2">
        <v>30296551</v>
      </c>
      <c r="J207" s="2">
        <v>113001923</v>
      </c>
      <c r="K207" s="2">
        <v>132130109341</v>
      </c>
      <c r="L207" s="3">
        <f t="shared" si="6"/>
        <v>6.4714184848908762E-3</v>
      </c>
      <c r="M207" s="3">
        <f t="shared" si="7"/>
        <v>2.2406497994786217E-3</v>
      </c>
    </row>
    <row r="208" spans="1:13" x14ac:dyDescent="0.35">
      <c r="A208" t="s">
        <v>93</v>
      </c>
      <c r="B208" t="s">
        <v>64</v>
      </c>
      <c r="C208" s="2">
        <v>319588820</v>
      </c>
      <c r="D208" s="2">
        <v>78916882</v>
      </c>
      <c r="E208" s="2">
        <v>210994642</v>
      </c>
      <c r="F208" s="2">
        <v>68326510</v>
      </c>
      <c r="G208" s="2">
        <v>122826220</v>
      </c>
      <c r="H208" s="2">
        <v>3898464</v>
      </c>
      <c r="I208" s="2">
        <v>85691702</v>
      </c>
      <c r="J208" s="2">
        <v>106895218</v>
      </c>
      <c r="K208" s="2">
        <v>134296778333</v>
      </c>
      <c r="L208" s="3">
        <f t="shared" si="6"/>
        <v>7.4248874051729852E-3</v>
      </c>
      <c r="M208" s="3">
        <f t="shared" si="7"/>
        <v>2.8864289881833142E-3</v>
      </c>
    </row>
    <row r="209" spans="1:13" x14ac:dyDescent="0.35">
      <c r="A209" t="s">
        <v>93</v>
      </c>
      <c r="B209" t="s">
        <v>65</v>
      </c>
      <c r="C209" s="2">
        <v>333143222</v>
      </c>
      <c r="D209" s="2">
        <v>78150976</v>
      </c>
      <c r="E209" s="2">
        <v>155890464</v>
      </c>
      <c r="F209" s="2">
        <v>62399539</v>
      </c>
      <c r="G209" s="2">
        <v>106665684</v>
      </c>
      <c r="H209" s="2">
        <v>3789416</v>
      </c>
      <c r="I209" s="2">
        <v>36729748</v>
      </c>
      <c r="J209" s="2">
        <v>135118400</v>
      </c>
      <c r="K209" s="2">
        <v>138729821355</v>
      </c>
      <c r="L209" s="3">
        <f t="shared" si="6"/>
        <v>6.5731177341210815E-3</v>
      </c>
      <c r="M209" s="3">
        <f t="shared" si="7"/>
        <v>2.4847057657338824E-3</v>
      </c>
    </row>
    <row r="210" spans="1:13" x14ac:dyDescent="0.35">
      <c r="A210" t="s">
        <v>93</v>
      </c>
      <c r="B210" t="s">
        <v>66</v>
      </c>
      <c r="C210" s="2">
        <v>239344821</v>
      </c>
      <c r="D210" s="2">
        <v>64566210</v>
      </c>
      <c r="E210" s="2">
        <v>166916521</v>
      </c>
      <c r="F210" s="2">
        <v>53024390</v>
      </c>
      <c r="G210" s="2">
        <v>116347213</v>
      </c>
      <c r="H210" s="2">
        <v>2038906</v>
      </c>
      <c r="I210" s="2">
        <v>43243832</v>
      </c>
      <c r="J210" s="2">
        <v>129495805</v>
      </c>
      <c r="K210" s="2">
        <v>126623526402</v>
      </c>
      <c r="L210" s="3">
        <f t="shared" si="6"/>
        <v>6.4362265145944285E-3</v>
      </c>
      <c r="M210" s="3">
        <f t="shared" si="7"/>
        <v>2.7179005022131826E-3</v>
      </c>
    </row>
    <row r="211" spans="1:13" x14ac:dyDescent="0.35">
      <c r="A211" t="s">
        <v>93</v>
      </c>
      <c r="B211" t="s">
        <v>67</v>
      </c>
      <c r="C211" s="2">
        <v>247966440</v>
      </c>
      <c r="D211" s="2">
        <v>76181056</v>
      </c>
      <c r="E211" s="2">
        <v>224981012</v>
      </c>
      <c r="F211" s="2">
        <v>67103441</v>
      </c>
      <c r="G211" s="2">
        <v>104910660</v>
      </c>
      <c r="H211" s="2">
        <v>5850822</v>
      </c>
      <c r="I211" s="2">
        <v>53058446</v>
      </c>
      <c r="J211" s="2">
        <v>113138154</v>
      </c>
      <c r="K211" s="2">
        <v>128423413622</v>
      </c>
      <c r="L211" s="3">
        <f t="shared" si="6"/>
        <v>6.9550404074213857E-3</v>
      </c>
      <c r="M211" s="3">
        <f t="shared" si="7"/>
        <v>2.6791183421794621E-3</v>
      </c>
    </row>
    <row r="212" spans="1:13" x14ac:dyDescent="0.35">
      <c r="A212" t="s">
        <v>93</v>
      </c>
      <c r="B212" t="s">
        <v>68</v>
      </c>
      <c r="C212" s="2">
        <v>385478436</v>
      </c>
      <c r="D212" s="2">
        <v>78801963</v>
      </c>
      <c r="E212" s="2">
        <v>157752491</v>
      </c>
      <c r="F212" s="2">
        <v>66592415</v>
      </c>
      <c r="G212" s="2">
        <v>121625959</v>
      </c>
      <c r="H212" s="2">
        <v>4524264</v>
      </c>
      <c r="I212" s="2">
        <v>41909438</v>
      </c>
      <c r="J212" s="2">
        <v>136995598</v>
      </c>
      <c r="K212" s="2">
        <v>133137428219</v>
      </c>
      <c r="L212" s="3">
        <f t="shared" si="6"/>
        <v>7.4635703670456821E-3</v>
      </c>
      <c r="M212" s="3">
        <f t="shared" si="7"/>
        <v>2.7914590132285754E-3</v>
      </c>
    </row>
    <row r="213" spans="1:13" x14ac:dyDescent="0.35">
      <c r="A213" t="s">
        <v>93</v>
      </c>
      <c r="B213" t="s">
        <v>69</v>
      </c>
      <c r="C213" s="2">
        <v>292070742</v>
      </c>
      <c r="D213" s="2">
        <v>60562905</v>
      </c>
      <c r="E213" s="2">
        <v>156256521</v>
      </c>
      <c r="F213" s="2">
        <v>67501761</v>
      </c>
      <c r="G213" s="2">
        <v>80734928</v>
      </c>
      <c r="H213" s="2">
        <v>3275071</v>
      </c>
      <c r="I213" s="2">
        <v>26739755</v>
      </c>
      <c r="J213" s="2">
        <v>102190644</v>
      </c>
      <c r="K213" s="2">
        <v>120233602339</v>
      </c>
      <c r="L213" s="3">
        <f t="shared" si="6"/>
        <v>6.5649894176377467E-3</v>
      </c>
      <c r="M213" s="3">
        <f t="shared" si="7"/>
        <v>2.3324773902165066E-3</v>
      </c>
    </row>
    <row r="214" spans="1:13" x14ac:dyDescent="0.35">
      <c r="A214" t="s">
        <v>93</v>
      </c>
      <c r="B214" t="s">
        <v>70</v>
      </c>
      <c r="C214" s="2">
        <v>458145048</v>
      </c>
      <c r="D214" s="2">
        <v>68817339</v>
      </c>
      <c r="E214" s="2">
        <v>175080877</v>
      </c>
      <c r="F214" s="2">
        <v>74362034</v>
      </c>
      <c r="G214" s="2">
        <v>94026019</v>
      </c>
      <c r="H214" s="2">
        <v>2539993</v>
      </c>
      <c r="I214" s="2">
        <v>80722439</v>
      </c>
      <c r="J214" s="2">
        <v>132089739</v>
      </c>
      <c r="K214" s="2">
        <v>130452614945</v>
      </c>
      <c r="L214" s="3">
        <f t="shared" si="6"/>
        <v>8.3232021715913939E-3</v>
      </c>
      <c r="M214" s="3">
        <f t="shared" si="7"/>
        <v>2.9416062235455252E-3</v>
      </c>
    </row>
    <row r="215" spans="1:13" x14ac:dyDescent="0.35">
      <c r="A215" t="s">
        <v>93</v>
      </c>
      <c r="B215" t="s">
        <v>71</v>
      </c>
      <c r="C215" s="2">
        <v>374691465</v>
      </c>
      <c r="D215" s="2">
        <v>73742808</v>
      </c>
      <c r="E215" s="2">
        <v>156704872</v>
      </c>
      <c r="F215" s="2">
        <v>49197256</v>
      </c>
      <c r="G215" s="2">
        <v>91262152</v>
      </c>
      <c r="H215" s="2">
        <v>4212371</v>
      </c>
      <c r="I215" s="2">
        <v>52238018</v>
      </c>
      <c r="J215" s="2">
        <v>124111209</v>
      </c>
      <c r="K215" s="2">
        <v>133530795625</v>
      </c>
      <c r="L215" s="3">
        <f t="shared" si="6"/>
        <v>6.9359292488676057E-3</v>
      </c>
      <c r="M215" s="3">
        <f t="shared" si="7"/>
        <v>2.4040971559964072E-3</v>
      </c>
    </row>
    <row r="216" spans="1:13" x14ac:dyDescent="0.35">
      <c r="A216" t="s">
        <v>93</v>
      </c>
      <c r="B216" t="s">
        <v>72</v>
      </c>
      <c r="C216" s="2">
        <v>616473132</v>
      </c>
      <c r="D216" s="2">
        <v>80854006</v>
      </c>
      <c r="E216" s="2">
        <v>180446200</v>
      </c>
      <c r="F216" s="2">
        <v>61516879</v>
      </c>
      <c r="G216" s="2">
        <v>83508022</v>
      </c>
      <c r="H216" s="2">
        <v>3452669</v>
      </c>
      <c r="I216" s="2">
        <v>66862305</v>
      </c>
      <c r="J216" s="2">
        <v>109640439</v>
      </c>
      <c r="K216" s="2">
        <v>132895408187</v>
      </c>
      <c r="L216" s="3">
        <f t="shared" si="6"/>
        <v>9.0503778001688323E-3</v>
      </c>
      <c r="M216" s="3">
        <f t="shared" si="7"/>
        <v>2.4453840688213485E-3</v>
      </c>
    </row>
    <row r="217" spans="1:13" x14ac:dyDescent="0.35">
      <c r="A217" t="s">
        <v>93</v>
      </c>
      <c r="B217" t="s">
        <v>73</v>
      </c>
      <c r="C217" s="2">
        <v>292248749</v>
      </c>
      <c r="D217" s="2">
        <v>69549028</v>
      </c>
      <c r="E217" s="2">
        <v>146538714</v>
      </c>
      <c r="F217" s="2">
        <v>127107890</v>
      </c>
      <c r="G217" s="2">
        <v>94632249</v>
      </c>
      <c r="H217" s="2">
        <v>4458986</v>
      </c>
      <c r="I217" s="2">
        <v>97413289</v>
      </c>
      <c r="J217" s="2">
        <v>120732830</v>
      </c>
      <c r="K217" s="2">
        <v>111809807234</v>
      </c>
      <c r="L217" s="3">
        <f t="shared" si="6"/>
        <v>8.5205560993964497E-3</v>
      </c>
      <c r="M217" s="3">
        <f t="shared" si="7"/>
        <v>3.9741168953994939E-3</v>
      </c>
    </row>
    <row r="218" spans="1:13" x14ac:dyDescent="0.35">
      <c r="A218" t="s">
        <v>93</v>
      </c>
      <c r="B218" t="s">
        <v>74</v>
      </c>
      <c r="C218" s="2">
        <v>438405907</v>
      </c>
      <c r="D218" s="2">
        <v>69048678</v>
      </c>
      <c r="E218" s="2">
        <v>192711040</v>
      </c>
      <c r="F218" s="2">
        <v>49981711</v>
      </c>
      <c r="G218" s="2">
        <v>74178215</v>
      </c>
      <c r="H218" s="2">
        <v>4255278</v>
      </c>
      <c r="I218" s="2">
        <v>43228738</v>
      </c>
      <c r="J218" s="2">
        <v>108540495</v>
      </c>
      <c r="K218" s="2">
        <v>125058288842</v>
      </c>
      <c r="L218" s="3">
        <f t="shared" si="6"/>
        <v>7.8391450185168049E-3</v>
      </c>
      <c r="M218" s="3">
        <f t="shared" si="7"/>
        <v>2.2404307590837744E-3</v>
      </c>
    </row>
    <row r="219" spans="1:13" x14ac:dyDescent="0.35">
      <c r="A219" t="s">
        <v>93</v>
      </c>
      <c r="B219" t="s">
        <v>75</v>
      </c>
      <c r="C219" s="2">
        <v>715057956</v>
      </c>
      <c r="D219" s="2">
        <v>72451230</v>
      </c>
      <c r="E219" s="2">
        <v>134218787</v>
      </c>
      <c r="F219" s="2">
        <v>59516729</v>
      </c>
      <c r="G219" s="2">
        <v>131461344</v>
      </c>
      <c r="H219" s="2">
        <v>6224756</v>
      </c>
      <c r="I219" s="2">
        <v>63406900</v>
      </c>
      <c r="J219" s="2">
        <v>111056742</v>
      </c>
      <c r="K219" s="2">
        <v>129869344389</v>
      </c>
      <c r="L219" s="3">
        <f t="shared" si="6"/>
        <v>9.9591974540648495E-3</v>
      </c>
      <c r="M219" s="3">
        <f t="shared" si="7"/>
        <v>2.8618491357493936E-3</v>
      </c>
    </row>
    <row r="220" spans="1:13" x14ac:dyDescent="0.35">
      <c r="A220" t="s">
        <v>93</v>
      </c>
      <c r="B220" t="s">
        <v>76</v>
      </c>
      <c r="C220" s="2">
        <v>590770482</v>
      </c>
      <c r="D220" s="2">
        <v>83982746</v>
      </c>
      <c r="E220" s="2">
        <v>141010293</v>
      </c>
      <c r="F220" s="2">
        <v>64284033</v>
      </c>
      <c r="G220" s="2">
        <v>136736603</v>
      </c>
      <c r="H220" s="2">
        <v>6564468</v>
      </c>
      <c r="I220" s="2">
        <v>70155765</v>
      </c>
      <c r="J220" s="2">
        <v>126273339</v>
      </c>
      <c r="K220" s="2">
        <v>140546913707</v>
      </c>
      <c r="L220" s="3">
        <f t="shared" si="6"/>
        <v>8.6787941252334192E-3</v>
      </c>
      <c r="M220" s="3">
        <f t="shared" si="7"/>
        <v>2.874586124617818E-3</v>
      </c>
    </row>
    <row r="221" spans="1:13" x14ac:dyDescent="0.35">
      <c r="A221" t="s">
        <v>93</v>
      </c>
      <c r="B221" t="s">
        <v>77</v>
      </c>
      <c r="C221" s="2">
        <v>611495369</v>
      </c>
      <c r="D221" s="2">
        <v>92742606</v>
      </c>
      <c r="E221" s="2">
        <v>181649244</v>
      </c>
      <c r="F221" s="2">
        <v>59813304</v>
      </c>
      <c r="G221" s="2">
        <v>116491234</v>
      </c>
      <c r="H221" s="2">
        <v>3532701</v>
      </c>
      <c r="I221" s="2">
        <v>43736394</v>
      </c>
      <c r="J221" s="2">
        <v>114994547</v>
      </c>
      <c r="K221" s="2">
        <v>131721914350</v>
      </c>
      <c r="L221" s="3">
        <f t="shared" si="6"/>
        <v>9.2957607323143187E-3</v>
      </c>
      <c r="M221" s="3">
        <f t="shared" si="7"/>
        <v>2.5703253833708043E-3</v>
      </c>
    </row>
    <row r="222" spans="1:13" x14ac:dyDescent="0.35">
      <c r="A222" t="s">
        <v>93</v>
      </c>
      <c r="B222" t="s">
        <v>78</v>
      </c>
      <c r="C222" s="2">
        <v>643772480</v>
      </c>
      <c r="D222" s="2">
        <v>85738432</v>
      </c>
      <c r="E222" s="2">
        <v>165812474</v>
      </c>
      <c r="F222" s="2">
        <v>50883726</v>
      </c>
      <c r="G222" s="2">
        <v>91484385</v>
      </c>
      <c r="H222" s="2">
        <v>3719405</v>
      </c>
      <c r="I222" s="2">
        <v>54968983</v>
      </c>
      <c r="J222" s="2">
        <v>106762528</v>
      </c>
      <c r="K222" s="2">
        <v>130322830828</v>
      </c>
      <c r="L222" s="3">
        <f t="shared" si="6"/>
        <v>9.2320156441959636E-3</v>
      </c>
      <c r="M222" s="3">
        <f t="shared" si="7"/>
        <v>2.3619731480991183E-3</v>
      </c>
    </row>
    <row r="223" spans="1:13" x14ac:dyDescent="0.35">
      <c r="A223" t="s">
        <v>93</v>
      </c>
      <c r="B223" t="s">
        <v>79</v>
      </c>
      <c r="C223" s="2">
        <v>484146616</v>
      </c>
      <c r="D223" s="2">
        <v>149324202</v>
      </c>
      <c r="E223" s="2">
        <v>168649276</v>
      </c>
      <c r="F223" s="2">
        <v>70074173</v>
      </c>
      <c r="G223" s="2">
        <v>81021616</v>
      </c>
      <c r="H223" s="2">
        <v>2876489</v>
      </c>
      <c r="I223" s="2">
        <v>62529143</v>
      </c>
      <c r="J223" s="2">
        <v>99785870</v>
      </c>
      <c r="K223" s="2">
        <v>128977860622</v>
      </c>
      <c r="L223" s="3">
        <f t="shared" si="6"/>
        <v>8.6713128873935688E-3</v>
      </c>
      <c r="M223" s="3">
        <f t="shared" si="7"/>
        <v>2.4522603295999337E-3</v>
      </c>
    </row>
    <row r="224" spans="1:13" x14ac:dyDescent="0.35">
      <c r="A224" t="s">
        <v>93</v>
      </c>
      <c r="B224" t="s">
        <v>80</v>
      </c>
      <c r="C224" s="2">
        <v>384139469</v>
      </c>
      <c r="D224" s="2">
        <v>91040439</v>
      </c>
      <c r="E224" s="2">
        <v>192016421</v>
      </c>
      <c r="F224" s="2">
        <v>26509215</v>
      </c>
      <c r="G224" s="2">
        <v>94817402</v>
      </c>
      <c r="H224" s="2">
        <v>4722249</v>
      </c>
      <c r="I224" s="2">
        <v>67755682</v>
      </c>
      <c r="J224" s="2">
        <v>120933115</v>
      </c>
      <c r="K224" s="2">
        <v>134933450192</v>
      </c>
      <c r="L224" s="3">
        <f t="shared" si="6"/>
        <v>7.2771724920898629E-3</v>
      </c>
      <c r="M224" s="3">
        <f t="shared" si="7"/>
        <v>2.3325399487832878E-3</v>
      </c>
    </row>
    <row r="225" spans="1:13" x14ac:dyDescent="0.35">
      <c r="A225" t="s">
        <v>93</v>
      </c>
      <c r="B225" t="s">
        <v>81</v>
      </c>
      <c r="C225" s="2">
        <v>325528798</v>
      </c>
      <c r="D225" s="2">
        <v>81522348</v>
      </c>
      <c r="E225" s="2">
        <v>188591990</v>
      </c>
      <c r="F225" s="2">
        <v>45438932</v>
      </c>
      <c r="G225" s="2">
        <v>80695412</v>
      </c>
      <c r="H225" s="2">
        <v>5451204</v>
      </c>
      <c r="I225" s="2">
        <v>58294257</v>
      </c>
      <c r="J225" s="2">
        <v>96344826</v>
      </c>
      <c r="K225" s="2">
        <v>115278863271</v>
      </c>
      <c r="L225" s="3">
        <f t="shared" si="6"/>
        <v>7.649865222273111E-3</v>
      </c>
      <c r="M225" s="3">
        <f t="shared" si="7"/>
        <v>2.4828890819918745E-3</v>
      </c>
    </row>
    <row r="226" spans="1:13" x14ac:dyDescent="0.35">
      <c r="A226" t="s">
        <v>93</v>
      </c>
      <c r="B226" t="s">
        <v>82</v>
      </c>
      <c r="C226" s="2">
        <v>327380960</v>
      </c>
      <c r="D226" s="2">
        <v>91664542</v>
      </c>
      <c r="E226" s="2">
        <v>216004282</v>
      </c>
      <c r="F226" s="2">
        <v>44756112</v>
      </c>
      <c r="G226" s="2">
        <v>70513620</v>
      </c>
      <c r="H226" s="2">
        <v>3399921</v>
      </c>
      <c r="I226" s="2">
        <v>34075915</v>
      </c>
      <c r="J226" s="2">
        <v>103190341</v>
      </c>
      <c r="K226" s="2">
        <v>137482252072</v>
      </c>
      <c r="L226" s="3">
        <f t="shared" si="6"/>
        <v>6.4807324550763632E-3</v>
      </c>
      <c r="M226" s="3">
        <f t="shared" si="7"/>
        <v>1.861592352051124E-3</v>
      </c>
    </row>
    <row r="227" spans="1:13" x14ac:dyDescent="0.35">
      <c r="A227" t="s">
        <v>93</v>
      </c>
      <c r="B227" t="s">
        <v>83</v>
      </c>
      <c r="C227" s="2">
        <v>359193334</v>
      </c>
      <c r="D227" s="2">
        <v>87042128</v>
      </c>
      <c r="E227" s="2">
        <v>228108588</v>
      </c>
      <c r="F227" s="2">
        <v>41414677</v>
      </c>
      <c r="G227" s="2">
        <v>90619757</v>
      </c>
      <c r="H227" s="2">
        <v>6630643</v>
      </c>
      <c r="I227" s="2">
        <v>35383933</v>
      </c>
      <c r="J227" s="2">
        <v>117918999</v>
      </c>
      <c r="K227" s="2">
        <v>139181869708</v>
      </c>
      <c r="L227" s="3">
        <f t="shared" si="6"/>
        <v>6.9428012501003035E-3</v>
      </c>
      <c r="M227" s="3">
        <f t="shared" si="7"/>
        <v>2.0977445525954021E-3</v>
      </c>
    </row>
    <row r="228" spans="1:13" x14ac:dyDescent="0.35">
      <c r="A228" t="s">
        <v>93</v>
      </c>
      <c r="B228" t="s">
        <v>84</v>
      </c>
      <c r="C228" s="2">
        <v>358485473</v>
      </c>
      <c r="D228" s="2">
        <v>99057987</v>
      </c>
      <c r="E228" s="2">
        <v>231374775</v>
      </c>
      <c r="F228" s="2">
        <v>67983917</v>
      </c>
      <c r="G228" s="2">
        <v>64524752</v>
      </c>
      <c r="H228" s="2">
        <v>5985002</v>
      </c>
      <c r="I228" s="2">
        <v>52010148</v>
      </c>
      <c r="J228" s="2">
        <v>117470528</v>
      </c>
      <c r="K228" s="2">
        <v>131395763890</v>
      </c>
      <c r="L228" s="3">
        <f t="shared" si="6"/>
        <v>7.586946127384777E-3</v>
      </c>
      <c r="M228" s="3">
        <f t="shared" si="7"/>
        <v>2.3438681574074601E-3</v>
      </c>
    </row>
    <row r="229" spans="1:13" x14ac:dyDescent="0.35">
      <c r="A229" t="s">
        <v>93</v>
      </c>
      <c r="B229" t="s">
        <v>85</v>
      </c>
      <c r="C229" s="2">
        <v>419017274</v>
      </c>
      <c r="D229" s="2">
        <v>89164993</v>
      </c>
      <c r="E229" s="2">
        <v>205704661</v>
      </c>
      <c r="F229" s="2">
        <v>89973255</v>
      </c>
      <c r="G229" s="2">
        <v>97556279</v>
      </c>
      <c r="H229" s="2">
        <v>2444757</v>
      </c>
      <c r="I229" s="2">
        <v>75247389</v>
      </c>
      <c r="J229" s="2">
        <v>91631790</v>
      </c>
      <c r="K229" s="2">
        <v>118644281207</v>
      </c>
      <c r="L229" s="3">
        <f t="shared" si="6"/>
        <v>9.0247956926964509E-3</v>
      </c>
      <c r="M229" s="3">
        <f t="shared" si="7"/>
        <v>3.0077595512369767E-3</v>
      </c>
    </row>
    <row r="230" spans="1:13" x14ac:dyDescent="0.35">
      <c r="A230" t="s">
        <v>93</v>
      </c>
      <c r="B230" t="s">
        <v>86</v>
      </c>
      <c r="C230" s="2">
        <v>324136083</v>
      </c>
      <c r="D230" s="2">
        <v>88884058</v>
      </c>
      <c r="E230" s="2">
        <v>242952952</v>
      </c>
      <c r="F230" s="2">
        <v>38066581</v>
      </c>
      <c r="G230" s="2">
        <v>57488589</v>
      </c>
      <c r="H230" s="2">
        <v>3966619</v>
      </c>
      <c r="I230" s="2">
        <v>31480784</v>
      </c>
      <c r="J230" s="2">
        <v>89454563</v>
      </c>
      <c r="K230" s="2">
        <v>121797350048</v>
      </c>
      <c r="L230" s="3">
        <f t="shared" si="6"/>
        <v>7.1958070405850477E-3</v>
      </c>
      <c r="M230" s="3">
        <f t="shared" si="7"/>
        <v>1.8100322865244479E-3</v>
      </c>
    </row>
    <row r="231" spans="1:13" x14ac:dyDescent="0.35">
      <c r="A231" t="s">
        <v>93</v>
      </c>
      <c r="B231" t="s">
        <v>87</v>
      </c>
      <c r="C231" s="2">
        <v>451080926</v>
      </c>
      <c r="D231" s="2">
        <v>76185709</v>
      </c>
      <c r="E231" s="2">
        <v>206797153</v>
      </c>
      <c r="F231" s="2">
        <v>32114402</v>
      </c>
      <c r="G231" s="2">
        <v>62513934</v>
      </c>
      <c r="H231" s="2">
        <v>7508669</v>
      </c>
      <c r="I231" s="2">
        <v>24940105</v>
      </c>
      <c r="J231" s="2">
        <v>116782687</v>
      </c>
      <c r="K231" s="2">
        <v>131826033697</v>
      </c>
      <c r="L231" s="3">
        <f t="shared" si="6"/>
        <v>7.4182887672077091E-3</v>
      </c>
      <c r="M231" s="3">
        <f t="shared" si="7"/>
        <v>1.849860685033639E-3</v>
      </c>
    </row>
    <row r="232" spans="1:13" x14ac:dyDescent="0.35">
      <c r="A232" t="s">
        <v>93</v>
      </c>
      <c r="B232" t="s">
        <v>88</v>
      </c>
      <c r="C232" s="2">
        <v>444257935</v>
      </c>
      <c r="D232" s="2">
        <v>89440198</v>
      </c>
      <c r="E232" s="2">
        <v>256964724</v>
      </c>
      <c r="F232" s="2">
        <v>20493428</v>
      </c>
      <c r="G232" s="2">
        <v>79309050</v>
      </c>
      <c r="H232" s="2">
        <v>5530235</v>
      </c>
      <c r="I232" s="2">
        <v>59470192</v>
      </c>
      <c r="J232" s="2">
        <v>138092381</v>
      </c>
      <c r="K232" s="2">
        <v>150274381494</v>
      </c>
      <c r="L232" s="3">
        <f t="shared" si="6"/>
        <v>7.27707631951666E-3</v>
      </c>
      <c r="M232" s="3">
        <f t="shared" si="7"/>
        <v>2.0156149237725773E-3</v>
      </c>
    </row>
    <row r="233" spans="1:13" x14ac:dyDescent="0.35">
      <c r="A233" t="s">
        <v>93</v>
      </c>
      <c r="B233" t="s">
        <v>89</v>
      </c>
      <c r="C233" s="2">
        <v>434865615</v>
      </c>
      <c r="D233" s="2">
        <v>79167978</v>
      </c>
      <c r="E233" s="2">
        <v>260517528</v>
      </c>
      <c r="F233" s="2">
        <v>35465875</v>
      </c>
      <c r="G233" s="2">
        <v>54196126</v>
      </c>
      <c r="H233" s="2">
        <v>5988333</v>
      </c>
      <c r="I233" s="2">
        <v>45070226</v>
      </c>
      <c r="J233" s="2">
        <v>128749318</v>
      </c>
      <c r="K233" s="2">
        <v>136482701277</v>
      </c>
      <c r="L233" s="3">
        <f t="shared" si="6"/>
        <v>7.6494749095058975E-3</v>
      </c>
      <c r="M233" s="3">
        <f t="shared" si="7"/>
        <v>1.9743885157511233E-3</v>
      </c>
    </row>
    <row r="234" spans="1:13" x14ac:dyDescent="0.35">
      <c r="A234" t="s">
        <v>93</v>
      </c>
      <c r="B234" t="s">
        <v>90</v>
      </c>
      <c r="C234" s="2">
        <v>384196892</v>
      </c>
      <c r="D234" s="2">
        <v>77714834</v>
      </c>
      <c r="E234" s="2">
        <v>250573822</v>
      </c>
      <c r="F234" s="2">
        <v>36892827</v>
      </c>
      <c r="G234" s="2">
        <v>88888492</v>
      </c>
      <c r="H234" s="2">
        <v>9488531</v>
      </c>
      <c r="I234" s="2">
        <v>25512217</v>
      </c>
      <c r="J234" s="2">
        <v>127174916</v>
      </c>
      <c r="K234" s="2">
        <v>129442291000</v>
      </c>
      <c r="L234" s="3">
        <f t="shared" si="6"/>
        <v>7.7288691606980289E-3</v>
      </c>
      <c r="M234" s="3">
        <f t="shared" si="7"/>
        <v>2.2245973922077754E-3</v>
      </c>
    </row>
    <row r="235" spans="1:13" x14ac:dyDescent="0.35">
      <c r="A235" t="s">
        <v>93</v>
      </c>
      <c r="B235" t="s">
        <v>91</v>
      </c>
      <c r="C235" s="2">
        <v>604838669</v>
      </c>
      <c r="D235" s="2">
        <v>92213931</v>
      </c>
      <c r="E235" s="2">
        <v>312945020</v>
      </c>
      <c r="F235" s="2">
        <v>66899226</v>
      </c>
      <c r="G235" s="2">
        <v>57046687</v>
      </c>
      <c r="H235" s="2">
        <v>7107897</v>
      </c>
      <c r="I235" s="2">
        <v>56289650</v>
      </c>
      <c r="J235" s="2">
        <v>155949025</v>
      </c>
      <c r="K235" s="2">
        <v>146832357086</v>
      </c>
      <c r="L235" s="3">
        <f t="shared" si="6"/>
        <v>9.2165659658202947E-3</v>
      </c>
      <c r="M235" s="3">
        <f t="shared" si="7"/>
        <v>2.3379893356811872E-3</v>
      </c>
    </row>
    <row r="236" spans="1:13" x14ac:dyDescent="0.35">
      <c r="A236" t="s">
        <v>94</v>
      </c>
      <c r="B236" t="s">
        <v>14</v>
      </c>
      <c r="C236" s="2">
        <v>3725105</v>
      </c>
      <c r="D236" s="2">
        <v>4263746</v>
      </c>
      <c r="E236" s="2">
        <v>19043520</v>
      </c>
      <c r="F236" s="2"/>
      <c r="G236" s="2">
        <v>546928</v>
      </c>
      <c r="H236" s="2">
        <v>1841</v>
      </c>
      <c r="I236" s="2">
        <v>88381</v>
      </c>
      <c r="J236" s="2">
        <v>24490</v>
      </c>
      <c r="K236" s="2">
        <v>23872638476</v>
      </c>
      <c r="L236" s="3">
        <f t="shared" si="6"/>
        <v>1.1600733210885659E-3</v>
      </c>
      <c r="M236" s="3">
        <f t="shared" si="7"/>
        <v>2.7715411543854687E-5</v>
      </c>
    </row>
    <row r="237" spans="1:13" x14ac:dyDescent="0.35">
      <c r="A237" t="s">
        <v>94</v>
      </c>
      <c r="B237" t="s">
        <v>15</v>
      </c>
      <c r="C237" s="2">
        <v>5004407</v>
      </c>
      <c r="D237" s="2">
        <v>3659820</v>
      </c>
      <c r="E237" s="2">
        <v>17654463</v>
      </c>
      <c r="F237" s="2"/>
      <c r="G237" s="2">
        <v>865797</v>
      </c>
      <c r="H237" s="2">
        <v>3115</v>
      </c>
      <c r="I237" s="2">
        <v>47183</v>
      </c>
      <c r="J237" s="2">
        <v>60393</v>
      </c>
      <c r="K237" s="2">
        <v>24563165636</v>
      </c>
      <c r="L237" s="3">
        <f t="shared" si="6"/>
        <v>1.1112239523392677E-3</v>
      </c>
      <c r="M237" s="3">
        <f t="shared" si="7"/>
        <v>3.9754159316047204E-5</v>
      </c>
    </row>
    <row r="238" spans="1:13" x14ac:dyDescent="0.35">
      <c r="A238" t="s">
        <v>94</v>
      </c>
      <c r="B238" t="s">
        <v>16</v>
      </c>
      <c r="C238" s="2">
        <v>4346932</v>
      </c>
      <c r="D238" s="2">
        <v>3856352</v>
      </c>
      <c r="E238" s="2">
        <v>16746428</v>
      </c>
      <c r="F238" s="2"/>
      <c r="G238" s="2">
        <v>66893</v>
      </c>
      <c r="H238" s="2">
        <v>12530</v>
      </c>
      <c r="I238" s="2">
        <v>3123</v>
      </c>
      <c r="J238" s="2">
        <v>80155</v>
      </c>
      <c r="K238" s="2">
        <v>23360508383</v>
      </c>
      <c r="L238" s="3">
        <f t="shared" si="6"/>
        <v>1.0749942847251947E-3</v>
      </c>
      <c r="M238" s="3">
        <f t="shared" si="7"/>
        <v>6.9647884940038978E-6</v>
      </c>
    </row>
    <row r="239" spans="1:13" x14ac:dyDescent="0.35">
      <c r="A239" t="s">
        <v>94</v>
      </c>
      <c r="B239" t="s">
        <v>17</v>
      </c>
      <c r="C239" s="2">
        <v>2656995</v>
      </c>
      <c r="D239" s="2">
        <v>3140930</v>
      </c>
      <c r="E239" s="2">
        <v>18638328</v>
      </c>
      <c r="F239" s="2">
        <v>425</v>
      </c>
      <c r="G239" s="2">
        <v>111373</v>
      </c>
      <c r="H239" s="2">
        <v>4899</v>
      </c>
      <c r="I239" s="2">
        <v>37488</v>
      </c>
      <c r="J239" s="2">
        <v>64934</v>
      </c>
      <c r="K239" s="2">
        <v>15183761513</v>
      </c>
      <c r="L239" s="3">
        <f t="shared" si="6"/>
        <v>1.6237986864381805E-3</v>
      </c>
      <c r="M239" s="3">
        <f t="shared" si="7"/>
        <v>1.4431140782367741E-5</v>
      </c>
    </row>
    <row r="240" spans="1:13" x14ac:dyDescent="0.35">
      <c r="A240" t="s">
        <v>94</v>
      </c>
      <c r="B240" t="s">
        <v>18</v>
      </c>
      <c r="C240" s="2">
        <v>3006473</v>
      </c>
      <c r="D240" s="2">
        <v>3215872</v>
      </c>
      <c r="E240" s="2">
        <v>18158153</v>
      </c>
      <c r="F240" s="2"/>
      <c r="G240" s="2">
        <v>21302</v>
      </c>
      <c r="H240" s="2">
        <v>6822</v>
      </c>
      <c r="I240" s="2">
        <v>13753</v>
      </c>
      <c r="J240" s="2">
        <v>23271</v>
      </c>
      <c r="K240" s="2">
        <v>17747327896</v>
      </c>
      <c r="L240" s="3">
        <f t="shared" si="6"/>
        <v>1.3774268522705161E-3</v>
      </c>
      <c r="M240" s="3">
        <f t="shared" si="7"/>
        <v>3.670862474721248E-6</v>
      </c>
    </row>
    <row r="241" spans="1:13" x14ac:dyDescent="0.35">
      <c r="A241" t="s">
        <v>94</v>
      </c>
      <c r="B241" t="s">
        <v>19</v>
      </c>
      <c r="C241" s="2">
        <v>3887336</v>
      </c>
      <c r="D241" s="2">
        <v>3234467</v>
      </c>
      <c r="E241" s="2">
        <v>15997993</v>
      </c>
      <c r="F241" s="2"/>
      <c r="G241" s="2">
        <v>196445</v>
      </c>
      <c r="H241" s="2">
        <v>370</v>
      </c>
      <c r="I241" s="2">
        <v>18694</v>
      </c>
      <c r="J241" s="2">
        <v>41563</v>
      </c>
      <c r="K241" s="2">
        <v>23323350409</v>
      </c>
      <c r="L241" s="3">
        <f t="shared" si="6"/>
        <v>1.0022945927605387E-3</v>
      </c>
      <c r="M241" s="3">
        <f t="shared" si="7"/>
        <v>1.1022087114070937E-5</v>
      </c>
    </row>
    <row r="242" spans="1:13" x14ac:dyDescent="0.35">
      <c r="A242" t="s">
        <v>94</v>
      </c>
      <c r="B242" t="s">
        <v>20</v>
      </c>
      <c r="C242" s="2">
        <v>5566683</v>
      </c>
      <c r="D242" s="2">
        <v>4356493</v>
      </c>
      <c r="E242" s="2">
        <v>18279206</v>
      </c>
      <c r="F242" s="2"/>
      <c r="G242" s="2">
        <v>443914</v>
      </c>
      <c r="H242" s="2"/>
      <c r="I242" s="2">
        <v>29573</v>
      </c>
      <c r="J242" s="2">
        <v>319574</v>
      </c>
      <c r="K242" s="2">
        <v>23873383754</v>
      </c>
      <c r="L242" s="3">
        <f t="shared" si="6"/>
        <v>1.2145510372044263E-3</v>
      </c>
      <c r="M242" s="3">
        <f t="shared" si="7"/>
        <v>3.3219463490051848E-5</v>
      </c>
    </row>
    <row r="243" spans="1:13" x14ac:dyDescent="0.35">
      <c r="A243" t="s">
        <v>94</v>
      </c>
      <c r="B243" t="s">
        <v>21</v>
      </c>
      <c r="C243" s="2">
        <v>2730075</v>
      </c>
      <c r="D243" s="2">
        <v>3526251</v>
      </c>
      <c r="E243" s="2">
        <v>12808206</v>
      </c>
      <c r="F243" s="2"/>
      <c r="G243" s="2">
        <v>132440</v>
      </c>
      <c r="H243" s="2">
        <v>11135</v>
      </c>
      <c r="I243" s="2">
        <v>111794</v>
      </c>
      <c r="J243" s="2">
        <v>50226</v>
      </c>
      <c r="K243" s="2">
        <v>17740925173</v>
      </c>
      <c r="L243" s="3">
        <f t="shared" si="6"/>
        <v>1.0918329687495379E-3</v>
      </c>
      <c r="M243" s="3">
        <f t="shared" si="7"/>
        <v>1.7225426352910078E-5</v>
      </c>
    </row>
    <row r="244" spans="1:13" x14ac:dyDescent="0.35">
      <c r="A244" t="s">
        <v>94</v>
      </c>
      <c r="B244" t="s">
        <v>22</v>
      </c>
      <c r="C244" s="2">
        <v>3143098</v>
      </c>
      <c r="D244" s="2">
        <v>3072260</v>
      </c>
      <c r="E244" s="2">
        <v>15575280</v>
      </c>
      <c r="F244" s="2"/>
      <c r="G244" s="2">
        <v>160718</v>
      </c>
      <c r="H244" s="2">
        <v>1846</v>
      </c>
      <c r="I244" s="2">
        <v>106083</v>
      </c>
      <c r="J244" s="2">
        <v>57441</v>
      </c>
      <c r="K244" s="2">
        <v>24629418483</v>
      </c>
      <c r="L244" s="3">
        <f t="shared" si="6"/>
        <v>8.9798003210127188E-4</v>
      </c>
      <c r="M244" s="3">
        <f t="shared" si="7"/>
        <v>1.3239776660787838E-5</v>
      </c>
    </row>
    <row r="245" spans="1:13" x14ac:dyDescent="0.35">
      <c r="A245" t="s">
        <v>94</v>
      </c>
      <c r="B245" t="s">
        <v>23</v>
      </c>
      <c r="C245" s="2">
        <v>3410574</v>
      </c>
      <c r="D245" s="2">
        <v>3316640</v>
      </c>
      <c r="E245" s="2">
        <v>20210938</v>
      </c>
      <c r="F245" s="2">
        <v>1197</v>
      </c>
      <c r="G245" s="2">
        <v>193444</v>
      </c>
      <c r="H245" s="2"/>
      <c r="I245" s="2">
        <v>78055</v>
      </c>
      <c r="J245" s="2">
        <v>126638</v>
      </c>
      <c r="K245" s="2">
        <v>25517646395</v>
      </c>
      <c r="L245" s="3">
        <f t="shared" si="6"/>
        <v>1.0713169066155171E-3</v>
      </c>
      <c r="M245" s="3">
        <f t="shared" si="7"/>
        <v>1.5649327285852139E-5</v>
      </c>
    </row>
    <row r="246" spans="1:13" x14ac:dyDescent="0.35">
      <c r="A246" t="s">
        <v>94</v>
      </c>
      <c r="B246" t="s">
        <v>24</v>
      </c>
      <c r="C246" s="2">
        <v>4557712</v>
      </c>
      <c r="D246" s="2">
        <v>5135947</v>
      </c>
      <c r="E246" s="2">
        <v>21904495</v>
      </c>
      <c r="F246" s="2">
        <v>2005</v>
      </c>
      <c r="G246" s="2">
        <v>306334</v>
      </c>
      <c r="H246" s="2">
        <v>1245</v>
      </c>
      <c r="I246" s="2">
        <v>77582</v>
      </c>
      <c r="J246" s="2">
        <v>44202</v>
      </c>
      <c r="K246" s="2">
        <v>25268371727</v>
      </c>
      <c r="L246" s="3">
        <f t="shared" si="6"/>
        <v>1.2675736428942714E-3</v>
      </c>
      <c r="M246" s="3">
        <f t="shared" si="7"/>
        <v>1.7071460110707116E-5</v>
      </c>
    </row>
    <row r="247" spans="1:13" x14ac:dyDescent="0.35">
      <c r="A247" t="s">
        <v>94</v>
      </c>
      <c r="B247" t="s">
        <v>25</v>
      </c>
      <c r="C247" s="2">
        <v>4078256</v>
      </c>
      <c r="D247" s="2">
        <v>6123197</v>
      </c>
      <c r="E247" s="2">
        <v>20963933</v>
      </c>
      <c r="F247" s="2">
        <v>814</v>
      </c>
      <c r="G247" s="2">
        <v>136491</v>
      </c>
      <c r="H247" s="2">
        <v>126</v>
      </c>
      <c r="I247" s="2">
        <v>69411</v>
      </c>
      <c r="J247" s="2">
        <v>266860</v>
      </c>
      <c r="K247" s="2">
        <v>24440459493</v>
      </c>
      <c r="L247" s="3">
        <f t="shared" si="6"/>
        <v>1.2945373637128943E-3</v>
      </c>
      <c r="M247" s="3">
        <f t="shared" si="7"/>
        <v>1.9381877829902223E-5</v>
      </c>
    </row>
    <row r="248" spans="1:13" x14ac:dyDescent="0.35">
      <c r="A248" t="s">
        <v>94</v>
      </c>
      <c r="B248" t="s">
        <v>26</v>
      </c>
      <c r="C248" s="2">
        <v>6205129</v>
      </c>
      <c r="D248" s="2">
        <v>4123511</v>
      </c>
      <c r="E248" s="2">
        <v>16084175</v>
      </c>
      <c r="F248" s="2">
        <v>632</v>
      </c>
      <c r="G248" s="2">
        <v>393702</v>
      </c>
      <c r="H248" s="2">
        <v>2483</v>
      </c>
      <c r="I248" s="2">
        <v>2749</v>
      </c>
      <c r="J248" s="2">
        <v>61359</v>
      </c>
      <c r="K248" s="2">
        <v>21448974455</v>
      </c>
      <c r="L248" s="3">
        <f t="shared" si="6"/>
        <v>1.2529149147145087E-3</v>
      </c>
      <c r="M248" s="3">
        <f t="shared" si="7"/>
        <v>2.1489372415777816E-5</v>
      </c>
    </row>
    <row r="249" spans="1:13" x14ac:dyDescent="0.35">
      <c r="A249" t="s">
        <v>94</v>
      </c>
      <c r="B249" t="s">
        <v>27</v>
      </c>
      <c r="C249" s="2">
        <v>3997273</v>
      </c>
      <c r="D249" s="2">
        <v>5085197</v>
      </c>
      <c r="E249" s="2">
        <v>18348915</v>
      </c>
      <c r="F249" s="2">
        <v>543</v>
      </c>
      <c r="G249" s="2">
        <v>112072</v>
      </c>
      <c r="H249" s="2">
        <v>10677</v>
      </c>
      <c r="I249" s="2">
        <v>67955</v>
      </c>
      <c r="J249" s="2">
        <v>101040</v>
      </c>
      <c r="K249" s="2">
        <v>24370817070</v>
      </c>
      <c r="L249" s="3">
        <f t="shared" si="6"/>
        <v>1.1375766319352213E-3</v>
      </c>
      <c r="M249" s="3">
        <f t="shared" si="7"/>
        <v>1.1993319680684797E-5</v>
      </c>
    </row>
    <row r="250" spans="1:13" x14ac:dyDescent="0.35">
      <c r="A250" t="s">
        <v>94</v>
      </c>
      <c r="B250" t="s">
        <v>28</v>
      </c>
      <c r="C250" s="2">
        <v>6157186</v>
      </c>
      <c r="D250" s="2">
        <v>5440305</v>
      </c>
      <c r="E250" s="2">
        <v>19056606</v>
      </c>
      <c r="F250" s="2">
        <v>162</v>
      </c>
      <c r="G250" s="2">
        <v>359184</v>
      </c>
      <c r="H250" s="2">
        <v>2121</v>
      </c>
      <c r="I250" s="2">
        <v>5613</v>
      </c>
      <c r="J250" s="2">
        <v>73923</v>
      </c>
      <c r="K250" s="2">
        <v>29977477429</v>
      </c>
      <c r="L250" s="3">
        <f t="shared" si="6"/>
        <v>1.0372820753062704E-3</v>
      </c>
      <c r="M250" s="3">
        <f t="shared" si="7"/>
        <v>1.4711144426494566E-5</v>
      </c>
    </row>
    <row r="251" spans="1:13" x14ac:dyDescent="0.35">
      <c r="A251" t="s">
        <v>94</v>
      </c>
      <c r="B251" t="s">
        <v>29</v>
      </c>
      <c r="C251" s="2">
        <v>7104748</v>
      </c>
      <c r="D251" s="2">
        <v>4883836</v>
      </c>
      <c r="E251" s="2">
        <v>19659155</v>
      </c>
      <c r="F251" s="2">
        <v>832</v>
      </c>
      <c r="G251" s="2">
        <v>88903</v>
      </c>
      <c r="H251" s="2">
        <v>5629</v>
      </c>
      <c r="I251" s="2">
        <v>20796</v>
      </c>
      <c r="J251" s="2">
        <v>85931</v>
      </c>
      <c r="K251" s="2">
        <v>26347443704</v>
      </c>
      <c r="L251" s="3">
        <f t="shared" si="6"/>
        <v>1.2088394744407269E-3</v>
      </c>
      <c r="M251" s="3">
        <f t="shared" si="7"/>
        <v>7.6702317792340158E-6</v>
      </c>
    </row>
    <row r="252" spans="1:13" x14ac:dyDescent="0.35">
      <c r="A252" t="s">
        <v>94</v>
      </c>
      <c r="B252" t="s">
        <v>30</v>
      </c>
      <c r="C252" s="2">
        <v>3952771</v>
      </c>
      <c r="D252" s="2">
        <v>3384081</v>
      </c>
      <c r="E252" s="2">
        <v>19078129</v>
      </c>
      <c r="F252" s="2"/>
      <c r="G252" s="2">
        <v>573265</v>
      </c>
      <c r="H252" s="2"/>
      <c r="I252" s="2">
        <v>63511</v>
      </c>
      <c r="J252" s="2">
        <v>69061</v>
      </c>
      <c r="K252" s="2">
        <v>26708593469</v>
      </c>
      <c r="L252" s="3">
        <f t="shared" si="6"/>
        <v>1.0154341534861602E-3</v>
      </c>
      <c r="M252" s="3">
        <f t="shared" si="7"/>
        <v>2.6427336984976293E-5</v>
      </c>
    </row>
    <row r="253" spans="1:13" x14ac:dyDescent="0.35">
      <c r="A253" t="s">
        <v>94</v>
      </c>
      <c r="B253" t="s">
        <v>31</v>
      </c>
      <c r="C253" s="2">
        <v>4653339</v>
      </c>
      <c r="D253" s="2">
        <v>3710941</v>
      </c>
      <c r="E253" s="2">
        <v>18485963</v>
      </c>
      <c r="F253" s="2"/>
      <c r="G253" s="2">
        <v>477812</v>
      </c>
      <c r="H253" s="2">
        <v>1590</v>
      </c>
      <c r="I253" s="2">
        <v>42968</v>
      </c>
      <c r="J253" s="2">
        <v>187708</v>
      </c>
      <c r="K253" s="2">
        <v>28235052444</v>
      </c>
      <c r="L253" s="3">
        <f t="shared" si="6"/>
        <v>9.7610305681782494E-4</v>
      </c>
      <c r="M253" s="3">
        <f t="shared" si="7"/>
        <v>2.5148811088923368E-5</v>
      </c>
    </row>
    <row r="254" spans="1:13" x14ac:dyDescent="0.35">
      <c r="A254" t="s">
        <v>94</v>
      </c>
      <c r="B254" t="s">
        <v>32</v>
      </c>
      <c r="C254" s="2">
        <v>8177631</v>
      </c>
      <c r="D254" s="2">
        <v>4796140</v>
      </c>
      <c r="E254" s="2">
        <v>18230364</v>
      </c>
      <c r="F254" s="2">
        <v>4119</v>
      </c>
      <c r="G254" s="2">
        <v>587632</v>
      </c>
      <c r="H254" s="2"/>
      <c r="I254" s="2">
        <v>55694</v>
      </c>
      <c r="J254" s="2">
        <v>771774</v>
      </c>
      <c r="K254" s="2">
        <v>26986467365</v>
      </c>
      <c r="L254" s="3">
        <f t="shared" si="6"/>
        <v>1.2088782706813541E-3</v>
      </c>
      <c r="M254" s="3">
        <f t="shared" si="7"/>
        <v>5.2590025245047483E-5</v>
      </c>
    </row>
    <row r="255" spans="1:13" x14ac:dyDescent="0.35">
      <c r="A255" t="s">
        <v>94</v>
      </c>
      <c r="B255" t="s">
        <v>33</v>
      </c>
      <c r="C255" s="2">
        <v>3767243</v>
      </c>
      <c r="D255" s="2">
        <v>3621471</v>
      </c>
      <c r="E255" s="2">
        <v>14849206</v>
      </c>
      <c r="F255" s="2"/>
      <c r="G255" s="2">
        <v>376854</v>
      </c>
      <c r="H255" s="2">
        <v>1213</v>
      </c>
      <c r="I255" s="2">
        <v>31675</v>
      </c>
      <c r="J255" s="2">
        <v>74035</v>
      </c>
      <c r="K255" s="2">
        <v>22061538891</v>
      </c>
      <c r="L255" s="3">
        <f t="shared" si="6"/>
        <v>1.029923484135067E-3</v>
      </c>
      <c r="M255" s="3">
        <f t="shared" si="7"/>
        <v>2.192852467773029E-5</v>
      </c>
    </row>
    <row r="256" spans="1:13" x14ac:dyDescent="0.35">
      <c r="A256" t="s">
        <v>94</v>
      </c>
      <c r="B256" t="s">
        <v>34</v>
      </c>
      <c r="C256" s="2">
        <v>4261374</v>
      </c>
      <c r="D256" s="2">
        <v>3521213</v>
      </c>
      <c r="E256" s="2">
        <v>16893058</v>
      </c>
      <c r="F256" s="2">
        <v>4133</v>
      </c>
      <c r="G256" s="2">
        <v>56294</v>
      </c>
      <c r="H256" s="2">
        <v>8785</v>
      </c>
      <c r="I256" s="2">
        <v>1994</v>
      </c>
      <c r="J256" s="2">
        <v>112500</v>
      </c>
      <c r="K256" s="2">
        <v>28547258144</v>
      </c>
      <c r="L256" s="3">
        <f t="shared" si="6"/>
        <v>8.7081396309946087E-4</v>
      </c>
      <c r="M256" s="3">
        <f t="shared" si="7"/>
        <v>6.4351539147240634E-6</v>
      </c>
    </row>
    <row r="257" spans="1:13" x14ac:dyDescent="0.35">
      <c r="A257" t="s">
        <v>94</v>
      </c>
      <c r="B257" t="s">
        <v>35</v>
      </c>
      <c r="C257" s="2">
        <v>6549326</v>
      </c>
      <c r="D257" s="2">
        <v>3612599</v>
      </c>
      <c r="E257" s="2">
        <v>17224891</v>
      </c>
      <c r="F257" s="2">
        <v>948</v>
      </c>
      <c r="G257" s="2">
        <v>162455</v>
      </c>
      <c r="H257" s="2">
        <v>1283</v>
      </c>
      <c r="I257" s="2">
        <v>4381</v>
      </c>
      <c r="J257" s="2">
        <v>140799</v>
      </c>
      <c r="K257" s="2">
        <v>27662129125</v>
      </c>
      <c r="L257" s="3">
        <f t="shared" si="6"/>
        <v>1.0012491039588407E-3</v>
      </c>
      <c r="M257" s="3">
        <f t="shared" si="7"/>
        <v>1.1201813085311451E-5</v>
      </c>
    </row>
    <row r="258" spans="1:13" x14ac:dyDescent="0.35">
      <c r="A258" t="s">
        <v>94</v>
      </c>
      <c r="B258" t="s">
        <v>36</v>
      </c>
      <c r="C258" s="2">
        <v>3755453</v>
      </c>
      <c r="D258" s="2">
        <v>4875398</v>
      </c>
      <c r="E258" s="2">
        <v>18887551</v>
      </c>
      <c r="F258" s="2">
        <v>1663</v>
      </c>
      <c r="G258" s="2">
        <v>143822</v>
      </c>
      <c r="H258" s="2">
        <v>2263</v>
      </c>
      <c r="I258" s="2">
        <v>100939</v>
      </c>
      <c r="J258" s="2">
        <v>289435</v>
      </c>
      <c r="K258" s="2">
        <v>30303539976</v>
      </c>
      <c r="L258" s="3">
        <f t="shared" ref="L258:L321" si="8">SUM(C258:J258)/K258</f>
        <v>9.2584971994098353E-4</v>
      </c>
      <c r="M258" s="3">
        <f t="shared" ref="M258:M321" si="9">SUM(F258:J258)/K258</f>
        <v>1.7757727329090445E-5</v>
      </c>
    </row>
    <row r="259" spans="1:13" x14ac:dyDescent="0.35">
      <c r="A259" t="s">
        <v>94</v>
      </c>
      <c r="B259" t="s">
        <v>37</v>
      </c>
      <c r="C259" s="2">
        <v>3810082</v>
      </c>
      <c r="D259" s="2">
        <v>4086857</v>
      </c>
      <c r="E259" s="2">
        <v>20572429</v>
      </c>
      <c r="F259" s="2"/>
      <c r="G259" s="2">
        <v>488345</v>
      </c>
      <c r="H259" s="2">
        <v>851</v>
      </c>
      <c r="I259" s="2">
        <v>41436</v>
      </c>
      <c r="J259" s="2">
        <v>198985</v>
      </c>
      <c r="K259" s="2">
        <v>28785621499</v>
      </c>
      <c r="L259" s="3">
        <f t="shared" si="8"/>
        <v>1.0143600686549137E-3</v>
      </c>
      <c r="M259" s="3">
        <f t="shared" si="9"/>
        <v>2.5346577979056194E-5</v>
      </c>
    </row>
    <row r="260" spans="1:13" x14ac:dyDescent="0.35">
      <c r="A260" t="s">
        <v>94</v>
      </c>
      <c r="B260" t="s">
        <v>38</v>
      </c>
      <c r="C260" s="2">
        <v>5182987</v>
      </c>
      <c r="D260" s="2">
        <v>2419706</v>
      </c>
      <c r="E260" s="2">
        <v>18170087</v>
      </c>
      <c r="F260" s="2">
        <v>173</v>
      </c>
      <c r="G260" s="2">
        <v>966</v>
      </c>
      <c r="H260" s="2">
        <v>7898</v>
      </c>
      <c r="I260" s="2">
        <v>15970</v>
      </c>
      <c r="J260" s="2">
        <v>197898</v>
      </c>
      <c r="K260" s="2">
        <v>27668784364</v>
      </c>
      <c r="L260" s="3">
        <f t="shared" si="8"/>
        <v>9.3953115749541641E-4</v>
      </c>
      <c r="M260" s="3">
        <f t="shared" si="9"/>
        <v>8.0561905816875304E-6</v>
      </c>
    </row>
    <row r="261" spans="1:13" x14ac:dyDescent="0.35">
      <c r="A261" t="s">
        <v>94</v>
      </c>
      <c r="B261" t="s">
        <v>39</v>
      </c>
      <c r="C261" s="2">
        <v>3574447</v>
      </c>
      <c r="D261" s="2">
        <v>3360693</v>
      </c>
      <c r="E261" s="2">
        <v>18664819</v>
      </c>
      <c r="F261" s="2"/>
      <c r="G261" s="2">
        <v>7536</v>
      </c>
      <c r="H261" s="2">
        <v>1635</v>
      </c>
      <c r="I261" s="2">
        <v>52192</v>
      </c>
      <c r="J261" s="2">
        <v>148377</v>
      </c>
      <c r="K261" s="2">
        <v>30238334985</v>
      </c>
      <c r="L261" s="3">
        <f t="shared" si="8"/>
        <v>8.5354233335939748E-4</v>
      </c>
      <c r="M261" s="3">
        <f t="shared" si="9"/>
        <v>6.9362284697237274E-6</v>
      </c>
    </row>
    <row r="262" spans="1:13" x14ac:dyDescent="0.35">
      <c r="A262" t="s">
        <v>94</v>
      </c>
      <c r="B262" t="s">
        <v>40</v>
      </c>
      <c r="C262" s="2">
        <v>5352940</v>
      </c>
      <c r="D262" s="2">
        <v>3474369</v>
      </c>
      <c r="E262" s="2">
        <v>15828255</v>
      </c>
      <c r="F262" s="2"/>
      <c r="G262" s="2">
        <v>551448</v>
      </c>
      <c r="H262" s="2">
        <v>180</v>
      </c>
      <c r="I262" s="2">
        <v>171758</v>
      </c>
      <c r="J262" s="2">
        <v>156140</v>
      </c>
      <c r="K262" s="2">
        <v>34232075079</v>
      </c>
      <c r="L262" s="3">
        <f t="shared" si="8"/>
        <v>7.4594046493152118E-4</v>
      </c>
      <c r="M262" s="3">
        <f t="shared" si="9"/>
        <v>2.569303782987885E-5</v>
      </c>
    </row>
    <row r="263" spans="1:13" x14ac:dyDescent="0.35">
      <c r="A263" t="s">
        <v>94</v>
      </c>
      <c r="B263" t="s">
        <v>41</v>
      </c>
      <c r="C263" s="2">
        <v>5527407</v>
      </c>
      <c r="D263" s="2">
        <v>4113873</v>
      </c>
      <c r="E263" s="2">
        <v>14992285</v>
      </c>
      <c r="F263" s="2"/>
      <c r="G263" s="2">
        <v>342987</v>
      </c>
      <c r="H263" s="2">
        <v>3650</v>
      </c>
      <c r="I263" s="2">
        <v>136503</v>
      </c>
      <c r="J263" s="2">
        <v>192435</v>
      </c>
      <c r="K263" s="2">
        <v>31526443404</v>
      </c>
      <c r="L263" s="3">
        <f t="shared" si="8"/>
        <v>8.0279084055478447E-4</v>
      </c>
      <c r="M263" s="3">
        <f t="shared" si="9"/>
        <v>2.1428836464131082E-5</v>
      </c>
    </row>
    <row r="264" spans="1:13" x14ac:dyDescent="0.35">
      <c r="A264" t="s">
        <v>94</v>
      </c>
      <c r="B264" t="s">
        <v>42</v>
      </c>
      <c r="C264" s="2">
        <v>5058529</v>
      </c>
      <c r="D264" s="2">
        <v>4209234</v>
      </c>
      <c r="E264" s="2">
        <v>17334024</v>
      </c>
      <c r="F264" s="2">
        <v>38</v>
      </c>
      <c r="G264" s="2">
        <v>338283</v>
      </c>
      <c r="H264" s="2">
        <v>1013</v>
      </c>
      <c r="I264" s="2">
        <v>81126</v>
      </c>
      <c r="J264" s="2">
        <v>147730</v>
      </c>
      <c r="K264" s="2">
        <v>35223391839</v>
      </c>
      <c r="L264" s="3">
        <f t="shared" si="8"/>
        <v>7.7136174517744463E-4</v>
      </c>
      <c r="M264" s="3">
        <f t="shared" si="9"/>
        <v>1.6131041627027223E-5</v>
      </c>
    </row>
    <row r="265" spans="1:13" x14ac:dyDescent="0.35">
      <c r="A265" t="s">
        <v>94</v>
      </c>
      <c r="B265" t="s">
        <v>43</v>
      </c>
      <c r="C265" s="2">
        <v>5615015</v>
      </c>
      <c r="D265" s="2">
        <v>9773167</v>
      </c>
      <c r="E265" s="2">
        <v>14787229</v>
      </c>
      <c r="F265" s="2">
        <v>698</v>
      </c>
      <c r="G265" s="2">
        <v>293966</v>
      </c>
      <c r="H265" s="2">
        <v>1028</v>
      </c>
      <c r="I265" s="2">
        <v>90618</v>
      </c>
      <c r="J265" s="2">
        <v>116908</v>
      </c>
      <c r="K265" s="2">
        <v>35853611828</v>
      </c>
      <c r="L265" s="3">
        <f t="shared" si="8"/>
        <v>8.5566355621782635E-4</v>
      </c>
      <c r="M265" s="3">
        <f t="shared" si="9"/>
        <v>1.4035350257432369E-5</v>
      </c>
    </row>
    <row r="266" spans="1:13" x14ac:dyDescent="0.35">
      <c r="A266" t="s">
        <v>94</v>
      </c>
      <c r="B266" t="s">
        <v>44</v>
      </c>
      <c r="C266" s="2">
        <v>9890037</v>
      </c>
      <c r="D266" s="2">
        <v>3081149</v>
      </c>
      <c r="E266" s="2">
        <v>15176166</v>
      </c>
      <c r="F266" s="2">
        <v>34800</v>
      </c>
      <c r="G266" s="2">
        <v>494830</v>
      </c>
      <c r="H266" s="2">
        <v>120</v>
      </c>
      <c r="I266" s="2">
        <v>168290</v>
      </c>
      <c r="J266" s="2">
        <v>131820</v>
      </c>
      <c r="K266" s="2">
        <v>32294141280</v>
      </c>
      <c r="L266" s="3">
        <f t="shared" si="8"/>
        <v>8.9729006102867953E-4</v>
      </c>
      <c r="M266" s="3">
        <f t="shared" si="9"/>
        <v>2.5696921085619278E-5</v>
      </c>
    </row>
    <row r="267" spans="1:13" x14ac:dyDescent="0.35">
      <c r="A267" t="s">
        <v>94</v>
      </c>
      <c r="B267" t="s">
        <v>45</v>
      </c>
      <c r="C267" s="2">
        <v>4701215</v>
      </c>
      <c r="D267" s="2">
        <v>3976770</v>
      </c>
      <c r="E267" s="2">
        <v>14490175</v>
      </c>
      <c r="F267" s="2"/>
      <c r="G267" s="2">
        <v>317090</v>
      </c>
      <c r="H267" s="2"/>
      <c r="I267" s="2">
        <v>11208</v>
      </c>
      <c r="J267" s="2">
        <v>117234</v>
      </c>
      <c r="K267" s="2">
        <v>28474125317</v>
      </c>
      <c r="L267" s="3">
        <f t="shared" si="8"/>
        <v>8.2930350755680072E-4</v>
      </c>
      <c r="M267" s="3">
        <f t="shared" si="9"/>
        <v>1.5646907325156799E-5</v>
      </c>
    </row>
    <row r="268" spans="1:13" x14ac:dyDescent="0.35">
      <c r="A268" t="s">
        <v>94</v>
      </c>
      <c r="B268" t="s">
        <v>46</v>
      </c>
      <c r="C268" s="2">
        <v>7807710</v>
      </c>
      <c r="D268" s="2">
        <v>3947321</v>
      </c>
      <c r="E268" s="2">
        <v>14386576</v>
      </c>
      <c r="F268" s="2"/>
      <c r="G268" s="2">
        <v>42501</v>
      </c>
      <c r="H268" s="2">
        <v>1508</v>
      </c>
      <c r="I268" s="2">
        <v>23614</v>
      </c>
      <c r="J268" s="2">
        <v>57801</v>
      </c>
      <c r="K268" s="2">
        <v>35567265674</v>
      </c>
      <c r="L268" s="3">
        <f t="shared" si="8"/>
        <v>7.3851701845051982E-4</v>
      </c>
      <c r="M268" s="3">
        <f t="shared" si="9"/>
        <v>3.526388594209144E-6</v>
      </c>
    </row>
    <row r="269" spans="1:13" x14ac:dyDescent="0.35">
      <c r="A269" t="s">
        <v>94</v>
      </c>
      <c r="B269" t="s">
        <v>47</v>
      </c>
      <c r="C269" s="2">
        <v>5704224</v>
      </c>
      <c r="D269" s="2">
        <v>3050038</v>
      </c>
      <c r="E269" s="2">
        <v>16186381</v>
      </c>
      <c r="F269" s="2"/>
      <c r="G269" s="2">
        <v>1164</v>
      </c>
      <c r="H269" s="2">
        <v>6306</v>
      </c>
      <c r="I269" s="2">
        <v>58210</v>
      </c>
      <c r="J269" s="2">
        <v>85798</v>
      </c>
      <c r="K269" s="2">
        <v>33081043107</v>
      </c>
      <c r="L269" s="3">
        <f t="shared" si="8"/>
        <v>7.585045283741512E-4</v>
      </c>
      <c r="M269" s="3">
        <f t="shared" si="9"/>
        <v>4.5789970863387627E-6</v>
      </c>
    </row>
    <row r="270" spans="1:13" x14ac:dyDescent="0.35">
      <c r="A270" t="s">
        <v>94</v>
      </c>
      <c r="B270" t="s">
        <v>48</v>
      </c>
      <c r="C270" s="2">
        <v>5509703</v>
      </c>
      <c r="D270" s="2">
        <v>3911569</v>
      </c>
      <c r="E270" s="2">
        <v>18024730</v>
      </c>
      <c r="F270" s="2">
        <v>110</v>
      </c>
      <c r="G270" s="2">
        <v>1075164</v>
      </c>
      <c r="H270" s="2"/>
      <c r="I270" s="2">
        <v>58118</v>
      </c>
      <c r="J270" s="2">
        <v>71024</v>
      </c>
      <c r="K270" s="2">
        <v>37619987617</v>
      </c>
      <c r="L270" s="3">
        <f t="shared" si="8"/>
        <v>7.6157436019604736E-4</v>
      </c>
      <c r="M270" s="3">
        <f t="shared" si="9"/>
        <v>3.2015321542948609E-5</v>
      </c>
    </row>
    <row r="271" spans="1:13" x14ac:dyDescent="0.35">
      <c r="A271" t="s">
        <v>94</v>
      </c>
      <c r="B271" t="s">
        <v>49</v>
      </c>
      <c r="C271" s="2">
        <v>5464184</v>
      </c>
      <c r="D271" s="2">
        <v>4383194</v>
      </c>
      <c r="E271" s="2">
        <v>13448676</v>
      </c>
      <c r="F271" s="2">
        <v>26641</v>
      </c>
      <c r="G271" s="2">
        <v>532194</v>
      </c>
      <c r="H271" s="2">
        <v>3423</v>
      </c>
      <c r="I271" s="2">
        <v>42251</v>
      </c>
      <c r="J271" s="2">
        <v>60003</v>
      </c>
      <c r="K271" s="2">
        <v>33117742558</v>
      </c>
      <c r="L271" s="3">
        <f t="shared" si="8"/>
        <v>7.2349635419857532E-4</v>
      </c>
      <c r="M271" s="3">
        <f t="shared" si="9"/>
        <v>2.0065135745174119E-5</v>
      </c>
    </row>
    <row r="272" spans="1:13" x14ac:dyDescent="0.35">
      <c r="A272" t="s">
        <v>94</v>
      </c>
      <c r="B272" t="s">
        <v>50</v>
      </c>
      <c r="C272" s="2">
        <v>6666469</v>
      </c>
      <c r="D272" s="2">
        <v>4260083</v>
      </c>
      <c r="E272" s="2">
        <v>14440373</v>
      </c>
      <c r="F272" s="2">
        <v>11117</v>
      </c>
      <c r="G272" s="2">
        <v>342334</v>
      </c>
      <c r="H272" s="2">
        <v>3849</v>
      </c>
      <c r="I272" s="2">
        <v>41252</v>
      </c>
      <c r="J272" s="2">
        <v>84857</v>
      </c>
      <c r="K272" s="2">
        <v>31765732625</v>
      </c>
      <c r="L272" s="3">
        <f t="shared" si="8"/>
        <v>8.1378050697484899E-4</v>
      </c>
      <c r="M272" s="3">
        <f t="shared" si="9"/>
        <v>1.5217939586243055E-5</v>
      </c>
    </row>
    <row r="273" spans="1:13" x14ac:dyDescent="0.35">
      <c r="A273" t="s">
        <v>94</v>
      </c>
      <c r="B273" t="s">
        <v>51</v>
      </c>
      <c r="C273" s="2">
        <v>7095021</v>
      </c>
      <c r="D273" s="2">
        <v>3898716</v>
      </c>
      <c r="E273" s="2">
        <v>13518434</v>
      </c>
      <c r="F273" s="2">
        <v>20751</v>
      </c>
      <c r="G273" s="2">
        <v>402299</v>
      </c>
      <c r="H273" s="2">
        <v>2620</v>
      </c>
      <c r="I273" s="2">
        <v>61648</v>
      </c>
      <c r="J273" s="2">
        <v>129562</v>
      </c>
      <c r="K273" s="2">
        <v>33799992843</v>
      </c>
      <c r="L273" s="3">
        <f t="shared" si="8"/>
        <v>7.4346320476231234E-4</v>
      </c>
      <c r="M273" s="3">
        <f t="shared" si="9"/>
        <v>1.8250891438509764E-5</v>
      </c>
    </row>
    <row r="274" spans="1:13" x14ac:dyDescent="0.35">
      <c r="A274" t="s">
        <v>94</v>
      </c>
      <c r="B274" t="s">
        <v>52</v>
      </c>
      <c r="C274" s="2">
        <v>7352911</v>
      </c>
      <c r="D274" s="2">
        <v>3657352</v>
      </c>
      <c r="E274" s="2">
        <v>14367111</v>
      </c>
      <c r="F274" s="2">
        <v>11484</v>
      </c>
      <c r="G274" s="2">
        <v>602878</v>
      </c>
      <c r="H274" s="2">
        <v>2035</v>
      </c>
      <c r="I274" s="2">
        <v>151994</v>
      </c>
      <c r="J274" s="2">
        <v>177598</v>
      </c>
      <c r="K274" s="2">
        <v>39425912402</v>
      </c>
      <c r="L274" s="3">
        <f t="shared" si="8"/>
        <v>6.6766655218015113E-4</v>
      </c>
      <c r="M274" s="3">
        <f t="shared" si="9"/>
        <v>2.3994092777216534E-5</v>
      </c>
    </row>
    <row r="275" spans="1:13" x14ac:dyDescent="0.35">
      <c r="A275" t="s">
        <v>94</v>
      </c>
      <c r="B275" t="s">
        <v>53</v>
      </c>
      <c r="C275" s="2">
        <v>4279651</v>
      </c>
      <c r="D275" s="2">
        <v>2926163</v>
      </c>
      <c r="E275" s="2">
        <v>10814420</v>
      </c>
      <c r="F275" s="2">
        <v>16045</v>
      </c>
      <c r="G275" s="2">
        <v>243052</v>
      </c>
      <c r="H275" s="2"/>
      <c r="I275" s="2">
        <v>55850</v>
      </c>
      <c r="J275" s="2">
        <v>69821</v>
      </c>
      <c r="K275" s="2">
        <v>29788300593</v>
      </c>
      <c r="L275" s="3">
        <f t="shared" si="8"/>
        <v>6.1786008713518288E-4</v>
      </c>
      <c r="M275" s="3">
        <f t="shared" si="9"/>
        <v>1.2916748936339699E-5</v>
      </c>
    </row>
    <row r="276" spans="1:13" x14ac:dyDescent="0.35">
      <c r="A276" t="s">
        <v>94</v>
      </c>
      <c r="B276" t="s">
        <v>54</v>
      </c>
      <c r="C276" s="2">
        <v>10585123</v>
      </c>
      <c r="D276" s="2">
        <v>3971730</v>
      </c>
      <c r="E276" s="2">
        <v>12885268</v>
      </c>
      <c r="F276" s="2">
        <v>77045</v>
      </c>
      <c r="G276" s="2">
        <v>966085</v>
      </c>
      <c r="H276" s="2">
        <v>3134</v>
      </c>
      <c r="I276" s="2">
        <v>48229</v>
      </c>
      <c r="J276" s="2">
        <v>225538</v>
      </c>
      <c r="K276" s="2">
        <v>34864188676</v>
      </c>
      <c r="L276" s="3">
        <f t="shared" si="8"/>
        <v>8.2497694890572477E-4</v>
      </c>
      <c r="M276" s="3">
        <f t="shared" si="9"/>
        <v>3.7862088582278988E-5</v>
      </c>
    </row>
    <row r="277" spans="1:13" x14ac:dyDescent="0.35">
      <c r="A277" t="s">
        <v>94</v>
      </c>
      <c r="B277" t="s">
        <v>55</v>
      </c>
      <c r="C277" s="2">
        <v>6363934</v>
      </c>
      <c r="D277" s="2">
        <v>4643610</v>
      </c>
      <c r="E277" s="2">
        <v>14633903</v>
      </c>
      <c r="F277" s="2">
        <v>18666</v>
      </c>
      <c r="G277" s="2">
        <v>501794</v>
      </c>
      <c r="H277" s="2">
        <v>4801</v>
      </c>
      <c r="I277" s="2">
        <v>155150</v>
      </c>
      <c r="J277" s="2">
        <v>165385</v>
      </c>
      <c r="K277" s="2">
        <v>35205836399</v>
      </c>
      <c r="L277" s="3">
        <f t="shared" si="8"/>
        <v>7.5235374895829359E-4</v>
      </c>
      <c r="M277" s="3">
        <f t="shared" si="9"/>
        <v>2.4024312060486209E-5</v>
      </c>
    </row>
    <row r="278" spans="1:13" x14ac:dyDescent="0.35">
      <c r="A278" t="s">
        <v>94</v>
      </c>
      <c r="B278" t="s">
        <v>56</v>
      </c>
      <c r="C278" s="2">
        <v>8168442</v>
      </c>
      <c r="D278" s="2">
        <v>4067952</v>
      </c>
      <c r="E278" s="2">
        <v>14103084</v>
      </c>
      <c r="F278" s="2">
        <v>19308</v>
      </c>
      <c r="G278" s="2">
        <v>6348241</v>
      </c>
      <c r="H278" s="2">
        <v>7945</v>
      </c>
      <c r="I278" s="2">
        <v>74209</v>
      </c>
      <c r="J278" s="2">
        <v>136568</v>
      </c>
      <c r="K278" s="2">
        <v>30741456858</v>
      </c>
      <c r="L278" s="3">
        <f t="shared" si="8"/>
        <v>1.0710536313255944E-3</v>
      </c>
      <c r="M278" s="3">
        <f t="shared" si="9"/>
        <v>2.1424719818657594E-4</v>
      </c>
    </row>
    <row r="279" spans="1:13" x14ac:dyDescent="0.35">
      <c r="A279" t="s">
        <v>94</v>
      </c>
      <c r="B279" t="s">
        <v>57</v>
      </c>
      <c r="C279" s="2">
        <v>6480928</v>
      </c>
      <c r="D279" s="2">
        <v>6941378</v>
      </c>
      <c r="E279" s="2">
        <v>12087647</v>
      </c>
      <c r="F279" s="2">
        <v>15042</v>
      </c>
      <c r="G279" s="2">
        <v>1322611</v>
      </c>
      <c r="H279" s="2">
        <v>2330</v>
      </c>
      <c r="I279" s="2">
        <v>53377</v>
      </c>
      <c r="J279" s="2">
        <v>100924</v>
      </c>
      <c r="K279" s="2">
        <v>26089685907</v>
      </c>
      <c r="L279" s="3">
        <f t="shared" si="8"/>
        <v>1.0350541243102746E-3</v>
      </c>
      <c r="M279" s="3">
        <f t="shared" si="9"/>
        <v>5.7274894198671659E-5</v>
      </c>
    </row>
    <row r="280" spans="1:13" x14ac:dyDescent="0.35">
      <c r="A280" t="s">
        <v>94</v>
      </c>
      <c r="B280" t="s">
        <v>58</v>
      </c>
      <c r="C280" s="2">
        <v>12512571</v>
      </c>
      <c r="D280" s="2">
        <v>4602499</v>
      </c>
      <c r="E280" s="2">
        <v>13645351</v>
      </c>
      <c r="F280" s="2">
        <v>37549</v>
      </c>
      <c r="G280" s="2">
        <v>561057</v>
      </c>
      <c r="H280" s="2">
        <v>2160</v>
      </c>
      <c r="I280" s="2">
        <v>54633</v>
      </c>
      <c r="J280" s="2">
        <v>143987</v>
      </c>
      <c r="K280" s="2">
        <v>31726921880</v>
      </c>
      <c r="L280" s="3">
        <f t="shared" si="8"/>
        <v>9.9473271057835128E-4</v>
      </c>
      <c r="M280" s="3">
        <f t="shared" si="9"/>
        <v>2.5195825899010913E-5</v>
      </c>
    </row>
    <row r="281" spans="1:13" x14ac:dyDescent="0.35">
      <c r="A281" t="s">
        <v>94</v>
      </c>
      <c r="B281" t="s">
        <v>59</v>
      </c>
      <c r="C281" s="2">
        <v>6075053</v>
      </c>
      <c r="D281" s="2">
        <v>4643161</v>
      </c>
      <c r="E281" s="2">
        <v>18323304</v>
      </c>
      <c r="F281" s="2">
        <v>8849</v>
      </c>
      <c r="G281" s="2">
        <v>103170</v>
      </c>
      <c r="H281" s="2">
        <v>6639</v>
      </c>
      <c r="I281" s="2">
        <v>40039</v>
      </c>
      <c r="J281" s="2">
        <v>91727</v>
      </c>
      <c r="K281" s="2">
        <v>32987634385</v>
      </c>
      <c r="L281" s="3">
        <f t="shared" si="8"/>
        <v>8.8796734128105618E-4</v>
      </c>
      <c r="M281" s="3">
        <f t="shared" si="9"/>
        <v>7.5914506956543622E-6</v>
      </c>
    </row>
    <row r="282" spans="1:13" x14ac:dyDescent="0.35">
      <c r="A282" t="s">
        <v>94</v>
      </c>
      <c r="B282" t="s">
        <v>60</v>
      </c>
      <c r="C282" s="2">
        <v>10454177</v>
      </c>
      <c r="D282" s="2">
        <v>8192180</v>
      </c>
      <c r="E282" s="2">
        <v>23370259</v>
      </c>
      <c r="F282" s="2">
        <v>12705</v>
      </c>
      <c r="G282" s="2">
        <v>1814538</v>
      </c>
      <c r="H282" s="2">
        <v>101</v>
      </c>
      <c r="I282" s="2">
        <v>98535</v>
      </c>
      <c r="J282" s="2">
        <v>144139</v>
      </c>
      <c r="K282" s="2">
        <v>35130950462</v>
      </c>
      <c r="L282" s="3">
        <f t="shared" si="8"/>
        <v>1.2549228933526029E-3</v>
      </c>
      <c r="M282" s="3">
        <f t="shared" si="9"/>
        <v>5.8922914773941874E-5</v>
      </c>
    </row>
    <row r="283" spans="1:13" x14ac:dyDescent="0.35">
      <c r="A283" t="s">
        <v>94</v>
      </c>
      <c r="B283" t="s">
        <v>61</v>
      </c>
      <c r="C283" s="2">
        <v>9050605</v>
      </c>
      <c r="D283" s="2">
        <v>6791334</v>
      </c>
      <c r="E283" s="2">
        <v>19350982</v>
      </c>
      <c r="F283" s="2">
        <v>51600</v>
      </c>
      <c r="G283" s="2">
        <v>1071475</v>
      </c>
      <c r="H283" s="2">
        <v>303</v>
      </c>
      <c r="I283" s="2">
        <v>35458</v>
      </c>
      <c r="J283" s="2">
        <v>87403</v>
      </c>
      <c r="K283" s="2">
        <v>29313366704</v>
      </c>
      <c r="L283" s="3">
        <f t="shared" si="8"/>
        <v>1.2430902382505125E-3</v>
      </c>
      <c r="M283" s="3">
        <f t="shared" si="9"/>
        <v>4.2514359151722502E-5</v>
      </c>
    </row>
    <row r="284" spans="1:13" x14ac:dyDescent="0.35">
      <c r="A284" t="s">
        <v>94</v>
      </c>
      <c r="B284" t="s">
        <v>62</v>
      </c>
      <c r="C284" s="2">
        <v>10609229</v>
      </c>
      <c r="D284" s="2">
        <v>5718824</v>
      </c>
      <c r="E284" s="2">
        <v>18593124</v>
      </c>
      <c r="F284" s="2">
        <v>13244</v>
      </c>
      <c r="G284" s="2">
        <v>1295376</v>
      </c>
      <c r="H284" s="2">
        <v>600</v>
      </c>
      <c r="I284" s="2">
        <v>32352</v>
      </c>
      <c r="J284" s="2">
        <v>84724</v>
      </c>
      <c r="K284" s="2">
        <v>31659397182</v>
      </c>
      <c r="L284" s="3">
        <f t="shared" si="8"/>
        <v>1.1480784928105143E-3</v>
      </c>
      <c r="M284" s="3">
        <f t="shared" si="9"/>
        <v>4.5051268405417486E-5</v>
      </c>
    </row>
    <row r="285" spans="1:13" x14ac:dyDescent="0.35">
      <c r="A285" t="s">
        <v>94</v>
      </c>
      <c r="B285" t="s">
        <v>63</v>
      </c>
      <c r="C285" s="2">
        <v>9442715</v>
      </c>
      <c r="D285" s="2">
        <v>5023554</v>
      </c>
      <c r="E285" s="2">
        <v>17173392</v>
      </c>
      <c r="F285" s="2">
        <v>4326</v>
      </c>
      <c r="G285" s="2">
        <v>1969610</v>
      </c>
      <c r="H285" s="2">
        <v>165</v>
      </c>
      <c r="I285" s="2">
        <v>152541</v>
      </c>
      <c r="J285" s="2">
        <v>159333</v>
      </c>
      <c r="K285" s="2">
        <v>32762476597</v>
      </c>
      <c r="L285" s="3">
        <f t="shared" si="8"/>
        <v>1.0355027923348904E-3</v>
      </c>
      <c r="M285" s="3">
        <f t="shared" si="9"/>
        <v>6.9774181851970331E-5</v>
      </c>
    </row>
    <row r="286" spans="1:13" x14ac:dyDescent="0.35">
      <c r="A286" t="s">
        <v>94</v>
      </c>
      <c r="B286" t="s">
        <v>64</v>
      </c>
      <c r="C286" s="2">
        <v>10521030</v>
      </c>
      <c r="D286" s="2">
        <v>5695769</v>
      </c>
      <c r="E286" s="2">
        <v>16134944</v>
      </c>
      <c r="F286" s="2">
        <v>4922</v>
      </c>
      <c r="G286" s="2">
        <v>1875099</v>
      </c>
      <c r="H286" s="2">
        <v>325556</v>
      </c>
      <c r="I286" s="2">
        <v>60315</v>
      </c>
      <c r="J286" s="2">
        <v>131788</v>
      </c>
      <c r="K286" s="2">
        <v>32912977673</v>
      </c>
      <c r="L286" s="3">
        <f t="shared" si="8"/>
        <v>1.0557969973195868E-3</v>
      </c>
      <c r="M286" s="3">
        <f t="shared" si="9"/>
        <v>7.2849075638845197E-5</v>
      </c>
    </row>
    <row r="287" spans="1:13" x14ac:dyDescent="0.35">
      <c r="A287" t="s">
        <v>94</v>
      </c>
      <c r="B287" t="s">
        <v>65</v>
      </c>
      <c r="C287" s="2">
        <v>7546621</v>
      </c>
      <c r="D287" s="2">
        <v>5415692</v>
      </c>
      <c r="E287" s="2">
        <v>15619065</v>
      </c>
      <c r="F287" s="2">
        <v>13729</v>
      </c>
      <c r="G287" s="2">
        <v>68202</v>
      </c>
      <c r="H287" s="2">
        <v>108</v>
      </c>
      <c r="I287" s="2">
        <v>81936</v>
      </c>
      <c r="J287" s="2">
        <v>367523</v>
      </c>
      <c r="K287" s="2">
        <v>34778560914</v>
      </c>
      <c r="L287" s="3">
        <f t="shared" si="8"/>
        <v>8.3709260058200698E-4</v>
      </c>
      <c r="M287" s="3">
        <f t="shared" si="9"/>
        <v>1.5282345963488303E-5</v>
      </c>
    </row>
    <row r="288" spans="1:13" x14ac:dyDescent="0.35">
      <c r="A288" t="s">
        <v>94</v>
      </c>
      <c r="B288" t="s">
        <v>66</v>
      </c>
      <c r="C288" s="2">
        <v>9031456</v>
      </c>
      <c r="D288" s="2">
        <v>3641960</v>
      </c>
      <c r="E288" s="2">
        <v>15297161</v>
      </c>
      <c r="F288" s="2">
        <v>10752</v>
      </c>
      <c r="G288" s="2">
        <v>1310021</v>
      </c>
      <c r="H288" s="2">
        <v>3206</v>
      </c>
      <c r="I288" s="2">
        <v>83554</v>
      </c>
      <c r="J288" s="2">
        <v>124783</v>
      </c>
      <c r="K288" s="2">
        <v>35828078352</v>
      </c>
      <c r="L288" s="3">
        <f t="shared" si="8"/>
        <v>8.2345730938017457E-4</v>
      </c>
      <c r="M288" s="3">
        <f t="shared" si="9"/>
        <v>4.2768579016308384E-5</v>
      </c>
    </row>
    <row r="289" spans="1:13" x14ac:dyDescent="0.35">
      <c r="A289" t="s">
        <v>94</v>
      </c>
      <c r="B289" t="s">
        <v>67</v>
      </c>
      <c r="C289" s="2">
        <v>11303216</v>
      </c>
      <c r="D289" s="2">
        <v>4090418</v>
      </c>
      <c r="E289" s="2">
        <v>11052493</v>
      </c>
      <c r="F289" s="2">
        <v>29630</v>
      </c>
      <c r="G289" s="2">
        <v>242481</v>
      </c>
      <c r="H289" s="2">
        <v>91643</v>
      </c>
      <c r="I289" s="2">
        <v>95460</v>
      </c>
      <c r="J289" s="2">
        <v>87857</v>
      </c>
      <c r="K289" s="2">
        <v>33475484276</v>
      </c>
      <c r="L289" s="3">
        <f t="shared" si="8"/>
        <v>8.0635720688744669E-4</v>
      </c>
      <c r="M289" s="3">
        <f t="shared" si="9"/>
        <v>1.6342437214335344E-5</v>
      </c>
    </row>
    <row r="290" spans="1:13" x14ac:dyDescent="0.35">
      <c r="A290" t="s">
        <v>94</v>
      </c>
      <c r="B290" t="s">
        <v>68</v>
      </c>
      <c r="C290" s="2">
        <v>10331393</v>
      </c>
      <c r="D290" s="2">
        <v>5425347</v>
      </c>
      <c r="E290" s="2">
        <v>15891958</v>
      </c>
      <c r="F290" s="2"/>
      <c r="G290" s="2">
        <v>549024</v>
      </c>
      <c r="H290" s="2">
        <v>2881</v>
      </c>
      <c r="I290" s="2">
        <v>123103</v>
      </c>
      <c r="J290" s="2">
        <v>106255</v>
      </c>
      <c r="K290" s="2">
        <v>34138910383</v>
      </c>
      <c r="L290" s="3">
        <f t="shared" si="8"/>
        <v>9.4994130264183828E-4</v>
      </c>
      <c r="M290" s="3">
        <f t="shared" si="9"/>
        <v>2.2884825298614161E-5</v>
      </c>
    </row>
    <row r="291" spans="1:13" x14ac:dyDescent="0.35">
      <c r="A291" t="s">
        <v>94</v>
      </c>
      <c r="B291" t="s">
        <v>69</v>
      </c>
      <c r="C291" s="2">
        <v>5640822</v>
      </c>
      <c r="D291" s="2">
        <v>5137201</v>
      </c>
      <c r="E291" s="2">
        <v>11990217</v>
      </c>
      <c r="F291" s="2">
        <v>3522</v>
      </c>
      <c r="G291" s="2">
        <v>1040568</v>
      </c>
      <c r="H291" s="2">
        <v>48009</v>
      </c>
      <c r="I291" s="2">
        <v>14350</v>
      </c>
      <c r="J291" s="2">
        <v>65127</v>
      </c>
      <c r="K291" s="2">
        <v>27310499247</v>
      </c>
      <c r="L291" s="3">
        <f t="shared" si="8"/>
        <v>8.765792153224639E-4</v>
      </c>
      <c r="M291" s="3">
        <f t="shared" si="9"/>
        <v>4.2898373603649707E-5</v>
      </c>
    </row>
    <row r="292" spans="1:13" x14ac:dyDescent="0.35">
      <c r="A292" t="s">
        <v>94</v>
      </c>
      <c r="B292" t="s">
        <v>70</v>
      </c>
      <c r="C292" s="2">
        <v>8612574</v>
      </c>
      <c r="D292" s="2">
        <v>3776236</v>
      </c>
      <c r="E292" s="2">
        <v>13190894</v>
      </c>
      <c r="F292" s="2">
        <v>9063</v>
      </c>
      <c r="G292" s="2">
        <v>146455</v>
      </c>
      <c r="H292" s="2">
        <v>5759</v>
      </c>
      <c r="I292" s="2">
        <v>16363</v>
      </c>
      <c r="J292" s="2">
        <v>79280</v>
      </c>
      <c r="K292" s="2">
        <v>31709775772</v>
      </c>
      <c r="L292" s="3">
        <f t="shared" si="8"/>
        <v>8.1478419102584622E-4</v>
      </c>
      <c r="M292" s="3">
        <f t="shared" si="9"/>
        <v>8.102233262300849E-6</v>
      </c>
    </row>
    <row r="293" spans="1:13" x14ac:dyDescent="0.35">
      <c r="A293" t="s">
        <v>94</v>
      </c>
      <c r="B293" t="s">
        <v>71</v>
      </c>
      <c r="C293" s="2">
        <v>6793535</v>
      </c>
      <c r="D293" s="2">
        <v>6412202</v>
      </c>
      <c r="E293" s="2">
        <v>15936626</v>
      </c>
      <c r="F293" s="2">
        <v>18612</v>
      </c>
      <c r="G293" s="2">
        <v>1342234</v>
      </c>
      <c r="H293" s="2">
        <v>5013</v>
      </c>
      <c r="I293" s="2">
        <v>354156</v>
      </c>
      <c r="J293" s="2">
        <v>115860</v>
      </c>
      <c r="K293" s="2">
        <v>36996461236</v>
      </c>
      <c r="L293" s="3">
        <f t="shared" si="8"/>
        <v>8.3732975979486737E-4</v>
      </c>
      <c r="M293" s="3">
        <f t="shared" si="9"/>
        <v>4.9622989298597361E-5</v>
      </c>
    </row>
    <row r="294" spans="1:13" x14ac:dyDescent="0.35">
      <c r="A294" t="s">
        <v>94</v>
      </c>
      <c r="B294" t="s">
        <v>72</v>
      </c>
      <c r="C294" s="2">
        <v>9706752</v>
      </c>
      <c r="D294" s="2">
        <v>5106232</v>
      </c>
      <c r="E294" s="2">
        <v>14314462</v>
      </c>
      <c r="F294" s="2"/>
      <c r="G294" s="2">
        <v>6293965</v>
      </c>
      <c r="H294" s="2">
        <v>1878</v>
      </c>
      <c r="I294" s="2">
        <v>125819</v>
      </c>
      <c r="J294" s="2">
        <v>233667</v>
      </c>
      <c r="K294" s="2">
        <v>33780271711</v>
      </c>
      <c r="L294" s="3">
        <f t="shared" si="8"/>
        <v>1.0592802599733949E-3</v>
      </c>
      <c r="M294" s="3">
        <f t="shared" si="9"/>
        <v>1.9701821989290865E-4</v>
      </c>
    </row>
    <row r="295" spans="1:13" x14ac:dyDescent="0.35">
      <c r="A295" t="s">
        <v>94</v>
      </c>
      <c r="B295" t="s">
        <v>73</v>
      </c>
      <c r="C295" s="2">
        <v>8312698</v>
      </c>
      <c r="D295" s="2">
        <v>8175820</v>
      </c>
      <c r="E295" s="2">
        <v>14160862</v>
      </c>
      <c r="F295" s="2">
        <v>9105</v>
      </c>
      <c r="G295" s="2">
        <v>1861320</v>
      </c>
      <c r="H295" s="2">
        <v>503</v>
      </c>
      <c r="I295" s="2">
        <v>36242</v>
      </c>
      <c r="J295" s="2">
        <v>94008</v>
      </c>
      <c r="K295" s="2">
        <v>30733639300</v>
      </c>
      <c r="L295" s="3">
        <f t="shared" si="8"/>
        <v>1.0623720048669927E-3</v>
      </c>
      <c r="M295" s="3">
        <f t="shared" si="9"/>
        <v>6.5113603386371491E-5</v>
      </c>
    </row>
    <row r="296" spans="1:13" x14ac:dyDescent="0.35">
      <c r="A296" t="s">
        <v>94</v>
      </c>
      <c r="B296" t="s">
        <v>74</v>
      </c>
      <c r="C296" s="2">
        <v>5464455</v>
      </c>
      <c r="D296" s="2">
        <v>4354769</v>
      </c>
      <c r="E296" s="2">
        <v>14914581</v>
      </c>
      <c r="F296" s="2">
        <v>6580</v>
      </c>
      <c r="G296" s="2">
        <v>44693</v>
      </c>
      <c r="H296" s="2">
        <v>3507</v>
      </c>
      <c r="I296" s="2">
        <v>99766</v>
      </c>
      <c r="J296" s="2">
        <v>121446</v>
      </c>
      <c r="K296" s="2">
        <v>31957571737</v>
      </c>
      <c r="L296" s="3">
        <f t="shared" si="8"/>
        <v>7.8259378421558954E-4</v>
      </c>
      <c r="M296" s="3">
        <f t="shared" si="9"/>
        <v>8.6362005934406023E-6</v>
      </c>
    </row>
    <row r="297" spans="1:13" x14ac:dyDescent="0.35">
      <c r="A297" t="s">
        <v>94</v>
      </c>
      <c r="B297" t="s">
        <v>75</v>
      </c>
      <c r="C297" s="2">
        <v>10838718</v>
      </c>
      <c r="D297" s="2">
        <v>6334337</v>
      </c>
      <c r="E297" s="2">
        <v>14366619</v>
      </c>
      <c r="F297" s="2">
        <v>20719</v>
      </c>
      <c r="G297" s="2">
        <v>547182</v>
      </c>
      <c r="H297" s="2">
        <v>414</v>
      </c>
      <c r="I297" s="2">
        <v>27894</v>
      </c>
      <c r="J297" s="2">
        <v>81742</v>
      </c>
      <c r="K297" s="2">
        <v>33358963690</v>
      </c>
      <c r="L297" s="3">
        <f t="shared" si="8"/>
        <v>9.6578614669789217E-4</v>
      </c>
      <c r="M297" s="3">
        <f t="shared" si="9"/>
        <v>2.0322903502042211E-5</v>
      </c>
    </row>
    <row r="298" spans="1:13" x14ac:dyDescent="0.35">
      <c r="A298" t="s">
        <v>94</v>
      </c>
      <c r="B298" t="s">
        <v>76</v>
      </c>
      <c r="C298" s="2">
        <v>16113358</v>
      </c>
      <c r="D298" s="2">
        <v>5681711</v>
      </c>
      <c r="E298" s="2">
        <v>15224477</v>
      </c>
      <c r="F298" s="2">
        <v>19452</v>
      </c>
      <c r="G298" s="2">
        <v>1595466</v>
      </c>
      <c r="H298" s="2">
        <v>3957</v>
      </c>
      <c r="I298" s="2">
        <v>17709</v>
      </c>
      <c r="J298" s="2">
        <v>321353</v>
      </c>
      <c r="K298" s="2">
        <v>35270767242</v>
      </c>
      <c r="L298" s="3">
        <f t="shared" si="8"/>
        <v>1.1050931422207932E-3</v>
      </c>
      <c r="M298" s="3">
        <f t="shared" si="9"/>
        <v>5.5511607858320486E-5</v>
      </c>
    </row>
    <row r="299" spans="1:13" x14ac:dyDescent="0.35">
      <c r="A299" t="s">
        <v>94</v>
      </c>
      <c r="B299" t="s">
        <v>77</v>
      </c>
      <c r="C299" s="2">
        <v>6532950</v>
      </c>
      <c r="D299" s="2">
        <v>7588323</v>
      </c>
      <c r="E299" s="2">
        <v>10970831</v>
      </c>
      <c r="F299" s="2">
        <v>5586</v>
      </c>
      <c r="G299" s="2">
        <v>645979</v>
      </c>
      <c r="H299" s="2">
        <v>7221</v>
      </c>
      <c r="I299" s="2"/>
      <c r="J299" s="2">
        <v>129090</v>
      </c>
      <c r="K299" s="2">
        <v>33372882996</v>
      </c>
      <c r="L299" s="3">
        <f t="shared" si="8"/>
        <v>7.7547930165643522E-4</v>
      </c>
      <c r="M299" s="3">
        <f t="shared" si="9"/>
        <v>2.3608269027714299E-5</v>
      </c>
    </row>
    <row r="300" spans="1:13" x14ac:dyDescent="0.35">
      <c r="A300" t="s">
        <v>94</v>
      </c>
      <c r="B300" t="s">
        <v>78</v>
      </c>
      <c r="C300" s="2">
        <v>8103763</v>
      </c>
      <c r="D300" s="2">
        <v>5763315</v>
      </c>
      <c r="E300" s="2">
        <v>13024526</v>
      </c>
      <c r="F300" s="2">
        <v>14200</v>
      </c>
      <c r="G300" s="2">
        <v>505118</v>
      </c>
      <c r="H300" s="2">
        <v>4180</v>
      </c>
      <c r="I300" s="2">
        <v>15104</v>
      </c>
      <c r="J300" s="2">
        <v>212085</v>
      </c>
      <c r="K300" s="2">
        <v>34492513586</v>
      </c>
      <c r="L300" s="3">
        <f t="shared" si="8"/>
        <v>8.0139972783020361E-4</v>
      </c>
      <c r="M300" s="3">
        <f t="shared" si="9"/>
        <v>2.1763766161266156E-5</v>
      </c>
    </row>
    <row r="301" spans="1:13" x14ac:dyDescent="0.35">
      <c r="A301" t="s">
        <v>94</v>
      </c>
      <c r="B301" t="s">
        <v>79</v>
      </c>
      <c r="C301" s="2">
        <v>8668183</v>
      </c>
      <c r="D301" s="2">
        <v>6959660</v>
      </c>
      <c r="E301" s="2">
        <v>13643452</v>
      </c>
      <c r="F301" s="2">
        <v>25520</v>
      </c>
      <c r="G301" s="2">
        <v>422500</v>
      </c>
      <c r="H301" s="2">
        <v>6864</v>
      </c>
      <c r="I301" s="2"/>
      <c r="J301" s="2">
        <v>184725</v>
      </c>
      <c r="K301" s="2">
        <v>33847755575</v>
      </c>
      <c r="L301" s="3">
        <f t="shared" si="8"/>
        <v>8.8368943499734544E-4</v>
      </c>
      <c r="M301" s="3">
        <f t="shared" si="9"/>
        <v>1.8896644375215712E-5</v>
      </c>
    </row>
    <row r="302" spans="1:13" x14ac:dyDescent="0.35">
      <c r="A302" t="s">
        <v>94</v>
      </c>
      <c r="B302" t="s">
        <v>80</v>
      </c>
      <c r="C302" s="2">
        <v>8282375</v>
      </c>
      <c r="D302" s="2">
        <v>8350173</v>
      </c>
      <c r="E302" s="2">
        <v>13561825</v>
      </c>
      <c r="F302" s="2">
        <v>25912</v>
      </c>
      <c r="G302" s="2">
        <v>545705</v>
      </c>
      <c r="H302" s="2">
        <v>3864</v>
      </c>
      <c r="I302" s="2"/>
      <c r="J302" s="2">
        <v>342988</v>
      </c>
      <c r="K302" s="2">
        <v>35038098037</v>
      </c>
      <c r="L302" s="3">
        <f t="shared" si="8"/>
        <v>8.8797177195934105E-4</v>
      </c>
      <c r="M302" s="3">
        <f t="shared" si="9"/>
        <v>2.621343769944655E-5</v>
      </c>
    </row>
    <row r="303" spans="1:13" x14ac:dyDescent="0.35">
      <c r="A303" t="s">
        <v>94</v>
      </c>
      <c r="B303" t="s">
        <v>81</v>
      </c>
      <c r="C303" s="2">
        <v>7579685</v>
      </c>
      <c r="D303" s="2">
        <v>5937627</v>
      </c>
      <c r="E303" s="2">
        <v>11908612</v>
      </c>
      <c r="F303" s="2">
        <v>4124</v>
      </c>
      <c r="G303" s="2">
        <v>2124992</v>
      </c>
      <c r="H303" s="2">
        <v>1884</v>
      </c>
      <c r="I303" s="2"/>
      <c r="J303" s="2">
        <v>275158</v>
      </c>
      <c r="K303" s="2">
        <v>24812253288</v>
      </c>
      <c r="L303" s="3">
        <f t="shared" si="8"/>
        <v>1.1217071531935587E-3</v>
      </c>
      <c r="M303" s="3">
        <f t="shared" si="9"/>
        <v>9.6974586389688959E-5</v>
      </c>
    </row>
    <row r="304" spans="1:13" x14ac:dyDescent="0.35">
      <c r="A304" t="s">
        <v>94</v>
      </c>
      <c r="B304" t="s">
        <v>82</v>
      </c>
      <c r="C304" s="2">
        <v>7877192</v>
      </c>
      <c r="D304" s="2">
        <v>7565831</v>
      </c>
      <c r="E304" s="2">
        <v>15477746</v>
      </c>
      <c r="F304" s="2">
        <v>1527</v>
      </c>
      <c r="G304" s="2">
        <v>639119</v>
      </c>
      <c r="H304" s="2">
        <v>10024</v>
      </c>
      <c r="I304" s="2"/>
      <c r="J304" s="2">
        <v>116878</v>
      </c>
      <c r="K304" s="2">
        <v>32906774428</v>
      </c>
      <c r="L304" s="3">
        <f t="shared" si="8"/>
        <v>9.6297244414927442E-4</v>
      </c>
      <c r="M304" s="3">
        <f t="shared" si="9"/>
        <v>2.3324923616545721E-5</v>
      </c>
    </row>
    <row r="305" spans="1:13" x14ac:dyDescent="0.35">
      <c r="A305" t="s">
        <v>94</v>
      </c>
      <c r="B305" t="s">
        <v>83</v>
      </c>
      <c r="C305" s="2">
        <v>9255634</v>
      </c>
      <c r="D305" s="2">
        <v>6945227</v>
      </c>
      <c r="E305" s="2">
        <v>15728621</v>
      </c>
      <c r="F305" s="2">
        <v>7241</v>
      </c>
      <c r="G305" s="2">
        <v>2005013</v>
      </c>
      <c r="H305" s="2">
        <v>4326</v>
      </c>
      <c r="I305" s="2"/>
      <c r="J305" s="2">
        <v>314902</v>
      </c>
      <c r="K305" s="2">
        <v>35823474252</v>
      </c>
      <c r="L305" s="3">
        <f t="shared" si="8"/>
        <v>9.563830620947446E-4</v>
      </c>
      <c r="M305" s="3">
        <f t="shared" si="9"/>
        <v>6.5082520572940655E-5</v>
      </c>
    </row>
    <row r="306" spans="1:13" x14ac:dyDescent="0.35">
      <c r="A306" t="s">
        <v>94</v>
      </c>
      <c r="B306" t="s">
        <v>84</v>
      </c>
      <c r="C306" s="2">
        <v>11153419</v>
      </c>
      <c r="D306" s="2">
        <v>6018289</v>
      </c>
      <c r="E306" s="2">
        <v>13800241</v>
      </c>
      <c r="F306" s="2">
        <v>8472</v>
      </c>
      <c r="G306" s="2">
        <v>1164431</v>
      </c>
      <c r="H306" s="2">
        <v>582</v>
      </c>
      <c r="I306" s="2"/>
      <c r="J306" s="2">
        <v>162286</v>
      </c>
      <c r="K306" s="2">
        <v>32576379371</v>
      </c>
      <c r="L306" s="3">
        <f t="shared" si="8"/>
        <v>9.917529395166865E-4</v>
      </c>
      <c r="M306" s="3">
        <f t="shared" si="9"/>
        <v>4.1004280579723486E-5</v>
      </c>
    </row>
    <row r="307" spans="1:13" x14ac:dyDescent="0.35">
      <c r="A307" t="s">
        <v>94</v>
      </c>
      <c r="B307" t="s">
        <v>85</v>
      </c>
      <c r="C307" s="2">
        <v>8761771</v>
      </c>
      <c r="D307" s="2">
        <v>7509792</v>
      </c>
      <c r="E307" s="2">
        <v>13522921</v>
      </c>
      <c r="F307" s="2">
        <v>2494</v>
      </c>
      <c r="G307" s="2">
        <v>6433465</v>
      </c>
      <c r="H307" s="2">
        <v>6277</v>
      </c>
      <c r="I307" s="2"/>
      <c r="J307" s="2">
        <v>454338</v>
      </c>
      <c r="K307" s="2">
        <v>30922882650</v>
      </c>
      <c r="L307" s="3">
        <f t="shared" si="8"/>
        <v>1.1865342056006541E-3</v>
      </c>
      <c r="M307" s="3">
        <f t="shared" si="9"/>
        <v>2.2302493845928687E-4</v>
      </c>
    </row>
    <row r="308" spans="1:13" x14ac:dyDescent="0.35">
      <c r="A308" t="s">
        <v>94</v>
      </c>
      <c r="B308" t="s">
        <v>86</v>
      </c>
      <c r="C308" s="2">
        <v>7487242</v>
      </c>
      <c r="D308" s="2">
        <v>5370292</v>
      </c>
      <c r="E308" s="2">
        <v>12696561</v>
      </c>
      <c r="F308" s="2">
        <v>145616</v>
      </c>
      <c r="G308" s="2">
        <v>20404</v>
      </c>
      <c r="H308" s="2">
        <v>2653</v>
      </c>
      <c r="I308" s="2"/>
      <c r="J308" s="2">
        <v>371150</v>
      </c>
      <c r="K308" s="2">
        <v>30080453094</v>
      </c>
      <c r="L308" s="3">
        <f t="shared" si="8"/>
        <v>8.6747090937951414E-4</v>
      </c>
      <c r="M308" s="3">
        <f t="shared" si="9"/>
        <v>1.7945973031492529E-5</v>
      </c>
    </row>
    <row r="309" spans="1:13" x14ac:dyDescent="0.35">
      <c r="A309" t="s">
        <v>94</v>
      </c>
      <c r="B309" t="s">
        <v>87</v>
      </c>
      <c r="C309" s="2">
        <v>9854165</v>
      </c>
      <c r="D309" s="2">
        <v>7172782</v>
      </c>
      <c r="E309" s="2">
        <v>14325055</v>
      </c>
      <c r="F309" s="2">
        <v>19882</v>
      </c>
      <c r="G309" s="2">
        <v>931341</v>
      </c>
      <c r="H309" s="2">
        <v>5309</v>
      </c>
      <c r="I309" s="2">
        <v>53961</v>
      </c>
      <c r="J309" s="2">
        <v>384050</v>
      </c>
      <c r="K309" s="2">
        <v>32524903501</v>
      </c>
      <c r="L309" s="3">
        <f t="shared" si="8"/>
        <v>1.0068145167284872E-3</v>
      </c>
      <c r="M309" s="3">
        <f t="shared" si="9"/>
        <v>4.2876161030181804E-5</v>
      </c>
    </row>
    <row r="310" spans="1:13" x14ac:dyDescent="0.35">
      <c r="A310" t="s">
        <v>94</v>
      </c>
      <c r="B310" t="s">
        <v>88</v>
      </c>
      <c r="C310" s="2">
        <v>8095208</v>
      </c>
      <c r="D310" s="2">
        <v>6605994</v>
      </c>
      <c r="E310" s="2">
        <v>13900948</v>
      </c>
      <c r="F310" s="2">
        <v>19551</v>
      </c>
      <c r="G310" s="2">
        <v>329069</v>
      </c>
      <c r="H310" s="2">
        <v>8766</v>
      </c>
      <c r="I310" s="2"/>
      <c r="J310" s="2">
        <v>746932</v>
      </c>
      <c r="K310" s="2">
        <v>37134185132</v>
      </c>
      <c r="L310" s="3">
        <f t="shared" si="8"/>
        <v>7.99976299315661E-4</v>
      </c>
      <c r="M310" s="3">
        <f t="shared" si="9"/>
        <v>2.9738581742793256E-5</v>
      </c>
    </row>
    <row r="311" spans="1:13" x14ac:dyDescent="0.35">
      <c r="A311" t="s">
        <v>94</v>
      </c>
      <c r="B311" t="s">
        <v>89</v>
      </c>
      <c r="C311" s="2">
        <v>8216984</v>
      </c>
      <c r="D311" s="2">
        <v>6004027</v>
      </c>
      <c r="E311" s="2">
        <v>12938277</v>
      </c>
      <c r="F311" s="2">
        <v>7249</v>
      </c>
      <c r="G311" s="2">
        <v>44353</v>
      </c>
      <c r="H311" s="2">
        <v>6064</v>
      </c>
      <c r="I311" s="2"/>
      <c r="J311" s="2">
        <v>523465</v>
      </c>
      <c r="K311" s="2">
        <v>35212189573</v>
      </c>
      <c r="L311" s="3">
        <f t="shared" si="8"/>
        <v>7.8780727175429036E-4</v>
      </c>
      <c r="M311" s="3">
        <f t="shared" si="9"/>
        <v>1.6503688269519019E-5</v>
      </c>
    </row>
    <row r="312" spans="1:13" x14ac:dyDescent="0.35">
      <c r="A312" t="s">
        <v>94</v>
      </c>
      <c r="B312" t="s">
        <v>90</v>
      </c>
      <c r="C312" s="2">
        <v>11077674</v>
      </c>
      <c r="D312" s="2">
        <v>8746856</v>
      </c>
      <c r="E312" s="2">
        <v>9859190</v>
      </c>
      <c r="F312" s="2">
        <v>10687</v>
      </c>
      <c r="G312" s="2">
        <v>443055</v>
      </c>
      <c r="H312" s="2">
        <v>17963</v>
      </c>
      <c r="I312" s="2">
        <v>5426</v>
      </c>
      <c r="J312" s="2">
        <v>693042</v>
      </c>
      <c r="K312" s="2">
        <v>34972984691</v>
      </c>
      <c r="L312" s="3">
        <f t="shared" si="8"/>
        <v>8.8222075618098411E-4</v>
      </c>
      <c r="M312" s="3">
        <f t="shared" si="9"/>
        <v>3.3459340412004757E-5</v>
      </c>
    </row>
    <row r="313" spans="1:13" x14ac:dyDescent="0.35">
      <c r="A313" t="s">
        <v>94</v>
      </c>
      <c r="B313" t="s">
        <v>91</v>
      </c>
      <c r="C313" s="2">
        <v>17959344</v>
      </c>
      <c r="D313" s="2">
        <v>11316687</v>
      </c>
      <c r="E313" s="2">
        <v>19777478</v>
      </c>
      <c r="F313" s="2">
        <v>4036</v>
      </c>
      <c r="G313" s="2">
        <v>2089246</v>
      </c>
      <c r="H313" s="2">
        <v>3166</v>
      </c>
      <c r="I313" s="2"/>
      <c r="J313" s="2">
        <v>808822</v>
      </c>
      <c r="K313" s="2">
        <v>36098868388</v>
      </c>
      <c r="L313" s="3">
        <f t="shared" si="8"/>
        <v>1.4393464759485967E-3</v>
      </c>
      <c r="M313" s="3">
        <f t="shared" si="9"/>
        <v>8.0480916154307232E-5</v>
      </c>
    </row>
    <row r="314" spans="1:13" x14ac:dyDescent="0.35">
      <c r="A314" t="s">
        <v>94</v>
      </c>
      <c r="B314" t="s">
        <v>95</v>
      </c>
      <c r="C314" s="2">
        <v>13714787</v>
      </c>
      <c r="D314" s="2">
        <v>7482318</v>
      </c>
      <c r="E314" s="2">
        <v>13206929</v>
      </c>
      <c r="F314" s="2">
        <v>11196</v>
      </c>
      <c r="G314" s="2">
        <v>1164609</v>
      </c>
      <c r="H314" s="2">
        <v>6806</v>
      </c>
      <c r="I314" s="2"/>
      <c r="J314" s="2">
        <v>974742</v>
      </c>
      <c r="K314" s="2">
        <v>35814879281</v>
      </c>
      <c r="L314" s="3">
        <f t="shared" si="8"/>
        <v>1.0208435078935482E-3</v>
      </c>
      <c r="M314" s="3">
        <f t="shared" si="9"/>
        <v>6.0236221461857286E-5</v>
      </c>
    </row>
    <row r="315" spans="1:13" x14ac:dyDescent="0.35">
      <c r="A315" t="s">
        <v>96</v>
      </c>
      <c r="B315" t="s">
        <v>14</v>
      </c>
      <c r="C315" s="2">
        <v>2572163</v>
      </c>
      <c r="D315" s="2">
        <v>1322477</v>
      </c>
      <c r="E315" s="2">
        <v>8663974</v>
      </c>
      <c r="F315" s="2"/>
      <c r="G315" s="2">
        <v>1878448</v>
      </c>
      <c r="H315" s="2"/>
      <c r="I315" s="2">
        <v>1237698</v>
      </c>
      <c r="J315" s="2">
        <v>599309</v>
      </c>
      <c r="K315" s="2">
        <v>4952204309</v>
      </c>
      <c r="L315" s="3">
        <f t="shared" si="8"/>
        <v>3.286227300926166E-3</v>
      </c>
      <c r="M315" s="3">
        <f t="shared" si="9"/>
        <v>7.5026286642649904E-4</v>
      </c>
    </row>
    <row r="316" spans="1:13" x14ac:dyDescent="0.35">
      <c r="A316" t="s">
        <v>96</v>
      </c>
      <c r="B316" t="s">
        <v>15</v>
      </c>
      <c r="C316" s="2">
        <v>2817956</v>
      </c>
      <c r="D316" s="2">
        <v>1892769</v>
      </c>
      <c r="E316" s="2">
        <v>3985941</v>
      </c>
      <c r="F316" s="2"/>
      <c r="G316" s="2">
        <v>507868</v>
      </c>
      <c r="H316" s="2">
        <v>18</v>
      </c>
      <c r="I316" s="2"/>
      <c r="J316" s="2">
        <v>466796</v>
      </c>
      <c r="K316" s="2">
        <v>4500675439</v>
      </c>
      <c r="L316" s="3">
        <f t="shared" si="8"/>
        <v>2.1488659049248987E-3</v>
      </c>
      <c r="M316" s="3">
        <f t="shared" si="9"/>
        <v>2.1656349434887566E-4</v>
      </c>
    </row>
    <row r="317" spans="1:13" x14ac:dyDescent="0.35">
      <c r="A317" t="s">
        <v>96</v>
      </c>
      <c r="B317" t="s">
        <v>16</v>
      </c>
      <c r="C317" s="2">
        <v>4192626</v>
      </c>
      <c r="D317" s="2">
        <v>1189638</v>
      </c>
      <c r="E317" s="2">
        <v>3547481</v>
      </c>
      <c r="F317" s="2"/>
      <c r="G317" s="2">
        <v>21962</v>
      </c>
      <c r="H317" s="2"/>
      <c r="I317" s="2">
        <v>4903</v>
      </c>
      <c r="J317" s="2">
        <v>106033</v>
      </c>
      <c r="K317" s="2">
        <v>5112986750</v>
      </c>
      <c r="L317" s="3">
        <f t="shared" si="8"/>
        <v>1.772475354057978E-3</v>
      </c>
      <c r="M317" s="3">
        <f t="shared" si="9"/>
        <v>2.5992244161399403E-5</v>
      </c>
    </row>
    <row r="318" spans="1:13" x14ac:dyDescent="0.35">
      <c r="A318" t="s">
        <v>96</v>
      </c>
      <c r="B318" t="s">
        <v>17</v>
      </c>
      <c r="C318" s="2">
        <v>3067245</v>
      </c>
      <c r="D318" s="2">
        <v>1556613</v>
      </c>
      <c r="E318" s="2">
        <v>1788132</v>
      </c>
      <c r="F318" s="2"/>
      <c r="G318" s="2">
        <v>1820169</v>
      </c>
      <c r="H318" s="2"/>
      <c r="I318" s="2"/>
      <c r="J318" s="2">
        <v>124891</v>
      </c>
      <c r="K318" s="2">
        <v>4493606436</v>
      </c>
      <c r="L318" s="3">
        <f t="shared" si="8"/>
        <v>1.859764560832136E-3</v>
      </c>
      <c r="M318" s="3">
        <f t="shared" si="9"/>
        <v>4.3285054614871927E-4</v>
      </c>
    </row>
    <row r="319" spans="1:13" x14ac:dyDescent="0.35">
      <c r="A319" t="s">
        <v>96</v>
      </c>
      <c r="B319" t="s">
        <v>18</v>
      </c>
      <c r="C319" s="2">
        <v>2104936</v>
      </c>
      <c r="D319" s="2">
        <v>820871</v>
      </c>
      <c r="E319" s="2">
        <v>5208139</v>
      </c>
      <c r="F319" s="2"/>
      <c r="G319" s="2">
        <v>6972</v>
      </c>
      <c r="H319" s="2"/>
      <c r="I319" s="2">
        <v>60</v>
      </c>
      <c r="J319" s="2">
        <v>130304</v>
      </c>
      <c r="K319" s="2">
        <v>4084366181</v>
      </c>
      <c r="L319" s="3">
        <f t="shared" si="8"/>
        <v>2.0251078462252109E-3</v>
      </c>
      <c r="M319" s="3">
        <f t="shared" si="9"/>
        <v>3.3624800988430275E-5</v>
      </c>
    </row>
    <row r="320" spans="1:13" x14ac:dyDescent="0.35">
      <c r="A320" t="s">
        <v>96</v>
      </c>
      <c r="B320" t="s">
        <v>19</v>
      </c>
      <c r="C320" s="2">
        <v>1978327</v>
      </c>
      <c r="D320" s="2">
        <v>1444431</v>
      </c>
      <c r="E320" s="2">
        <v>1722027</v>
      </c>
      <c r="F320" s="2"/>
      <c r="G320" s="2">
        <v>7119</v>
      </c>
      <c r="H320" s="2"/>
      <c r="I320" s="2">
        <v>68188</v>
      </c>
      <c r="J320" s="2">
        <v>569987</v>
      </c>
      <c r="K320" s="2">
        <v>4549315878</v>
      </c>
      <c r="L320" s="3">
        <f t="shared" si="8"/>
        <v>1.2727361993042066E-3</v>
      </c>
      <c r="M320" s="3">
        <f t="shared" si="9"/>
        <v>1.4184418433562111E-4</v>
      </c>
    </row>
    <row r="321" spans="1:13" x14ac:dyDescent="0.35">
      <c r="A321" t="s">
        <v>96</v>
      </c>
      <c r="B321" t="s">
        <v>20</v>
      </c>
      <c r="C321" s="2">
        <v>2750157</v>
      </c>
      <c r="D321" s="2">
        <v>1725497</v>
      </c>
      <c r="E321" s="2">
        <v>1723297</v>
      </c>
      <c r="F321" s="2"/>
      <c r="G321" s="2">
        <v>930932</v>
      </c>
      <c r="H321" s="2"/>
      <c r="I321" s="2"/>
      <c r="J321" s="2">
        <v>62187</v>
      </c>
      <c r="K321" s="2">
        <v>4476781771</v>
      </c>
      <c r="L321" s="3">
        <f t="shared" si="8"/>
        <v>1.6065268239317087E-3</v>
      </c>
      <c r="M321" s="3">
        <f t="shared" si="9"/>
        <v>2.2183770637052122E-4</v>
      </c>
    </row>
    <row r="322" spans="1:13" x14ac:dyDescent="0.35">
      <c r="A322" t="s">
        <v>96</v>
      </c>
      <c r="B322" t="s">
        <v>21</v>
      </c>
      <c r="C322" s="2">
        <v>1190144</v>
      </c>
      <c r="D322" s="2">
        <v>1205553</v>
      </c>
      <c r="E322" s="2">
        <v>1709642</v>
      </c>
      <c r="F322" s="2"/>
      <c r="G322" s="2">
        <v>81428</v>
      </c>
      <c r="H322" s="2"/>
      <c r="I322" s="2"/>
      <c r="J322" s="2">
        <v>50119</v>
      </c>
      <c r="K322" s="2">
        <v>4433995672</v>
      </c>
      <c r="L322" s="3">
        <f t="shared" ref="L322:L385" si="10">SUM(C322:J322)/K322</f>
        <v>9.5554581317146585E-4</v>
      </c>
      <c r="M322" s="3">
        <f t="shared" ref="M322:M385" si="11">SUM(F322:J322)/K322</f>
        <v>2.9667823275223079E-5</v>
      </c>
    </row>
    <row r="323" spans="1:13" x14ac:dyDescent="0.35">
      <c r="A323" t="s">
        <v>96</v>
      </c>
      <c r="B323" t="s">
        <v>22</v>
      </c>
      <c r="C323" s="2">
        <v>2598416</v>
      </c>
      <c r="D323" s="2">
        <v>1095471</v>
      </c>
      <c r="E323" s="2">
        <v>2074917</v>
      </c>
      <c r="F323" s="2"/>
      <c r="G323" s="2">
        <v>25305</v>
      </c>
      <c r="H323" s="2"/>
      <c r="I323" s="2"/>
      <c r="J323" s="2">
        <v>92972</v>
      </c>
      <c r="K323" s="2">
        <v>4961178332</v>
      </c>
      <c r="L323" s="3">
        <f t="shared" si="10"/>
        <v>1.1866295879807128E-3</v>
      </c>
      <c r="M323" s="3">
        <f t="shared" si="11"/>
        <v>2.3840505638973673E-5</v>
      </c>
    </row>
    <row r="324" spans="1:13" x14ac:dyDescent="0.35">
      <c r="A324" t="s">
        <v>96</v>
      </c>
      <c r="B324" t="s">
        <v>23</v>
      </c>
      <c r="C324" s="2">
        <v>3138121</v>
      </c>
      <c r="D324" s="2">
        <v>1018006</v>
      </c>
      <c r="E324" s="2">
        <v>1976566</v>
      </c>
      <c r="F324" s="2"/>
      <c r="G324" s="2">
        <v>86438</v>
      </c>
      <c r="H324" s="2"/>
      <c r="I324" s="2"/>
      <c r="J324" s="2">
        <v>103077</v>
      </c>
      <c r="K324" s="2">
        <v>5174059715</v>
      </c>
      <c r="L324" s="3">
        <f t="shared" si="10"/>
        <v>1.2219047224506182E-3</v>
      </c>
      <c r="M324" s="3">
        <f t="shared" si="11"/>
        <v>3.6627911241646735E-5</v>
      </c>
    </row>
    <row r="325" spans="1:13" x14ac:dyDescent="0.35">
      <c r="A325" t="s">
        <v>96</v>
      </c>
      <c r="B325" t="s">
        <v>24</v>
      </c>
      <c r="C325" s="2">
        <v>6274444</v>
      </c>
      <c r="D325" s="2">
        <v>1486712</v>
      </c>
      <c r="E325" s="2">
        <v>2464933</v>
      </c>
      <c r="F325" s="2"/>
      <c r="G325" s="2">
        <v>1081212</v>
      </c>
      <c r="H325" s="2"/>
      <c r="I325" s="2">
        <v>29349</v>
      </c>
      <c r="J325" s="2">
        <v>735413</v>
      </c>
      <c r="K325" s="2">
        <v>5012838977</v>
      </c>
      <c r="L325" s="3">
        <f t="shared" si="10"/>
        <v>2.4082287612646768E-3</v>
      </c>
      <c r="M325" s="3">
        <f t="shared" si="11"/>
        <v>3.6824921136899307E-4</v>
      </c>
    </row>
    <row r="326" spans="1:13" x14ac:dyDescent="0.35">
      <c r="A326" t="s">
        <v>96</v>
      </c>
      <c r="B326" t="s">
        <v>25</v>
      </c>
      <c r="C326" s="2">
        <v>10097570</v>
      </c>
      <c r="D326" s="2">
        <v>1712819</v>
      </c>
      <c r="E326" s="2">
        <v>2187113</v>
      </c>
      <c r="F326" s="2"/>
      <c r="G326" s="2">
        <v>26651</v>
      </c>
      <c r="H326" s="2"/>
      <c r="I326" s="2"/>
      <c r="J326" s="2">
        <v>96687</v>
      </c>
      <c r="K326" s="2">
        <v>6122452850</v>
      </c>
      <c r="L326" s="3">
        <f t="shared" si="10"/>
        <v>2.306402408635944E-3</v>
      </c>
      <c r="M326" s="3">
        <f t="shared" si="11"/>
        <v>2.014519393154657E-5</v>
      </c>
    </row>
    <row r="327" spans="1:13" x14ac:dyDescent="0.35">
      <c r="A327" t="s">
        <v>96</v>
      </c>
      <c r="B327" t="s">
        <v>26</v>
      </c>
      <c r="C327" s="2">
        <v>4400636</v>
      </c>
      <c r="D327" s="2">
        <v>2049759</v>
      </c>
      <c r="E327" s="2">
        <v>3643636</v>
      </c>
      <c r="F327" s="2"/>
      <c r="G327" s="2">
        <v>618</v>
      </c>
      <c r="H327" s="2"/>
      <c r="I327" s="2"/>
      <c r="J327" s="2">
        <v>79160</v>
      </c>
      <c r="K327" s="2">
        <v>4460743190</v>
      </c>
      <c r="L327" s="3">
        <f t="shared" si="10"/>
        <v>2.2807430436272212E-3</v>
      </c>
      <c r="M327" s="3">
        <f t="shared" si="11"/>
        <v>1.7884463776987798E-5</v>
      </c>
    </row>
    <row r="328" spans="1:13" x14ac:dyDescent="0.35">
      <c r="A328" t="s">
        <v>96</v>
      </c>
      <c r="B328" t="s">
        <v>27</v>
      </c>
      <c r="C328" s="2">
        <v>7440697</v>
      </c>
      <c r="D328" s="2">
        <v>1094141</v>
      </c>
      <c r="E328" s="2">
        <v>7130610</v>
      </c>
      <c r="F328" s="2"/>
      <c r="G328" s="2">
        <v>319560</v>
      </c>
      <c r="H328" s="2"/>
      <c r="I328" s="2"/>
      <c r="J328" s="2">
        <v>125439</v>
      </c>
      <c r="K328" s="2">
        <v>4864090589</v>
      </c>
      <c r="L328" s="3">
        <f t="shared" si="10"/>
        <v>3.3121190292864423E-3</v>
      </c>
      <c r="M328" s="3">
        <f t="shared" si="11"/>
        <v>9.1486577368923258E-5</v>
      </c>
    </row>
    <row r="329" spans="1:13" x14ac:dyDescent="0.35">
      <c r="A329" t="s">
        <v>96</v>
      </c>
      <c r="B329" t="s">
        <v>28</v>
      </c>
      <c r="C329" s="2">
        <v>4042901</v>
      </c>
      <c r="D329" s="2">
        <v>1777889</v>
      </c>
      <c r="E329" s="2">
        <v>4241235</v>
      </c>
      <c r="F329" s="2"/>
      <c r="G329" s="2">
        <v>806806</v>
      </c>
      <c r="H329" s="2"/>
      <c r="I329" s="2">
        <v>994921</v>
      </c>
      <c r="J329" s="2">
        <v>109565</v>
      </c>
      <c r="K329" s="2">
        <v>5863788357</v>
      </c>
      <c r="L329" s="3">
        <f t="shared" si="10"/>
        <v>2.0419081097472836E-3</v>
      </c>
      <c r="M329" s="3">
        <f t="shared" si="11"/>
        <v>3.2594832617353279E-4</v>
      </c>
    </row>
    <row r="330" spans="1:13" x14ac:dyDescent="0.35">
      <c r="A330" t="s">
        <v>96</v>
      </c>
      <c r="B330" t="s">
        <v>29</v>
      </c>
      <c r="C330" s="2">
        <v>2716023</v>
      </c>
      <c r="D330" s="2">
        <v>1581085</v>
      </c>
      <c r="E330" s="2">
        <v>2668839</v>
      </c>
      <c r="F330" s="2"/>
      <c r="G330" s="2">
        <v>340</v>
      </c>
      <c r="H330" s="2"/>
      <c r="I330" s="2">
        <v>12685</v>
      </c>
      <c r="J330" s="2">
        <v>78668</v>
      </c>
      <c r="K330" s="2">
        <v>5398236421</v>
      </c>
      <c r="L330" s="3">
        <f t="shared" si="10"/>
        <v>1.3073973515766474E-3</v>
      </c>
      <c r="M330" s="3">
        <f t="shared" si="11"/>
        <v>1.6985732533554778E-5</v>
      </c>
    </row>
    <row r="331" spans="1:13" x14ac:dyDescent="0.35">
      <c r="A331" t="s">
        <v>96</v>
      </c>
      <c r="B331" t="s">
        <v>30</v>
      </c>
      <c r="C331" s="2">
        <v>4096494</v>
      </c>
      <c r="D331" s="2">
        <v>1655576</v>
      </c>
      <c r="E331" s="2">
        <v>2190500</v>
      </c>
      <c r="F331" s="2"/>
      <c r="G331" s="2">
        <v>3</v>
      </c>
      <c r="H331" s="2"/>
      <c r="I331" s="2">
        <v>9572</v>
      </c>
      <c r="J331" s="2">
        <v>174050</v>
      </c>
      <c r="K331" s="2">
        <v>5351058626</v>
      </c>
      <c r="L331" s="3">
        <f t="shared" si="10"/>
        <v>1.5186144589251973E-3</v>
      </c>
      <c r="M331" s="3">
        <f t="shared" si="11"/>
        <v>3.4315639733004112E-5</v>
      </c>
    </row>
    <row r="332" spans="1:13" x14ac:dyDescent="0.35">
      <c r="A332" t="s">
        <v>96</v>
      </c>
      <c r="B332" t="s">
        <v>31</v>
      </c>
      <c r="C332" s="2">
        <v>5690610</v>
      </c>
      <c r="D332" s="2">
        <v>3523830</v>
      </c>
      <c r="E332" s="2">
        <v>13242275</v>
      </c>
      <c r="F332" s="2"/>
      <c r="G332" s="2">
        <v>17052</v>
      </c>
      <c r="H332" s="2"/>
      <c r="I332" s="2"/>
      <c r="J332" s="2">
        <v>261818</v>
      </c>
      <c r="K332" s="2">
        <v>5749115422</v>
      </c>
      <c r="L332" s="3">
        <f t="shared" si="10"/>
        <v>3.9546231604601799E-3</v>
      </c>
      <c r="M332" s="3">
        <f t="shared" si="11"/>
        <v>4.8506592672127432E-5</v>
      </c>
    </row>
    <row r="333" spans="1:13" x14ac:dyDescent="0.35">
      <c r="A333" t="s">
        <v>96</v>
      </c>
      <c r="B333" t="s">
        <v>32</v>
      </c>
      <c r="C333" s="2">
        <v>5168757</v>
      </c>
      <c r="D333" s="2">
        <v>2419701</v>
      </c>
      <c r="E333" s="2">
        <v>6950071</v>
      </c>
      <c r="F333" s="2"/>
      <c r="G333" s="2">
        <v>1453948</v>
      </c>
      <c r="H333" s="2"/>
      <c r="I333" s="2"/>
      <c r="J333" s="2">
        <v>119481</v>
      </c>
      <c r="K333" s="2">
        <v>5596345151</v>
      </c>
      <c r="L333" s="3">
        <f t="shared" si="10"/>
        <v>2.8790143504856891E-3</v>
      </c>
      <c r="M333" s="3">
        <f t="shared" si="11"/>
        <v>2.8115295921639984E-4</v>
      </c>
    </row>
    <row r="334" spans="1:13" x14ac:dyDescent="0.35">
      <c r="A334" t="s">
        <v>96</v>
      </c>
      <c r="B334" t="s">
        <v>33</v>
      </c>
      <c r="C334" s="2">
        <v>4879598</v>
      </c>
      <c r="D334" s="2">
        <v>1702296</v>
      </c>
      <c r="E334" s="2">
        <v>4266110</v>
      </c>
      <c r="F334" s="2"/>
      <c r="G334" s="2">
        <v>56860</v>
      </c>
      <c r="H334" s="2"/>
      <c r="I334" s="2"/>
      <c r="J334" s="2">
        <v>252128</v>
      </c>
      <c r="K334" s="2">
        <v>5210752027</v>
      </c>
      <c r="L334" s="3">
        <f t="shared" si="10"/>
        <v>2.1411481379633879E-3</v>
      </c>
      <c r="M334" s="3">
        <f t="shared" si="11"/>
        <v>5.9298158576525948E-5</v>
      </c>
    </row>
    <row r="335" spans="1:13" x14ac:dyDescent="0.35">
      <c r="A335" t="s">
        <v>96</v>
      </c>
      <c r="B335" t="s">
        <v>34</v>
      </c>
      <c r="C335" s="2">
        <v>4116883</v>
      </c>
      <c r="D335" s="2">
        <v>3202126</v>
      </c>
      <c r="E335" s="2">
        <v>5160348</v>
      </c>
      <c r="F335" s="2">
        <v>108240</v>
      </c>
      <c r="G335" s="2">
        <v>7062175</v>
      </c>
      <c r="H335" s="2"/>
      <c r="I335" s="2">
        <v>859</v>
      </c>
      <c r="J335" s="2">
        <v>255644</v>
      </c>
      <c r="K335" s="2">
        <v>6671969465</v>
      </c>
      <c r="L335" s="3">
        <f t="shared" si="10"/>
        <v>2.9835680610387806E-3</v>
      </c>
      <c r="M335" s="3">
        <f t="shared" si="11"/>
        <v>1.1131522766943598E-3</v>
      </c>
    </row>
    <row r="336" spans="1:13" x14ac:dyDescent="0.35">
      <c r="A336" t="s">
        <v>96</v>
      </c>
      <c r="B336" t="s">
        <v>35</v>
      </c>
      <c r="C336" s="2">
        <v>5625186</v>
      </c>
      <c r="D336" s="2">
        <v>2888308</v>
      </c>
      <c r="E336" s="2">
        <v>8203548</v>
      </c>
      <c r="F336" s="2"/>
      <c r="G336" s="2">
        <v>1356908</v>
      </c>
      <c r="H336" s="2"/>
      <c r="I336" s="2">
        <v>22361</v>
      </c>
      <c r="J336" s="2">
        <v>86499</v>
      </c>
      <c r="K336" s="2">
        <v>6172708216</v>
      </c>
      <c r="L336" s="3">
        <f t="shared" si="10"/>
        <v>2.9456778716462173E-3</v>
      </c>
      <c r="M336" s="3">
        <f t="shared" si="11"/>
        <v>2.3745946652729326E-4</v>
      </c>
    </row>
    <row r="337" spans="1:13" x14ac:dyDescent="0.35">
      <c r="A337" t="s">
        <v>96</v>
      </c>
      <c r="B337" t="s">
        <v>36</v>
      </c>
      <c r="C337" s="2">
        <v>3923984</v>
      </c>
      <c r="D337" s="2">
        <v>6115433</v>
      </c>
      <c r="E337" s="2">
        <v>4506917</v>
      </c>
      <c r="F337" s="2"/>
      <c r="G337" s="2">
        <v>205236</v>
      </c>
      <c r="H337" s="2"/>
      <c r="I337" s="2"/>
      <c r="J337" s="2">
        <v>218705</v>
      </c>
      <c r="K337" s="2">
        <v>6672494271</v>
      </c>
      <c r="L337" s="3">
        <f t="shared" si="10"/>
        <v>2.2435800454807166E-3</v>
      </c>
      <c r="M337" s="3">
        <f t="shared" si="11"/>
        <v>6.353561093975497E-5</v>
      </c>
    </row>
    <row r="338" spans="1:13" x14ac:dyDescent="0.35">
      <c r="A338" t="s">
        <v>96</v>
      </c>
      <c r="B338" t="s">
        <v>37</v>
      </c>
      <c r="C338" s="2">
        <v>7211385</v>
      </c>
      <c r="D338" s="2">
        <v>4675386</v>
      </c>
      <c r="E338" s="2">
        <v>4626047</v>
      </c>
      <c r="F338" s="2">
        <v>17674</v>
      </c>
      <c r="G338" s="2">
        <v>33550</v>
      </c>
      <c r="H338" s="2"/>
      <c r="I338" s="2">
        <v>27</v>
      </c>
      <c r="J338" s="2">
        <v>99342</v>
      </c>
      <c r="K338" s="2">
        <v>7459992810</v>
      </c>
      <c r="L338" s="3">
        <f t="shared" si="10"/>
        <v>2.2337033592931843E-3</v>
      </c>
      <c r="M338" s="3">
        <f t="shared" si="11"/>
        <v>2.0186748678649197E-5</v>
      </c>
    </row>
    <row r="339" spans="1:13" x14ac:dyDescent="0.35">
      <c r="A339" t="s">
        <v>96</v>
      </c>
      <c r="B339" t="s">
        <v>38</v>
      </c>
      <c r="C339" s="2">
        <v>3547494</v>
      </c>
      <c r="D339" s="2">
        <v>2396302</v>
      </c>
      <c r="E339" s="2">
        <v>4229670</v>
      </c>
      <c r="F339" s="2"/>
      <c r="G339" s="2">
        <v>1104998</v>
      </c>
      <c r="H339" s="2"/>
      <c r="I339" s="2">
        <v>799</v>
      </c>
      <c r="J339" s="2">
        <v>116464</v>
      </c>
      <c r="K339" s="2">
        <v>5772446975</v>
      </c>
      <c r="L339" s="3">
        <f t="shared" si="10"/>
        <v>1.9741588011728769E-3</v>
      </c>
      <c r="M339" s="3">
        <f t="shared" si="11"/>
        <v>2.117405331384616E-4</v>
      </c>
    </row>
    <row r="340" spans="1:13" x14ac:dyDescent="0.35">
      <c r="A340" t="s">
        <v>96</v>
      </c>
      <c r="B340" t="s">
        <v>39</v>
      </c>
      <c r="C340" s="2">
        <v>6432310</v>
      </c>
      <c r="D340" s="2">
        <v>2202535</v>
      </c>
      <c r="E340" s="2">
        <v>4111713</v>
      </c>
      <c r="F340" s="2"/>
      <c r="G340" s="2">
        <v>669257</v>
      </c>
      <c r="H340" s="2"/>
      <c r="I340" s="2">
        <v>73126</v>
      </c>
      <c r="J340" s="2">
        <v>134478</v>
      </c>
      <c r="K340" s="2">
        <v>5744795758</v>
      </c>
      <c r="L340" s="3">
        <f t="shared" si="10"/>
        <v>2.37143661391765E-3</v>
      </c>
      <c r="M340" s="3">
        <f t="shared" si="11"/>
        <v>1.5263571359850597E-4</v>
      </c>
    </row>
    <row r="341" spans="1:13" x14ac:dyDescent="0.35">
      <c r="A341" t="s">
        <v>96</v>
      </c>
      <c r="B341" t="s">
        <v>40</v>
      </c>
      <c r="C341" s="2">
        <v>3801943</v>
      </c>
      <c r="D341" s="2">
        <v>3439477</v>
      </c>
      <c r="E341" s="2">
        <v>2239356</v>
      </c>
      <c r="F341" s="2"/>
      <c r="G341" s="2">
        <v>2020791</v>
      </c>
      <c r="H341" s="2"/>
      <c r="I341" s="2">
        <v>82036</v>
      </c>
      <c r="J341" s="2">
        <v>60306</v>
      </c>
      <c r="K341" s="2">
        <v>7009942448</v>
      </c>
      <c r="L341" s="3">
        <f t="shared" si="10"/>
        <v>1.661056290600804E-3</v>
      </c>
      <c r="M341" s="3">
        <f t="shared" si="11"/>
        <v>3.0858070748029627E-4</v>
      </c>
    </row>
    <row r="342" spans="1:13" x14ac:dyDescent="0.35">
      <c r="A342" t="s">
        <v>96</v>
      </c>
      <c r="B342" t="s">
        <v>41</v>
      </c>
      <c r="C342" s="2">
        <v>3291007</v>
      </c>
      <c r="D342" s="2">
        <v>2066120</v>
      </c>
      <c r="E342" s="2">
        <v>2331534</v>
      </c>
      <c r="F342" s="2"/>
      <c r="G342" s="2">
        <v>42328</v>
      </c>
      <c r="H342" s="2"/>
      <c r="I342" s="2">
        <v>868462</v>
      </c>
      <c r="J342" s="2">
        <v>160522</v>
      </c>
      <c r="K342" s="2">
        <v>6641097627</v>
      </c>
      <c r="L342" s="3">
        <f t="shared" si="10"/>
        <v>1.3190549954250807E-3</v>
      </c>
      <c r="M342" s="3">
        <f t="shared" si="11"/>
        <v>1.613155023718491E-4</v>
      </c>
    </row>
    <row r="343" spans="1:13" x14ac:dyDescent="0.35">
      <c r="A343" t="s">
        <v>96</v>
      </c>
      <c r="B343" t="s">
        <v>42</v>
      </c>
      <c r="C343" s="2">
        <v>4217671</v>
      </c>
      <c r="D343" s="2">
        <v>2194294</v>
      </c>
      <c r="E343" s="2">
        <v>3103250</v>
      </c>
      <c r="F343" s="2"/>
      <c r="G343" s="2">
        <v>44309</v>
      </c>
      <c r="H343" s="2"/>
      <c r="I343" s="2">
        <v>118883</v>
      </c>
      <c r="J343" s="2">
        <v>114972</v>
      </c>
      <c r="K343" s="2">
        <v>7053251934</v>
      </c>
      <c r="L343" s="3">
        <f t="shared" si="10"/>
        <v>1.3884913075047406E-3</v>
      </c>
      <c r="M343" s="3">
        <f t="shared" si="11"/>
        <v>3.9437695208236975E-5</v>
      </c>
    </row>
    <row r="344" spans="1:13" x14ac:dyDescent="0.35">
      <c r="A344" t="s">
        <v>96</v>
      </c>
      <c r="B344" t="s">
        <v>43</v>
      </c>
      <c r="C344" s="2">
        <v>5221658</v>
      </c>
      <c r="D344" s="2">
        <v>1723459</v>
      </c>
      <c r="E344" s="2">
        <v>2510938</v>
      </c>
      <c r="F344" s="2"/>
      <c r="G344" s="2">
        <v>62200</v>
      </c>
      <c r="H344" s="2"/>
      <c r="I344" s="2">
        <v>3570</v>
      </c>
      <c r="J344" s="2">
        <v>95569</v>
      </c>
      <c r="K344" s="2">
        <v>7239438777</v>
      </c>
      <c r="L344" s="3">
        <f t="shared" si="10"/>
        <v>1.3284723161904296E-3</v>
      </c>
      <c r="M344" s="3">
        <f t="shared" si="11"/>
        <v>2.2286119818097054E-5</v>
      </c>
    </row>
    <row r="345" spans="1:13" x14ac:dyDescent="0.35">
      <c r="A345" t="s">
        <v>96</v>
      </c>
      <c r="B345" t="s">
        <v>44</v>
      </c>
      <c r="C345" s="2">
        <v>2533056</v>
      </c>
      <c r="D345" s="2">
        <v>1774524</v>
      </c>
      <c r="E345" s="2">
        <v>2127563</v>
      </c>
      <c r="F345" s="2"/>
      <c r="G345" s="2">
        <v>2251963</v>
      </c>
      <c r="H345" s="2"/>
      <c r="I345" s="2">
        <v>4044</v>
      </c>
      <c r="J345" s="2">
        <v>231673</v>
      </c>
      <c r="K345" s="2">
        <v>6639992914</v>
      </c>
      <c r="L345" s="3">
        <f t="shared" si="10"/>
        <v>1.3438000786396623E-3</v>
      </c>
      <c r="M345" s="3">
        <f t="shared" si="11"/>
        <v>3.7465100222545207E-4</v>
      </c>
    </row>
    <row r="346" spans="1:13" x14ac:dyDescent="0.35">
      <c r="A346" t="s">
        <v>96</v>
      </c>
      <c r="B346" t="s">
        <v>45</v>
      </c>
      <c r="C346" s="2">
        <v>7173780</v>
      </c>
      <c r="D346" s="2">
        <v>2130383</v>
      </c>
      <c r="E346" s="2">
        <v>4628653</v>
      </c>
      <c r="F346" s="2"/>
      <c r="G346" s="2">
        <v>40217</v>
      </c>
      <c r="H346" s="2"/>
      <c r="I346" s="2">
        <v>3599</v>
      </c>
      <c r="J346" s="2">
        <v>159788</v>
      </c>
      <c r="K346" s="2">
        <v>6729489338</v>
      </c>
      <c r="L346" s="3">
        <f t="shared" si="10"/>
        <v>2.1006675677713959E-3</v>
      </c>
      <c r="M346" s="3">
        <f t="shared" si="11"/>
        <v>3.0255490390673684E-5</v>
      </c>
    </row>
    <row r="347" spans="1:13" x14ac:dyDescent="0.35">
      <c r="A347" t="s">
        <v>96</v>
      </c>
      <c r="B347" t="s">
        <v>46</v>
      </c>
      <c r="C347" s="2">
        <v>4462404</v>
      </c>
      <c r="D347" s="2">
        <v>1654236</v>
      </c>
      <c r="E347" s="2">
        <v>5469688</v>
      </c>
      <c r="F347" s="2"/>
      <c r="G347" s="2">
        <v>1663582</v>
      </c>
      <c r="H347" s="2"/>
      <c r="I347" s="2">
        <v>4937</v>
      </c>
      <c r="J347" s="2">
        <v>172964</v>
      </c>
      <c r="K347" s="2">
        <v>7232471299</v>
      </c>
      <c r="L347" s="3">
        <f t="shared" si="10"/>
        <v>1.856600661776093E-3</v>
      </c>
      <c r="M347" s="3">
        <f t="shared" si="11"/>
        <v>2.5461324682403002E-4</v>
      </c>
    </row>
    <row r="348" spans="1:13" x14ac:dyDescent="0.35">
      <c r="A348" t="s">
        <v>96</v>
      </c>
      <c r="B348" t="s">
        <v>47</v>
      </c>
      <c r="C348" s="2">
        <v>3345512</v>
      </c>
      <c r="D348" s="2">
        <v>1828404</v>
      </c>
      <c r="E348" s="2">
        <v>2148338</v>
      </c>
      <c r="F348" s="2">
        <v>61719</v>
      </c>
      <c r="G348" s="2">
        <v>2932926</v>
      </c>
      <c r="H348" s="2"/>
      <c r="I348" s="2">
        <v>27419</v>
      </c>
      <c r="J348" s="2">
        <v>344289</v>
      </c>
      <c r="K348" s="2">
        <v>6922430650</v>
      </c>
      <c r="L348" s="3">
        <f t="shared" si="10"/>
        <v>1.5440540383022832E-3</v>
      </c>
      <c r="M348" s="3">
        <f t="shared" si="11"/>
        <v>4.8629638492658642E-4</v>
      </c>
    </row>
    <row r="349" spans="1:13" x14ac:dyDescent="0.35">
      <c r="A349" t="s">
        <v>96</v>
      </c>
      <c r="B349" t="s">
        <v>48</v>
      </c>
      <c r="C349" s="2">
        <v>3421472</v>
      </c>
      <c r="D349" s="2">
        <v>2303542</v>
      </c>
      <c r="E349" s="2">
        <v>3995754</v>
      </c>
      <c r="F349" s="2">
        <v>82</v>
      </c>
      <c r="G349" s="2">
        <v>22091</v>
      </c>
      <c r="H349" s="2"/>
      <c r="I349" s="2">
        <v>1658241</v>
      </c>
      <c r="J349" s="2">
        <v>285728</v>
      </c>
      <c r="K349" s="2">
        <v>8093054613</v>
      </c>
      <c r="L349" s="3">
        <f t="shared" si="10"/>
        <v>1.4440666174706314E-3</v>
      </c>
      <c r="M349" s="3">
        <f t="shared" si="11"/>
        <v>2.4294189203193507E-4</v>
      </c>
    </row>
    <row r="350" spans="1:13" x14ac:dyDescent="0.35">
      <c r="A350" t="s">
        <v>96</v>
      </c>
      <c r="B350" t="s">
        <v>49</v>
      </c>
      <c r="C350" s="2">
        <v>4336768</v>
      </c>
      <c r="D350" s="2">
        <v>2048400</v>
      </c>
      <c r="E350" s="2">
        <v>4296049</v>
      </c>
      <c r="F350" s="2"/>
      <c r="G350" s="2">
        <v>9834029</v>
      </c>
      <c r="H350" s="2"/>
      <c r="I350" s="2"/>
      <c r="J350" s="2">
        <v>443152</v>
      </c>
      <c r="K350" s="2">
        <v>6806255562</v>
      </c>
      <c r="L350" s="3">
        <f t="shared" si="10"/>
        <v>3.0792846094426451E-3</v>
      </c>
      <c r="M350" s="3">
        <f t="shared" si="11"/>
        <v>1.509961080124367E-3</v>
      </c>
    </row>
    <row r="351" spans="1:13" x14ac:dyDescent="0.35">
      <c r="A351" t="s">
        <v>96</v>
      </c>
      <c r="B351" t="s">
        <v>50</v>
      </c>
      <c r="C351" s="2">
        <v>5528814</v>
      </c>
      <c r="D351" s="2">
        <v>2283414</v>
      </c>
      <c r="E351" s="2">
        <v>5126807</v>
      </c>
      <c r="F351" s="2"/>
      <c r="G351" s="2">
        <v>1892781</v>
      </c>
      <c r="H351" s="2"/>
      <c r="I351" s="2">
        <v>60000</v>
      </c>
      <c r="J351" s="2">
        <v>292299</v>
      </c>
      <c r="K351" s="2">
        <v>6305330844</v>
      </c>
      <c r="L351" s="3">
        <f t="shared" si="10"/>
        <v>2.408139299216763E-3</v>
      </c>
      <c r="M351" s="3">
        <f t="shared" si="11"/>
        <v>3.5606061847434439E-4</v>
      </c>
    </row>
    <row r="352" spans="1:13" x14ac:dyDescent="0.35">
      <c r="A352" t="s">
        <v>96</v>
      </c>
      <c r="B352" t="s">
        <v>51</v>
      </c>
      <c r="C352" s="2">
        <v>7304197</v>
      </c>
      <c r="D352" s="2">
        <v>1917778</v>
      </c>
      <c r="E352" s="2">
        <v>6222641</v>
      </c>
      <c r="F352" s="2"/>
      <c r="G352" s="2">
        <v>1984238</v>
      </c>
      <c r="H352" s="2"/>
      <c r="I352" s="2">
        <v>242658</v>
      </c>
      <c r="J352" s="2">
        <v>320135</v>
      </c>
      <c r="K352" s="2">
        <v>5012421866</v>
      </c>
      <c r="L352" s="3">
        <f t="shared" si="10"/>
        <v>3.5894119611200341E-3</v>
      </c>
      <c r="M352" s="3">
        <f t="shared" si="11"/>
        <v>5.081437812082196E-4</v>
      </c>
    </row>
    <row r="353" spans="1:13" x14ac:dyDescent="0.35">
      <c r="A353" t="s">
        <v>96</v>
      </c>
      <c r="B353" t="s">
        <v>52</v>
      </c>
      <c r="C353" s="2">
        <v>6792148</v>
      </c>
      <c r="D353" s="2">
        <v>2877760</v>
      </c>
      <c r="E353" s="2">
        <v>7155738</v>
      </c>
      <c r="F353" s="2">
        <v>622</v>
      </c>
      <c r="G353" s="2">
        <v>1420855</v>
      </c>
      <c r="H353" s="2">
        <v>3039</v>
      </c>
      <c r="I353" s="2">
        <v>66822</v>
      </c>
      <c r="J353" s="2">
        <v>403441</v>
      </c>
      <c r="K353" s="2">
        <v>7741307362</v>
      </c>
      <c r="L353" s="3">
        <f t="shared" si="10"/>
        <v>2.4182510943685743E-3</v>
      </c>
      <c r="M353" s="3">
        <f t="shared" si="11"/>
        <v>2.4476214564234479E-4</v>
      </c>
    </row>
    <row r="354" spans="1:13" x14ac:dyDescent="0.35">
      <c r="A354" t="s">
        <v>96</v>
      </c>
      <c r="B354" t="s">
        <v>53</v>
      </c>
      <c r="C354" s="2">
        <v>4616685</v>
      </c>
      <c r="D354" s="2">
        <v>1458570</v>
      </c>
      <c r="E354" s="2">
        <v>5089710</v>
      </c>
      <c r="F354" s="2"/>
      <c r="G354" s="2">
        <v>5906897</v>
      </c>
      <c r="H354" s="2"/>
      <c r="I354" s="2"/>
      <c r="J354" s="2">
        <v>124659</v>
      </c>
      <c r="K354" s="2">
        <v>6376578829</v>
      </c>
      <c r="L354" s="3">
        <f t="shared" si="10"/>
        <v>2.6968255958496204E-3</v>
      </c>
      <c r="M354" s="3">
        <f t="shared" si="11"/>
        <v>9.4589217223648629E-4</v>
      </c>
    </row>
    <row r="355" spans="1:13" x14ac:dyDescent="0.35">
      <c r="A355" t="s">
        <v>96</v>
      </c>
      <c r="B355" t="s">
        <v>54</v>
      </c>
      <c r="C355" s="2">
        <v>2775548</v>
      </c>
      <c r="D355" s="2">
        <v>1935079</v>
      </c>
      <c r="E355" s="2">
        <v>6395649</v>
      </c>
      <c r="F355" s="2"/>
      <c r="G355" s="2">
        <v>1537707</v>
      </c>
      <c r="H355" s="2"/>
      <c r="I355" s="2">
        <v>25000</v>
      </c>
      <c r="J355" s="2">
        <v>277554</v>
      </c>
      <c r="K355" s="2">
        <v>6619761050</v>
      </c>
      <c r="L355" s="3">
        <f t="shared" si="10"/>
        <v>1.9557408344822356E-3</v>
      </c>
      <c r="M355" s="3">
        <f t="shared" si="11"/>
        <v>2.7799507959581107E-4</v>
      </c>
    </row>
    <row r="356" spans="1:13" x14ac:dyDescent="0.35">
      <c r="A356" t="s">
        <v>96</v>
      </c>
      <c r="B356" t="s">
        <v>55</v>
      </c>
      <c r="C356" s="2">
        <v>3032022</v>
      </c>
      <c r="D356" s="2">
        <v>1959265</v>
      </c>
      <c r="E356" s="2">
        <v>3791710</v>
      </c>
      <c r="F356" s="2"/>
      <c r="G356" s="2">
        <v>6921903</v>
      </c>
      <c r="H356" s="2"/>
      <c r="I356" s="2">
        <v>77000</v>
      </c>
      <c r="J356" s="2">
        <v>238203</v>
      </c>
      <c r="K356" s="2">
        <v>6260907521</v>
      </c>
      <c r="L356" s="3">
        <f t="shared" si="10"/>
        <v>2.5587509392633943E-3</v>
      </c>
      <c r="M356" s="3">
        <f t="shared" si="11"/>
        <v>1.1559196451513918E-3</v>
      </c>
    </row>
    <row r="357" spans="1:13" x14ac:dyDescent="0.35">
      <c r="A357" t="s">
        <v>96</v>
      </c>
      <c r="B357" t="s">
        <v>56</v>
      </c>
      <c r="C357" s="2">
        <v>2620927</v>
      </c>
      <c r="D357" s="2">
        <v>2310590</v>
      </c>
      <c r="E357" s="2">
        <v>2729889</v>
      </c>
      <c r="F357" s="2"/>
      <c r="G357" s="2">
        <v>7790</v>
      </c>
      <c r="H357" s="2"/>
      <c r="I357" s="2">
        <v>163800</v>
      </c>
      <c r="J357" s="2">
        <v>500665</v>
      </c>
      <c r="K357" s="2">
        <v>5352299374</v>
      </c>
      <c r="L357" s="3">
        <f t="shared" si="10"/>
        <v>1.5570244520481489E-3</v>
      </c>
      <c r="M357" s="3">
        <f t="shared" si="11"/>
        <v>1.2560115812385795E-4</v>
      </c>
    </row>
    <row r="358" spans="1:13" x14ac:dyDescent="0.35">
      <c r="A358" t="s">
        <v>96</v>
      </c>
      <c r="B358" t="s">
        <v>57</v>
      </c>
      <c r="C358" s="2">
        <v>6656665</v>
      </c>
      <c r="D358" s="2">
        <v>1692902</v>
      </c>
      <c r="E358" s="2">
        <v>2043019</v>
      </c>
      <c r="F358" s="2"/>
      <c r="G358" s="2">
        <v>3865351</v>
      </c>
      <c r="H358" s="2"/>
      <c r="I358" s="2">
        <v>13982</v>
      </c>
      <c r="J358" s="2">
        <v>307148</v>
      </c>
      <c r="K358" s="2">
        <v>6111753867</v>
      </c>
      <c r="L358" s="3">
        <f t="shared" si="10"/>
        <v>2.3854146153886664E-3</v>
      </c>
      <c r="M358" s="3">
        <f t="shared" si="11"/>
        <v>6.8498848139232507E-4</v>
      </c>
    </row>
    <row r="359" spans="1:13" x14ac:dyDescent="0.35">
      <c r="A359" t="s">
        <v>96</v>
      </c>
      <c r="B359" t="s">
        <v>58</v>
      </c>
      <c r="C359" s="2">
        <v>3337646</v>
      </c>
      <c r="D359" s="2">
        <v>2351119</v>
      </c>
      <c r="E359" s="2">
        <v>3264685</v>
      </c>
      <c r="F359" s="2"/>
      <c r="G359" s="2">
        <v>2782934</v>
      </c>
      <c r="H359" s="2"/>
      <c r="I359" s="2">
        <v>67076</v>
      </c>
      <c r="J359" s="2">
        <v>444828</v>
      </c>
      <c r="K359" s="2">
        <v>6394457229</v>
      </c>
      <c r="L359" s="3">
        <f t="shared" si="10"/>
        <v>1.9154538941087661E-3</v>
      </c>
      <c r="M359" s="3">
        <f t="shared" si="11"/>
        <v>5.1526468658783485E-4</v>
      </c>
    </row>
    <row r="360" spans="1:13" x14ac:dyDescent="0.35">
      <c r="A360" t="s">
        <v>96</v>
      </c>
      <c r="B360" t="s">
        <v>59</v>
      </c>
      <c r="C360" s="2">
        <v>4227804</v>
      </c>
      <c r="D360" s="2">
        <v>2034148</v>
      </c>
      <c r="E360" s="2">
        <v>5617830</v>
      </c>
      <c r="F360" s="2"/>
      <c r="G360" s="2">
        <v>789064</v>
      </c>
      <c r="H360" s="2"/>
      <c r="I360" s="2">
        <v>26653</v>
      </c>
      <c r="J360" s="2">
        <v>304295</v>
      </c>
      <c r="K360" s="2">
        <v>6277651694</v>
      </c>
      <c r="L360" s="3">
        <f t="shared" si="10"/>
        <v>2.0708052363632777E-3</v>
      </c>
      <c r="M360" s="3">
        <f t="shared" si="11"/>
        <v>1.7841257441384895E-4</v>
      </c>
    </row>
    <row r="361" spans="1:13" x14ac:dyDescent="0.35">
      <c r="A361" t="s">
        <v>96</v>
      </c>
      <c r="B361" t="s">
        <v>60</v>
      </c>
      <c r="C361" s="2">
        <v>5634859</v>
      </c>
      <c r="D361" s="2">
        <v>2170657</v>
      </c>
      <c r="E361" s="2">
        <v>2653719</v>
      </c>
      <c r="F361" s="2"/>
      <c r="G361" s="2">
        <v>5283232</v>
      </c>
      <c r="H361" s="2"/>
      <c r="I361" s="2">
        <v>2665</v>
      </c>
      <c r="J361" s="2">
        <v>292940</v>
      </c>
      <c r="K361" s="2">
        <v>8205565755</v>
      </c>
      <c r="L361" s="3">
        <f t="shared" si="10"/>
        <v>1.9545357966606167E-3</v>
      </c>
      <c r="M361" s="3">
        <f t="shared" si="11"/>
        <v>6.7988450358838178E-4</v>
      </c>
    </row>
    <row r="362" spans="1:13" x14ac:dyDescent="0.35">
      <c r="A362" t="s">
        <v>96</v>
      </c>
      <c r="B362" t="s">
        <v>61</v>
      </c>
      <c r="C362" s="2">
        <v>3787459</v>
      </c>
      <c r="D362" s="2">
        <v>1556947</v>
      </c>
      <c r="E362" s="2">
        <v>4242917</v>
      </c>
      <c r="F362" s="2"/>
      <c r="G362" s="2">
        <v>4042717</v>
      </c>
      <c r="H362" s="2"/>
      <c r="I362" s="2">
        <v>1106742</v>
      </c>
      <c r="J362" s="2">
        <v>376900</v>
      </c>
      <c r="K362" s="2">
        <v>5703988915</v>
      </c>
      <c r="L362" s="3">
        <f t="shared" si="10"/>
        <v>2.64966889403571E-3</v>
      </c>
      <c r="M362" s="3">
        <f t="shared" si="11"/>
        <v>9.6885865003473628E-4</v>
      </c>
    </row>
    <row r="363" spans="1:13" x14ac:dyDescent="0.35">
      <c r="A363" t="s">
        <v>96</v>
      </c>
      <c r="B363" t="s">
        <v>62</v>
      </c>
      <c r="C363" s="2">
        <v>8929855</v>
      </c>
      <c r="D363" s="2">
        <v>1474812</v>
      </c>
      <c r="E363" s="2">
        <v>2409167</v>
      </c>
      <c r="F363" s="2"/>
      <c r="G363" s="2">
        <v>1042024</v>
      </c>
      <c r="H363" s="2"/>
      <c r="I363" s="2">
        <v>2000</v>
      </c>
      <c r="J363" s="2">
        <v>352005</v>
      </c>
      <c r="K363" s="2">
        <v>5775900292</v>
      </c>
      <c r="L363" s="3">
        <f t="shared" si="10"/>
        <v>2.4601988056617927E-3</v>
      </c>
      <c r="M363" s="3">
        <f t="shared" si="11"/>
        <v>2.416989437877921E-4</v>
      </c>
    </row>
    <row r="364" spans="1:13" x14ac:dyDescent="0.35">
      <c r="A364" t="s">
        <v>96</v>
      </c>
      <c r="B364" t="s">
        <v>63</v>
      </c>
      <c r="C364" s="2">
        <v>2352587</v>
      </c>
      <c r="D364" s="2">
        <v>2387287</v>
      </c>
      <c r="E364" s="2">
        <v>2332139</v>
      </c>
      <c r="F364" s="2"/>
      <c r="G364" s="2">
        <v>6435497</v>
      </c>
      <c r="H364" s="2"/>
      <c r="I364" s="2">
        <v>2632634</v>
      </c>
      <c r="J364" s="2">
        <v>154958</v>
      </c>
      <c r="K364" s="2">
        <v>5414195863</v>
      </c>
      <c r="L364" s="3">
        <f t="shared" si="10"/>
        <v>3.009699392546708E-3</v>
      </c>
      <c r="M364" s="3">
        <f t="shared" si="11"/>
        <v>1.7035011723586771E-3</v>
      </c>
    </row>
    <row r="365" spans="1:13" x14ac:dyDescent="0.35">
      <c r="A365" t="s">
        <v>96</v>
      </c>
      <c r="B365" t="s">
        <v>64</v>
      </c>
      <c r="C365" s="2">
        <v>2196489</v>
      </c>
      <c r="D365" s="2">
        <v>2208306</v>
      </c>
      <c r="E365" s="2">
        <v>2570552</v>
      </c>
      <c r="F365" s="2"/>
      <c r="G365" s="2">
        <v>5697806</v>
      </c>
      <c r="H365" s="2"/>
      <c r="I365" s="2"/>
      <c r="J365" s="2">
        <v>1395317</v>
      </c>
      <c r="K365" s="2">
        <v>4743136324</v>
      </c>
      <c r="L365" s="3">
        <f t="shared" si="10"/>
        <v>2.9660690815092837E-3</v>
      </c>
      <c r="M365" s="3">
        <f t="shared" si="11"/>
        <v>1.4954499545183218E-3</v>
      </c>
    </row>
    <row r="366" spans="1:13" x14ac:dyDescent="0.35">
      <c r="A366" t="s">
        <v>96</v>
      </c>
      <c r="B366" t="s">
        <v>65</v>
      </c>
      <c r="C366" s="2">
        <v>2286197</v>
      </c>
      <c r="D366" s="2">
        <v>2414494</v>
      </c>
      <c r="E366" s="2">
        <v>4452537</v>
      </c>
      <c r="F366" s="2"/>
      <c r="G366" s="2">
        <v>932600</v>
      </c>
      <c r="H366" s="2"/>
      <c r="I366" s="2">
        <v>748517</v>
      </c>
      <c r="J366" s="2">
        <v>190757</v>
      </c>
      <c r="K366" s="2">
        <v>6291692661</v>
      </c>
      <c r="L366" s="3">
        <f t="shared" si="10"/>
        <v>1.7523268528898031E-3</v>
      </c>
      <c r="M366" s="3">
        <f t="shared" si="11"/>
        <v>2.9751516815229893E-4</v>
      </c>
    </row>
    <row r="367" spans="1:13" x14ac:dyDescent="0.35">
      <c r="A367" t="s">
        <v>96</v>
      </c>
      <c r="B367" t="s">
        <v>66</v>
      </c>
      <c r="C367" s="2">
        <v>2423476</v>
      </c>
      <c r="D367" s="2">
        <v>3585471</v>
      </c>
      <c r="E367" s="2">
        <v>2490771</v>
      </c>
      <c r="F367" s="2"/>
      <c r="G367" s="2">
        <v>4702023</v>
      </c>
      <c r="H367" s="2"/>
      <c r="I367" s="2">
        <v>32161</v>
      </c>
      <c r="J367" s="2">
        <v>284277</v>
      </c>
      <c r="K367" s="2">
        <v>6304908526</v>
      </c>
      <c r="L367" s="3">
        <f t="shared" si="10"/>
        <v>2.1440721850688434E-3</v>
      </c>
      <c r="M367" s="3">
        <f t="shared" si="11"/>
        <v>7.9596095316926733E-4</v>
      </c>
    </row>
    <row r="368" spans="1:13" x14ac:dyDescent="0.35">
      <c r="A368" t="s">
        <v>96</v>
      </c>
      <c r="B368" t="s">
        <v>67</v>
      </c>
      <c r="C368" s="2">
        <v>3036748</v>
      </c>
      <c r="D368" s="2">
        <v>3905119</v>
      </c>
      <c r="E368" s="2">
        <v>5344749</v>
      </c>
      <c r="F368" s="2"/>
      <c r="G368" s="2">
        <v>3877496</v>
      </c>
      <c r="H368" s="2"/>
      <c r="I368" s="2">
        <v>1289758</v>
      </c>
      <c r="J368" s="2">
        <v>525068</v>
      </c>
      <c r="K368" s="2">
        <v>6743606463</v>
      </c>
      <c r="L368" s="3">
        <f t="shared" si="10"/>
        <v>2.666071648552544E-3</v>
      </c>
      <c r="M368" s="3">
        <f t="shared" si="11"/>
        <v>8.4410649275457278E-4</v>
      </c>
    </row>
    <row r="369" spans="1:13" x14ac:dyDescent="0.35">
      <c r="A369" t="s">
        <v>96</v>
      </c>
      <c r="B369" t="s">
        <v>68</v>
      </c>
      <c r="C369" s="2">
        <v>5188020</v>
      </c>
      <c r="D369" s="2">
        <v>6259603</v>
      </c>
      <c r="E369" s="2">
        <v>4214096</v>
      </c>
      <c r="F369" s="2"/>
      <c r="G369" s="2">
        <v>1722722</v>
      </c>
      <c r="H369" s="2"/>
      <c r="I369" s="2">
        <v>204516</v>
      </c>
      <c r="J369" s="2">
        <v>182586</v>
      </c>
      <c r="K369" s="2">
        <v>6240761527</v>
      </c>
      <c r="L369" s="3">
        <f t="shared" si="10"/>
        <v>2.8476561591262994E-3</v>
      </c>
      <c r="M369" s="3">
        <f t="shared" si="11"/>
        <v>3.3807156240020834E-4</v>
      </c>
    </row>
    <row r="370" spans="1:13" x14ac:dyDescent="0.35">
      <c r="A370" t="s">
        <v>96</v>
      </c>
      <c r="B370" t="s">
        <v>69</v>
      </c>
      <c r="C370" s="2">
        <v>4503022</v>
      </c>
      <c r="D370" s="2">
        <v>2526247</v>
      </c>
      <c r="E370" s="2">
        <v>6000312</v>
      </c>
      <c r="F370" s="2"/>
      <c r="G370" s="2">
        <v>60529</v>
      </c>
      <c r="H370" s="2"/>
      <c r="I370" s="2">
        <v>6201270</v>
      </c>
      <c r="J370" s="2">
        <v>127097</v>
      </c>
      <c r="K370" s="2">
        <v>5611247279</v>
      </c>
      <c r="L370" s="3">
        <f t="shared" si="10"/>
        <v>3.4606346921607482E-3</v>
      </c>
      <c r="M370" s="3">
        <f t="shared" si="11"/>
        <v>1.1385874979900348E-3</v>
      </c>
    </row>
    <row r="371" spans="1:13" x14ac:dyDescent="0.35">
      <c r="A371" t="s">
        <v>96</v>
      </c>
      <c r="B371" t="s">
        <v>70</v>
      </c>
      <c r="C371" s="2">
        <v>4625313</v>
      </c>
      <c r="D371" s="2">
        <v>2235024</v>
      </c>
      <c r="E371" s="2">
        <v>2712542</v>
      </c>
      <c r="F371" s="2"/>
      <c r="G371" s="2">
        <v>108065</v>
      </c>
      <c r="H371" s="2"/>
      <c r="I371" s="2">
        <v>1242426</v>
      </c>
      <c r="J371" s="2">
        <v>322052</v>
      </c>
      <c r="K371" s="2">
        <v>6509804513</v>
      </c>
      <c r="L371" s="3">
        <f t="shared" si="10"/>
        <v>1.7274592466706227E-3</v>
      </c>
      <c r="M371" s="3">
        <f t="shared" si="11"/>
        <v>2.5692676280216284E-4</v>
      </c>
    </row>
    <row r="372" spans="1:13" x14ac:dyDescent="0.35">
      <c r="A372" t="s">
        <v>96</v>
      </c>
      <c r="B372" t="s">
        <v>71</v>
      </c>
      <c r="C372" s="2">
        <v>4529672</v>
      </c>
      <c r="D372" s="2">
        <v>1727832</v>
      </c>
      <c r="E372" s="2">
        <v>5465387</v>
      </c>
      <c r="F372" s="2"/>
      <c r="G372" s="2">
        <v>2731559</v>
      </c>
      <c r="H372" s="2"/>
      <c r="I372" s="2">
        <v>170218</v>
      </c>
      <c r="J372" s="2">
        <v>311080</v>
      </c>
      <c r="K372" s="2">
        <v>6331717808</v>
      </c>
      <c r="L372" s="3">
        <f t="shared" si="10"/>
        <v>2.3588777094786153E-3</v>
      </c>
      <c r="M372" s="3">
        <f t="shared" si="11"/>
        <v>5.0742264539026347E-4</v>
      </c>
    </row>
    <row r="373" spans="1:13" x14ac:dyDescent="0.35">
      <c r="A373" t="s">
        <v>96</v>
      </c>
      <c r="B373" t="s">
        <v>72</v>
      </c>
      <c r="C373" s="2">
        <v>4001365</v>
      </c>
      <c r="D373" s="2">
        <v>1981771</v>
      </c>
      <c r="E373" s="2">
        <v>2530469</v>
      </c>
      <c r="F373" s="2"/>
      <c r="G373" s="2">
        <v>2034234</v>
      </c>
      <c r="H373" s="2"/>
      <c r="I373" s="2">
        <v>99952</v>
      </c>
      <c r="J373" s="2">
        <v>110859</v>
      </c>
      <c r="K373" s="2">
        <v>6152608181</v>
      </c>
      <c r="L373" s="3">
        <f t="shared" si="10"/>
        <v>1.748632398406909E-3</v>
      </c>
      <c r="M373" s="3">
        <f t="shared" si="11"/>
        <v>3.6489321828309676E-4</v>
      </c>
    </row>
    <row r="374" spans="1:13" x14ac:dyDescent="0.35">
      <c r="A374" t="s">
        <v>96</v>
      </c>
      <c r="B374" t="s">
        <v>73</v>
      </c>
      <c r="C374" s="2">
        <v>5310454</v>
      </c>
      <c r="D374" s="2">
        <v>2417911</v>
      </c>
      <c r="E374" s="2">
        <v>1163086</v>
      </c>
      <c r="F374" s="2"/>
      <c r="G374" s="2">
        <v>1837708</v>
      </c>
      <c r="H374" s="2"/>
      <c r="I374" s="2">
        <v>8554850</v>
      </c>
      <c r="J374" s="2">
        <v>231550</v>
      </c>
      <c r="K374" s="2">
        <v>6006431689</v>
      </c>
      <c r="L374" s="3">
        <f t="shared" si="10"/>
        <v>3.249110288849237E-3</v>
      </c>
      <c r="M374" s="3">
        <f t="shared" si="11"/>
        <v>1.7687886169515047E-3</v>
      </c>
    </row>
    <row r="375" spans="1:13" x14ac:dyDescent="0.35">
      <c r="A375" t="s">
        <v>96</v>
      </c>
      <c r="B375" t="s">
        <v>74</v>
      </c>
      <c r="C375" s="2">
        <v>3731881</v>
      </c>
      <c r="D375" s="2">
        <v>2521112</v>
      </c>
      <c r="E375" s="2">
        <v>2051085</v>
      </c>
      <c r="F375" s="2">
        <v>516368</v>
      </c>
      <c r="G375" s="2">
        <v>3871354</v>
      </c>
      <c r="H375" s="2"/>
      <c r="I375" s="2">
        <v>156947</v>
      </c>
      <c r="J375" s="2">
        <v>228275</v>
      </c>
      <c r="K375" s="2">
        <v>5658418864</v>
      </c>
      <c r="L375" s="3">
        <f t="shared" si="10"/>
        <v>2.3110735197068295E-3</v>
      </c>
      <c r="M375" s="3">
        <f t="shared" si="11"/>
        <v>8.4351196239048872E-4</v>
      </c>
    </row>
    <row r="376" spans="1:13" x14ac:dyDescent="0.35">
      <c r="A376" t="s">
        <v>96</v>
      </c>
      <c r="B376" t="s">
        <v>75</v>
      </c>
      <c r="C376" s="2">
        <v>4458745</v>
      </c>
      <c r="D376" s="2">
        <v>1534095</v>
      </c>
      <c r="E376" s="2">
        <v>1570883</v>
      </c>
      <c r="F376" s="2"/>
      <c r="G376" s="2">
        <v>281376</v>
      </c>
      <c r="H376" s="2"/>
      <c r="I376" s="2">
        <v>193105</v>
      </c>
      <c r="J376" s="2">
        <v>105963</v>
      </c>
      <c r="K376" s="2">
        <v>5759745683</v>
      </c>
      <c r="L376" s="3">
        <f t="shared" si="10"/>
        <v>1.4139803123665105E-3</v>
      </c>
      <c r="M376" s="3">
        <f t="shared" si="11"/>
        <v>1.007759772646198E-4</v>
      </c>
    </row>
    <row r="377" spans="1:13" x14ac:dyDescent="0.35">
      <c r="A377" t="s">
        <v>96</v>
      </c>
      <c r="B377" t="s">
        <v>76</v>
      </c>
      <c r="C377" s="2">
        <v>3061309</v>
      </c>
      <c r="D377" s="2">
        <v>2327143</v>
      </c>
      <c r="E377" s="2">
        <v>2849149</v>
      </c>
      <c r="F377" s="2"/>
      <c r="G377" s="2">
        <v>276117</v>
      </c>
      <c r="H377" s="2"/>
      <c r="I377" s="2">
        <v>26790</v>
      </c>
      <c r="J377" s="2">
        <v>350363</v>
      </c>
      <c r="K377" s="2">
        <v>6465435898</v>
      </c>
      <c r="L377" s="3">
        <f t="shared" si="10"/>
        <v>1.3751386821034414E-3</v>
      </c>
      <c r="M377" s="3">
        <f t="shared" si="11"/>
        <v>1.0104036453320661E-4</v>
      </c>
    </row>
    <row r="378" spans="1:13" x14ac:dyDescent="0.35">
      <c r="A378" t="s">
        <v>96</v>
      </c>
      <c r="B378" t="s">
        <v>77</v>
      </c>
      <c r="C378" s="2">
        <v>3024002</v>
      </c>
      <c r="D378" s="2">
        <v>1645112</v>
      </c>
      <c r="E378" s="2">
        <v>1462714</v>
      </c>
      <c r="F378" s="2"/>
      <c r="G378" s="2">
        <v>66821</v>
      </c>
      <c r="H378" s="2"/>
      <c r="I378" s="2">
        <v>10220</v>
      </c>
      <c r="J378" s="2">
        <v>105279</v>
      </c>
      <c r="K378" s="2">
        <v>5994953264</v>
      </c>
      <c r="L378" s="3">
        <f t="shared" si="10"/>
        <v>1.0532439073239787E-3</v>
      </c>
      <c r="M378" s="3">
        <f t="shared" si="11"/>
        <v>3.0412247097044258E-5</v>
      </c>
    </row>
    <row r="379" spans="1:13" x14ac:dyDescent="0.35">
      <c r="A379" t="s">
        <v>96</v>
      </c>
      <c r="B379" t="s">
        <v>78</v>
      </c>
      <c r="C379" s="2">
        <v>3649132</v>
      </c>
      <c r="D379" s="2">
        <v>2346119</v>
      </c>
      <c r="E379" s="2">
        <v>3295582</v>
      </c>
      <c r="F379" s="2"/>
      <c r="G379" s="2">
        <v>27963</v>
      </c>
      <c r="H379" s="2"/>
      <c r="I379" s="2">
        <v>815</v>
      </c>
      <c r="J379" s="2">
        <v>189994</v>
      </c>
      <c r="K379" s="2">
        <v>5950259112</v>
      </c>
      <c r="L379" s="3">
        <f t="shared" si="10"/>
        <v>1.5981833431122016E-3</v>
      </c>
      <c r="M379" s="3">
        <f t="shared" si="11"/>
        <v>3.6766802231989924E-5</v>
      </c>
    </row>
    <row r="380" spans="1:13" x14ac:dyDescent="0.35">
      <c r="A380" t="s">
        <v>96</v>
      </c>
      <c r="B380" t="s">
        <v>79</v>
      </c>
      <c r="C380" s="2">
        <v>3602935</v>
      </c>
      <c r="D380" s="2">
        <v>1705224</v>
      </c>
      <c r="E380" s="2">
        <v>2399510</v>
      </c>
      <c r="F380" s="2"/>
      <c r="G380" s="2">
        <v>3113997</v>
      </c>
      <c r="H380" s="2"/>
      <c r="I380" s="2">
        <v>1192350</v>
      </c>
      <c r="J380" s="2">
        <v>214898</v>
      </c>
      <c r="K380" s="2">
        <v>6467318520</v>
      </c>
      <c r="L380" s="3">
        <f t="shared" si="10"/>
        <v>1.8908785707990768E-3</v>
      </c>
      <c r="M380" s="3">
        <f t="shared" si="11"/>
        <v>6.9909112811100574E-4</v>
      </c>
    </row>
    <row r="381" spans="1:13" x14ac:dyDescent="0.35">
      <c r="A381" t="s">
        <v>96</v>
      </c>
      <c r="B381" t="s">
        <v>80</v>
      </c>
      <c r="C381" s="2">
        <v>5058186</v>
      </c>
      <c r="D381" s="2">
        <v>2541512</v>
      </c>
      <c r="E381" s="2">
        <v>1328033</v>
      </c>
      <c r="F381" s="2"/>
      <c r="G381" s="2">
        <v>3159615</v>
      </c>
      <c r="H381" s="2"/>
      <c r="I381" s="2">
        <v>394759</v>
      </c>
      <c r="J381" s="2">
        <v>375097</v>
      </c>
      <c r="K381" s="2">
        <v>7549144687</v>
      </c>
      <c r="L381" s="3">
        <f t="shared" si="10"/>
        <v>1.7031336042797984E-3</v>
      </c>
      <c r="M381" s="3">
        <f t="shared" si="11"/>
        <v>5.2051870283619591E-4</v>
      </c>
    </row>
    <row r="382" spans="1:13" x14ac:dyDescent="0.35">
      <c r="A382" t="s">
        <v>96</v>
      </c>
      <c r="B382" t="s">
        <v>81</v>
      </c>
      <c r="C382" s="2">
        <v>4624953</v>
      </c>
      <c r="D382" s="2">
        <v>3010933</v>
      </c>
      <c r="E382" s="2">
        <v>1751890</v>
      </c>
      <c r="F382" s="2"/>
      <c r="G382" s="2">
        <v>216635</v>
      </c>
      <c r="H382" s="2"/>
      <c r="I382" s="2">
        <v>701649</v>
      </c>
      <c r="J382" s="2">
        <v>739475</v>
      </c>
      <c r="K382" s="2">
        <v>5191708891</v>
      </c>
      <c r="L382" s="3">
        <f t="shared" si="10"/>
        <v>2.127533579386125E-3</v>
      </c>
      <c r="M382" s="3">
        <f t="shared" si="11"/>
        <v>3.1930892790883947E-4</v>
      </c>
    </row>
    <row r="383" spans="1:13" x14ac:dyDescent="0.35">
      <c r="A383" t="s">
        <v>96</v>
      </c>
      <c r="B383" t="s">
        <v>82</v>
      </c>
      <c r="C383" s="2">
        <v>5898075</v>
      </c>
      <c r="D383" s="2">
        <v>2641629</v>
      </c>
      <c r="E383" s="2">
        <v>1087599</v>
      </c>
      <c r="F383" s="2"/>
      <c r="G383" s="2">
        <v>4059676</v>
      </c>
      <c r="H383" s="2"/>
      <c r="I383" s="2">
        <v>34111</v>
      </c>
      <c r="J383" s="2">
        <v>177269</v>
      </c>
      <c r="K383" s="2">
        <v>6294217623</v>
      </c>
      <c r="L383" s="3">
        <f t="shared" si="10"/>
        <v>2.208115421559837E-3</v>
      </c>
      <c r="M383" s="3">
        <f t="shared" si="11"/>
        <v>6.7856821225769682E-4</v>
      </c>
    </row>
    <row r="384" spans="1:13" x14ac:dyDescent="0.35">
      <c r="A384" t="s">
        <v>96</v>
      </c>
      <c r="B384" t="s">
        <v>83</v>
      </c>
      <c r="C384" s="2">
        <v>12697077</v>
      </c>
      <c r="D384" s="2">
        <v>3245902</v>
      </c>
      <c r="E384" s="2">
        <v>2465481</v>
      </c>
      <c r="F384" s="2"/>
      <c r="G384" s="2">
        <v>2953649</v>
      </c>
      <c r="H384" s="2">
        <v>560</v>
      </c>
      <c r="I384" s="2"/>
      <c r="J384" s="2">
        <v>310189</v>
      </c>
      <c r="K384" s="2">
        <v>6904039514</v>
      </c>
      <c r="L384" s="3">
        <f t="shared" si="10"/>
        <v>3.1391561354844237E-3</v>
      </c>
      <c r="M384" s="3">
        <f t="shared" si="11"/>
        <v>4.7282435064000705E-4</v>
      </c>
    </row>
    <row r="385" spans="1:13" x14ac:dyDescent="0.35">
      <c r="A385" t="s">
        <v>96</v>
      </c>
      <c r="B385" t="s">
        <v>84</v>
      </c>
      <c r="C385" s="2">
        <v>13549881</v>
      </c>
      <c r="D385" s="2">
        <v>1913505</v>
      </c>
      <c r="E385" s="2">
        <v>2431624</v>
      </c>
      <c r="F385" s="2"/>
      <c r="G385" s="2">
        <v>6362399</v>
      </c>
      <c r="H385" s="2"/>
      <c r="I385" s="2">
        <v>126269</v>
      </c>
      <c r="J385" s="2">
        <v>506621</v>
      </c>
      <c r="K385" s="2">
        <v>5988735892</v>
      </c>
      <c r="L385" s="3">
        <f t="shared" si="10"/>
        <v>4.1561857875965919E-3</v>
      </c>
      <c r="M385" s="3">
        <f t="shared" si="11"/>
        <v>1.1680743860060009E-3</v>
      </c>
    </row>
    <row r="386" spans="1:13" x14ac:dyDescent="0.35">
      <c r="A386" t="s">
        <v>96</v>
      </c>
      <c r="B386" t="s">
        <v>85</v>
      </c>
      <c r="C386" s="2">
        <v>15631454</v>
      </c>
      <c r="D386" s="2">
        <v>3025176</v>
      </c>
      <c r="E386" s="2">
        <v>1857505</v>
      </c>
      <c r="F386" s="2">
        <v>2000</v>
      </c>
      <c r="G386" s="2">
        <v>3934863</v>
      </c>
      <c r="H386" s="2"/>
      <c r="I386" s="2">
        <v>88368</v>
      </c>
      <c r="J386" s="2">
        <v>479381</v>
      </c>
      <c r="K386" s="2">
        <v>6055260256</v>
      </c>
      <c r="L386" s="3">
        <f t="shared" ref="L386:L449" si="12">SUM(C386:J386)/K386</f>
        <v>4.1317376862884756E-3</v>
      </c>
      <c r="M386" s="3">
        <f t="shared" ref="M386:M449" si="13">SUM(F386:J386)/K386</f>
        <v>7.4391715790192458E-4</v>
      </c>
    </row>
    <row r="387" spans="1:13" x14ac:dyDescent="0.35">
      <c r="A387" t="s">
        <v>96</v>
      </c>
      <c r="B387" t="s">
        <v>86</v>
      </c>
      <c r="C387" s="2">
        <v>5079962</v>
      </c>
      <c r="D387" s="2">
        <v>1831738</v>
      </c>
      <c r="E387" s="2">
        <v>1900390</v>
      </c>
      <c r="F387" s="2"/>
      <c r="G387" s="2">
        <v>3342076</v>
      </c>
      <c r="H387" s="2"/>
      <c r="I387" s="2"/>
      <c r="J387" s="2">
        <v>649027</v>
      </c>
      <c r="K387" s="2">
        <v>5854464789</v>
      </c>
      <c r="L387" s="3">
        <f t="shared" si="12"/>
        <v>2.1869109237886305E-3</v>
      </c>
      <c r="M387" s="3">
        <f t="shared" si="13"/>
        <v>6.8171953267169951E-4</v>
      </c>
    </row>
    <row r="388" spans="1:13" x14ac:dyDescent="0.35">
      <c r="A388" t="s">
        <v>96</v>
      </c>
      <c r="B388" t="s">
        <v>87</v>
      </c>
      <c r="C388" s="2">
        <v>8004963</v>
      </c>
      <c r="D388" s="2">
        <v>3207430</v>
      </c>
      <c r="E388" s="2">
        <v>1278054</v>
      </c>
      <c r="F388" s="2"/>
      <c r="G388" s="2">
        <v>2084889</v>
      </c>
      <c r="H388" s="2"/>
      <c r="I388" s="2"/>
      <c r="J388" s="2">
        <v>969675</v>
      </c>
      <c r="K388" s="2">
        <v>5641059645</v>
      </c>
      <c r="L388" s="3">
        <f t="shared" si="12"/>
        <v>2.7556898842185525E-3</v>
      </c>
      <c r="M388" s="3">
        <f t="shared" si="13"/>
        <v>5.4148762683398294E-4</v>
      </c>
    </row>
    <row r="389" spans="1:13" x14ac:dyDescent="0.35">
      <c r="A389" t="s">
        <v>96</v>
      </c>
      <c r="B389" t="s">
        <v>88</v>
      </c>
      <c r="C389" s="2">
        <v>11123695</v>
      </c>
      <c r="D389" s="2">
        <v>2509602</v>
      </c>
      <c r="E389" s="2">
        <v>2250458</v>
      </c>
      <c r="F389" s="2"/>
      <c r="G389" s="2">
        <v>1732387</v>
      </c>
      <c r="H389" s="2"/>
      <c r="I389" s="2">
        <v>43852</v>
      </c>
      <c r="J389" s="2">
        <v>416953</v>
      </c>
      <c r="K389" s="2">
        <v>7375822334</v>
      </c>
      <c r="L389" s="3">
        <f t="shared" si="12"/>
        <v>2.4508381820250065E-3</v>
      </c>
      <c r="M389" s="3">
        <f t="shared" si="13"/>
        <v>2.9734881084243862E-4</v>
      </c>
    </row>
    <row r="390" spans="1:13" x14ac:dyDescent="0.35">
      <c r="A390" t="s">
        <v>96</v>
      </c>
      <c r="B390" t="s">
        <v>89</v>
      </c>
      <c r="C390" s="2">
        <v>8502328</v>
      </c>
      <c r="D390" s="2">
        <v>2616460</v>
      </c>
      <c r="E390" s="2">
        <v>7680488</v>
      </c>
      <c r="F390" s="2">
        <v>9450</v>
      </c>
      <c r="G390" s="2">
        <v>164877</v>
      </c>
      <c r="H390" s="2"/>
      <c r="I390" s="2">
        <v>38919</v>
      </c>
      <c r="J390" s="2">
        <v>311017</v>
      </c>
      <c r="K390" s="2">
        <v>7211856083</v>
      </c>
      <c r="L390" s="3">
        <f t="shared" si="12"/>
        <v>2.6794127305937256E-3</v>
      </c>
      <c r="M390" s="3">
        <f t="shared" si="13"/>
        <v>7.2694600941331628E-5</v>
      </c>
    </row>
    <row r="391" spans="1:13" x14ac:dyDescent="0.35">
      <c r="A391" t="s">
        <v>96</v>
      </c>
      <c r="B391" t="s">
        <v>90</v>
      </c>
      <c r="C391" s="2">
        <v>8613322</v>
      </c>
      <c r="D391" s="2">
        <v>2604617</v>
      </c>
      <c r="E391" s="2">
        <v>6515150</v>
      </c>
      <c r="F391" s="2"/>
      <c r="G391" s="2">
        <v>6224232</v>
      </c>
      <c r="H391" s="2"/>
      <c r="I391" s="2">
        <v>220145</v>
      </c>
      <c r="J391" s="2">
        <v>256497</v>
      </c>
      <c r="K391" s="2">
        <v>6401515017</v>
      </c>
      <c r="L391" s="3">
        <f t="shared" si="12"/>
        <v>3.8169031760626423E-3</v>
      </c>
      <c r="M391" s="3">
        <f t="shared" si="13"/>
        <v>1.0467637711080917E-3</v>
      </c>
    </row>
    <row r="392" spans="1:13" x14ac:dyDescent="0.35">
      <c r="A392" t="s">
        <v>96</v>
      </c>
      <c r="B392" t="s">
        <v>91</v>
      </c>
      <c r="C392" s="2">
        <v>8714869</v>
      </c>
      <c r="D392" s="2">
        <v>3335178</v>
      </c>
      <c r="E392" s="2">
        <v>6055356</v>
      </c>
      <c r="F392" s="2"/>
      <c r="G392" s="2">
        <v>3169725</v>
      </c>
      <c r="H392" s="2"/>
      <c r="I392" s="2"/>
      <c r="J392" s="2">
        <v>367448</v>
      </c>
      <c r="K392" s="2">
        <v>9068604485</v>
      </c>
      <c r="L392" s="3">
        <f t="shared" si="12"/>
        <v>2.3865387486903945E-3</v>
      </c>
      <c r="M392" s="3">
        <f t="shared" si="13"/>
        <v>3.9004601048051995E-4</v>
      </c>
    </row>
    <row r="393" spans="1:13" x14ac:dyDescent="0.35">
      <c r="A393" t="s">
        <v>97</v>
      </c>
      <c r="B393" t="s">
        <v>14</v>
      </c>
      <c r="C393" s="2">
        <v>49463725</v>
      </c>
      <c r="D393" s="2">
        <v>25621495</v>
      </c>
      <c r="E393" s="2">
        <v>68696803</v>
      </c>
      <c r="F393" s="2"/>
      <c r="G393" s="2">
        <v>4533110</v>
      </c>
      <c r="H393" s="2"/>
      <c r="I393" s="2">
        <v>543190</v>
      </c>
      <c r="J393" s="2">
        <v>17329756</v>
      </c>
      <c r="K393" s="2">
        <v>38813708166</v>
      </c>
      <c r="L393" s="3">
        <f t="shared" si="12"/>
        <v>4.2816851790929188E-3</v>
      </c>
      <c r="M393" s="3">
        <f t="shared" si="13"/>
        <v>5.7727171813043204E-4</v>
      </c>
    </row>
    <row r="394" spans="1:13" x14ac:dyDescent="0.35">
      <c r="A394" t="s">
        <v>97</v>
      </c>
      <c r="B394" t="s">
        <v>15</v>
      </c>
      <c r="C394" s="2">
        <v>36252407</v>
      </c>
      <c r="D394" s="2">
        <v>24361190</v>
      </c>
      <c r="E394" s="2">
        <v>55232566</v>
      </c>
      <c r="F394" s="2"/>
      <c r="G394" s="2">
        <v>3935273</v>
      </c>
      <c r="H394" s="2">
        <v>360089</v>
      </c>
      <c r="I394" s="2">
        <v>1530667</v>
      </c>
      <c r="J394" s="2">
        <v>4938887</v>
      </c>
      <c r="K394" s="2">
        <v>40980836322</v>
      </c>
      <c r="L394" s="3">
        <f t="shared" si="12"/>
        <v>3.0895191597646965E-3</v>
      </c>
      <c r="M394" s="3">
        <f t="shared" si="13"/>
        <v>2.626817060397814E-4</v>
      </c>
    </row>
    <row r="395" spans="1:13" x14ac:dyDescent="0.35">
      <c r="A395" t="s">
        <v>97</v>
      </c>
      <c r="B395" t="s">
        <v>16</v>
      </c>
      <c r="C395" s="2">
        <v>55705687</v>
      </c>
      <c r="D395" s="2">
        <v>21896884</v>
      </c>
      <c r="E395" s="2">
        <v>43224407</v>
      </c>
      <c r="F395" s="2">
        <v>9353</v>
      </c>
      <c r="G395" s="2">
        <v>7124631</v>
      </c>
      <c r="H395" s="2"/>
      <c r="I395" s="2">
        <v>742799</v>
      </c>
      <c r="J395" s="2">
        <v>4885462</v>
      </c>
      <c r="K395" s="2">
        <v>38597242788</v>
      </c>
      <c r="L395" s="3">
        <f t="shared" si="12"/>
        <v>3.4611079276764632E-3</v>
      </c>
      <c r="M395" s="3">
        <f t="shared" si="13"/>
        <v>3.3065172738110251E-4</v>
      </c>
    </row>
    <row r="396" spans="1:13" x14ac:dyDescent="0.35">
      <c r="A396" t="s">
        <v>97</v>
      </c>
      <c r="B396" t="s">
        <v>17</v>
      </c>
      <c r="C396" s="2">
        <v>33453349</v>
      </c>
      <c r="D396" s="2">
        <v>19826075</v>
      </c>
      <c r="E396" s="2">
        <v>47805379</v>
      </c>
      <c r="F396" s="2">
        <v>7168</v>
      </c>
      <c r="G396" s="2">
        <v>1369109</v>
      </c>
      <c r="H396" s="2"/>
      <c r="I396" s="2">
        <v>258582</v>
      </c>
      <c r="J396" s="2">
        <v>5150493</v>
      </c>
      <c r="K396" s="2">
        <v>24786246713</v>
      </c>
      <c r="L396" s="3">
        <f t="shared" si="12"/>
        <v>4.3520165133926385E-3</v>
      </c>
      <c r="M396" s="3">
        <f t="shared" si="13"/>
        <v>2.7375471883934685E-4</v>
      </c>
    </row>
    <row r="397" spans="1:13" x14ac:dyDescent="0.35">
      <c r="A397" t="s">
        <v>97</v>
      </c>
      <c r="B397" t="s">
        <v>18</v>
      </c>
      <c r="C397" s="2">
        <v>30036462</v>
      </c>
      <c r="D397" s="2">
        <v>23381701</v>
      </c>
      <c r="E397" s="2">
        <v>78330324</v>
      </c>
      <c r="F397" s="2">
        <v>1111</v>
      </c>
      <c r="G397" s="2">
        <v>1309080</v>
      </c>
      <c r="H397" s="2">
        <v>442439</v>
      </c>
      <c r="I397" s="2">
        <v>438344</v>
      </c>
      <c r="J397" s="2">
        <v>5385908</v>
      </c>
      <c r="K397" s="2">
        <v>26156650850</v>
      </c>
      <c r="L397" s="3">
        <f t="shared" si="12"/>
        <v>5.3265752484515805E-3</v>
      </c>
      <c r="M397" s="3">
        <f t="shared" si="13"/>
        <v>2.8967324767421437E-4</v>
      </c>
    </row>
    <row r="398" spans="1:13" x14ac:dyDescent="0.35">
      <c r="A398" t="s">
        <v>97</v>
      </c>
      <c r="B398" t="s">
        <v>19</v>
      </c>
      <c r="C398" s="2">
        <v>41003274</v>
      </c>
      <c r="D398" s="2">
        <v>17000775</v>
      </c>
      <c r="E398" s="2">
        <v>57432560</v>
      </c>
      <c r="F398" s="2">
        <v>145639</v>
      </c>
      <c r="G398" s="2">
        <v>3657623</v>
      </c>
      <c r="H398" s="2">
        <v>161800</v>
      </c>
      <c r="I398" s="2">
        <v>1086904</v>
      </c>
      <c r="J398" s="2">
        <v>5212427</v>
      </c>
      <c r="K398" s="2">
        <v>34376790232</v>
      </c>
      <c r="L398" s="3">
        <f t="shared" si="12"/>
        <v>3.6565659897761452E-3</v>
      </c>
      <c r="M398" s="3">
        <f t="shared" si="13"/>
        <v>2.9858497348729437E-4</v>
      </c>
    </row>
    <row r="399" spans="1:13" x14ac:dyDescent="0.35">
      <c r="A399" t="s">
        <v>97</v>
      </c>
      <c r="B399" t="s">
        <v>20</v>
      </c>
      <c r="C399" s="2">
        <v>44859281</v>
      </c>
      <c r="D399" s="2">
        <v>17863930</v>
      </c>
      <c r="E399" s="2">
        <v>50058625</v>
      </c>
      <c r="F399" s="2">
        <v>310239</v>
      </c>
      <c r="G399" s="2">
        <v>8159442</v>
      </c>
      <c r="H399" s="2">
        <v>422338</v>
      </c>
      <c r="I399" s="2">
        <v>873872</v>
      </c>
      <c r="J399" s="2">
        <v>25141676</v>
      </c>
      <c r="K399" s="2">
        <v>37273776295</v>
      </c>
      <c r="L399" s="3">
        <f t="shared" si="12"/>
        <v>3.9622871004838713E-3</v>
      </c>
      <c r="M399" s="3">
        <f t="shared" si="13"/>
        <v>9.3651812265350184E-4</v>
      </c>
    </row>
    <row r="400" spans="1:13" x14ac:dyDescent="0.35">
      <c r="A400" t="s">
        <v>97</v>
      </c>
      <c r="B400" t="s">
        <v>21</v>
      </c>
      <c r="C400" s="2">
        <v>53535606</v>
      </c>
      <c r="D400" s="2">
        <v>20815026</v>
      </c>
      <c r="E400" s="2">
        <v>58169459</v>
      </c>
      <c r="F400" s="2">
        <v>1241</v>
      </c>
      <c r="G400" s="2">
        <v>4362761</v>
      </c>
      <c r="H400" s="2"/>
      <c r="I400" s="2">
        <v>794059</v>
      </c>
      <c r="J400" s="2">
        <v>6292601</v>
      </c>
      <c r="K400" s="2">
        <v>28045771692</v>
      </c>
      <c r="L400" s="3">
        <f t="shared" si="12"/>
        <v>5.1334209869884724E-3</v>
      </c>
      <c r="M400" s="3">
        <f t="shared" si="13"/>
        <v>4.0828478979832382E-4</v>
      </c>
    </row>
    <row r="401" spans="1:13" x14ac:dyDescent="0.35">
      <c r="A401" t="s">
        <v>97</v>
      </c>
      <c r="B401" t="s">
        <v>22</v>
      </c>
      <c r="C401" s="2">
        <v>41607168</v>
      </c>
      <c r="D401" s="2">
        <v>24278967</v>
      </c>
      <c r="E401" s="2">
        <v>59876685</v>
      </c>
      <c r="F401" s="2">
        <v>6292</v>
      </c>
      <c r="G401" s="2">
        <v>3582759</v>
      </c>
      <c r="H401" s="2"/>
      <c r="I401" s="2">
        <v>1927298</v>
      </c>
      <c r="J401" s="2">
        <v>5404098</v>
      </c>
      <c r="K401" s="2">
        <v>38497184314</v>
      </c>
      <c r="L401" s="3">
        <f t="shared" si="12"/>
        <v>3.5504743901567199E-3</v>
      </c>
      <c r="M401" s="3">
        <f t="shared" si="13"/>
        <v>2.8366872005308291E-4</v>
      </c>
    </row>
    <row r="402" spans="1:13" x14ac:dyDescent="0.35">
      <c r="A402" t="s">
        <v>97</v>
      </c>
      <c r="B402" t="s">
        <v>23</v>
      </c>
      <c r="C402" s="2">
        <v>53622439</v>
      </c>
      <c r="D402" s="2">
        <v>23102784</v>
      </c>
      <c r="E402" s="2">
        <v>60918496</v>
      </c>
      <c r="F402" s="2">
        <v>2656</v>
      </c>
      <c r="G402" s="2">
        <v>2538320</v>
      </c>
      <c r="H402" s="2"/>
      <c r="I402" s="2">
        <v>535549</v>
      </c>
      <c r="J402" s="2">
        <v>3591220</v>
      </c>
      <c r="K402" s="2">
        <v>41383621365</v>
      </c>
      <c r="L402" s="3">
        <f t="shared" si="12"/>
        <v>3.4871637435299639E-3</v>
      </c>
      <c r="M402" s="3">
        <f t="shared" si="13"/>
        <v>1.6112038483029456E-4</v>
      </c>
    </row>
    <row r="403" spans="1:13" x14ac:dyDescent="0.35">
      <c r="A403" t="s">
        <v>97</v>
      </c>
      <c r="B403" t="s">
        <v>24</v>
      </c>
      <c r="C403" s="2">
        <v>53490703</v>
      </c>
      <c r="D403" s="2">
        <v>29834999</v>
      </c>
      <c r="E403" s="2">
        <v>50367354</v>
      </c>
      <c r="F403" s="2">
        <v>110230</v>
      </c>
      <c r="G403" s="2">
        <v>10547200</v>
      </c>
      <c r="H403" s="2"/>
      <c r="I403" s="2">
        <v>598644</v>
      </c>
      <c r="J403" s="2">
        <v>5195256</v>
      </c>
      <c r="K403" s="2">
        <v>39498664449</v>
      </c>
      <c r="L403" s="3">
        <f t="shared" si="12"/>
        <v>3.801252221929272E-3</v>
      </c>
      <c r="M403" s="3">
        <f t="shared" si="13"/>
        <v>4.1650344966072655E-4</v>
      </c>
    </row>
    <row r="404" spans="1:13" x14ac:dyDescent="0.35">
      <c r="A404" t="s">
        <v>97</v>
      </c>
      <c r="B404" t="s">
        <v>25</v>
      </c>
      <c r="C404" s="2">
        <v>61699244</v>
      </c>
      <c r="D404" s="2">
        <v>32166962</v>
      </c>
      <c r="E404" s="2">
        <v>46235481</v>
      </c>
      <c r="F404" s="2">
        <v>2125</v>
      </c>
      <c r="G404" s="2">
        <v>4954682</v>
      </c>
      <c r="H404" s="2"/>
      <c r="I404" s="2">
        <v>473068</v>
      </c>
      <c r="J404" s="2">
        <v>7477095</v>
      </c>
      <c r="K404" s="2">
        <v>38825690967</v>
      </c>
      <c r="L404" s="3">
        <f t="shared" si="12"/>
        <v>3.9409126583233286E-3</v>
      </c>
      <c r="M404" s="3">
        <f t="shared" si="13"/>
        <v>3.3243374885382756E-4</v>
      </c>
    </row>
    <row r="405" spans="1:13" x14ac:dyDescent="0.35">
      <c r="A405" t="s">
        <v>97</v>
      </c>
      <c r="B405" t="s">
        <v>26</v>
      </c>
      <c r="C405" s="2">
        <v>43087501</v>
      </c>
      <c r="D405" s="2">
        <v>20964209</v>
      </c>
      <c r="E405" s="2">
        <v>63726833</v>
      </c>
      <c r="F405" s="2">
        <v>1678</v>
      </c>
      <c r="G405" s="2">
        <v>5783882</v>
      </c>
      <c r="H405" s="2"/>
      <c r="I405" s="2">
        <v>884840</v>
      </c>
      <c r="J405" s="2">
        <v>4971282</v>
      </c>
      <c r="K405" s="2">
        <v>35691248339</v>
      </c>
      <c r="L405" s="3">
        <f t="shared" si="12"/>
        <v>3.9062860361668787E-3</v>
      </c>
      <c r="M405" s="3">
        <f t="shared" si="13"/>
        <v>3.2617749565456018E-4</v>
      </c>
    </row>
    <row r="406" spans="1:13" x14ac:dyDescent="0.35">
      <c r="A406" t="s">
        <v>97</v>
      </c>
      <c r="B406" t="s">
        <v>27</v>
      </c>
      <c r="C406" s="2">
        <v>50590351</v>
      </c>
      <c r="D406" s="2">
        <v>24613778</v>
      </c>
      <c r="E406" s="2">
        <v>56423647</v>
      </c>
      <c r="F406" s="2">
        <v>1581</v>
      </c>
      <c r="G406" s="2">
        <v>2100825</v>
      </c>
      <c r="H406" s="2">
        <v>289</v>
      </c>
      <c r="I406" s="2">
        <v>826984</v>
      </c>
      <c r="J406" s="2">
        <v>4235946</v>
      </c>
      <c r="K406" s="2">
        <v>37336063344</v>
      </c>
      <c r="L406" s="3">
        <f t="shared" si="12"/>
        <v>3.7174085473664284E-3</v>
      </c>
      <c r="M406" s="3">
        <f t="shared" si="13"/>
        <v>1.9192234955192549E-4</v>
      </c>
    </row>
    <row r="407" spans="1:13" x14ac:dyDescent="0.35">
      <c r="A407" t="s">
        <v>97</v>
      </c>
      <c r="B407" t="s">
        <v>28</v>
      </c>
      <c r="C407" s="2">
        <v>64610366</v>
      </c>
      <c r="D407" s="2">
        <v>29029239</v>
      </c>
      <c r="E407" s="2">
        <v>70575247</v>
      </c>
      <c r="F407" s="2">
        <v>589</v>
      </c>
      <c r="G407" s="2">
        <v>2525027</v>
      </c>
      <c r="H407" s="2"/>
      <c r="I407" s="2">
        <v>1719424</v>
      </c>
      <c r="J407" s="2">
        <v>5063509</v>
      </c>
      <c r="K407" s="2">
        <v>44164319944</v>
      </c>
      <c r="L407" s="3">
        <f t="shared" si="12"/>
        <v>3.9290404838119609E-3</v>
      </c>
      <c r="M407" s="3">
        <f t="shared" si="13"/>
        <v>2.107707989572389E-4</v>
      </c>
    </row>
    <row r="408" spans="1:13" x14ac:dyDescent="0.35">
      <c r="A408" t="s">
        <v>97</v>
      </c>
      <c r="B408" t="s">
        <v>29</v>
      </c>
      <c r="C408" s="2">
        <v>45453900</v>
      </c>
      <c r="D408" s="2">
        <v>24498817</v>
      </c>
      <c r="E408" s="2">
        <v>58044204</v>
      </c>
      <c r="F408" s="2"/>
      <c r="G408" s="2">
        <v>2323547</v>
      </c>
      <c r="H408" s="2">
        <v>540</v>
      </c>
      <c r="I408" s="2">
        <v>909790</v>
      </c>
      <c r="J408" s="2">
        <v>6444874</v>
      </c>
      <c r="K408" s="2">
        <v>41268616228</v>
      </c>
      <c r="L408" s="3">
        <f t="shared" si="12"/>
        <v>3.336086464333388E-3</v>
      </c>
      <c r="M408" s="3">
        <f t="shared" si="13"/>
        <v>2.3453054365881899E-4</v>
      </c>
    </row>
    <row r="409" spans="1:13" x14ac:dyDescent="0.35">
      <c r="A409" t="s">
        <v>97</v>
      </c>
      <c r="B409" t="s">
        <v>30</v>
      </c>
      <c r="C409" s="2">
        <v>43999679</v>
      </c>
      <c r="D409" s="2">
        <v>24463458</v>
      </c>
      <c r="E409" s="2">
        <v>67402009</v>
      </c>
      <c r="F409" s="2">
        <v>2843</v>
      </c>
      <c r="G409" s="2">
        <v>2545875</v>
      </c>
      <c r="H409" s="2">
        <v>6643</v>
      </c>
      <c r="I409" s="2">
        <v>626769</v>
      </c>
      <c r="J409" s="2">
        <v>3674994</v>
      </c>
      <c r="K409" s="2">
        <v>37707016832</v>
      </c>
      <c r="L409" s="3">
        <f t="shared" si="12"/>
        <v>3.7850321237526E-3</v>
      </c>
      <c r="M409" s="3">
        <f t="shared" si="13"/>
        <v>1.8185273129803025E-4</v>
      </c>
    </row>
    <row r="410" spans="1:13" x14ac:dyDescent="0.35">
      <c r="A410" t="s">
        <v>97</v>
      </c>
      <c r="B410" t="s">
        <v>31</v>
      </c>
      <c r="C410" s="2">
        <v>80517110</v>
      </c>
      <c r="D410" s="2">
        <v>25280177</v>
      </c>
      <c r="E410" s="2">
        <v>58673640</v>
      </c>
      <c r="F410" s="2">
        <v>76296</v>
      </c>
      <c r="G410" s="2">
        <v>5832783</v>
      </c>
      <c r="H410" s="2">
        <v>1445</v>
      </c>
      <c r="I410" s="2">
        <v>1618224</v>
      </c>
      <c r="J410" s="2">
        <v>5072887</v>
      </c>
      <c r="K410" s="2">
        <v>44732933733</v>
      </c>
      <c r="L410" s="3">
        <f t="shared" si="12"/>
        <v>3.9584383858412469E-3</v>
      </c>
      <c r="M410" s="3">
        <f t="shared" si="13"/>
        <v>2.8170821693064205E-4</v>
      </c>
    </row>
    <row r="411" spans="1:13" x14ac:dyDescent="0.35">
      <c r="A411" t="s">
        <v>97</v>
      </c>
      <c r="B411" t="s">
        <v>32</v>
      </c>
      <c r="C411" s="2">
        <v>34044041</v>
      </c>
      <c r="D411" s="2">
        <v>24986395</v>
      </c>
      <c r="E411" s="2">
        <v>58175837</v>
      </c>
      <c r="F411" s="2">
        <v>16</v>
      </c>
      <c r="G411" s="2">
        <v>6466580</v>
      </c>
      <c r="H411" s="2">
        <v>387658</v>
      </c>
      <c r="I411" s="2">
        <v>921720</v>
      </c>
      <c r="J411" s="2">
        <v>4228120</v>
      </c>
      <c r="K411" s="2">
        <v>40754102217</v>
      </c>
      <c r="L411" s="3">
        <f t="shared" si="12"/>
        <v>3.1704873858342955E-3</v>
      </c>
      <c r="M411" s="3">
        <f t="shared" si="13"/>
        <v>2.945493422007628E-4</v>
      </c>
    </row>
    <row r="412" spans="1:13" x14ac:dyDescent="0.35">
      <c r="A412" t="s">
        <v>97</v>
      </c>
      <c r="B412" t="s">
        <v>33</v>
      </c>
      <c r="C412" s="2">
        <v>52315026</v>
      </c>
      <c r="D412" s="2">
        <v>35149814</v>
      </c>
      <c r="E412" s="2">
        <v>102093542</v>
      </c>
      <c r="F412" s="2"/>
      <c r="G412" s="2">
        <v>3559201</v>
      </c>
      <c r="H412" s="2"/>
      <c r="I412" s="2">
        <v>1379820</v>
      </c>
      <c r="J412" s="2">
        <v>4171410</v>
      </c>
      <c r="K412" s="2">
        <v>34795455821</v>
      </c>
      <c r="L412" s="3">
        <f t="shared" si="12"/>
        <v>5.7096194980753205E-3</v>
      </c>
      <c r="M412" s="3">
        <f t="shared" si="13"/>
        <v>2.6182818373948725E-4</v>
      </c>
    </row>
    <row r="413" spans="1:13" x14ac:dyDescent="0.35">
      <c r="A413" t="s">
        <v>97</v>
      </c>
      <c r="B413" t="s">
        <v>34</v>
      </c>
      <c r="C413" s="2">
        <v>44383197</v>
      </c>
      <c r="D413" s="2">
        <v>33567637</v>
      </c>
      <c r="E413" s="2">
        <v>43232472</v>
      </c>
      <c r="F413" s="2">
        <v>5</v>
      </c>
      <c r="G413" s="2">
        <v>5030573</v>
      </c>
      <c r="H413" s="2"/>
      <c r="I413" s="2">
        <v>447246</v>
      </c>
      <c r="J413" s="2">
        <v>10679271</v>
      </c>
      <c r="K413" s="2">
        <v>42825558660</v>
      </c>
      <c r="L413" s="3">
        <f t="shared" si="12"/>
        <v>3.2069727820802233E-3</v>
      </c>
      <c r="M413" s="3">
        <f t="shared" si="13"/>
        <v>3.7727692307003286E-4</v>
      </c>
    </row>
    <row r="414" spans="1:13" x14ac:dyDescent="0.35">
      <c r="A414" t="s">
        <v>97</v>
      </c>
      <c r="B414" t="s">
        <v>35</v>
      </c>
      <c r="C414" s="2">
        <v>32784016</v>
      </c>
      <c r="D414" s="2">
        <v>27065336</v>
      </c>
      <c r="E414" s="2">
        <v>60118373</v>
      </c>
      <c r="F414" s="2">
        <v>2</v>
      </c>
      <c r="G414" s="2">
        <v>19719826</v>
      </c>
      <c r="H414" s="2">
        <v>9500</v>
      </c>
      <c r="I414" s="2">
        <v>1971067</v>
      </c>
      <c r="J414" s="2">
        <v>4839061</v>
      </c>
      <c r="K414" s="2">
        <v>44659213708</v>
      </c>
      <c r="L414" s="3">
        <f t="shared" si="12"/>
        <v>3.2805589000720701E-3</v>
      </c>
      <c r="M414" s="3">
        <f t="shared" si="13"/>
        <v>5.9426608299746825E-4</v>
      </c>
    </row>
    <row r="415" spans="1:13" x14ac:dyDescent="0.35">
      <c r="A415" t="s">
        <v>97</v>
      </c>
      <c r="B415" t="s">
        <v>36</v>
      </c>
      <c r="C415" s="2">
        <v>40674710</v>
      </c>
      <c r="D415" s="2">
        <v>37107802</v>
      </c>
      <c r="E415" s="2">
        <v>152567460</v>
      </c>
      <c r="F415" s="2">
        <v>5</v>
      </c>
      <c r="G415" s="2">
        <v>17602704</v>
      </c>
      <c r="H415" s="2"/>
      <c r="I415" s="2">
        <v>436495</v>
      </c>
      <c r="J415" s="2">
        <v>4257080</v>
      </c>
      <c r="K415" s="2">
        <v>45296530263</v>
      </c>
      <c r="L415" s="3">
        <f t="shared" si="12"/>
        <v>5.5776072589465309E-3</v>
      </c>
      <c r="M415" s="3">
        <f t="shared" si="13"/>
        <v>4.9222940191099998E-4</v>
      </c>
    </row>
    <row r="416" spans="1:13" x14ac:dyDescent="0.35">
      <c r="A416" t="s">
        <v>97</v>
      </c>
      <c r="B416" t="s">
        <v>37</v>
      </c>
      <c r="C416" s="2">
        <v>34734392</v>
      </c>
      <c r="D416" s="2">
        <v>26612016</v>
      </c>
      <c r="E416" s="2">
        <v>65240262</v>
      </c>
      <c r="F416" s="2">
        <v>42506</v>
      </c>
      <c r="G416" s="2">
        <v>9306522</v>
      </c>
      <c r="H416" s="2"/>
      <c r="I416" s="2">
        <v>1325526</v>
      </c>
      <c r="J416" s="2">
        <v>12469924</v>
      </c>
      <c r="K416" s="2">
        <v>45717757108</v>
      </c>
      <c r="L416" s="3">
        <f t="shared" si="12"/>
        <v>3.2751201605600868E-3</v>
      </c>
      <c r="M416" s="3">
        <f t="shared" si="13"/>
        <v>5.0624701350342541E-4</v>
      </c>
    </row>
    <row r="417" spans="1:13" x14ac:dyDescent="0.35">
      <c r="A417" t="s">
        <v>97</v>
      </c>
      <c r="B417" t="s">
        <v>38</v>
      </c>
      <c r="C417" s="2">
        <v>23873773</v>
      </c>
      <c r="D417" s="2">
        <v>41991166</v>
      </c>
      <c r="E417" s="2">
        <v>108902441</v>
      </c>
      <c r="F417" s="2"/>
      <c r="G417" s="2">
        <v>43834070</v>
      </c>
      <c r="H417" s="2">
        <v>35919</v>
      </c>
      <c r="I417" s="2">
        <v>1420149</v>
      </c>
      <c r="J417" s="2">
        <v>4736997</v>
      </c>
      <c r="K417" s="2">
        <v>44838166011</v>
      </c>
      <c r="L417" s="3">
        <f t="shared" si="12"/>
        <v>5.0134636404364063E-3</v>
      </c>
      <c r="M417" s="3">
        <f t="shared" si="13"/>
        <v>1.1157266108459255E-3</v>
      </c>
    </row>
    <row r="418" spans="1:13" x14ac:dyDescent="0.35">
      <c r="A418" t="s">
        <v>97</v>
      </c>
      <c r="B418" t="s">
        <v>39</v>
      </c>
      <c r="C418" s="2">
        <v>24194914</v>
      </c>
      <c r="D418" s="2">
        <v>34969134</v>
      </c>
      <c r="E418" s="2">
        <v>112492546</v>
      </c>
      <c r="F418" s="2"/>
      <c r="G418" s="2">
        <v>31842826</v>
      </c>
      <c r="H418" s="2">
        <v>21581</v>
      </c>
      <c r="I418" s="2">
        <v>1325313</v>
      </c>
      <c r="J418" s="2">
        <v>4559034</v>
      </c>
      <c r="K418" s="2">
        <v>44465657440</v>
      </c>
      <c r="L418" s="3">
        <f t="shared" si="12"/>
        <v>4.7093725822577202E-3</v>
      </c>
      <c r="M418" s="3">
        <f t="shared" si="13"/>
        <v>8.4894177154439931E-4</v>
      </c>
    </row>
    <row r="419" spans="1:13" x14ac:dyDescent="0.35">
      <c r="A419" t="s">
        <v>97</v>
      </c>
      <c r="B419" t="s">
        <v>40</v>
      </c>
      <c r="C419" s="2">
        <v>30228732</v>
      </c>
      <c r="D419" s="2">
        <v>31760242</v>
      </c>
      <c r="E419" s="2">
        <v>88903608</v>
      </c>
      <c r="F419" s="2">
        <v>48661</v>
      </c>
      <c r="G419" s="2">
        <v>37754177</v>
      </c>
      <c r="H419" s="2"/>
      <c r="I419" s="2">
        <v>1022644</v>
      </c>
      <c r="J419" s="2">
        <v>6460667</v>
      </c>
      <c r="K419" s="2">
        <v>51261185938</v>
      </c>
      <c r="L419" s="3">
        <f t="shared" si="12"/>
        <v>3.8270423793409039E-3</v>
      </c>
      <c r="M419" s="3">
        <f t="shared" si="13"/>
        <v>8.8343935418843484E-4</v>
      </c>
    </row>
    <row r="420" spans="1:13" x14ac:dyDescent="0.35">
      <c r="A420" t="s">
        <v>97</v>
      </c>
      <c r="B420" t="s">
        <v>41</v>
      </c>
      <c r="C420" s="2">
        <v>33595433</v>
      </c>
      <c r="D420" s="2">
        <v>25842770</v>
      </c>
      <c r="E420" s="2">
        <v>75676595</v>
      </c>
      <c r="F420" s="2"/>
      <c r="G420" s="2">
        <v>29435528</v>
      </c>
      <c r="H420" s="2"/>
      <c r="I420" s="2">
        <v>630511</v>
      </c>
      <c r="J420" s="2">
        <v>4150115</v>
      </c>
      <c r="K420" s="2">
        <v>46196760421</v>
      </c>
      <c r="L420" s="3">
        <f t="shared" si="12"/>
        <v>3.6654291438805303E-3</v>
      </c>
      <c r="M420" s="3">
        <f t="shared" si="13"/>
        <v>7.406613296729377E-4</v>
      </c>
    </row>
    <row r="421" spans="1:13" x14ac:dyDescent="0.35">
      <c r="A421" t="s">
        <v>97</v>
      </c>
      <c r="B421" t="s">
        <v>42</v>
      </c>
      <c r="C421" s="2">
        <v>24930739</v>
      </c>
      <c r="D421" s="2">
        <v>28185401</v>
      </c>
      <c r="E421" s="2">
        <v>110140590</v>
      </c>
      <c r="F421" s="2"/>
      <c r="G421" s="2">
        <v>19520517</v>
      </c>
      <c r="H421" s="2"/>
      <c r="I421" s="2">
        <v>869850</v>
      </c>
      <c r="J421" s="2">
        <v>5662130</v>
      </c>
      <c r="K421" s="2">
        <v>48703345071</v>
      </c>
      <c r="L421" s="3">
        <f t="shared" si="12"/>
        <v>3.8869861346078794E-3</v>
      </c>
      <c r="M421" s="3">
        <f t="shared" si="13"/>
        <v>5.3492212828544993E-4</v>
      </c>
    </row>
    <row r="422" spans="1:13" x14ac:dyDescent="0.35">
      <c r="A422" t="s">
        <v>97</v>
      </c>
      <c r="B422" t="s">
        <v>43</v>
      </c>
      <c r="C422" s="2">
        <v>35489725</v>
      </c>
      <c r="D422" s="2">
        <v>26583644</v>
      </c>
      <c r="E422" s="2">
        <v>82649269</v>
      </c>
      <c r="F422" s="2"/>
      <c r="G422" s="2">
        <v>24702512</v>
      </c>
      <c r="H422" s="2"/>
      <c r="I422" s="2">
        <v>955590</v>
      </c>
      <c r="J422" s="2">
        <v>5804974</v>
      </c>
      <c r="K422" s="2">
        <v>52038151783</v>
      </c>
      <c r="L422" s="3">
        <f t="shared" si="12"/>
        <v>3.3857027577516106E-3</v>
      </c>
      <c r="M422" s="3">
        <f t="shared" si="13"/>
        <v>6.0461555458774896E-4</v>
      </c>
    </row>
    <row r="423" spans="1:13" x14ac:dyDescent="0.35">
      <c r="A423" t="s">
        <v>97</v>
      </c>
      <c r="B423" t="s">
        <v>44</v>
      </c>
      <c r="C423" s="2">
        <v>37998603</v>
      </c>
      <c r="D423" s="2">
        <v>24374167</v>
      </c>
      <c r="E423" s="2">
        <v>110788836</v>
      </c>
      <c r="F423" s="2">
        <v>9511</v>
      </c>
      <c r="G423" s="2">
        <v>3681826</v>
      </c>
      <c r="H423" s="2"/>
      <c r="I423" s="2">
        <v>350446</v>
      </c>
      <c r="J423" s="2">
        <v>4850792</v>
      </c>
      <c r="K423" s="2">
        <v>47438680580</v>
      </c>
      <c r="L423" s="3">
        <f t="shared" si="12"/>
        <v>3.8376737880174826E-3</v>
      </c>
      <c r="M423" s="3">
        <f t="shared" si="13"/>
        <v>1.8745409634662313E-4</v>
      </c>
    </row>
    <row r="424" spans="1:13" x14ac:dyDescent="0.35">
      <c r="A424" t="s">
        <v>97</v>
      </c>
      <c r="B424" t="s">
        <v>45</v>
      </c>
      <c r="C424" s="2">
        <v>31255337</v>
      </c>
      <c r="D424" s="2">
        <v>21828248</v>
      </c>
      <c r="E424" s="2">
        <v>140135937</v>
      </c>
      <c r="F424" s="2">
        <v>27454</v>
      </c>
      <c r="G424" s="2">
        <v>21849743</v>
      </c>
      <c r="H424" s="2"/>
      <c r="I424" s="2">
        <v>907079</v>
      </c>
      <c r="J424" s="2">
        <v>4913969</v>
      </c>
      <c r="K424" s="2">
        <v>44197984720</v>
      </c>
      <c r="L424" s="3">
        <f t="shared" si="12"/>
        <v>4.9983674233009239E-3</v>
      </c>
      <c r="M424" s="3">
        <f t="shared" si="13"/>
        <v>6.2668570016194164E-4</v>
      </c>
    </row>
    <row r="425" spans="1:13" x14ac:dyDescent="0.35">
      <c r="A425" t="s">
        <v>97</v>
      </c>
      <c r="B425" t="s">
        <v>46</v>
      </c>
      <c r="C425" s="2">
        <v>63047075</v>
      </c>
      <c r="D425" s="2">
        <v>24367183</v>
      </c>
      <c r="E425" s="2">
        <v>79862289</v>
      </c>
      <c r="F425" s="2"/>
      <c r="G425" s="2">
        <v>4022475</v>
      </c>
      <c r="H425" s="2">
        <v>7797</v>
      </c>
      <c r="I425" s="2">
        <v>1405891</v>
      </c>
      <c r="J425" s="2">
        <v>13626092</v>
      </c>
      <c r="K425" s="2">
        <v>53497191995</v>
      </c>
      <c r="L425" s="3">
        <f t="shared" si="12"/>
        <v>3.4831510786101773E-3</v>
      </c>
      <c r="M425" s="3">
        <f t="shared" si="13"/>
        <v>3.5632253374684811E-4</v>
      </c>
    </row>
    <row r="426" spans="1:13" x14ac:dyDescent="0.35">
      <c r="A426" t="s">
        <v>97</v>
      </c>
      <c r="B426" t="s">
        <v>47</v>
      </c>
      <c r="C426" s="2">
        <v>38917181</v>
      </c>
      <c r="D426" s="2">
        <v>23040115</v>
      </c>
      <c r="E426" s="2">
        <v>75567218</v>
      </c>
      <c r="F426" s="2"/>
      <c r="G426" s="2">
        <v>32072804</v>
      </c>
      <c r="H426" s="2"/>
      <c r="I426" s="2">
        <v>2027469</v>
      </c>
      <c r="J426" s="2">
        <v>7168098</v>
      </c>
      <c r="K426" s="2">
        <v>52452560641</v>
      </c>
      <c r="L426" s="3">
        <f t="shared" si="12"/>
        <v>3.4086588493497682E-3</v>
      </c>
      <c r="M426" s="3">
        <f t="shared" si="13"/>
        <v>7.8677514492480694E-4</v>
      </c>
    </row>
    <row r="427" spans="1:13" x14ac:dyDescent="0.35">
      <c r="A427" t="s">
        <v>97</v>
      </c>
      <c r="B427" t="s">
        <v>48</v>
      </c>
      <c r="C427" s="2">
        <v>33952654</v>
      </c>
      <c r="D427" s="2">
        <v>32559031</v>
      </c>
      <c r="E427" s="2">
        <v>66376727</v>
      </c>
      <c r="F427" s="2">
        <v>200</v>
      </c>
      <c r="G427" s="2">
        <v>10345806</v>
      </c>
      <c r="H427" s="2"/>
      <c r="I427" s="2">
        <v>1657448</v>
      </c>
      <c r="J427" s="2">
        <v>6450036</v>
      </c>
      <c r="K427" s="2">
        <v>52363675553</v>
      </c>
      <c r="L427" s="3">
        <f t="shared" si="12"/>
        <v>2.8902077709732003E-3</v>
      </c>
      <c r="M427" s="3">
        <f t="shared" si="13"/>
        <v>3.5241013555899572E-4</v>
      </c>
    </row>
    <row r="428" spans="1:13" x14ac:dyDescent="0.35">
      <c r="A428" t="s">
        <v>97</v>
      </c>
      <c r="B428" t="s">
        <v>49</v>
      </c>
      <c r="C428" s="2">
        <v>45817657</v>
      </c>
      <c r="D428" s="2">
        <v>29509781</v>
      </c>
      <c r="E428" s="2">
        <v>59376705</v>
      </c>
      <c r="F428" s="2"/>
      <c r="G428" s="2">
        <v>13210212</v>
      </c>
      <c r="H428" s="2"/>
      <c r="I428" s="2">
        <v>1766798</v>
      </c>
      <c r="J428" s="2">
        <v>13808038</v>
      </c>
      <c r="K428" s="2">
        <v>52256823146</v>
      </c>
      <c r="L428" s="3">
        <f t="shared" si="12"/>
        <v>3.1285711828143207E-3</v>
      </c>
      <c r="M428" s="3">
        <f t="shared" si="13"/>
        <v>5.5083807753826975E-4</v>
      </c>
    </row>
    <row r="429" spans="1:13" x14ac:dyDescent="0.35">
      <c r="A429" t="s">
        <v>97</v>
      </c>
      <c r="B429" t="s">
        <v>50</v>
      </c>
      <c r="C429" s="2">
        <v>34087113</v>
      </c>
      <c r="D429" s="2">
        <v>26752267</v>
      </c>
      <c r="E429" s="2">
        <v>55075270</v>
      </c>
      <c r="F429" s="2"/>
      <c r="G429" s="2">
        <v>11990385</v>
      </c>
      <c r="H429" s="2"/>
      <c r="I429" s="2">
        <v>332741</v>
      </c>
      <c r="J429" s="2">
        <v>6386418</v>
      </c>
      <c r="K429" s="2">
        <v>48555293628</v>
      </c>
      <c r="L429" s="3">
        <f t="shared" si="12"/>
        <v>2.7725956109215522E-3</v>
      </c>
      <c r="M429" s="3">
        <f t="shared" si="13"/>
        <v>3.853244950661963E-4</v>
      </c>
    </row>
    <row r="430" spans="1:13" x14ac:dyDescent="0.35">
      <c r="A430" t="s">
        <v>97</v>
      </c>
      <c r="B430" t="s">
        <v>51</v>
      </c>
      <c r="C430" s="2">
        <v>34017126</v>
      </c>
      <c r="D430" s="2">
        <v>22403506</v>
      </c>
      <c r="E430" s="2">
        <v>65261364</v>
      </c>
      <c r="F430" s="2">
        <v>2326</v>
      </c>
      <c r="G430" s="2">
        <v>8469325</v>
      </c>
      <c r="H430" s="2"/>
      <c r="I430" s="2">
        <v>884727</v>
      </c>
      <c r="J430" s="2">
        <v>6464236</v>
      </c>
      <c r="K430" s="2">
        <v>49881172045</v>
      </c>
      <c r="L430" s="3">
        <f t="shared" si="12"/>
        <v>2.7566034309689604E-3</v>
      </c>
      <c r="M430" s="3">
        <f t="shared" si="13"/>
        <v>3.1716604384771731E-4</v>
      </c>
    </row>
    <row r="431" spans="1:13" x14ac:dyDescent="0.35">
      <c r="A431" t="s">
        <v>97</v>
      </c>
      <c r="B431" t="s">
        <v>52</v>
      </c>
      <c r="C431" s="2">
        <v>43619884</v>
      </c>
      <c r="D431" s="2">
        <v>33049240</v>
      </c>
      <c r="E431" s="2">
        <v>85320793</v>
      </c>
      <c r="F431" s="2"/>
      <c r="G431" s="2">
        <v>5540508</v>
      </c>
      <c r="H431" s="2"/>
      <c r="I431" s="2">
        <v>2579001</v>
      </c>
      <c r="J431" s="2">
        <v>7456262</v>
      </c>
      <c r="K431" s="2">
        <v>55889117264</v>
      </c>
      <c r="L431" s="3">
        <f t="shared" si="12"/>
        <v>3.1771066836007418E-3</v>
      </c>
      <c r="M431" s="3">
        <f t="shared" si="13"/>
        <v>2.7869058883907012E-4</v>
      </c>
    </row>
    <row r="432" spans="1:13" x14ac:dyDescent="0.35">
      <c r="A432" t="s">
        <v>97</v>
      </c>
      <c r="B432" t="s">
        <v>53</v>
      </c>
      <c r="C432" s="2">
        <v>30096449</v>
      </c>
      <c r="D432" s="2">
        <v>26701355</v>
      </c>
      <c r="E432" s="2">
        <v>39768431</v>
      </c>
      <c r="F432" s="2">
        <v>694</v>
      </c>
      <c r="G432" s="2">
        <v>33425066</v>
      </c>
      <c r="H432" s="2"/>
      <c r="I432" s="2">
        <v>813657</v>
      </c>
      <c r="J432" s="2">
        <v>7509335</v>
      </c>
      <c r="K432" s="2">
        <v>46889571171</v>
      </c>
      <c r="L432" s="3">
        <f t="shared" si="12"/>
        <v>2.9498027716138354E-3</v>
      </c>
      <c r="M432" s="3">
        <f t="shared" si="13"/>
        <v>8.9036327177631632E-4</v>
      </c>
    </row>
    <row r="433" spans="1:13" x14ac:dyDescent="0.35">
      <c r="A433" t="s">
        <v>97</v>
      </c>
      <c r="B433" t="s">
        <v>54</v>
      </c>
      <c r="C433" s="2">
        <v>24595507</v>
      </c>
      <c r="D433" s="2">
        <v>26651949</v>
      </c>
      <c r="E433" s="2">
        <v>54918349</v>
      </c>
      <c r="F433" s="2"/>
      <c r="G433" s="2">
        <v>3221664</v>
      </c>
      <c r="H433" s="2">
        <v>3410</v>
      </c>
      <c r="I433" s="2">
        <v>1673137</v>
      </c>
      <c r="J433" s="2">
        <v>6268091</v>
      </c>
      <c r="K433" s="2">
        <v>51551746994</v>
      </c>
      <c r="L433" s="3">
        <f t="shared" si="12"/>
        <v>2.2760064176613848E-3</v>
      </c>
      <c r="M433" s="3">
        <f t="shared" si="13"/>
        <v>2.1660375547117002E-4</v>
      </c>
    </row>
    <row r="434" spans="1:13" x14ac:dyDescent="0.35">
      <c r="A434" t="s">
        <v>97</v>
      </c>
      <c r="B434" t="s">
        <v>55</v>
      </c>
      <c r="C434" s="2">
        <v>39701350</v>
      </c>
      <c r="D434" s="2">
        <v>24174763</v>
      </c>
      <c r="E434" s="2">
        <v>61980857</v>
      </c>
      <c r="F434" s="2"/>
      <c r="G434" s="2">
        <v>5539315</v>
      </c>
      <c r="H434" s="2">
        <v>843</v>
      </c>
      <c r="I434" s="2">
        <v>1443416</v>
      </c>
      <c r="J434" s="2">
        <v>12130270</v>
      </c>
      <c r="K434" s="2">
        <v>56112127561</v>
      </c>
      <c r="L434" s="3">
        <f t="shared" si="12"/>
        <v>2.5835914676805103E-3</v>
      </c>
      <c r="M434" s="3">
        <f t="shared" si="13"/>
        <v>3.4063659374207776E-4</v>
      </c>
    </row>
    <row r="435" spans="1:13" x14ac:dyDescent="0.35">
      <c r="A435" t="s">
        <v>97</v>
      </c>
      <c r="B435" t="s">
        <v>56</v>
      </c>
      <c r="C435" s="2">
        <v>29207582</v>
      </c>
      <c r="D435" s="2">
        <v>25306242</v>
      </c>
      <c r="E435" s="2">
        <v>47448422</v>
      </c>
      <c r="F435" s="2"/>
      <c r="G435" s="2">
        <v>49818110</v>
      </c>
      <c r="H435" s="2">
        <v>3198</v>
      </c>
      <c r="I435" s="2">
        <v>881129</v>
      </c>
      <c r="J435" s="2">
        <v>7854266</v>
      </c>
      <c r="K435" s="2">
        <v>49396607569</v>
      </c>
      <c r="L435" s="3">
        <f t="shared" si="12"/>
        <v>3.2495945956567559E-3</v>
      </c>
      <c r="M435" s="3">
        <f t="shared" si="13"/>
        <v>1.1854397676643008E-3</v>
      </c>
    </row>
    <row r="436" spans="1:13" x14ac:dyDescent="0.35">
      <c r="A436" t="s">
        <v>97</v>
      </c>
      <c r="B436" t="s">
        <v>57</v>
      </c>
      <c r="C436" s="2">
        <v>30303322</v>
      </c>
      <c r="D436" s="2">
        <v>22767726</v>
      </c>
      <c r="E436" s="2">
        <v>30101692</v>
      </c>
      <c r="F436" s="2">
        <v>100</v>
      </c>
      <c r="G436" s="2">
        <v>42494206</v>
      </c>
      <c r="H436" s="2"/>
      <c r="I436" s="2">
        <v>809337</v>
      </c>
      <c r="J436" s="2">
        <v>7593955</v>
      </c>
      <c r="K436" s="2">
        <v>42293324062</v>
      </c>
      <c r="L436" s="3">
        <f t="shared" si="12"/>
        <v>3.170011839302564E-3</v>
      </c>
      <c r="M436" s="3">
        <f t="shared" si="13"/>
        <v>1.2034428394747726E-3</v>
      </c>
    </row>
    <row r="437" spans="1:13" x14ac:dyDescent="0.35">
      <c r="A437" t="s">
        <v>97</v>
      </c>
      <c r="B437" t="s">
        <v>58</v>
      </c>
      <c r="C437" s="2">
        <v>38363769</v>
      </c>
      <c r="D437" s="2">
        <v>24182459</v>
      </c>
      <c r="E437" s="2">
        <v>70899145</v>
      </c>
      <c r="F437" s="2">
        <v>3902</v>
      </c>
      <c r="G437" s="2">
        <v>7825829</v>
      </c>
      <c r="H437" s="2"/>
      <c r="I437" s="2">
        <v>2169662</v>
      </c>
      <c r="J437" s="2">
        <v>8203042</v>
      </c>
      <c r="K437" s="2">
        <v>48497825266</v>
      </c>
      <c r="L437" s="3">
        <f t="shared" si="12"/>
        <v>3.1268991376055487E-3</v>
      </c>
      <c r="M437" s="3">
        <f t="shared" si="13"/>
        <v>3.7532476766047985E-4</v>
      </c>
    </row>
    <row r="438" spans="1:13" x14ac:dyDescent="0.35">
      <c r="A438" t="s">
        <v>97</v>
      </c>
      <c r="B438" t="s">
        <v>59</v>
      </c>
      <c r="C438" s="2">
        <v>44832481</v>
      </c>
      <c r="D438" s="2">
        <v>27148430</v>
      </c>
      <c r="E438" s="2">
        <v>87749022</v>
      </c>
      <c r="F438" s="2">
        <v>20484</v>
      </c>
      <c r="G438" s="2">
        <v>5149226</v>
      </c>
      <c r="H438" s="2">
        <v>266</v>
      </c>
      <c r="I438" s="2">
        <v>1210924</v>
      </c>
      <c r="J438" s="2">
        <v>8853117</v>
      </c>
      <c r="K438" s="2">
        <v>52639357716</v>
      </c>
      <c r="L438" s="3">
        <f t="shared" si="12"/>
        <v>3.3238238001300465E-3</v>
      </c>
      <c r="M438" s="3">
        <f t="shared" si="13"/>
        <v>2.8940355013810405E-4</v>
      </c>
    </row>
    <row r="439" spans="1:13" x14ac:dyDescent="0.35">
      <c r="A439" t="s">
        <v>97</v>
      </c>
      <c r="B439" t="s">
        <v>60</v>
      </c>
      <c r="C439" s="2">
        <v>61867879</v>
      </c>
      <c r="D439" s="2">
        <v>32178877</v>
      </c>
      <c r="E439" s="2">
        <v>67122745</v>
      </c>
      <c r="F439" s="2">
        <v>104</v>
      </c>
      <c r="G439" s="2">
        <v>10464932</v>
      </c>
      <c r="H439" s="2">
        <v>322</v>
      </c>
      <c r="I439" s="2">
        <v>1556193</v>
      </c>
      <c r="J439" s="2">
        <v>8625046</v>
      </c>
      <c r="K439" s="2">
        <v>52911468720</v>
      </c>
      <c r="L439" s="3">
        <f t="shared" si="12"/>
        <v>3.4362323027195682E-3</v>
      </c>
      <c r="M439" s="3">
        <f t="shared" si="13"/>
        <v>3.9021024173906165E-4</v>
      </c>
    </row>
    <row r="440" spans="1:13" x14ac:dyDescent="0.35">
      <c r="A440" t="s">
        <v>97</v>
      </c>
      <c r="B440" t="s">
        <v>61</v>
      </c>
      <c r="C440" s="2">
        <v>53189061</v>
      </c>
      <c r="D440" s="2">
        <v>25621059</v>
      </c>
      <c r="E440" s="2">
        <v>83724984</v>
      </c>
      <c r="F440" s="2"/>
      <c r="G440" s="2">
        <v>45122420</v>
      </c>
      <c r="H440" s="2">
        <v>35000</v>
      </c>
      <c r="I440" s="2">
        <v>442221</v>
      </c>
      <c r="J440" s="2">
        <v>10063309</v>
      </c>
      <c r="K440" s="2">
        <v>47605880415</v>
      </c>
      <c r="L440" s="3">
        <f t="shared" si="12"/>
        <v>4.5834265031520893E-3</v>
      </c>
      <c r="M440" s="3">
        <f t="shared" si="13"/>
        <v>1.1692452595091871E-3</v>
      </c>
    </row>
    <row r="441" spans="1:13" x14ac:dyDescent="0.35">
      <c r="A441" t="s">
        <v>97</v>
      </c>
      <c r="B441" t="s">
        <v>62</v>
      </c>
      <c r="C441" s="2">
        <v>35737044</v>
      </c>
      <c r="D441" s="2">
        <v>23054679</v>
      </c>
      <c r="E441" s="2">
        <v>70261966</v>
      </c>
      <c r="F441" s="2"/>
      <c r="G441" s="2">
        <v>7445840</v>
      </c>
      <c r="H441" s="2"/>
      <c r="I441" s="2">
        <v>1021282</v>
      </c>
      <c r="J441" s="2">
        <v>7504151</v>
      </c>
      <c r="K441" s="2">
        <v>46707885833</v>
      </c>
      <c r="L441" s="3">
        <f t="shared" si="12"/>
        <v>3.1049352676446153E-3</v>
      </c>
      <c r="M441" s="3">
        <f t="shared" si="13"/>
        <v>3.4193954008331491E-4</v>
      </c>
    </row>
    <row r="442" spans="1:13" x14ac:dyDescent="0.35">
      <c r="A442" t="s">
        <v>97</v>
      </c>
      <c r="B442" t="s">
        <v>63</v>
      </c>
      <c r="C442" s="2">
        <v>32588542</v>
      </c>
      <c r="D442" s="2">
        <v>26237290</v>
      </c>
      <c r="E442" s="2">
        <v>111523124</v>
      </c>
      <c r="F442" s="2">
        <v>342</v>
      </c>
      <c r="G442" s="2">
        <v>1538473</v>
      </c>
      <c r="H442" s="2"/>
      <c r="I442" s="2">
        <v>1036313</v>
      </c>
      <c r="J442" s="2">
        <v>7111126</v>
      </c>
      <c r="K442" s="2">
        <v>50224037984</v>
      </c>
      <c r="L442" s="3">
        <f t="shared" si="12"/>
        <v>3.584642279407209E-3</v>
      </c>
      <c r="M442" s="3">
        <f t="shared" si="13"/>
        <v>1.9286091658113539E-4</v>
      </c>
    </row>
    <row r="443" spans="1:13" x14ac:dyDescent="0.35">
      <c r="A443" t="s">
        <v>97</v>
      </c>
      <c r="B443" t="s">
        <v>64</v>
      </c>
      <c r="C443" s="2">
        <v>33550648</v>
      </c>
      <c r="D443" s="2">
        <v>27115488</v>
      </c>
      <c r="E443" s="2">
        <v>69718788</v>
      </c>
      <c r="F443" s="2">
        <v>12949</v>
      </c>
      <c r="G443" s="2">
        <v>33795798</v>
      </c>
      <c r="H443" s="2">
        <v>6468</v>
      </c>
      <c r="I443" s="2">
        <v>1429264</v>
      </c>
      <c r="J443" s="2">
        <v>8647954</v>
      </c>
      <c r="K443" s="2">
        <v>52544360762</v>
      </c>
      <c r="L443" s="3">
        <f t="shared" si="12"/>
        <v>3.3167661471683011E-3</v>
      </c>
      <c r="M443" s="3">
        <f t="shared" si="13"/>
        <v>8.3534050778181579E-4</v>
      </c>
    </row>
    <row r="444" spans="1:13" x14ac:dyDescent="0.35">
      <c r="A444" t="s">
        <v>97</v>
      </c>
      <c r="B444" t="s">
        <v>65</v>
      </c>
      <c r="C444" s="2">
        <v>44603740</v>
      </c>
      <c r="D444" s="2">
        <v>22021906</v>
      </c>
      <c r="E444" s="2">
        <v>75386785</v>
      </c>
      <c r="F444" s="2"/>
      <c r="G444" s="2">
        <v>4060911</v>
      </c>
      <c r="H444" s="2"/>
      <c r="I444" s="2">
        <v>4072108</v>
      </c>
      <c r="J444" s="2">
        <v>6870371</v>
      </c>
      <c r="K444" s="2">
        <v>50184192274</v>
      </c>
      <c r="L444" s="3">
        <f t="shared" si="12"/>
        <v>3.1287904394816483E-3</v>
      </c>
      <c r="M444" s="3">
        <f t="shared" si="13"/>
        <v>2.9896645378056885E-4</v>
      </c>
    </row>
    <row r="445" spans="1:13" x14ac:dyDescent="0.35">
      <c r="A445" t="s">
        <v>97</v>
      </c>
      <c r="B445" t="s">
        <v>66</v>
      </c>
      <c r="C445" s="2">
        <v>36784825</v>
      </c>
      <c r="D445" s="2">
        <v>21997887</v>
      </c>
      <c r="E445" s="2">
        <v>84780375</v>
      </c>
      <c r="F445" s="2"/>
      <c r="G445" s="2">
        <v>12197509</v>
      </c>
      <c r="H445" s="2"/>
      <c r="I445" s="2">
        <v>2890088</v>
      </c>
      <c r="J445" s="2">
        <v>5680651</v>
      </c>
      <c r="K445" s="2">
        <v>48270087247</v>
      </c>
      <c r="L445" s="3">
        <f t="shared" si="12"/>
        <v>3.4044134654058087E-3</v>
      </c>
      <c r="M445" s="3">
        <f t="shared" si="13"/>
        <v>4.3025089003315923E-4</v>
      </c>
    </row>
    <row r="446" spans="1:13" x14ac:dyDescent="0.35">
      <c r="A446" t="s">
        <v>97</v>
      </c>
      <c r="B446" t="s">
        <v>67</v>
      </c>
      <c r="C446" s="2">
        <v>35119588</v>
      </c>
      <c r="D446" s="2">
        <v>21507918</v>
      </c>
      <c r="E446" s="2">
        <v>67143153</v>
      </c>
      <c r="F446" s="2"/>
      <c r="G446" s="2">
        <v>25573247</v>
      </c>
      <c r="H446" s="2"/>
      <c r="I446" s="2">
        <v>3152451</v>
      </c>
      <c r="J446" s="2">
        <v>5812552</v>
      </c>
      <c r="K446" s="2">
        <v>52065033244</v>
      </c>
      <c r="L446" s="3">
        <f t="shared" si="12"/>
        <v>3.0405994030214818E-3</v>
      </c>
      <c r="M446" s="3">
        <f t="shared" si="13"/>
        <v>6.6336748193626107E-4</v>
      </c>
    </row>
    <row r="447" spans="1:13" x14ac:dyDescent="0.35">
      <c r="A447" t="s">
        <v>97</v>
      </c>
      <c r="B447" t="s">
        <v>68</v>
      </c>
      <c r="C447" s="2">
        <v>33737929</v>
      </c>
      <c r="D447" s="2">
        <v>39635798</v>
      </c>
      <c r="E447" s="2">
        <v>68445788</v>
      </c>
      <c r="F447" s="2"/>
      <c r="G447" s="2">
        <v>18308489</v>
      </c>
      <c r="H447" s="2"/>
      <c r="I447" s="2">
        <v>1408369</v>
      </c>
      <c r="J447" s="2">
        <v>6532249</v>
      </c>
      <c r="K447" s="2">
        <v>52551023531</v>
      </c>
      <c r="L447" s="3">
        <f t="shared" si="12"/>
        <v>3.1981988305300247E-3</v>
      </c>
      <c r="M447" s="3">
        <f t="shared" si="13"/>
        <v>4.994975404145188E-4</v>
      </c>
    </row>
    <row r="448" spans="1:13" x14ac:dyDescent="0.35">
      <c r="A448" t="s">
        <v>97</v>
      </c>
      <c r="B448" t="s">
        <v>69</v>
      </c>
      <c r="C448" s="2">
        <v>40540913</v>
      </c>
      <c r="D448" s="2">
        <v>21480160</v>
      </c>
      <c r="E448" s="2">
        <v>124513606</v>
      </c>
      <c r="F448" s="2"/>
      <c r="G448" s="2">
        <v>11355827</v>
      </c>
      <c r="H448" s="2">
        <v>1207</v>
      </c>
      <c r="I448" s="2">
        <v>1130281</v>
      </c>
      <c r="J448" s="2">
        <v>4843930</v>
      </c>
      <c r="K448" s="2">
        <v>39948726354</v>
      </c>
      <c r="L448" s="3">
        <f t="shared" si="12"/>
        <v>5.1031895783978419E-3</v>
      </c>
      <c r="M448" s="3">
        <f t="shared" si="13"/>
        <v>4.3383723542076455E-4</v>
      </c>
    </row>
    <row r="449" spans="1:13" x14ac:dyDescent="0.35">
      <c r="A449" t="s">
        <v>97</v>
      </c>
      <c r="B449" t="s">
        <v>70</v>
      </c>
      <c r="C449" s="2">
        <v>100698195</v>
      </c>
      <c r="D449" s="2">
        <v>21944278</v>
      </c>
      <c r="E449" s="2">
        <v>70043850</v>
      </c>
      <c r="F449" s="2"/>
      <c r="G449" s="2">
        <v>4675822</v>
      </c>
      <c r="H449" s="2">
        <v>579</v>
      </c>
      <c r="I449" s="2">
        <v>3023794</v>
      </c>
      <c r="J449" s="2">
        <v>6309999</v>
      </c>
      <c r="K449" s="2">
        <v>46269293367</v>
      </c>
      <c r="L449" s="3">
        <f t="shared" si="12"/>
        <v>4.4672503502597091E-3</v>
      </c>
      <c r="M449" s="3">
        <f t="shared" si="13"/>
        <v>3.027968006529422E-4</v>
      </c>
    </row>
    <row r="450" spans="1:13" x14ac:dyDescent="0.35">
      <c r="A450" t="s">
        <v>97</v>
      </c>
      <c r="B450" t="s">
        <v>71</v>
      </c>
      <c r="C450" s="2">
        <v>33675460</v>
      </c>
      <c r="D450" s="2">
        <v>33916205</v>
      </c>
      <c r="E450" s="2">
        <v>57362309</v>
      </c>
      <c r="F450" s="2"/>
      <c r="G450" s="2">
        <v>15409857</v>
      </c>
      <c r="H450" s="2">
        <v>561</v>
      </c>
      <c r="I450" s="2">
        <v>1950540</v>
      </c>
      <c r="J450" s="2">
        <v>9576820</v>
      </c>
      <c r="K450" s="2">
        <v>53289839220</v>
      </c>
      <c r="L450" s="3">
        <f t="shared" ref="L450:L513" si="14">SUM(C450:J450)/K450</f>
        <v>2.8502948071007523E-3</v>
      </c>
      <c r="M450" s="3">
        <f t="shared" ref="M450:M513" si="15">SUM(F450:J450)/K450</f>
        <v>5.0549557653553753E-4</v>
      </c>
    </row>
    <row r="451" spans="1:13" x14ac:dyDescent="0.35">
      <c r="A451" t="s">
        <v>97</v>
      </c>
      <c r="B451" t="s">
        <v>72</v>
      </c>
      <c r="C451" s="2">
        <v>52309878</v>
      </c>
      <c r="D451" s="2">
        <v>45009755</v>
      </c>
      <c r="E451" s="2">
        <v>86846236</v>
      </c>
      <c r="F451" s="2"/>
      <c r="G451" s="2">
        <v>16156118</v>
      </c>
      <c r="H451" s="2">
        <v>40</v>
      </c>
      <c r="I451" s="2">
        <v>1071690</v>
      </c>
      <c r="J451" s="2">
        <v>8113413</v>
      </c>
      <c r="K451" s="2">
        <v>49952232910</v>
      </c>
      <c r="L451" s="3">
        <f t="shared" si="14"/>
        <v>4.19414944628148E-3</v>
      </c>
      <c r="M451" s="3">
        <f t="shared" si="15"/>
        <v>5.0730987432849877E-4</v>
      </c>
    </row>
    <row r="452" spans="1:13" x14ac:dyDescent="0.35">
      <c r="A452" t="s">
        <v>97</v>
      </c>
      <c r="B452" t="s">
        <v>73</v>
      </c>
      <c r="C452" s="2">
        <v>43011767</v>
      </c>
      <c r="D452" s="2">
        <v>36104004</v>
      </c>
      <c r="E452" s="2">
        <v>69544736</v>
      </c>
      <c r="F452" s="2">
        <v>3150</v>
      </c>
      <c r="G452" s="2">
        <v>46127934</v>
      </c>
      <c r="H452" s="2">
        <v>3065</v>
      </c>
      <c r="I452" s="2">
        <v>2084429</v>
      </c>
      <c r="J452" s="2">
        <v>9448784</v>
      </c>
      <c r="K452" s="2">
        <v>50219428915</v>
      </c>
      <c r="L452" s="3">
        <f t="shared" si="14"/>
        <v>4.1085267884910593E-3</v>
      </c>
      <c r="M452" s="3">
        <f t="shared" si="15"/>
        <v>1.1483078013014875E-3</v>
      </c>
    </row>
    <row r="453" spans="1:13" x14ac:dyDescent="0.35">
      <c r="A453" t="s">
        <v>97</v>
      </c>
      <c r="B453" t="s">
        <v>74</v>
      </c>
      <c r="C453" s="2">
        <v>40783239</v>
      </c>
      <c r="D453" s="2">
        <v>37309919</v>
      </c>
      <c r="E453" s="2">
        <v>101342605</v>
      </c>
      <c r="F453" s="2">
        <v>56</v>
      </c>
      <c r="G453" s="2">
        <v>11231431</v>
      </c>
      <c r="H453" s="2">
        <v>577</v>
      </c>
      <c r="I453" s="2">
        <v>2142035</v>
      </c>
      <c r="J453" s="2">
        <v>10270035</v>
      </c>
      <c r="K453" s="2">
        <v>47435134981</v>
      </c>
      <c r="L453" s="3">
        <f t="shared" si="14"/>
        <v>4.2812125881236144E-3</v>
      </c>
      <c r="M453" s="3">
        <f t="shared" si="15"/>
        <v>4.9845191774979848E-4</v>
      </c>
    </row>
    <row r="454" spans="1:13" x14ac:dyDescent="0.35">
      <c r="A454" t="s">
        <v>97</v>
      </c>
      <c r="B454" t="s">
        <v>75</v>
      </c>
      <c r="C454" s="2">
        <v>39200762</v>
      </c>
      <c r="D454" s="2">
        <v>31788153</v>
      </c>
      <c r="E454" s="2">
        <v>93539751</v>
      </c>
      <c r="F454" s="2">
        <v>242</v>
      </c>
      <c r="G454" s="2">
        <v>6279873</v>
      </c>
      <c r="H454" s="2">
        <v>1240</v>
      </c>
      <c r="I454" s="2">
        <v>2940350</v>
      </c>
      <c r="J454" s="2">
        <v>8937410</v>
      </c>
      <c r="K454" s="2">
        <v>48000043300</v>
      </c>
      <c r="L454" s="3">
        <f t="shared" si="14"/>
        <v>3.8059920041780462E-3</v>
      </c>
      <c r="M454" s="3">
        <f t="shared" si="15"/>
        <v>3.7831455456207891E-4</v>
      </c>
    </row>
    <row r="455" spans="1:13" x14ac:dyDescent="0.35">
      <c r="A455" t="s">
        <v>97</v>
      </c>
      <c r="B455" t="s">
        <v>76</v>
      </c>
      <c r="C455" s="2">
        <v>55516527</v>
      </c>
      <c r="D455" s="2">
        <v>33201262</v>
      </c>
      <c r="E455" s="2">
        <v>62760165</v>
      </c>
      <c r="F455" s="2">
        <v>192</v>
      </c>
      <c r="G455" s="2">
        <v>20530893</v>
      </c>
      <c r="H455" s="2">
        <v>883</v>
      </c>
      <c r="I455" s="2">
        <v>2107542</v>
      </c>
      <c r="J455" s="2">
        <v>6971994</v>
      </c>
      <c r="K455" s="2">
        <v>54214849381</v>
      </c>
      <c r="L455" s="3">
        <f t="shared" si="14"/>
        <v>3.3402187789433233E-3</v>
      </c>
      <c r="M455" s="3">
        <f t="shared" si="15"/>
        <v>5.4618807094532987E-4</v>
      </c>
    </row>
    <row r="456" spans="1:13" x14ac:dyDescent="0.35">
      <c r="A456" t="s">
        <v>97</v>
      </c>
      <c r="B456" t="s">
        <v>77</v>
      </c>
      <c r="C456" s="2">
        <v>43333907</v>
      </c>
      <c r="D456" s="2">
        <v>27297829</v>
      </c>
      <c r="E456" s="2">
        <v>60887596</v>
      </c>
      <c r="F456" s="2">
        <v>265</v>
      </c>
      <c r="G456" s="2">
        <v>9312389</v>
      </c>
      <c r="H456" s="2">
        <v>480</v>
      </c>
      <c r="I456" s="2">
        <v>2838400</v>
      </c>
      <c r="J456" s="2">
        <v>11783350</v>
      </c>
      <c r="K456" s="2">
        <v>49949907987</v>
      </c>
      <c r="L456" s="3">
        <f t="shared" si="14"/>
        <v>3.1122022495108227E-3</v>
      </c>
      <c r="M456" s="3">
        <f t="shared" si="15"/>
        <v>4.7917773955117817E-4</v>
      </c>
    </row>
    <row r="457" spans="1:13" x14ac:dyDescent="0.35">
      <c r="A457" t="s">
        <v>97</v>
      </c>
      <c r="B457" t="s">
        <v>78</v>
      </c>
      <c r="C457" s="2">
        <v>51264283</v>
      </c>
      <c r="D457" s="2">
        <v>33874729</v>
      </c>
      <c r="E457" s="2">
        <v>87578423</v>
      </c>
      <c r="F457" s="2">
        <v>1355308</v>
      </c>
      <c r="G457" s="2">
        <v>4176538</v>
      </c>
      <c r="H457" s="2">
        <v>660</v>
      </c>
      <c r="I457" s="2">
        <v>1628356</v>
      </c>
      <c r="J457" s="2">
        <v>11316458</v>
      </c>
      <c r="K457" s="2">
        <v>46979445933</v>
      </c>
      <c r="L457" s="3">
        <f t="shared" si="14"/>
        <v>4.0697532974882985E-3</v>
      </c>
      <c r="M457" s="3">
        <f t="shared" si="15"/>
        <v>3.9330646909611352E-4</v>
      </c>
    </row>
    <row r="458" spans="1:13" x14ac:dyDescent="0.35">
      <c r="A458" t="s">
        <v>97</v>
      </c>
      <c r="B458" t="s">
        <v>79</v>
      </c>
      <c r="C458" s="2">
        <v>41698849</v>
      </c>
      <c r="D458" s="2">
        <v>30305963</v>
      </c>
      <c r="E458" s="2">
        <v>122802350</v>
      </c>
      <c r="F458" s="2">
        <v>666</v>
      </c>
      <c r="G458" s="2">
        <v>6021890</v>
      </c>
      <c r="H458" s="2">
        <v>789</v>
      </c>
      <c r="I458" s="2">
        <v>2329762</v>
      </c>
      <c r="J458" s="2">
        <v>17775928</v>
      </c>
      <c r="K458" s="2">
        <v>51278750528</v>
      </c>
      <c r="L458" s="3">
        <f t="shared" si="14"/>
        <v>4.3085331589614506E-3</v>
      </c>
      <c r="M458" s="3">
        <f t="shared" si="15"/>
        <v>5.0954897946923702E-4</v>
      </c>
    </row>
    <row r="459" spans="1:13" x14ac:dyDescent="0.35">
      <c r="A459" t="s">
        <v>97</v>
      </c>
      <c r="B459" t="s">
        <v>80</v>
      </c>
      <c r="C459" s="2">
        <v>42844516</v>
      </c>
      <c r="D459" s="2">
        <v>38491547</v>
      </c>
      <c r="E459" s="2">
        <v>80822642</v>
      </c>
      <c r="F459" s="2">
        <v>36098</v>
      </c>
      <c r="G459" s="2">
        <v>11810885</v>
      </c>
      <c r="H459" s="2"/>
      <c r="I459" s="2">
        <v>2422962</v>
      </c>
      <c r="J459" s="2">
        <v>10822121</v>
      </c>
      <c r="K459" s="2">
        <v>53802573931</v>
      </c>
      <c r="L459" s="3">
        <f t="shared" si="14"/>
        <v>3.4803310941990033E-3</v>
      </c>
      <c r="M459" s="3">
        <f t="shared" si="15"/>
        <v>4.6637296632275874E-4</v>
      </c>
    </row>
    <row r="460" spans="1:13" x14ac:dyDescent="0.35">
      <c r="A460" t="s">
        <v>97</v>
      </c>
      <c r="B460" t="s">
        <v>81</v>
      </c>
      <c r="C460" s="2">
        <v>43913734</v>
      </c>
      <c r="D460" s="2">
        <v>30026802</v>
      </c>
      <c r="E460" s="2">
        <v>103490980</v>
      </c>
      <c r="F460" s="2">
        <v>1794</v>
      </c>
      <c r="G460" s="2">
        <v>2255416</v>
      </c>
      <c r="H460" s="2">
        <v>18</v>
      </c>
      <c r="I460" s="2">
        <v>2297857</v>
      </c>
      <c r="J460" s="2">
        <v>7676480</v>
      </c>
      <c r="K460" s="2">
        <v>40565973660</v>
      </c>
      <c r="L460" s="3">
        <f t="shared" si="14"/>
        <v>4.6754228701532908E-3</v>
      </c>
      <c r="M460" s="3">
        <f t="shared" si="15"/>
        <v>3.0152277626854823E-4</v>
      </c>
    </row>
    <row r="461" spans="1:13" x14ac:dyDescent="0.35">
      <c r="A461" t="s">
        <v>97</v>
      </c>
      <c r="B461" t="s">
        <v>82</v>
      </c>
      <c r="C461" s="2">
        <v>174629730</v>
      </c>
      <c r="D461" s="2">
        <v>50943360</v>
      </c>
      <c r="E461" s="2">
        <v>96477669</v>
      </c>
      <c r="F461" s="2">
        <v>480</v>
      </c>
      <c r="G461" s="2">
        <v>7614671</v>
      </c>
      <c r="H461" s="2"/>
      <c r="I461" s="2">
        <v>2005758</v>
      </c>
      <c r="J461" s="2">
        <v>12088412</v>
      </c>
      <c r="K461" s="2">
        <v>51908961208</v>
      </c>
      <c r="L461" s="3">
        <f t="shared" si="14"/>
        <v>6.622364847998944E-3</v>
      </c>
      <c r="M461" s="3">
        <f t="shared" si="15"/>
        <v>4.1821913779030212E-4</v>
      </c>
    </row>
    <row r="462" spans="1:13" x14ac:dyDescent="0.35">
      <c r="A462" t="s">
        <v>97</v>
      </c>
      <c r="B462" t="s">
        <v>83</v>
      </c>
      <c r="C462" s="2">
        <v>57272122</v>
      </c>
      <c r="D462" s="2">
        <v>45336470</v>
      </c>
      <c r="E462" s="2">
        <v>139750087</v>
      </c>
      <c r="F462" s="2">
        <v>96</v>
      </c>
      <c r="G462" s="2">
        <v>9942920</v>
      </c>
      <c r="H462" s="2">
        <v>282</v>
      </c>
      <c r="I462" s="2">
        <v>2376328</v>
      </c>
      <c r="J462" s="2">
        <v>16135361</v>
      </c>
      <c r="K462" s="2">
        <v>57237972114</v>
      </c>
      <c r="L462" s="3">
        <f t="shared" si="14"/>
        <v>4.731363743296575E-3</v>
      </c>
      <c r="M462" s="3">
        <f t="shared" si="15"/>
        <v>4.9713478568609375E-4</v>
      </c>
    </row>
    <row r="463" spans="1:13" x14ac:dyDescent="0.35">
      <c r="A463" t="s">
        <v>97</v>
      </c>
      <c r="B463" t="s">
        <v>84</v>
      </c>
      <c r="C463" s="2">
        <v>61982987</v>
      </c>
      <c r="D463" s="2">
        <v>55754548</v>
      </c>
      <c r="E463" s="2">
        <v>80783052</v>
      </c>
      <c r="F463" s="2">
        <v>192</v>
      </c>
      <c r="G463" s="2">
        <v>73813435</v>
      </c>
      <c r="H463" s="2"/>
      <c r="I463" s="2">
        <v>2412633</v>
      </c>
      <c r="J463" s="2">
        <v>19183564</v>
      </c>
      <c r="K463" s="2">
        <v>51426459645</v>
      </c>
      <c r="L463" s="3">
        <f t="shared" si="14"/>
        <v>5.7155482416837485E-3</v>
      </c>
      <c r="M463" s="3">
        <f t="shared" si="15"/>
        <v>1.8552672040544858E-3</v>
      </c>
    </row>
    <row r="464" spans="1:13" x14ac:dyDescent="0.35">
      <c r="A464" t="s">
        <v>97</v>
      </c>
      <c r="B464" t="s">
        <v>85</v>
      </c>
      <c r="C464" s="2">
        <v>56294797</v>
      </c>
      <c r="D464" s="2">
        <v>36268615</v>
      </c>
      <c r="E464" s="2">
        <v>128014906</v>
      </c>
      <c r="F464" s="2">
        <v>296</v>
      </c>
      <c r="G464" s="2">
        <v>19754987</v>
      </c>
      <c r="H464" s="2"/>
      <c r="I464" s="2">
        <v>2304170</v>
      </c>
      <c r="J464" s="2">
        <v>17441303</v>
      </c>
      <c r="K464" s="2">
        <v>53233345975</v>
      </c>
      <c r="L464" s="3">
        <f t="shared" si="14"/>
        <v>4.8856420583094865E-3</v>
      </c>
      <c r="M464" s="3">
        <f t="shared" si="15"/>
        <v>7.4203030593926521E-4</v>
      </c>
    </row>
    <row r="465" spans="1:13" x14ac:dyDescent="0.35">
      <c r="A465" t="s">
        <v>97</v>
      </c>
      <c r="B465" t="s">
        <v>86</v>
      </c>
      <c r="C465" s="2">
        <v>44486464</v>
      </c>
      <c r="D465" s="2">
        <v>54578549</v>
      </c>
      <c r="E465" s="2">
        <v>168336956</v>
      </c>
      <c r="F465" s="2">
        <v>12</v>
      </c>
      <c r="G465" s="2">
        <v>1517455</v>
      </c>
      <c r="H465" s="2"/>
      <c r="I465" s="2">
        <v>1852926</v>
      </c>
      <c r="J465" s="2">
        <v>14407412</v>
      </c>
      <c r="K465" s="2">
        <v>48390701926</v>
      </c>
      <c r="L465" s="3">
        <f t="shared" si="14"/>
        <v>5.8932762421198695E-3</v>
      </c>
      <c r="M465" s="3">
        <f t="shared" si="15"/>
        <v>3.6738059776826885E-4</v>
      </c>
    </row>
    <row r="466" spans="1:13" x14ac:dyDescent="0.35">
      <c r="A466" t="s">
        <v>97</v>
      </c>
      <c r="B466" t="s">
        <v>87</v>
      </c>
      <c r="C466" s="2">
        <v>39254579</v>
      </c>
      <c r="D466" s="2">
        <v>44639906</v>
      </c>
      <c r="E466" s="2">
        <v>205433948</v>
      </c>
      <c r="F466" s="2">
        <v>62</v>
      </c>
      <c r="G466" s="2">
        <v>6221230</v>
      </c>
      <c r="H466" s="2"/>
      <c r="I466" s="2">
        <v>2274622</v>
      </c>
      <c r="J466" s="2">
        <v>16807223</v>
      </c>
      <c r="K466" s="2">
        <v>49760381570</v>
      </c>
      <c r="L466" s="3">
        <f t="shared" si="14"/>
        <v>6.3229332266553197E-3</v>
      </c>
      <c r="M466" s="3">
        <f t="shared" si="15"/>
        <v>5.0849965779311852E-4</v>
      </c>
    </row>
    <row r="467" spans="1:13" x14ac:dyDescent="0.35">
      <c r="A467" t="s">
        <v>97</v>
      </c>
      <c r="B467" t="s">
        <v>88</v>
      </c>
      <c r="C467" s="2">
        <v>117281362</v>
      </c>
      <c r="D467" s="2">
        <v>52024001</v>
      </c>
      <c r="E467" s="2">
        <v>217968394</v>
      </c>
      <c r="F467" s="2">
        <v>221</v>
      </c>
      <c r="G467" s="2">
        <v>11231415</v>
      </c>
      <c r="H467" s="2"/>
      <c r="I467" s="2">
        <v>2268538</v>
      </c>
      <c r="J467" s="2">
        <v>14419270</v>
      </c>
      <c r="K467" s="2">
        <v>56174048945</v>
      </c>
      <c r="L467" s="3">
        <f t="shared" si="14"/>
        <v>7.391192353011897E-3</v>
      </c>
      <c r="M467" s="3">
        <f t="shared" si="15"/>
        <v>4.9701676351184725E-4</v>
      </c>
    </row>
    <row r="468" spans="1:13" x14ac:dyDescent="0.35">
      <c r="A468" t="s">
        <v>97</v>
      </c>
      <c r="B468" t="s">
        <v>89</v>
      </c>
      <c r="C468" s="2">
        <v>61052978</v>
      </c>
      <c r="D468" s="2">
        <v>47326171</v>
      </c>
      <c r="E468" s="2">
        <v>275839858</v>
      </c>
      <c r="F468" s="2">
        <v>94</v>
      </c>
      <c r="G468" s="2">
        <v>14010004</v>
      </c>
      <c r="H468" s="2"/>
      <c r="I468" s="2">
        <v>4390247</v>
      </c>
      <c r="J468" s="2">
        <v>13663031</v>
      </c>
      <c r="K468" s="2">
        <v>54850967540</v>
      </c>
      <c r="L468" s="3">
        <f t="shared" si="14"/>
        <v>7.5893352782961682E-3</v>
      </c>
      <c r="M468" s="3">
        <f t="shared" si="15"/>
        <v>5.8455442880962533E-4</v>
      </c>
    </row>
    <row r="469" spans="1:13" x14ac:dyDescent="0.35">
      <c r="A469" t="s">
        <v>97</v>
      </c>
      <c r="B469" t="s">
        <v>90</v>
      </c>
      <c r="C469" s="2">
        <v>48565665</v>
      </c>
      <c r="D469" s="2">
        <v>43859287</v>
      </c>
      <c r="E469" s="2">
        <v>277104021</v>
      </c>
      <c r="F469" s="2">
        <v>69</v>
      </c>
      <c r="G469" s="2">
        <v>5721170</v>
      </c>
      <c r="H469" s="2"/>
      <c r="I469" s="2">
        <v>1456449</v>
      </c>
      <c r="J469" s="2">
        <v>11139168</v>
      </c>
      <c r="K469" s="2">
        <v>47777734292</v>
      </c>
      <c r="L469" s="3">
        <f t="shared" si="14"/>
        <v>8.1177107861504783E-3</v>
      </c>
      <c r="M469" s="3">
        <f t="shared" si="15"/>
        <v>3.8337640475067508E-4</v>
      </c>
    </row>
    <row r="470" spans="1:13" x14ac:dyDescent="0.35">
      <c r="A470" t="s">
        <v>97</v>
      </c>
      <c r="B470" t="s">
        <v>91</v>
      </c>
      <c r="C470" s="2">
        <v>61075638</v>
      </c>
      <c r="D470" s="2">
        <v>74039846</v>
      </c>
      <c r="E470" s="2">
        <v>177593421</v>
      </c>
      <c r="F470" s="2">
        <v>183</v>
      </c>
      <c r="G470" s="2">
        <v>16418043</v>
      </c>
      <c r="H470" s="2"/>
      <c r="I470" s="2">
        <v>2269447</v>
      </c>
      <c r="J470" s="2">
        <v>15161641</v>
      </c>
      <c r="K470" s="2">
        <v>57866139402</v>
      </c>
      <c r="L470" s="3">
        <f t="shared" si="14"/>
        <v>5.9889638842577095E-3</v>
      </c>
      <c r="M470" s="3">
        <f t="shared" si="15"/>
        <v>5.8495891292914006E-4</v>
      </c>
    </row>
    <row r="471" spans="1:13" x14ac:dyDescent="0.35">
      <c r="A471" t="s">
        <v>98</v>
      </c>
      <c r="B471" t="s">
        <v>14</v>
      </c>
      <c r="C471" s="2">
        <v>102963832</v>
      </c>
      <c r="D471" s="2">
        <v>2151981</v>
      </c>
      <c r="E471" s="2">
        <v>91199636</v>
      </c>
      <c r="F471" s="2"/>
      <c r="G471" s="2">
        <v>948446</v>
      </c>
      <c r="H471" s="2"/>
      <c r="I471" s="2">
        <v>111712</v>
      </c>
      <c r="J471" s="2">
        <v>6404777</v>
      </c>
      <c r="K471" s="2">
        <v>14606565345</v>
      </c>
      <c r="L471" s="3">
        <f t="shared" si="14"/>
        <v>1.3951286916999719E-2</v>
      </c>
      <c r="M471" s="3">
        <f t="shared" si="15"/>
        <v>5.1106710055936154E-4</v>
      </c>
    </row>
    <row r="472" spans="1:13" x14ac:dyDescent="0.35">
      <c r="A472" t="s">
        <v>98</v>
      </c>
      <c r="B472" t="s">
        <v>15</v>
      </c>
      <c r="C472" s="2">
        <v>91606816</v>
      </c>
      <c r="D472" s="2">
        <v>1921975</v>
      </c>
      <c r="E472" s="2">
        <v>54258646</v>
      </c>
      <c r="F472" s="2">
        <v>10000</v>
      </c>
      <c r="G472" s="2">
        <v>621566</v>
      </c>
      <c r="H472" s="2"/>
      <c r="I472" s="2">
        <v>289134</v>
      </c>
      <c r="J472" s="2">
        <v>6186495</v>
      </c>
      <c r="K472" s="2">
        <v>11261753767</v>
      </c>
      <c r="L472" s="3">
        <f t="shared" si="14"/>
        <v>1.3754041795327063E-2</v>
      </c>
      <c r="M472" s="3">
        <f t="shared" si="15"/>
        <v>6.3109131553080241E-4</v>
      </c>
    </row>
    <row r="473" spans="1:13" x14ac:dyDescent="0.35">
      <c r="A473" t="s">
        <v>98</v>
      </c>
      <c r="B473" t="s">
        <v>16</v>
      </c>
      <c r="C473" s="2">
        <v>80508966</v>
      </c>
      <c r="D473" s="2">
        <v>5390661</v>
      </c>
      <c r="E473" s="2">
        <v>79741360</v>
      </c>
      <c r="F473" s="2"/>
      <c r="G473" s="2">
        <v>6120589</v>
      </c>
      <c r="H473" s="2"/>
      <c r="I473" s="2">
        <v>170175</v>
      </c>
      <c r="J473" s="2">
        <v>6055705</v>
      </c>
      <c r="K473" s="2">
        <v>17274532042</v>
      </c>
      <c r="L473" s="3">
        <f t="shared" si="14"/>
        <v>1.0303460352341509E-2</v>
      </c>
      <c r="M473" s="3">
        <f t="shared" si="15"/>
        <v>7.147208948978602E-4</v>
      </c>
    </row>
    <row r="474" spans="1:13" x14ac:dyDescent="0.35">
      <c r="A474" t="s">
        <v>98</v>
      </c>
      <c r="B474" t="s">
        <v>17</v>
      </c>
      <c r="C474" s="2">
        <v>87709443</v>
      </c>
      <c r="D474" s="2">
        <v>3819936</v>
      </c>
      <c r="E474" s="2">
        <v>61979842</v>
      </c>
      <c r="F474" s="2"/>
      <c r="G474" s="2">
        <v>633472</v>
      </c>
      <c r="H474" s="2"/>
      <c r="I474" s="2">
        <v>149895</v>
      </c>
      <c r="J474" s="2">
        <v>6921777</v>
      </c>
      <c r="K474" s="2">
        <v>10961845181</v>
      </c>
      <c r="L474" s="3">
        <f t="shared" si="14"/>
        <v>1.4706863884506453E-2</v>
      </c>
      <c r="M474" s="3">
        <f t="shared" si="15"/>
        <v>7.0290574923966356E-4</v>
      </c>
    </row>
    <row r="475" spans="1:13" x14ac:dyDescent="0.35">
      <c r="A475" t="s">
        <v>98</v>
      </c>
      <c r="B475" t="s">
        <v>18</v>
      </c>
      <c r="C475" s="2">
        <v>66831973</v>
      </c>
      <c r="D475" s="2">
        <v>5547574</v>
      </c>
      <c r="E475" s="2">
        <v>69896636</v>
      </c>
      <c r="F475" s="2"/>
      <c r="G475" s="2">
        <v>549420</v>
      </c>
      <c r="H475" s="2"/>
      <c r="I475" s="2">
        <v>207760</v>
      </c>
      <c r="J475" s="2">
        <v>6208488</v>
      </c>
      <c r="K475" s="2">
        <v>12567618765</v>
      </c>
      <c r="L475" s="3">
        <f t="shared" si="14"/>
        <v>1.1875109660043862E-2</v>
      </c>
      <c r="M475" s="3">
        <f t="shared" si="15"/>
        <v>5.5425519585292733E-4</v>
      </c>
    </row>
    <row r="476" spans="1:13" x14ac:dyDescent="0.35">
      <c r="A476" t="s">
        <v>98</v>
      </c>
      <c r="B476" t="s">
        <v>19</v>
      </c>
      <c r="C476" s="2">
        <v>96565023</v>
      </c>
      <c r="D476" s="2">
        <v>7743560</v>
      </c>
      <c r="E476" s="2">
        <v>79251563</v>
      </c>
      <c r="F476" s="2"/>
      <c r="G476" s="2">
        <v>537412</v>
      </c>
      <c r="H476" s="2"/>
      <c r="I476" s="2">
        <v>40536</v>
      </c>
      <c r="J476" s="2">
        <v>5210795</v>
      </c>
      <c r="K476" s="2">
        <v>13262515995</v>
      </c>
      <c r="L476" s="3">
        <f t="shared" si="14"/>
        <v>1.4276996089685018E-2</v>
      </c>
      <c r="M476" s="3">
        <f t="shared" si="15"/>
        <v>4.3647396935712424E-4</v>
      </c>
    </row>
    <row r="477" spans="1:13" x14ac:dyDescent="0.35">
      <c r="A477" t="s">
        <v>98</v>
      </c>
      <c r="B477" t="s">
        <v>20</v>
      </c>
      <c r="C477" s="2">
        <v>63416542</v>
      </c>
      <c r="D477" s="2">
        <v>8201746</v>
      </c>
      <c r="E477" s="2">
        <v>105999162</v>
      </c>
      <c r="F477" s="2"/>
      <c r="G477" s="2">
        <v>658449</v>
      </c>
      <c r="H477" s="2"/>
      <c r="I477" s="2">
        <v>121372</v>
      </c>
      <c r="J477" s="2">
        <v>6796337</v>
      </c>
      <c r="K477" s="2">
        <v>13209321748</v>
      </c>
      <c r="L477" s="3">
        <f t="shared" si="14"/>
        <v>1.4019918019488006E-2</v>
      </c>
      <c r="M477" s="3">
        <f t="shared" si="15"/>
        <v>5.7354632921611528E-4</v>
      </c>
    </row>
    <row r="478" spans="1:13" x14ac:dyDescent="0.35">
      <c r="A478" t="s">
        <v>98</v>
      </c>
      <c r="B478" t="s">
        <v>21</v>
      </c>
      <c r="C478" s="2">
        <v>66085045</v>
      </c>
      <c r="D478" s="2">
        <v>2687684</v>
      </c>
      <c r="E478" s="2">
        <v>66593137</v>
      </c>
      <c r="F478" s="2"/>
      <c r="G478" s="2">
        <v>765114</v>
      </c>
      <c r="H478" s="2"/>
      <c r="I478" s="2">
        <v>295286</v>
      </c>
      <c r="J478" s="2">
        <v>6372188</v>
      </c>
      <c r="K478" s="2">
        <v>12602339963</v>
      </c>
      <c r="L478" s="3">
        <f t="shared" si="14"/>
        <v>1.133110631987797E-2</v>
      </c>
      <c r="M478" s="3">
        <f t="shared" si="15"/>
        <v>5.8977840796406076E-4</v>
      </c>
    </row>
    <row r="479" spans="1:13" x14ac:dyDescent="0.35">
      <c r="A479" t="s">
        <v>98</v>
      </c>
      <c r="B479" t="s">
        <v>22</v>
      </c>
      <c r="C479" s="2">
        <v>74729118</v>
      </c>
      <c r="D479" s="2">
        <v>29204484</v>
      </c>
      <c r="E479" s="2">
        <v>62400957</v>
      </c>
      <c r="F479" s="2"/>
      <c r="G479" s="2">
        <v>402026</v>
      </c>
      <c r="H479" s="2"/>
      <c r="I479" s="2">
        <v>250730</v>
      </c>
      <c r="J479" s="2">
        <v>8640140</v>
      </c>
      <c r="K479" s="2">
        <v>13674306947</v>
      </c>
      <c r="L479" s="3">
        <f t="shared" si="14"/>
        <v>1.2843609235971614E-2</v>
      </c>
      <c r="M479" s="3">
        <f t="shared" si="15"/>
        <v>6.7958807974825841E-4</v>
      </c>
    </row>
    <row r="480" spans="1:13" x14ac:dyDescent="0.35">
      <c r="A480" t="s">
        <v>98</v>
      </c>
      <c r="B480" t="s">
        <v>23</v>
      </c>
      <c r="C480" s="2">
        <v>65442790</v>
      </c>
      <c r="D480" s="2">
        <v>32846586</v>
      </c>
      <c r="E480" s="2">
        <v>84543468</v>
      </c>
      <c r="F480" s="2"/>
      <c r="G480" s="2">
        <v>5801556</v>
      </c>
      <c r="H480" s="2"/>
      <c r="I480" s="2">
        <v>287589</v>
      </c>
      <c r="J480" s="2">
        <v>6887968</v>
      </c>
      <c r="K480" s="2">
        <v>11846140070</v>
      </c>
      <c r="L480" s="3">
        <f t="shared" si="14"/>
        <v>1.6529431176985906E-2</v>
      </c>
      <c r="M480" s="3">
        <f t="shared" si="15"/>
        <v>1.0954718518704802E-3</v>
      </c>
    </row>
    <row r="481" spans="1:13" x14ac:dyDescent="0.35">
      <c r="A481" t="s">
        <v>98</v>
      </c>
      <c r="B481" t="s">
        <v>24</v>
      </c>
      <c r="C481" s="2">
        <v>99982986</v>
      </c>
      <c r="D481" s="2">
        <v>13454766</v>
      </c>
      <c r="E481" s="2">
        <v>66371831</v>
      </c>
      <c r="F481" s="2"/>
      <c r="G481" s="2">
        <v>634951</v>
      </c>
      <c r="H481" s="2"/>
      <c r="I481" s="2">
        <v>116469</v>
      </c>
      <c r="J481" s="2">
        <v>5318264</v>
      </c>
      <c r="K481" s="2">
        <v>14524766958</v>
      </c>
      <c r="L481" s="3">
        <f t="shared" si="14"/>
        <v>1.2797400986707109E-2</v>
      </c>
      <c r="M481" s="3">
        <f t="shared" si="15"/>
        <v>4.1788512115555277E-4</v>
      </c>
    </row>
    <row r="482" spans="1:13" x14ac:dyDescent="0.35">
      <c r="A482" t="s">
        <v>98</v>
      </c>
      <c r="B482" t="s">
        <v>25</v>
      </c>
      <c r="C482" s="2">
        <v>111343182</v>
      </c>
      <c r="D482" s="2">
        <v>2931396</v>
      </c>
      <c r="E482" s="2">
        <v>61327384</v>
      </c>
      <c r="F482" s="2"/>
      <c r="G482" s="2">
        <v>2175422</v>
      </c>
      <c r="H482" s="2"/>
      <c r="I482" s="2">
        <v>223861</v>
      </c>
      <c r="J482" s="2">
        <v>7714429</v>
      </c>
      <c r="K482" s="2">
        <v>12036621839</v>
      </c>
      <c r="L482" s="3">
        <f t="shared" si="14"/>
        <v>1.5429218968918709E-2</v>
      </c>
      <c r="M482" s="3">
        <f t="shared" si="15"/>
        <v>8.4024505673431081E-4</v>
      </c>
    </row>
    <row r="483" spans="1:13" x14ac:dyDescent="0.35">
      <c r="A483" t="s">
        <v>98</v>
      </c>
      <c r="B483" t="s">
        <v>26</v>
      </c>
      <c r="C483" s="2">
        <v>25037778</v>
      </c>
      <c r="D483" s="2">
        <v>2059203</v>
      </c>
      <c r="E483" s="2">
        <v>78478575</v>
      </c>
      <c r="F483" s="2"/>
      <c r="G483" s="2">
        <v>2633774</v>
      </c>
      <c r="H483" s="2"/>
      <c r="I483" s="2">
        <v>184370</v>
      </c>
      <c r="J483" s="2">
        <v>5620888</v>
      </c>
      <c r="K483" s="2">
        <v>12941192997</v>
      </c>
      <c r="L483" s="3">
        <f t="shared" si="14"/>
        <v>8.8102069126417184E-3</v>
      </c>
      <c r="M483" s="3">
        <f t="shared" si="15"/>
        <v>6.5210618541554236E-4</v>
      </c>
    </row>
    <row r="484" spans="1:13" x14ac:dyDescent="0.35">
      <c r="A484" t="s">
        <v>98</v>
      </c>
      <c r="B484" t="s">
        <v>27</v>
      </c>
      <c r="C484" s="2">
        <v>38563349</v>
      </c>
      <c r="D484" s="2">
        <v>2278918</v>
      </c>
      <c r="E484" s="2">
        <v>73483618</v>
      </c>
      <c r="F484" s="2"/>
      <c r="G484" s="2">
        <v>620363</v>
      </c>
      <c r="H484" s="2"/>
      <c r="I484" s="2">
        <v>290107</v>
      </c>
      <c r="J484" s="2">
        <v>6432201</v>
      </c>
      <c r="K484" s="2">
        <v>11989630600</v>
      </c>
      <c r="L484" s="3">
        <f t="shared" si="14"/>
        <v>1.0147815229603488E-2</v>
      </c>
      <c r="M484" s="3">
        <f t="shared" si="15"/>
        <v>6.124184509904751E-4</v>
      </c>
    </row>
    <row r="485" spans="1:13" x14ac:dyDescent="0.35">
      <c r="A485" t="s">
        <v>98</v>
      </c>
      <c r="B485" t="s">
        <v>28</v>
      </c>
      <c r="C485" s="2">
        <v>32454976</v>
      </c>
      <c r="D485" s="2">
        <v>2851248</v>
      </c>
      <c r="E485" s="2">
        <v>94989093</v>
      </c>
      <c r="F485" s="2">
        <v>1050</v>
      </c>
      <c r="G485" s="2">
        <v>431538</v>
      </c>
      <c r="H485" s="2"/>
      <c r="I485" s="2">
        <v>432573</v>
      </c>
      <c r="J485" s="2">
        <v>6567015</v>
      </c>
      <c r="K485" s="2">
        <v>14271505314</v>
      </c>
      <c r="L485" s="3">
        <f t="shared" si="14"/>
        <v>9.6505231907732022E-3</v>
      </c>
      <c r="M485" s="3">
        <f t="shared" si="15"/>
        <v>5.2077029272512803E-4</v>
      </c>
    </row>
    <row r="486" spans="1:13" x14ac:dyDescent="0.35">
      <c r="A486" t="s">
        <v>98</v>
      </c>
      <c r="B486" t="s">
        <v>29</v>
      </c>
      <c r="C486" s="2">
        <v>39983242</v>
      </c>
      <c r="D486" s="2">
        <v>3088732</v>
      </c>
      <c r="E486" s="2">
        <v>86550995</v>
      </c>
      <c r="F486" s="2"/>
      <c r="G486" s="2">
        <v>703559</v>
      </c>
      <c r="H486" s="2"/>
      <c r="I486" s="2">
        <v>144315</v>
      </c>
      <c r="J486" s="2">
        <v>6786081</v>
      </c>
      <c r="K486" s="2">
        <v>11822820367</v>
      </c>
      <c r="L486" s="3">
        <f t="shared" si="14"/>
        <v>1.1609490776254471E-2</v>
      </c>
      <c r="M486" s="3">
        <f t="shared" si="15"/>
        <v>6.4569660732628471E-4</v>
      </c>
    </row>
    <row r="487" spans="1:13" x14ac:dyDescent="0.35">
      <c r="A487" t="s">
        <v>98</v>
      </c>
      <c r="B487" t="s">
        <v>30</v>
      </c>
      <c r="C487" s="2">
        <v>52479974</v>
      </c>
      <c r="D487" s="2">
        <v>3187970</v>
      </c>
      <c r="E487" s="2">
        <v>70733679</v>
      </c>
      <c r="F487" s="2">
        <v>405</v>
      </c>
      <c r="G487" s="2">
        <v>602108</v>
      </c>
      <c r="H487" s="2"/>
      <c r="I487" s="2">
        <v>65541</v>
      </c>
      <c r="J487" s="2">
        <v>13756422</v>
      </c>
      <c r="K487" s="2">
        <v>13054619772</v>
      </c>
      <c r="L487" s="3">
        <f t="shared" si="14"/>
        <v>1.0787453136095828E-2</v>
      </c>
      <c r="M487" s="3">
        <f t="shared" si="15"/>
        <v>1.1049326791530241E-3</v>
      </c>
    </row>
    <row r="488" spans="1:13" x14ac:dyDescent="0.35">
      <c r="A488" t="s">
        <v>98</v>
      </c>
      <c r="B488" t="s">
        <v>31</v>
      </c>
      <c r="C488" s="2">
        <v>37062316</v>
      </c>
      <c r="D488" s="2">
        <v>2936336</v>
      </c>
      <c r="E488" s="2">
        <v>69561129</v>
      </c>
      <c r="F488" s="2"/>
      <c r="G488" s="2">
        <v>720243</v>
      </c>
      <c r="H488" s="2"/>
      <c r="I488" s="2">
        <v>393463</v>
      </c>
      <c r="J488" s="2">
        <v>7157856</v>
      </c>
      <c r="K488" s="2">
        <v>14440639218</v>
      </c>
      <c r="L488" s="3">
        <f t="shared" si="14"/>
        <v>8.1597040976638582E-3</v>
      </c>
      <c r="M488" s="3">
        <f t="shared" si="15"/>
        <v>5.7279749705883138E-4</v>
      </c>
    </row>
    <row r="489" spans="1:13" x14ac:dyDescent="0.35">
      <c r="A489" t="s">
        <v>98</v>
      </c>
      <c r="B489" t="s">
        <v>32</v>
      </c>
      <c r="C489" s="2">
        <v>30656434</v>
      </c>
      <c r="D489" s="2">
        <v>7687835</v>
      </c>
      <c r="E489" s="2">
        <v>114174266</v>
      </c>
      <c r="F489" s="2"/>
      <c r="G489" s="2">
        <v>444154</v>
      </c>
      <c r="H489" s="2"/>
      <c r="I489" s="2">
        <v>282345</v>
      </c>
      <c r="J489" s="2">
        <v>17822833</v>
      </c>
      <c r="K489" s="2">
        <v>12800451102</v>
      </c>
      <c r="L489" s="3">
        <f t="shared" si="14"/>
        <v>1.3364206123428852E-2</v>
      </c>
      <c r="M489" s="3">
        <f t="shared" si="15"/>
        <v>1.4491154922736879E-3</v>
      </c>
    </row>
    <row r="490" spans="1:13" x14ac:dyDescent="0.35">
      <c r="A490" t="s">
        <v>98</v>
      </c>
      <c r="B490" t="s">
        <v>33</v>
      </c>
      <c r="C490" s="2">
        <v>33214618</v>
      </c>
      <c r="D490" s="2">
        <v>9197534</v>
      </c>
      <c r="E490" s="2">
        <v>96482005</v>
      </c>
      <c r="F490" s="2">
        <v>429</v>
      </c>
      <c r="G490" s="2">
        <v>484419</v>
      </c>
      <c r="H490" s="2">
        <v>12</v>
      </c>
      <c r="I490" s="2">
        <v>113704</v>
      </c>
      <c r="J490" s="2">
        <v>5078885</v>
      </c>
      <c r="K490" s="2">
        <v>12851304280</v>
      </c>
      <c r="L490" s="3">
        <f t="shared" si="14"/>
        <v>1.1249566802724556E-2</v>
      </c>
      <c r="M490" s="3">
        <f t="shared" si="15"/>
        <v>4.4177998406244259E-4</v>
      </c>
    </row>
    <row r="491" spans="1:13" x14ac:dyDescent="0.35">
      <c r="A491" t="s">
        <v>98</v>
      </c>
      <c r="B491" t="s">
        <v>34</v>
      </c>
      <c r="C491" s="2">
        <v>26487070</v>
      </c>
      <c r="D491" s="2">
        <v>7763454</v>
      </c>
      <c r="E491" s="2">
        <v>75485685</v>
      </c>
      <c r="F491" s="2">
        <v>76</v>
      </c>
      <c r="G491" s="2">
        <v>476078</v>
      </c>
      <c r="H491" s="2"/>
      <c r="I491" s="2">
        <v>23078</v>
      </c>
      <c r="J491" s="2">
        <v>5120021</v>
      </c>
      <c r="K491" s="2">
        <v>14395422392</v>
      </c>
      <c r="L491" s="3">
        <f t="shared" si="14"/>
        <v>8.0133433294813736E-3</v>
      </c>
      <c r="M491" s="3">
        <f t="shared" si="15"/>
        <v>3.9034999091953009E-4</v>
      </c>
    </row>
    <row r="492" spans="1:13" x14ac:dyDescent="0.35">
      <c r="A492" t="s">
        <v>98</v>
      </c>
      <c r="B492" t="s">
        <v>35</v>
      </c>
      <c r="C492" s="2">
        <v>37857818</v>
      </c>
      <c r="D492" s="2">
        <v>3553756</v>
      </c>
      <c r="E492" s="2">
        <v>55762168</v>
      </c>
      <c r="F492" s="2">
        <v>1263</v>
      </c>
      <c r="G492" s="2">
        <v>695687</v>
      </c>
      <c r="H492" s="2">
        <v>61350</v>
      </c>
      <c r="I492" s="2">
        <v>287424</v>
      </c>
      <c r="J492" s="2">
        <v>5785802</v>
      </c>
      <c r="K492" s="2">
        <v>14686364637</v>
      </c>
      <c r="L492" s="3">
        <f t="shared" si="14"/>
        <v>7.0817571652807111E-3</v>
      </c>
      <c r="M492" s="3">
        <f t="shared" si="15"/>
        <v>4.6516113203324926E-4</v>
      </c>
    </row>
    <row r="493" spans="1:13" x14ac:dyDescent="0.35">
      <c r="A493" t="s">
        <v>98</v>
      </c>
      <c r="B493" t="s">
        <v>36</v>
      </c>
      <c r="C493" s="2">
        <v>39990968</v>
      </c>
      <c r="D493" s="2">
        <v>5133730</v>
      </c>
      <c r="E493" s="2">
        <v>91224751</v>
      </c>
      <c r="F493" s="2"/>
      <c r="G493" s="2">
        <v>790088</v>
      </c>
      <c r="H493" s="2"/>
      <c r="I493" s="2">
        <v>124491</v>
      </c>
      <c r="J493" s="2">
        <v>8639606</v>
      </c>
      <c r="K493" s="2">
        <v>15210732495</v>
      </c>
      <c r="L493" s="3">
        <f t="shared" si="14"/>
        <v>9.5921504140553879E-3</v>
      </c>
      <c r="M493" s="3">
        <f t="shared" si="15"/>
        <v>6.2812129548268675E-4</v>
      </c>
    </row>
    <row r="494" spans="1:13" x14ac:dyDescent="0.35">
      <c r="A494" t="s">
        <v>98</v>
      </c>
      <c r="B494" t="s">
        <v>37</v>
      </c>
      <c r="C494" s="2">
        <v>41954524</v>
      </c>
      <c r="D494" s="2">
        <v>6376383</v>
      </c>
      <c r="E494" s="2">
        <v>107141075</v>
      </c>
      <c r="F494" s="2"/>
      <c r="G494" s="2">
        <v>478809</v>
      </c>
      <c r="H494" s="2"/>
      <c r="I494" s="2">
        <v>137837</v>
      </c>
      <c r="J494" s="2">
        <v>5532928</v>
      </c>
      <c r="K494" s="2">
        <v>12740177150</v>
      </c>
      <c r="L494" s="3">
        <f t="shared" si="14"/>
        <v>1.2685973993697568E-2</v>
      </c>
      <c r="M494" s="3">
        <f t="shared" si="15"/>
        <v>4.8269140433420109E-4</v>
      </c>
    </row>
    <row r="495" spans="1:13" x14ac:dyDescent="0.35">
      <c r="A495" t="s">
        <v>98</v>
      </c>
      <c r="B495" t="s">
        <v>38</v>
      </c>
      <c r="C495" s="2">
        <v>43319220</v>
      </c>
      <c r="D495" s="2">
        <v>8273392</v>
      </c>
      <c r="E495" s="2">
        <v>133859700</v>
      </c>
      <c r="F495" s="2">
        <v>2526</v>
      </c>
      <c r="G495" s="2">
        <v>352806</v>
      </c>
      <c r="H495" s="2">
        <v>12</v>
      </c>
      <c r="I495" s="2">
        <v>112882</v>
      </c>
      <c r="J495" s="2">
        <v>7424083</v>
      </c>
      <c r="K495" s="2">
        <v>15707353984</v>
      </c>
      <c r="L495" s="3">
        <f t="shared" si="14"/>
        <v>1.2309178312078969E-2</v>
      </c>
      <c r="M495" s="3">
        <f t="shared" si="15"/>
        <v>5.0245948541296972E-4</v>
      </c>
    </row>
    <row r="496" spans="1:13" x14ac:dyDescent="0.35">
      <c r="A496" t="s">
        <v>98</v>
      </c>
      <c r="B496" t="s">
        <v>39</v>
      </c>
      <c r="C496" s="2">
        <v>39949231</v>
      </c>
      <c r="D496" s="2">
        <v>4858282</v>
      </c>
      <c r="E496" s="2">
        <v>104278889</v>
      </c>
      <c r="F496" s="2"/>
      <c r="G496" s="2">
        <v>438850</v>
      </c>
      <c r="H496" s="2"/>
      <c r="I496" s="2">
        <v>188230</v>
      </c>
      <c r="J496" s="2">
        <v>8295177</v>
      </c>
      <c r="K496" s="2">
        <v>15464999677</v>
      </c>
      <c r="L496" s="3">
        <f t="shared" si="14"/>
        <v>1.0217178292929103E-2</v>
      </c>
      <c r="M496" s="3">
        <f t="shared" si="15"/>
        <v>5.7693224612668061E-4</v>
      </c>
    </row>
    <row r="497" spans="1:13" x14ac:dyDescent="0.35">
      <c r="A497" t="s">
        <v>98</v>
      </c>
      <c r="B497" t="s">
        <v>40</v>
      </c>
      <c r="C497" s="2">
        <v>34952574</v>
      </c>
      <c r="D497" s="2">
        <v>9149415</v>
      </c>
      <c r="E497" s="2">
        <v>99448519</v>
      </c>
      <c r="F497" s="2">
        <v>8805</v>
      </c>
      <c r="G497" s="2">
        <v>1095441</v>
      </c>
      <c r="H497" s="2"/>
      <c r="I497" s="2">
        <v>43758</v>
      </c>
      <c r="J497" s="2">
        <v>13758911</v>
      </c>
      <c r="K497" s="2">
        <v>19743517105</v>
      </c>
      <c r="L497" s="3">
        <f t="shared" si="14"/>
        <v>8.0257951082014171E-3</v>
      </c>
      <c r="M497" s="3">
        <f t="shared" si="15"/>
        <v>7.5502834275787962E-4</v>
      </c>
    </row>
    <row r="498" spans="1:13" x14ac:dyDescent="0.35">
      <c r="A498" t="s">
        <v>98</v>
      </c>
      <c r="B498" t="s">
        <v>41</v>
      </c>
      <c r="C498" s="2">
        <v>29940135</v>
      </c>
      <c r="D498" s="2">
        <v>5835875</v>
      </c>
      <c r="E498" s="2">
        <v>66035748</v>
      </c>
      <c r="F498" s="2"/>
      <c r="G498" s="2">
        <v>2502385</v>
      </c>
      <c r="H498" s="2"/>
      <c r="I498" s="2">
        <v>137035</v>
      </c>
      <c r="J498" s="2">
        <v>6061319</v>
      </c>
      <c r="K498" s="2">
        <v>16681417135</v>
      </c>
      <c r="L498" s="3">
        <f t="shared" si="14"/>
        <v>6.6248866091915513E-3</v>
      </c>
      <c r="M498" s="3">
        <f t="shared" si="15"/>
        <v>5.215827246322259E-4</v>
      </c>
    </row>
    <row r="499" spans="1:13" x14ac:dyDescent="0.35">
      <c r="A499" t="s">
        <v>98</v>
      </c>
      <c r="B499" t="s">
        <v>42</v>
      </c>
      <c r="C499" s="2">
        <v>32599312</v>
      </c>
      <c r="D499" s="2">
        <v>4380928</v>
      </c>
      <c r="E499" s="2">
        <v>95145503</v>
      </c>
      <c r="F499" s="2"/>
      <c r="G499" s="2">
        <v>1583876</v>
      </c>
      <c r="H499" s="2"/>
      <c r="I499" s="2">
        <v>301702</v>
      </c>
      <c r="J499" s="2">
        <v>6052374</v>
      </c>
      <c r="K499" s="2">
        <v>17408784549</v>
      </c>
      <c r="L499" s="3">
        <f t="shared" si="14"/>
        <v>8.0455757612351853E-3</v>
      </c>
      <c r="M499" s="3">
        <f t="shared" si="15"/>
        <v>4.5597393532312823E-4</v>
      </c>
    </row>
    <row r="500" spans="1:13" x14ac:dyDescent="0.35">
      <c r="A500" t="s">
        <v>98</v>
      </c>
      <c r="B500" t="s">
        <v>43</v>
      </c>
      <c r="C500" s="2">
        <v>25116137</v>
      </c>
      <c r="D500" s="2">
        <v>5039142</v>
      </c>
      <c r="E500" s="2">
        <v>65858409</v>
      </c>
      <c r="F500" s="2"/>
      <c r="G500" s="2">
        <v>2191040</v>
      </c>
      <c r="H500" s="2">
        <v>12</v>
      </c>
      <c r="I500" s="2">
        <v>119128</v>
      </c>
      <c r="J500" s="2">
        <v>7029569</v>
      </c>
      <c r="K500" s="2">
        <v>17142031251</v>
      </c>
      <c r="L500" s="3">
        <f t="shared" si="14"/>
        <v>6.1459132501496339E-3</v>
      </c>
      <c r="M500" s="3">
        <f t="shared" si="15"/>
        <v>5.4484494067499466E-4</v>
      </c>
    </row>
    <row r="501" spans="1:13" x14ac:dyDescent="0.35">
      <c r="A501" t="s">
        <v>98</v>
      </c>
      <c r="B501" t="s">
        <v>44</v>
      </c>
      <c r="C501" s="2">
        <v>40628645</v>
      </c>
      <c r="D501" s="2">
        <v>7092510</v>
      </c>
      <c r="E501" s="2">
        <v>87317744</v>
      </c>
      <c r="F501" s="2"/>
      <c r="G501" s="2">
        <v>1324338</v>
      </c>
      <c r="H501" s="2"/>
      <c r="I501" s="2">
        <v>354445</v>
      </c>
      <c r="J501" s="2">
        <v>11236114</v>
      </c>
      <c r="K501" s="2">
        <v>14525059170</v>
      </c>
      <c r="L501" s="3">
        <f t="shared" si="14"/>
        <v>1.018610625047113E-2</v>
      </c>
      <c r="M501" s="3">
        <f t="shared" si="15"/>
        <v>8.891459132004348E-4</v>
      </c>
    </row>
    <row r="502" spans="1:13" x14ac:dyDescent="0.35">
      <c r="A502" t="s">
        <v>98</v>
      </c>
      <c r="B502" t="s">
        <v>45</v>
      </c>
      <c r="C502" s="2">
        <v>22830447</v>
      </c>
      <c r="D502" s="2">
        <v>9677996</v>
      </c>
      <c r="E502" s="2">
        <v>81864171</v>
      </c>
      <c r="F502" s="2">
        <v>567</v>
      </c>
      <c r="G502" s="2">
        <v>1088644</v>
      </c>
      <c r="H502" s="2">
        <v>24</v>
      </c>
      <c r="I502" s="2">
        <v>133852</v>
      </c>
      <c r="J502" s="2">
        <v>16478333</v>
      </c>
      <c r="K502" s="2">
        <v>18986457368</v>
      </c>
      <c r="L502" s="3">
        <f t="shared" si="14"/>
        <v>6.9562231352647778E-3</v>
      </c>
      <c r="M502" s="3">
        <f t="shared" si="15"/>
        <v>9.323182127611749E-4</v>
      </c>
    </row>
    <row r="503" spans="1:13" x14ac:dyDescent="0.35">
      <c r="A503" t="s">
        <v>98</v>
      </c>
      <c r="B503" t="s">
        <v>46</v>
      </c>
      <c r="C503" s="2">
        <v>44590556</v>
      </c>
      <c r="D503" s="2">
        <v>5536669</v>
      </c>
      <c r="E503" s="2">
        <v>87935552</v>
      </c>
      <c r="F503" s="2">
        <v>2005</v>
      </c>
      <c r="G503" s="2">
        <v>8139579</v>
      </c>
      <c r="H503" s="2"/>
      <c r="I503" s="2">
        <v>354167</v>
      </c>
      <c r="J503" s="2">
        <v>14316033</v>
      </c>
      <c r="K503" s="2">
        <v>19056553920</v>
      </c>
      <c r="L503" s="3">
        <f t="shared" si="14"/>
        <v>8.4419544937325165E-3</v>
      </c>
      <c r="M503" s="3">
        <f t="shared" si="15"/>
        <v>1.1970571434774919E-3</v>
      </c>
    </row>
    <row r="504" spans="1:13" x14ac:dyDescent="0.35">
      <c r="A504" t="s">
        <v>98</v>
      </c>
      <c r="B504" t="s">
        <v>47</v>
      </c>
      <c r="C504" s="2">
        <v>32188711</v>
      </c>
      <c r="D504" s="2">
        <v>4900051</v>
      </c>
      <c r="E504" s="2">
        <v>92270589</v>
      </c>
      <c r="F504" s="2"/>
      <c r="G504" s="2">
        <v>835219</v>
      </c>
      <c r="H504" s="2"/>
      <c r="I504" s="2">
        <v>202913</v>
      </c>
      <c r="J504" s="2">
        <v>9071541</v>
      </c>
      <c r="K504" s="2">
        <v>17217377097</v>
      </c>
      <c r="L504" s="3">
        <f t="shared" si="14"/>
        <v>8.1004803004693111E-3</v>
      </c>
      <c r="M504" s="3">
        <f t="shared" si="15"/>
        <v>5.8717846179726964E-4</v>
      </c>
    </row>
    <row r="505" spans="1:13" x14ac:dyDescent="0.35">
      <c r="A505" t="s">
        <v>98</v>
      </c>
      <c r="B505" t="s">
        <v>48</v>
      </c>
      <c r="C505" s="2">
        <v>26616992</v>
      </c>
      <c r="D505" s="2">
        <v>5328158</v>
      </c>
      <c r="E505" s="2">
        <v>125217009</v>
      </c>
      <c r="F505" s="2"/>
      <c r="G505" s="2">
        <v>591378</v>
      </c>
      <c r="H505" s="2"/>
      <c r="I505" s="2">
        <v>531148</v>
      </c>
      <c r="J505" s="2">
        <v>9152573</v>
      </c>
      <c r="K505" s="2">
        <v>16692850059</v>
      </c>
      <c r="L505" s="3">
        <f t="shared" si="14"/>
        <v>1.003047756423869E-2</v>
      </c>
      <c r="M505" s="3">
        <f t="shared" si="15"/>
        <v>6.1553892616798226E-4</v>
      </c>
    </row>
    <row r="506" spans="1:13" x14ac:dyDescent="0.35">
      <c r="A506" t="s">
        <v>98</v>
      </c>
      <c r="B506" t="s">
        <v>49</v>
      </c>
      <c r="C506" s="2">
        <v>24410149</v>
      </c>
      <c r="D506" s="2">
        <v>5267222</v>
      </c>
      <c r="E506" s="2">
        <v>90918651</v>
      </c>
      <c r="F506" s="2"/>
      <c r="G506" s="2">
        <v>734108</v>
      </c>
      <c r="H506" s="2"/>
      <c r="I506" s="2">
        <v>415301</v>
      </c>
      <c r="J506" s="2">
        <v>6344427</v>
      </c>
      <c r="K506" s="2">
        <v>14805408617</v>
      </c>
      <c r="L506" s="3">
        <f t="shared" si="14"/>
        <v>8.6515584482365123E-3</v>
      </c>
      <c r="M506" s="3">
        <f t="shared" si="15"/>
        <v>5.0615529728746287E-4</v>
      </c>
    </row>
    <row r="507" spans="1:13" x14ac:dyDescent="0.35">
      <c r="A507" t="s">
        <v>98</v>
      </c>
      <c r="B507" t="s">
        <v>50</v>
      </c>
      <c r="C507" s="2">
        <v>30007604</v>
      </c>
      <c r="D507" s="2">
        <v>5042824</v>
      </c>
      <c r="E507" s="2">
        <v>87595754</v>
      </c>
      <c r="F507" s="2">
        <v>10300</v>
      </c>
      <c r="G507" s="2">
        <v>10912471</v>
      </c>
      <c r="H507" s="2">
        <v>30</v>
      </c>
      <c r="I507" s="2">
        <v>146437</v>
      </c>
      <c r="J507" s="2">
        <v>7533753</v>
      </c>
      <c r="K507" s="2">
        <v>15210583941</v>
      </c>
      <c r="L507" s="3">
        <f t="shared" si="14"/>
        <v>9.2862426286780524E-3</v>
      </c>
      <c r="M507" s="3">
        <f t="shared" si="15"/>
        <v>1.2230293769232485E-3</v>
      </c>
    </row>
    <row r="508" spans="1:13" x14ac:dyDescent="0.35">
      <c r="A508" t="s">
        <v>98</v>
      </c>
      <c r="B508" t="s">
        <v>51</v>
      </c>
      <c r="C508" s="2">
        <v>17862711</v>
      </c>
      <c r="D508" s="2">
        <v>4375232</v>
      </c>
      <c r="E508" s="2">
        <v>69967386</v>
      </c>
      <c r="F508" s="2">
        <v>1941</v>
      </c>
      <c r="G508" s="2">
        <v>22630026</v>
      </c>
      <c r="H508" s="2"/>
      <c r="I508" s="2">
        <v>455398</v>
      </c>
      <c r="J508" s="2">
        <v>9419254</v>
      </c>
      <c r="K508" s="2">
        <v>16414151522</v>
      </c>
      <c r="L508" s="3">
        <f t="shared" si="14"/>
        <v>7.5978309224724603E-3</v>
      </c>
      <c r="M508" s="3">
        <f t="shared" si="15"/>
        <v>1.9804020303109274E-3</v>
      </c>
    </row>
    <row r="509" spans="1:13" x14ac:dyDescent="0.35">
      <c r="A509" t="s">
        <v>98</v>
      </c>
      <c r="B509" t="s">
        <v>52</v>
      </c>
      <c r="C509" s="2">
        <v>35801581</v>
      </c>
      <c r="D509" s="2">
        <v>7226627</v>
      </c>
      <c r="E509" s="2">
        <v>71641797</v>
      </c>
      <c r="F509" s="2"/>
      <c r="G509" s="2">
        <v>13718167</v>
      </c>
      <c r="H509" s="2"/>
      <c r="I509" s="2">
        <v>218764</v>
      </c>
      <c r="J509" s="2">
        <v>12872449</v>
      </c>
      <c r="K509" s="2">
        <v>18451956812</v>
      </c>
      <c r="L509" s="3">
        <f t="shared" si="14"/>
        <v>7.6674461381781821E-3</v>
      </c>
      <c r="M509" s="3">
        <f t="shared" si="15"/>
        <v>1.4529288288039376E-3</v>
      </c>
    </row>
    <row r="510" spans="1:13" x14ac:dyDescent="0.35">
      <c r="A510" t="s">
        <v>98</v>
      </c>
      <c r="B510" t="s">
        <v>53</v>
      </c>
      <c r="C510" s="2">
        <v>52610986</v>
      </c>
      <c r="D510" s="2">
        <v>6281509</v>
      </c>
      <c r="E510" s="2">
        <v>53086308</v>
      </c>
      <c r="F510" s="2">
        <v>1263</v>
      </c>
      <c r="G510" s="2">
        <v>936906</v>
      </c>
      <c r="H510" s="2">
        <v>2644</v>
      </c>
      <c r="I510" s="2">
        <v>58042</v>
      </c>
      <c r="J510" s="2">
        <v>12076677</v>
      </c>
      <c r="K510" s="2">
        <v>14989398609</v>
      </c>
      <c r="L510" s="3">
        <f t="shared" si="14"/>
        <v>8.3428520557798976E-3</v>
      </c>
      <c r="M510" s="3">
        <f t="shared" si="15"/>
        <v>8.7231865274095338E-4</v>
      </c>
    </row>
    <row r="511" spans="1:13" x14ac:dyDescent="0.35">
      <c r="A511" t="s">
        <v>98</v>
      </c>
      <c r="B511" t="s">
        <v>54</v>
      </c>
      <c r="C511" s="2">
        <v>41742367</v>
      </c>
      <c r="D511" s="2">
        <v>5879981</v>
      </c>
      <c r="E511" s="2">
        <v>69245381</v>
      </c>
      <c r="F511" s="2"/>
      <c r="G511" s="2">
        <v>528721</v>
      </c>
      <c r="H511" s="2"/>
      <c r="I511" s="2">
        <v>211344</v>
      </c>
      <c r="J511" s="2">
        <v>10827091</v>
      </c>
      <c r="K511" s="2">
        <v>16319786741</v>
      </c>
      <c r="L511" s="3">
        <f t="shared" si="14"/>
        <v>7.8698874585986234E-3</v>
      </c>
      <c r="M511" s="3">
        <f t="shared" si="15"/>
        <v>7.0878107560927721E-4</v>
      </c>
    </row>
    <row r="512" spans="1:13" x14ac:dyDescent="0.35">
      <c r="A512" t="s">
        <v>98</v>
      </c>
      <c r="B512" t="s">
        <v>55</v>
      </c>
      <c r="C512" s="2">
        <v>27534733</v>
      </c>
      <c r="D512" s="2">
        <v>7363087</v>
      </c>
      <c r="E512" s="2">
        <v>104572358</v>
      </c>
      <c r="F512" s="2"/>
      <c r="G512" s="2">
        <v>1062106</v>
      </c>
      <c r="H512" s="2"/>
      <c r="I512" s="2">
        <v>310651</v>
      </c>
      <c r="J512" s="2">
        <v>13433316</v>
      </c>
      <c r="K512" s="2">
        <v>18011172050</v>
      </c>
      <c r="L512" s="3">
        <f t="shared" si="14"/>
        <v>8.5655864355590333E-3</v>
      </c>
      <c r="M512" s="3">
        <f t="shared" si="15"/>
        <v>8.2204939017280665E-4</v>
      </c>
    </row>
    <row r="513" spans="1:13" x14ac:dyDescent="0.35">
      <c r="A513" t="s">
        <v>98</v>
      </c>
      <c r="B513" t="s">
        <v>56</v>
      </c>
      <c r="C513" s="2">
        <v>34899554</v>
      </c>
      <c r="D513" s="2">
        <v>4619110</v>
      </c>
      <c r="E513" s="2">
        <v>69895108</v>
      </c>
      <c r="F513" s="2"/>
      <c r="G513" s="2">
        <v>721962</v>
      </c>
      <c r="H513" s="2">
        <v>41</v>
      </c>
      <c r="I513" s="2">
        <v>589367</v>
      </c>
      <c r="J513" s="2">
        <v>7952057</v>
      </c>
      <c r="K513" s="2">
        <v>15375559768</v>
      </c>
      <c r="L513" s="3">
        <f t="shared" si="14"/>
        <v>7.7185611965161719E-3</v>
      </c>
      <c r="M513" s="3">
        <f t="shared" si="15"/>
        <v>6.0247738227256454E-4</v>
      </c>
    </row>
    <row r="514" spans="1:13" x14ac:dyDescent="0.35">
      <c r="A514" t="s">
        <v>98</v>
      </c>
      <c r="B514" t="s">
        <v>57</v>
      </c>
      <c r="C514" s="2">
        <v>31959536</v>
      </c>
      <c r="D514" s="2">
        <v>3558388</v>
      </c>
      <c r="E514" s="2">
        <v>77715811</v>
      </c>
      <c r="F514" s="2">
        <v>16115</v>
      </c>
      <c r="G514" s="2">
        <v>689131</v>
      </c>
      <c r="H514" s="2"/>
      <c r="I514" s="2">
        <v>85508</v>
      </c>
      <c r="J514" s="2">
        <v>9815292</v>
      </c>
      <c r="K514" s="2">
        <v>15867255726</v>
      </c>
      <c r="L514" s="3">
        <f t="shared" ref="L514:L577" si="16">SUM(C514:J514)/K514</f>
        <v>7.8047384587794097E-3</v>
      </c>
      <c r="M514" s="3">
        <f t="shared" ref="M514:M577" si="17">SUM(F514:J514)/K514</f>
        <v>6.6842346169671864E-4</v>
      </c>
    </row>
    <row r="515" spans="1:13" x14ac:dyDescent="0.35">
      <c r="A515" t="s">
        <v>98</v>
      </c>
      <c r="B515" t="s">
        <v>58</v>
      </c>
      <c r="C515" s="2">
        <v>14967112</v>
      </c>
      <c r="D515" s="2">
        <v>4420536</v>
      </c>
      <c r="E515" s="2">
        <v>114725601</v>
      </c>
      <c r="F515" s="2"/>
      <c r="G515" s="2">
        <v>383046</v>
      </c>
      <c r="H515" s="2"/>
      <c r="I515" s="2">
        <v>375897</v>
      </c>
      <c r="J515" s="2">
        <v>7472452</v>
      </c>
      <c r="K515" s="2">
        <v>15574126455</v>
      </c>
      <c r="L515" s="3">
        <f t="shared" si="16"/>
        <v>9.1398156045086505E-3</v>
      </c>
      <c r="M515" s="3">
        <f t="shared" si="17"/>
        <v>5.2853012486985104E-4</v>
      </c>
    </row>
    <row r="516" spans="1:13" x14ac:dyDescent="0.35">
      <c r="A516" t="s">
        <v>98</v>
      </c>
      <c r="B516" t="s">
        <v>59</v>
      </c>
      <c r="C516" s="2">
        <v>19749132</v>
      </c>
      <c r="D516" s="2">
        <v>4592369</v>
      </c>
      <c r="E516" s="2">
        <v>152314073</v>
      </c>
      <c r="F516" s="2"/>
      <c r="G516" s="2">
        <v>505801</v>
      </c>
      <c r="H516" s="2"/>
      <c r="I516" s="2">
        <v>48897</v>
      </c>
      <c r="J516" s="2">
        <v>6906026</v>
      </c>
      <c r="K516" s="2">
        <v>17165241150</v>
      </c>
      <c r="L516" s="3">
        <f t="shared" si="16"/>
        <v>1.0726111936970952E-2</v>
      </c>
      <c r="M516" s="3">
        <f t="shared" si="17"/>
        <v>4.3464137408870602E-4</v>
      </c>
    </row>
    <row r="517" spans="1:13" x14ac:dyDescent="0.35">
      <c r="A517" t="s">
        <v>98</v>
      </c>
      <c r="B517" t="s">
        <v>60</v>
      </c>
      <c r="C517" s="2">
        <v>43756267</v>
      </c>
      <c r="D517" s="2">
        <v>4947278</v>
      </c>
      <c r="E517" s="2">
        <v>105323138</v>
      </c>
      <c r="F517" s="2"/>
      <c r="G517" s="2">
        <v>1484441</v>
      </c>
      <c r="H517" s="2"/>
      <c r="I517" s="2">
        <v>545616</v>
      </c>
      <c r="J517" s="2">
        <v>11126032</v>
      </c>
      <c r="K517" s="2">
        <v>15775144138</v>
      </c>
      <c r="L517" s="3">
        <f t="shared" si="16"/>
        <v>1.0597860186727632E-2</v>
      </c>
      <c r="M517" s="3">
        <f t="shared" si="17"/>
        <v>8.3397583469991361E-4</v>
      </c>
    </row>
    <row r="518" spans="1:13" x14ac:dyDescent="0.35">
      <c r="A518" t="s">
        <v>98</v>
      </c>
      <c r="B518" t="s">
        <v>61</v>
      </c>
      <c r="C518" s="2">
        <v>25335130</v>
      </c>
      <c r="D518" s="2">
        <v>6993855</v>
      </c>
      <c r="E518" s="2">
        <v>62021335</v>
      </c>
      <c r="F518" s="2"/>
      <c r="G518" s="2">
        <v>362492</v>
      </c>
      <c r="H518" s="2"/>
      <c r="I518" s="2">
        <v>111247</v>
      </c>
      <c r="J518" s="2">
        <v>12343951</v>
      </c>
      <c r="K518" s="2">
        <v>13540937660</v>
      </c>
      <c r="L518" s="3">
        <f t="shared" si="16"/>
        <v>7.9143714187958243E-3</v>
      </c>
      <c r="M518" s="3">
        <f t="shared" si="17"/>
        <v>9.465880666346706E-4</v>
      </c>
    </row>
    <row r="519" spans="1:13" x14ac:dyDescent="0.35">
      <c r="A519" t="s">
        <v>98</v>
      </c>
      <c r="B519" t="s">
        <v>62</v>
      </c>
      <c r="C519" s="2">
        <v>21743077</v>
      </c>
      <c r="D519" s="2">
        <v>6244524</v>
      </c>
      <c r="E519" s="2">
        <v>60380042</v>
      </c>
      <c r="F519" s="2"/>
      <c r="G519" s="2">
        <v>402956</v>
      </c>
      <c r="H519" s="2"/>
      <c r="I519" s="2">
        <v>462447</v>
      </c>
      <c r="J519" s="2">
        <v>7740376</v>
      </c>
      <c r="K519" s="2">
        <v>18612404317</v>
      </c>
      <c r="L519" s="3">
        <f t="shared" si="16"/>
        <v>5.2101501959866325E-3</v>
      </c>
      <c r="M519" s="3">
        <f t="shared" si="17"/>
        <v>4.6236793771666271E-4</v>
      </c>
    </row>
    <row r="520" spans="1:13" x14ac:dyDescent="0.35">
      <c r="A520" t="s">
        <v>98</v>
      </c>
      <c r="B520" t="s">
        <v>63</v>
      </c>
      <c r="C520" s="2">
        <v>29001533</v>
      </c>
      <c r="D520" s="2">
        <v>4191459</v>
      </c>
      <c r="E520" s="2">
        <v>75640342</v>
      </c>
      <c r="F520" s="2"/>
      <c r="G520" s="2">
        <v>1577622</v>
      </c>
      <c r="H520" s="2"/>
      <c r="I520" s="2">
        <v>289388</v>
      </c>
      <c r="J520" s="2">
        <v>8288022</v>
      </c>
      <c r="K520" s="2">
        <v>15814893836</v>
      </c>
      <c r="L520" s="3">
        <f t="shared" si="16"/>
        <v>7.5238169306671276E-3</v>
      </c>
      <c r="M520" s="3">
        <f t="shared" si="17"/>
        <v>6.4211825291446108E-4</v>
      </c>
    </row>
    <row r="521" spans="1:13" x14ac:dyDescent="0.35">
      <c r="A521" t="s">
        <v>98</v>
      </c>
      <c r="B521" t="s">
        <v>64</v>
      </c>
      <c r="C521" s="2">
        <v>28468183</v>
      </c>
      <c r="D521" s="2">
        <v>6030339</v>
      </c>
      <c r="E521" s="2">
        <v>69699065</v>
      </c>
      <c r="F521" s="2"/>
      <c r="G521" s="2">
        <v>2728917</v>
      </c>
      <c r="H521" s="2"/>
      <c r="I521" s="2">
        <v>925348</v>
      </c>
      <c r="J521" s="2">
        <v>8694521</v>
      </c>
      <c r="K521" s="2">
        <v>19076451843</v>
      </c>
      <c r="L521" s="3">
        <f t="shared" si="16"/>
        <v>6.1094365953994773E-3</v>
      </c>
      <c r="M521" s="3">
        <f t="shared" si="17"/>
        <v>6.4733138539761097E-4</v>
      </c>
    </row>
    <row r="522" spans="1:13" x14ac:dyDescent="0.35">
      <c r="A522" t="s">
        <v>98</v>
      </c>
      <c r="B522" t="s">
        <v>65</v>
      </c>
      <c r="C522" s="2">
        <v>20536775</v>
      </c>
      <c r="D522" s="2">
        <v>4556122</v>
      </c>
      <c r="E522" s="2">
        <v>60524442</v>
      </c>
      <c r="F522" s="2"/>
      <c r="G522" s="2">
        <v>3758983</v>
      </c>
      <c r="H522" s="2"/>
      <c r="I522" s="2">
        <v>645138</v>
      </c>
      <c r="J522" s="2">
        <v>8961247</v>
      </c>
      <c r="K522" s="2">
        <v>19331990652</v>
      </c>
      <c r="L522" s="3">
        <f t="shared" si="16"/>
        <v>5.1201507791831932E-3</v>
      </c>
      <c r="M522" s="3">
        <f t="shared" si="17"/>
        <v>6.9136015222608647E-4</v>
      </c>
    </row>
    <row r="523" spans="1:13" x14ac:dyDescent="0.35">
      <c r="A523" t="s">
        <v>98</v>
      </c>
      <c r="B523" t="s">
        <v>66</v>
      </c>
      <c r="C523" s="2">
        <v>106854965</v>
      </c>
      <c r="D523" s="2">
        <v>3600167</v>
      </c>
      <c r="E523" s="2">
        <v>75786806</v>
      </c>
      <c r="F523" s="2"/>
      <c r="G523" s="2">
        <v>428856</v>
      </c>
      <c r="H523" s="2"/>
      <c r="I523" s="2">
        <v>221536</v>
      </c>
      <c r="J523" s="2">
        <v>10837575</v>
      </c>
      <c r="K523" s="2">
        <v>17889131375</v>
      </c>
      <c r="L523" s="3">
        <f t="shared" si="16"/>
        <v>1.1053074677305286E-2</v>
      </c>
      <c r="M523" s="3">
        <f t="shared" si="17"/>
        <v>6.4217578591067837E-4</v>
      </c>
    </row>
    <row r="524" spans="1:13" x14ac:dyDescent="0.35">
      <c r="A524" t="s">
        <v>98</v>
      </c>
      <c r="B524" t="s">
        <v>67</v>
      </c>
      <c r="C524" s="2">
        <v>78408411</v>
      </c>
      <c r="D524" s="2">
        <v>3193352</v>
      </c>
      <c r="E524" s="2">
        <v>66432900</v>
      </c>
      <c r="F524" s="2">
        <v>3000</v>
      </c>
      <c r="G524" s="2">
        <v>30041644</v>
      </c>
      <c r="H524" s="2"/>
      <c r="I524" s="2">
        <v>318348</v>
      </c>
      <c r="J524" s="2">
        <v>11290800</v>
      </c>
      <c r="K524" s="2">
        <v>16738571754</v>
      </c>
      <c r="L524" s="3">
        <f t="shared" si="16"/>
        <v>1.133241579913593E-2</v>
      </c>
      <c r="M524" s="3">
        <f t="shared" si="17"/>
        <v>2.4884914084767141E-3</v>
      </c>
    </row>
    <row r="525" spans="1:13" x14ac:dyDescent="0.35">
      <c r="A525" t="s">
        <v>98</v>
      </c>
      <c r="B525" t="s">
        <v>68</v>
      </c>
      <c r="C525" s="2">
        <v>96246911</v>
      </c>
      <c r="D525" s="2">
        <v>3211811</v>
      </c>
      <c r="E525" s="2">
        <v>121506942</v>
      </c>
      <c r="F525" s="2"/>
      <c r="G525" s="2">
        <v>2731651</v>
      </c>
      <c r="H525" s="2">
        <v>11863</v>
      </c>
      <c r="I525" s="2">
        <v>337655</v>
      </c>
      <c r="J525" s="2">
        <v>14057468</v>
      </c>
      <c r="K525" s="2">
        <v>18183476930</v>
      </c>
      <c r="L525" s="3">
        <f t="shared" si="16"/>
        <v>1.3094541924881469E-2</v>
      </c>
      <c r="M525" s="3">
        <f t="shared" si="17"/>
        <v>9.4253904607890637E-4</v>
      </c>
    </row>
    <row r="526" spans="1:13" x14ac:dyDescent="0.35">
      <c r="A526" t="s">
        <v>98</v>
      </c>
      <c r="B526" t="s">
        <v>69</v>
      </c>
      <c r="C526" s="2">
        <v>112915093</v>
      </c>
      <c r="D526" s="2">
        <v>5428551</v>
      </c>
      <c r="E526" s="2">
        <v>65682948</v>
      </c>
      <c r="F526" s="2"/>
      <c r="G526" s="2">
        <v>20006961</v>
      </c>
      <c r="H526" s="2"/>
      <c r="I526" s="2">
        <v>206745</v>
      </c>
      <c r="J526" s="2">
        <v>8516538</v>
      </c>
      <c r="K526" s="2">
        <v>17341551182</v>
      </c>
      <c r="L526" s="3">
        <f t="shared" si="16"/>
        <v>1.2268616213573506E-2</v>
      </c>
      <c r="M526" s="3">
        <f t="shared" si="17"/>
        <v>1.6567286108650485E-3</v>
      </c>
    </row>
    <row r="527" spans="1:13" x14ac:dyDescent="0.35">
      <c r="A527" t="s">
        <v>98</v>
      </c>
      <c r="B527" t="s">
        <v>70</v>
      </c>
      <c r="C527" s="2">
        <v>88838586</v>
      </c>
      <c r="D527" s="2">
        <v>3822861</v>
      </c>
      <c r="E527" s="2">
        <v>78754565</v>
      </c>
      <c r="F527" s="2">
        <v>191</v>
      </c>
      <c r="G527" s="2">
        <v>24502830</v>
      </c>
      <c r="H527" s="2">
        <v>13019</v>
      </c>
      <c r="I527" s="2">
        <v>248298</v>
      </c>
      <c r="J527" s="2">
        <v>9825897</v>
      </c>
      <c r="K527" s="2">
        <v>22263879608</v>
      </c>
      <c r="L527" s="3">
        <f t="shared" si="16"/>
        <v>9.252935724911867E-3</v>
      </c>
      <c r="M527" s="3">
        <f t="shared" si="17"/>
        <v>1.5536481336150783E-3</v>
      </c>
    </row>
    <row r="528" spans="1:13" x14ac:dyDescent="0.35">
      <c r="A528" t="s">
        <v>98</v>
      </c>
      <c r="B528" t="s">
        <v>71</v>
      </c>
      <c r="C528" s="2">
        <v>99580997</v>
      </c>
      <c r="D528" s="2">
        <v>4119977</v>
      </c>
      <c r="E528" s="2">
        <v>136615228</v>
      </c>
      <c r="F528" s="2"/>
      <c r="G528" s="2">
        <v>3851806</v>
      </c>
      <c r="H528" s="2"/>
      <c r="I528" s="2">
        <v>159862</v>
      </c>
      <c r="J528" s="2">
        <v>12484413</v>
      </c>
      <c r="K528" s="2">
        <v>21179633574</v>
      </c>
      <c r="L528" s="3">
        <f t="shared" si="16"/>
        <v>1.2125435603157051E-2</v>
      </c>
      <c r="M528" s="3">
        <f t="shared" si="17"/>
        <v>7.7886526895585661E-4</v>
      </c>
    </row>
    <row r="529" spans="1:13" x14ac:dyDescent="0.35">
      <c r="A529" t="s">
        <v>98</v>
      </c>
      <c r="B529" t="s">
        <v>72</v>
      </c>
      <c r="C529" s="2">
        <v>94434635</v>
      </c>
      <c r="D529" s="2">
        <v>11769815</v>
      </c>
      <c r="E529" s="2">
        <v>118339181</v>
      </c>
      <c r="F529" s="2"/>
      <c r="G529" s="2">
        <v>6049314</v>
      </c>
      <c r="H529" s="2">
        <v>2972</v>
      </c>
      <c r="I529" s="2">
        <v>39743</v>
      </c>
      <c r="J529" s="2">
        <v>41740500</v>
      </c>
      <c r="K529" s="2">
        <v>20633051259</v>
      </c>
      <c r="L529" s="3">
        <f t="shared" si="16"/>
        <v>1.3200963666544052E-2</v>
      </c>
      <c r="M529" s="3">
        <f t="shared" si="17"/>
        <v>2.3182479604966699E-3</v>
      </c>
    </row>
    <row r="530" spans="1:13" x14ac:dyDescent="0.35">
      <c r="A530" t="s">
        <v>98</v>
      </c>
      <c r="B530" t="s">
        <v>73</v>
      </c>
      <c r="C530" s="2">
        <v>76141775</v>
      </c>
      <c r="D530" s="2">
        <v>3997047</v>
      </c>
      <c r="E530" s="2">
        <v>80622489</v>
      </c>
      <c r="F530" s="2"/>
      <c r="G530" s="2">
        <v>9539048</v>
      </c>
      <c r="H530" s="2"/>
      <c r="I530" s="2">
        <v>1230549</v>
      </c>
      <c r="J530" s="2">
        <v>6101866</v>
      </c>
      <c r="K530" s="2">
        <v>15683300561</v>
      </c>
      <c r="L530" s="3">
        <f t="shared" si="16"/>
        <v>1.1326236675060811E-2</v>
      </c>
      <c r="M530" s="3">
        <f t="shared" si="17"/>
        <v>1.0757597187134593E-3</v>
      </c>
    </row>
    <row r="531" spans="1:13" x14ac:dyDescent="0.35">
      <c r="A531" t="s">
        <v>98</v>
      </c>
      <c r="B531" t="s">
        <v>74</v>
      </c>
      <c r="C531" s="2">
        <v>96835930</v>
      </c>
      <c r="D531" s="2">
        <v>4350052</v>
      </c>
      <c r="E531" s="2">
        <v>173772061</v>
      </c>
      <c r="F531" s="2"/>
      <c r="G531" s="2">
        <v>1165996</v>
      </c>
      <c r="H531" s="2"/>
      <c r="I531" s="2">
        <v>601998</v>
      </c>
      <c r="J531" s="2">
        <v>11117937</v>
      </c>
      <c r="K531" s="2">
        <v>24829787356</v>
      </c>
      <c r="L531" s="3">
        <f t="shared" si="16"/>
        <v>1.1592687841945769E-2</v>
      </c>
      <c r="M531" s="3">
        <f t="shared" si="17"/>
        <v>5.1897065469173973E-4</v>
      </c>
    </row>
    <row r="532" spans="1:13" x14ac:dyDescent="0.35">
      <c r="A532" t="s">
        <v>98</v>
      </c>
      <c r="B532" t="s">
        <v>75</v>
      </c>
      <c r="C532" s="2">
        <v>96804670</v>
      </c>
      <c r="D532" s="2">
        <v>8509633</v>
      </c>
      <c r="E532" s="2">
        <v>94663881</v>
      </c>
      <c r="F532" s="2"/>
      <c r="G532" s="2">
        <v>18357372</v>
      </c>
      <c r="H532" s="2"/>
      <c r="I532" s="2">
        <v>14551</v>
      </c>
      <c r="J532" s="2">
        <v>11782591</v>
      </c>
      <c r="K532" s="2">
        <v>24943572767</v>
      </c>
      <c r="L532" s="3">
        <f t="shared" si="16"/>
        <v>9.2261321242826273E-3</v>
      </c>
      <c r="M532" s="3">
        <f t="shared" si="17"/>
        <v>1.2089091759899769E-3</v>
      </c>
    </row>
    <row r="533" spans="1:13" x14ac:dyDescent="0.35">
      <c r="A533" t="s">
        <v>98</v>
      </c>
      <c r="B533" t="s">
        <v>76</v>
      </c>
      <c r="C533" s="2">
        <v>80767294</v>
      </c>
      <c r="D533" s="2">
        <v>4853461</v>
      </c>
      <c r="E533" s="2">
        <v>155518727</v>
      </c>
      <c r="F533" s="2"/>
      <c r="G533" s="2">
        <v>28170452</v>
      </c>
      <c r="H533" s="2"/>
      <c r="I533" s="2">
        <v>90131</v>
      </c>
      <c r="J533" s="2">
        <v>36988733</v>
      </c>
      <c r="K533" s="2">
        <v>37531210560</v>
      </c>
      <c r="L533" s="3">
        <f t="shared" si="16"/>
        <v>8.1635735546069215E-3</v>
      </c>
      <c r="M533" s="3">
        <f t="shared" si="17"/>
        <v>1.7385348094671211E-3</v>
      </c>
    </row>
    <row r="534" spans="1:13" x14ac:dyDescent="0.35">
      <c r="A534" t="s">
        <v>98</v>
      </c>
      <c r="B534" t="s">
        <v>77</v>
      </c>
      <c r="C534" s="2">
        <v>39674900</v>
      </c>
      <c r="D534" s="2">
        <v>4273650</v>
      </c>
      <c r="E534" s="2">
        <v>97182532</v>
      </c>
      <c r="F534" s="2"/>
      <c r="G534" s="2">
        <v>15427173</v>
      </c>
      <c r="H534" s="2"/>
      <c r="I534" s="2">
        <v>365273</v>
      </c>
      <c r="J534" s="2">
        <v>7456789</v>
      </c>
      <c r="K534" s="2">
        <v>21285211797</v>
      </c>
      <c r="L534" s="3">
        <f t="shared" si="16"/>
        <v>7.7227475379487761E-3</v>
      </c>
      <c r="M534" s="3">
        <f t="shared" si="17"/>
        <v>1.0922717246946453E-3</v>
      </c>
    </row>
    <row r="535" spans="1:13" x14ac:dyDescent="0.35">
      <c r="A535" t="s">
        <v>98</v>
      </c>
      <c r="B535" t="s">
        <v>78</v>
      </c>
      <c r="C535" s="2">
        <v>142169713</v>
      </c>
      <c r="D535" s="2">
        <v>4175265</v>
      </c>
      <c r="E535" s="2">
        <v>101811561</v>
      </c>
      <c r="F535" s="2">
        <v>3440</v>
      </c>
      <c r="G535" s="2">
        <v>13990901</v>
      </c>
      <c r="H535" s="2"/>
      <c r="I535" s="2">
        <v>425033</v>
      </c>
      <c r="J535" s="2">
        <v>5198457</v>
      </c>
      <c r="K535" s="2">
        <v>23136532322</v>
      </c>
      <c r="L535" s="3">
        <f t="shared" si="16"/>
        <v>1.1573660489535826E-2</v>
      </c>
      <c r="M535" s="3">
        <f t="shared" si="17"/>
        <v>8.4791578647012077E-4</v>
      </c>
    </row>
    <row r="536" spans="1:13" x14ac:dyDescent="0.35">
      <c r="A536" t="s">
        <v>98</v>
      </c>
      <c r="B536" t="s">
        <v>79</v>
      </c>
      <c r="C536" s="2">
        <v>129634649</v>
      </c>
      <c r="D536" s="2">
        <v>4463468</v>
      </c>
      <c r="E536" s="2">
        <v>113951627</v>
      </c>
      <c r="F536" s="2"/>
      <c r="G536" s="2">
        <v>10144879</v>
      </c>
      <c r="H536" s="2"/>
      <c r="I536" s="2">
        <v>31489</v>
      </c>
      <c r="J536" s="2">
        <v>15148602</v>
      </c>
      <c r="K536" s="2">
        <v>16864861374</v>
      </c>
      <c r="L536" s="3">
        <f t="shared" si="16"/>
        <v>1.620972197384633E-2</v>
      </c>
      <c r="M536" s="3">
        <f t="shared" si="17"/>
        <v>1.5016411601842556E-3</v>
      </c>
    </row>
    <row r="537" spans="1:13" x14ac:dyDescent="0.35">
      <c r="A537" t="s">
        <v>98</v>
      </c>
      <c r="B537" t="s">
        <v>80</v>
      </c>
      <c r="C537" s="2">
        <v>155857667</v>
      </c>
      <c r="D537" s="2">
        <v>6244765</v>
      </c>
      <c r="E537" s="2">
        <v>109488911</v>
      </c>
      <c r="F537" s="2"/>
      <c r="G537" s="2">
        <v>4851973</v>
      </c>
      <c r="H537" s="2"/>
      <c r="I537" s="2">
        <v>486202</v>
      </c>
      <c r="J537" s="2">
        <v>11232190</v>
      </c>
      <c r="K537" s="2">
        <v>16771171584</v>
      </c>
      <c r="L537" s="3">
        <f t="shared" si="16"/>
        <v>1.7181966480798005E-2</v>
      </c>
      <c r="M537" s="3">
        <f t="shared" si="17"/>
        <v>9.8802668120147471E-4</v>
      </c>
    </row>
    <row r="538" spans="1:13" x14ac:dyDescent="0.35">
      <c r="A538" t="s">
        <v>98</v>
      </c>
      <c r="B538" t="s">
        <v>81</v>
      </c>
      <c r="C538" s="2">
        <v>127313464</v>
      </c>
      <c r="D538" s="2">
        <v>6128398</v>
      </c>
      <c r="E538" s="2">
        <v>112022589</v>
      </c>
      <c r="F538" s="2">
        <v>33</v>
      </c>
      <c r="G538" s="2">
        <v>1890039</v>
      </c>
      <c r="H538" s="2"/>
      <c r="I538" s="2">
        <v>320265</v>
      </c>
      <c r="J538" s="2">
        <v>7056213</v>
      </c>
      <c r="K538" s="2">
        <v>16028205836</v>
      </c>
      <c r="L538" s="3">
        <f t="shared" si="16"/>
        <v>1.5892670933128638E-2</v>
      </c>
      <c r="M538" s="3">
        <f t="shared" si="17"/>
        <v>5.7814019203490349E-4</v>
      </c>
    </row>
    <row r="539" spans="1:13" x14ac:dyDescent="0.35">
      <c r="A539" t="s">
        <v>98</v>
      </c>
      <c r="B539" t="s">
        <v>82</v>
      </c>
      <c r="C539" s="2">
        <v>144727171</v>
      </c>
      <c r="D539" s="2">
        <v>4220055</v>
      </c>
      <c r="E539" s="2">
        <v>308117518</v>
      </c>
      <c r="F539" s="2"/>
      <c r="G539" s="2">
        <v>746343</v>
      </c>
      <c r="H539" s="2"/>
      <c r="I539" s="2">
        <v>162049</v>
      </c>
      <c r="J539" s="2">
        <v>6164275</v>
      </c>
      <c r="K539" s="2">
        <v>28631618408</v>
      </c>
      <c r="L539" s="3">
        <f t="shared" si="16"/>
        <v>1.621065929232679E-2</v>
      </c>
      <c r="M539" s="3">
        <f t="shared" si="17"/>
        <v>2.4702295550375929E-4</v>
      </c>
    </row>
    <row r="540" spans="1:13" x14ac:dyDescent="0.35">
      <c r="A540" t="s">
        <v>98</v>
      </c>
      <c r="B540" t="s">
        <v>83</v>
      </c>
      <c r="C540" s="2">
        <v>187441102</v>
      </c>
      <c r="D540" s="2">
        <v>5067480</v>
      </c>
      <c r="E540" s="2">
        <v>125094970</v>
      </c>
      <c r="F540" s="2"/>
      <c r="G540" s="2">
        <v>9177107</v>
      </c>
      <c r="H540" s="2"/>
      <c r="I540" s="2">
        <v>168519</v>
      </c>
      <c r="J540" s="2">
        <v>11242234</v>
      </c>
      <c r="K540" s="2">
        <v>16401707001</v>
      </c>
      <c r="L540" s="3">
        <f t="shared" si="16"/>
        <v>2.0619281394270775E-2</v>
      </c>
      <c r="M540" s="3">
        <f t="shared" si="17"/>
        <v>1.2552266662698445E-3</v>
      </c>
    </row>
    <row r="541" spans="1:13" x14ac:dyDescent="0.35">
      <c r="A541" t="s">
        <v>98</v>
      </c>
      <c r="B541" t="s">
        <v>84</v>
      </c>
      <c r="C541" s="2">
        <v>135763281</v>
      </c>
      <c r="D541" s="2">
        <v>5545258</v>
      </c>
      <c r="E541" s="2">
        <v>162813799</v>
      </c>
      <c r="F541" s="2"/>
      <c r="G541" s="2">
        <v>12353383</v>
      </c>
      <c r="H541" s="2"/>
      <c r="I541" s="2">
        <v>673815</v>
      </c>
      <c r="J541" s="2">
        <v>6686536</v>
      </c>
      <c r="K541" s="2">
        <v>16096942575</v>
      </c>
      <c r="L541" s="3">
        <f t="shared" si="16"/>
        <v>2.0117862164890029E-2</v>
      </c>
      <c r="M541" s="3">
        <f t="shared" si="17"/>
        <v>1.2246880988826538E-3</v>
      </c>
    </row>
    <row r="542" spans="1:13" x14ac:dyDescent="0.35">
      <c r="A542" t="s">
        <v>98</v>
      </c>
      <c r="B542" t="s">
        <v>85</v>
      </c>
      <c r="C542" s="2">
        <v>331638333</v>
      </c>
      <c r="D542" s="2">
        <v>6366458</v>
      </c>
      <c r="E542" s="2">
        <v>115250761</v>
      </c>
      <c r="F542" s="2">
        <v>1289774</v>
      </c>
      <c r="G542" s="2">
        <v>8552417</v>
      </c>
      <c r="H542" s="2"/>
      <c r="I542" s="2">
        <v>156962</v>
      </c>
      <c r="J542" s="2">
        <v>5299476</v>
      </c>
      <c r="K542" s="2">
        <v>15734350791</v>
      </c>
      <c r="L542" s="3">
        <f t="shared" si="16"/>
        <v>2.9779060300855344E-2</v>
      </c>
      <c r="M542" s="3">
        <f t="shared" si="17"/>
        <v>9.7230760920563489E-4</v>
      </c>
    </row>
    <row r="543" spans="1:13" x14ac:dyDescent="0.35">
      <c r="A543" t="s">
        <v>98</v>
      </c>
      <c r="B543" t="s">
        <v>86</v>
      </c>
      <c r="C543" s="2">
        <v>966056376</v>
      </c>
      <c r="D543" s="2">
        <v>5531817</v>
      </c>
      <c r="E543" s="2">
        <v>176214811</v>
      </c>
      <c r="F543" s="2"/>
      <c r="G543" s="2">
        <v>2908828</v>
      </c>
      <c r="H543" s="2"/>
      <c r="I543" s="2">
        <v>352526</v>
      </c>
      <c r="J543" s="2">
        <v>7713392</v>
      </c>
      <c r="K543" s="2">
        <v>16131017908</v>
      </c>
      <c r="L543" s="3">
        <f t="shared" si="16"/>
        <v>7.1835376825495748E-2</v>
      </c>
      <c r="M543" s="3">
        <f t="shared" si="17"/>
        <v>6.8035049384931846E-4</v>
      </c>
    </row>
    <row r="544" spans="1:13" x14ac:dyDescent="0.35">
      <c r="A544" t="s">
        <v>98</v>
      </c>
      <c r="B544" t="s">
        <v>87</v>
      </c>
      <c r="C544" s="2">
        <v>411240937</v>
      </c>
      <c r="D544" s="2">
        <v>6154758</v>
      </c>
      <c r="E544" s="2">
        <v>115305462</v>
      </c>
      <c r="F544" s="2"/>
      <c r="G544" s="2">
        <v>790081</v>
      </c>
      <c r="H544" s="2"/>
      <c r="I544" s="2">
        <v>205198</v>
      </c>
      <c r="J544" s="2">
        <v>8833572</v>
      </c>
      <c r="K544" s="2">
        <v>15409127751</v>
      </c>
      <c r="L544" s="3">
        <f t="shared" si="16"/>
        <v>3.5208352916977513E-2</v>
      </c>
      <c r="M544" s="3">
        <f t="shared" si="17"/>
        <v>6.3785901180306206E-4</v>
      </c>
    </row>
    <row r="545" spans="1:13" x14ac:dyDescent="0.35">
      <c r="A545" t="s">
        <v>98</v>
      </c>
      <c r="B545" t="s">
        <v>88</v>
      </c>
      <c r="C545" s="2">
        <v>656308781</v>
      </c>
      <c r="D545" s="2">
        <v>8581873</v>
      </c>
      <c r="E545" s="2">
        <v>367595633</v>
      </c>
      <c r="F545" s="2">
        <v>8</v>
      </c>
      <c r="G545" s="2">
        <v>6848402</v>
      </c>
      <c r="H545" s="2"/>
      <c r="I545" s="2">
        <v>697765</v>
      </c>
      <c r="J545" s="2">
        <v>11337320</v>
      </c>
      <c r="K545" s="2">
        <v>18109773296</v>
      </c>
      <c r="L545" s="3">
        <f t="shared" si="16"/>
        <v>5.8055380639812949E-2</v>
      </c>
      <c r="M545" s="3">
        <f t="shared" si="17"/>
        <v>1.0427239861788274E-3</v>
      </c>
    </row>
    <row r="546" spans="1:13" x14ac:dyDescent="0.35">
      <c r="A546" t="s">
        <v>98</v>
      </c>
      <c r="B546" t="s">
        <v>89</v>
      </c>
      <c r="C546" s="2">
        <v>893164629</v>
      </c>
      <c r="D546" s="2">
        <v>5590294</v>
      </c>
      <c r="E546" s="2">
        <v>596125301</v>
      </c>
      <c r="F546" s="2"/>
      <c r="G546" s="2">
        <v>3334116</v>
      </c>
      <c r="H546" s="2"/>
      <c r="I546" s="2">
        <v>253118</v>
      </c>
      <c r="J546" s="2">
        <v>14676201</v>
      </c>
      <c r="K546" s="2">
        <v>18542302552</v>
      </c>
      <c r="L546" s="3">
        <f t="shared" si="16"/>
        <v>8.1604949264339893E-2</v>
      </c>
      <c r="M546" s="3">
        <f t="shared" si="17"/>
        <v>9.8496046803152174E-4</v>
      </c>
    </row>
    <row r="547" spans="1:13" x14ac:dyDescent="0.35">
      <c r="A547" t="s">
        <v>98</v>
      </c>
      <c r="B547" t="s">
        <v>90</v>
      </c>
      <c r="C547" s="2">
        <v>841839996</v>
      </c>
      <c r="D547" s="2">
        <v>4666256</v>
      </c>
      <c r="E547" s="2">
        <v>398092958</v>
      </c>
      <c r="F547" s="2">
        <v>3500</v>
      </c>
      <c r="G547" s="2">
        <v>1940387</v>
      </c>
      <c r="H547" s="2"/>
      <c r="I547" s="2">
        <v>410726</v>
      </c>
      <c r="J547" s="2">
        <v>9446072</v>
      </c>
      <c r="K547" s="2">
        <v>17050463240</v>
      </c>
      <c r="L547" s="3">
        <f t="shared" si="16"/>
        <v>7.3687141358864339E-2</v>
      </c>
      <c r="M547" s="3">
        <f t="shared" si="17"/>
        <v>6.9210348328342544E-4</v>
      </c>
    </row>
    <row r="548" spans="1:13" x14ac:dyDescent="0.35">
      <c r="A548" t="s">
        <v>98</v>
      </c>
      <c r="B548" t="s">
        <v>91</v>
      </c>
      <c r="C548" s="2">
        <v>392693163</v>
      </c>
      <c r="D548" s="2">
        <v>10201551</v>
      </c>
      <c r="E548" s="2">
        <v>293213277</v>
      </c>
      <c r="F548" s="2"/>
      <c r="G548" s="2">
        <v>943067</v>
      </c>
      <c r="H548" s="2"/>
      <c r="I548" s="2">
        <v>479242</v>
      </c>
      <c r="J548" s="2">
        <v>19999974</v>
      </c>
      <c r="K548" s="2">
        <v>18064775970</v>
      </c>
      <c r="L548" s="3">
        <f t="shared" si="16"/>
        <v>3.9719854549627169E-2</v>
      </c>
      <c r="M548" s="3">
        <f t="shared" si="17"/>
        <v>1.1858593228931142E-3</v>
      </c>
    </row>
    <row r="549" spans="1:13" x14ac:dyDescent="0.35">
      <c r="A549" t="s">
        <v>98</v>
      </c>
      <c r="B549" t="s">
        <v>95</v>
      </c>
      <c r="C549" s="2">
        <v>638177557</v>
      </c>
      <c r="D549" s="2">
        <v>8590332</v>
      </c>
      <c r="E549" s="2">
        <v>532281426</v>
      </c>
      <c r="F549" s="2"/>
      <c r="G549" s="2">
        <v>5765322</v>
      </c>
      <c r="H549" s="2"/>
      <c r="I549" s="2">
        <v>260277</v>
      </c>
      <c r="J549" s="2">
        <v>8425169</v>
      </c>
      <c r="K549" s="2">
        <v>18878624598</v>
      </c>
      <c r="L549" s="3">
        <f t="shared" si="16"/>
        <v>6.3219652300646911E-2</v>
      </c>
      <c r="M549" s="3">
        <f t="shared" si="17"/>
        <v>7.654566107284592E-4</v>
      </c>
    </row>
    <row r="550" spans="1:13" x14ac:dyDescent="0.35">
      <c r="A550" t="s">
        <v>99</v>
      </c>
      <c r="B550" t="s">
        <v>14</v>
      </c>
      <c r="C550" s="2">
        <v>5307984</v>
      </c>
      <c r="D550" s="2">
        <v>2675779</v>
      </c>
      <c r="E550" s="2">
        <v>35654144</v>
      </c>
      <c r="F550" s="2">
        <v>1275686</v>
      </c>
      <c r="G550" s="2">
        <v>182685</v>
      </c>
      <c r="H550" s="2"/>
      <c r="I550" s="2">
        <v>2674965</v>
      </c>
      <c r="J550" s="2">
        <v>1041146</v>
      </c>
      <c r="K550" s="2">
        <v>37001995602</v>
      </c>
      <c r="L550" s="3">
        <f t="shared" si="16"/>
        <v>1.3191826063933059E-3</v>
      </c>
      <c r="M550" s="3">
        <f t="shared" si="17"/>
        <v>1.3984332238881498E-4</v>
      </c>
    </row>
    <row r="551" spans="1:13" x14ac:dyDescent="0.35">
      <c r="A551" t="s">
        <v>99</v>
      </c>
      <c r="B551" t="s">
        <v>15</v>
      </c>
      <c r="C551" s="2">
        <v>6242787</v>
      </c>
      <c r="D551" s="2">
        <v>4166215</v>
      </c>
      <c r="E551" s="2">
        <v>34356206</v>
      </c>
      <c r="F551" s="2">
        <v>2451</v>
      </c>
      <c r="G551" s="2">
        <v>2790453</v>
      </c>
      <c r="H551" s="2"/>
      <c r="I551" s="2">
        <v>1676882</v>
      </c>
      <c r="J551" s="2">
        <v>1820054</v>
      </c>
      <c r="K551" s="2">
        <v>39782586150</v>
      </c>
      <c r="L551" s="3">
        <f t="shared" si="16"/>
        <v>1.2833516606360696E-3</v>
      </c>
      <c r="M551" s="3">
        <f t="shared" si="17"/>
        <v>1.581053573612383E-4</v>
      </c>
    </row>
    <row r="552" spans="1:13" x14ac:dyDescent="0.35">
      <c r="A552" t="s">
        <v>99</v>
      </c>
      <c r="B552" t="s">
        <v>16</v>
      </c>
      <c r="C552" s="2">
        <v>5110067</v>
      </c>
      <c r="D552" s="2">
        <v>2465213</v>
      </c>
      <c r="E552" s="2">
        <v>23771622</v>
      </c>
      <c r="F552" s="2">
        <v>80350</v>
      </c>
      <c r="G552" s="2">
        <v>6052271</v>
      </c>
      <c r="H552" s="2"/>
      <c r="I552" s="2">
        <v>194216</v>
      </c>
      <c r="J552" s="2">
        <v>1807496</v>
      </c>
      <c r="K552" s="2">
        <v>35876150920</v>
      </c>
      <c r="L552" s="3">
        <f t="shared" si="16"/>
        <v>1.1004869248108292E-3</v>
      </c>
      <c r="M552" s="3">
        <f t="shared" si="17"/>
        <v>2.2673371561343628E-4</v>
      </c>
    </row>
    <row r="553" spans="1:13" x14ac:dyDescent="0.35">
      <c r="A553" t="s">
        <v>99</v>
      </c>
      <c r="B553" t="s">
        <v>17</v>
      </c>
      <c r="C553" s="2">
        <v>6126391</v>
      </c>
      <c r="D553" s="2">
        <v>3037209</v>
      </c>
      <c r="E553" s="2">
        <v>23051800</v>
      </c>
      <c r="F553" s="2">
        <v>665</v>
      </c>
      <c r="G553" s="2">
        <v>3776469</v>
      </c>
      <c r="H553" s="2"/>
      <c r="I553" s="2">
        <v>6192</v>
      </c>
      <c r="J553" s="2">
        <v>1015089</v>
      </c>
      <c r="K553" s="2">
        <v>22190949476</v>
      </c>
      <c r="L553" s="3">
        <f t="shared" si="16"/>
        <v>1.6679689636548115E-3</v>
      </c>
      <c r="M553" s="3">
        <f t="shared" si="17"/>
        <v>2.1623297395136659E-4</v>
      </c>
    </row>
    <row r="554" spans="1:13" x14ac:dyDescent="0.35">
      <c r="A554" t="s">
        <v>99</v>
      </c>
      <c r="B554" t="s">
        <v>18</v>
      </c>
      <c r="C554" s="2">
        <v>10569920</v>
      </c>
      <c r="D554" s="2">
        <v>3819572</v>
      </c>
      <c r="E554" s="2">
        <v>31399793</v>
      </c>
      <c r="F554" s="2">
        <v>7457</v>
      </c>
      <c r="G554" s="2">
        <v>6749686</v>
      </c>
      <c r="H554" s="2">
        <v>964</v>
      </c>
      <c r="I554" s="2">
        <v>779718</v>
      </c>
      <c r="J554" s="2">
        <v>2399961</v>
      </c>
      <c r="K554" s="2">
        <v>31020849716</v>
      </c>
      <c r="L554" s="3">
        <f t="shared" si="16"/>
        <v>1.7964392178224883E-3</v>
      </c>
      <c r="M554" s="3">
        <f t="shared" si="17"/>
        <v>3.2035827809301652E-4</v>
      </c>
    </row>
    <row r="555" spans="1:13" x14ac:dyDescent="0.35">
      <c r="A555" t="s">
        <v>99</v>
      </c>
      <c r="B555" t="s">
        <v>19</v>
      </c>
      <c r="C555" s="2">
        <v>8705231</v>
      </c>
      <c r="D555" s="2">
        <v>3489680</v>
      </c>
      <c r="E555" s="2">
        <v>37294564</v>
      </c>
      <c r="F555" s="2">
        <v>235376</v>
      </c>
      <c r="G555" s="2">
        <v>10585150</v>
      </c>
      <c r="H555" s="2"/>
      <c r="I555" s="2">
        <v>687275</v>
      </c>
      <c r="J555" s="2">
        <v>1871755</v>
      </c>
      <c r="K555" s="2">
        <v>36256332336</v>
      </c>
      <c r="L555" s="3">
        <f t="shared" si="16"/>
        <v>1.734015189881064E-3</v>
      </c>
      <c r="M555" s="3">
        <f t="shared" si="17"/>
        <v>3.6902673651617644E-4</v>
      </c>
    </row>
    <row r="556" spans="1:13" x14ac:dyDescent="0.35">
      <c r="A556" t="s">
        <v>99</v>
      </c>
      <c r="B556" t="s">
        <v>20</v>
      </c>
      <c r="C556" s="2">
        <v>26349124</v>
      </c>
      <c r="D556" s="2">
        <v>5144879</v>
      </c>
      <c r="E556" s="2">
        <v>40119790</v>
      </c>
      <c r="F556" s="2">
        <v>66026</v>
      </c>
      <c r="G556" s="2">
        <v>9444583</v>
      </c>
      <c r="H556" s="2">
        <v>156</v>
      </c>
      <c r="I556" s="2">
        <v>369400</v>
      </c>
      <c r="J556" s="2">
        <v>4301197</v>
      </c>
      <c r="K556" s="2">
        <v>42692785194</v>
      </c>
      <c r="L556" s="3">
        <f t="shared" si="16"/>
        <v>2.009593766490961E-3</v>
      </c>
      <c r="M556" s="3">
        <f t="shared" si="17"/>
        <v>3.3217233159088983E-4</v>
      </c>
    </row>
    <row r="557" spans="1:13" x14ac:dyDescent="0.35">
      <c r="A557" t="s">
        <v>99</v>
      </c>
      <c r="B557" t="s">
        <v>21</v>
      </c>
      <c r="C557" s="2">
        <v>6224333</v>
      </c>
      <c r="D557" s="2">
        <v>4174351</v>
      </c>
      <c r="E557" s="2">
        <v>24735127</v>
      </c>
      <c r="F557" s="2">
        <v>25719</v>
      </c>
      <c r="G557" s="2">
        <v>3091858</v>
      </c>
      <c r="H557" s="2"/>
      <c r="I557" s="2">
        <v>996752</v>
      </c>
      <c r="J557" s="2">
        <v>6122357</v>
      </c>
      <c r="K557" s="2">
        <v>27973570156</v>
      </c>
      <c r="L557" s="3">
        <f t="shared" si="16"/>
        <v>1.6219058470900456E-3</v>
      </c>
      <c r="M557" s="3">
        <f t="shared" si="17"/>
        <v>3.6594134902742659E-4</v>
      </c>
    </row>
    <row r="558" spans="1:13" x14ac:dyDescent="0.35">
      <c r="A558" t="s">
        <v>99</v>
      </c>
      <c r="B558" t="s">
        <v>22</v>
      </c>
      <c r="C558" s="2">
        <v>6957698</v>
      </c>
      <c r="D558" s="2">
        <v>4671702</v>
      </c>
      <c r="E558" s="2">
        <v>37413062</v>
      </c>
      <c r="F558" s="2">
        <v>5435</v>
      </c>
      <c r="G558" s="2">
        <v>8089708</v>
      </c>
      <c r="H558" s="2"/>
      <c r="I558" s="2">
        <v>2203306</v>
      </c>
      <c r="J558" s="2">
        <v>2533126</v>
      </c>
      <c r="K558" s="2">
        <v>40600731830</v>
      </c>
      <c r="L558" s="3">
        <f t="shared" si="16"/>
        <v>1.5239635891065662E-3</v>
      </c>
      <c r="M558" s="3">
        <f t="shared" si="17"/>
        <v>3.1604294852928517E-4</v>
      </c>
    </row>
    <row r="559" spans="1:13" x14ac:dyDescent="0.35">
      <c r="A559" t="s">
        <v>99</v>
      </c>
      <c r="B559" t="s">
        <v>23</v>
      </c>
      <c r="C559" s="2">
        <v>10026456</v>
      </c>
      <c r="D559" s="2">
        <v>4351306</v>
      </c>
      <c r="E559" s="2">
        <v>41621033</v>
      </c>
      <c r="F559" s="2">
        <v>460478</v>
      </c>
      <c r="G559" s="2">
        <v>14541508</v>
      </c>
      <c r="H559" s="2"/>
      <c r="I559" s="2">
        <v>2465700</v>
      </c>
      <c r="J559" s="2">
        <v>1750962</v>
      </c>
      <c r="K559" s="2">
        <v>42876377072</v>
      </c>
      <c r="L559" s="3">
        <f t="shared" si="16"/>
        <v>1.754286349186905E-3</v>
      </c>
      <c r="M559" s="3">
        <f t="shared" si="17"/>
        <v>4.4823395334281986E-4</v>
      </c>
    </row>
    <row r="560" spans="1:13" x14ac:dyDescent="0.35">
      <c r="A560" t="s">
        <v>99</v>
      </c>
      <c r="B560" t="s">
        <v>24</v>
      </c>
      <c r="C560" s="2">
        <v>9764335</v>
      </c>
      <c r="D560" s="2">
        <v>4679233</v>
      </c>
      <c r="E560" s="2">
        <v>39490640</v>
      </c>
      <c r="F560" s="2">
        <v>602279</v>
      </c>
      <c r="G560" s="2">
        <v>14464970</v>
      </c>
      <c r="H560" s="2"/>
      <c r="I560" s="2">
        <v>1037291</v>
      </c>
      <c r="J560" s="2">
        <v>2323665</v>
      </c>
      <c r="K560" s="2">
        <v>41363549783</v>
      </c>
      <c r="L560" s="3">
        <f t="shared" si="16"/>
        <v>1.7494246354489676E-3</v>
      </c>
      <c r="M560" s="3">
        <f t="shared" si="17"/>
        <v>4.4551797649566833E-4</v>
      </c>
    </row>
    <row r="561" spans="1:13" x14ac:dyDescent="0.35">
      <c r="A561" t="s">
        <v>99</v>
      </c>
      <c r="B561" t="s">
        <v>25</v>
      </c>
      <c r="C561" s="2">
        <v>40528408</v>
      </c>
      <c r="D561" s="2">
        <v>4233763</v>
      </c>
      <c r="E561" s="2">
        <v>41884047</v>
      </c>
      <c r="F561" s="2">
        <v>433495</v>
      </c>
      <c r="G561" s="2">
        <v>8616040</v>
      </c>
      <c r="H561" s="2"/>
      <c r="I561" s="2">
        <v>5199974</v>
      </c>
      <c r="J561" s="2">
        <v>3138050</v>
      </c>
      <c r="K561" s="2">
        <v>39081959775</v>
      </c>
      <c r="L561" s="3">
        <f t="shared" si="16"/>
        <v>2.661938592612453E-3</v>
      </c>
      <c r="M561" s="3">
        <f t="shared" si="17"/>
        <v>4.4489987452273305E-4</v>
      </c>
    </row>
    <row r="562" spans="1:13" x14ac:dyDescent="0.35">
      <c r="A562" t="s">
        <v>99</v>
      </c>
      <c r="B562" t="s">
        <v>26</v>
      </c>
      <c r="C562" s="2">
        <v>7707486</v>
      </c>
      <c r="D562" s="2">
        <v>4002521</v>
      </c>
      <c r="E562" s="2">
        <v>23776457</v>
      </c>
      <c r="F562" s="2">
        <v>447163</v>
      </c>
      <c r="G562" s="2">
        <v>21236418</v>
      </c>
      <c r="H562" s="2"/>
      <c r="I562" s="2">
        <v>1163978</v>
      </c>
      <c r="J562" s="2">
        <v>1819254</v>
      </c>
      <c r="K562" s="2">
        <v>33919633176</v>
      </c>
      <c r="L562" s="3">
        <f t="shared" si="16"/>
        <v>1.7734058823065852E-3</v>
      </c>
      <c r="M562" s="3">
        <f t="shared" si="17"/>
        <v>7.2721343630134314E-4</v>
      </c>
    </row>
    <row r="563" spans="1:13" x14ac:dyDescent="0.35">
      <c r="A563" t="s">
        <v>99</v>
      </c>
      <c r="B563" t="s">
        <v>27</v>
      </c>
      <c r="C563" s="2">
        <v>9940742</v>
      </c>
      <c r="D563" s="2">
        <v>3402543</v>
      </c>
      <c r="E563" s="2">
        <v>25812581</v>
      </c>
      <c r="F563" s="2">
        <v>120543</v>
      </c>
      <c r="G563" s="2">
        <v>1696244</v>
      </c>
      <c r="H563" s="2"/>
      <c r="I563" s="2">
        <v>2056189</v>
      </c>
      <c r="J563" s="2">
        <v>1726236</v>
      </c>
      <c r="K563" s="2">
        <v>38893379164</v>
      </c>
      <c r="L563" s="3">
        <f t="shared" si="16"/>
        <v>1.1507119967972758E-3</v>
      </c>
      <c r="M563" s="3">
        <f t="shared" si="17"/>
        <v>1.4396311455453767E-4</v>
      </c>
    </row>
    <row r="564" spans="1:13" x14ac:dyDescent="0.35">
      <c r="A564" t="s">
        <v>99</v>
      </c>
      <c r="B564" t="s">
        <v>28</v>
      </c>
      <c r="C564" s="2">
        <v>8848731</v>
      </c>
      <c r="D564" s="2">
        <v>3321302</v>
      </c>
      <c r="E564" s="2">
        <v>37681518</v>
      </c>
      <c r="F564" s="2">
        <v>17246</v>
      </c>
      <c r="G564" s="2">
        <v>10733537</v>
      </c>
      <c r="H564" s="2"/>
      <c r="I564" s="2">
        <v>1547689</v>
      </c>
      <c r="J564" s="2">
        <v>2889811</v>
      </c>
      <c r="K564" s="2">
        <v>46184269862</v>
      </c>
      <c r="L564" s="3">
        <f t="shared" si="16"/>
        <v>1.4082681006832196E-3</v>
      </c>
      <c r="M564" s="3">
        <f t="shared" si="17"/>
        <v>3.2886268518227205E-4</v>
      </c>
    </row>
    <row r="565" spans="1:13" x14ac:dyDescent="0.35">
      <c r="A565" t="s">
        <v>99</v>
      </c>
      <c r="B565" t="s">
        <v>29</v>
      </c>
      <c r="C565" s="2">
        <v>33926703</v>
      </c>
      <c r="D565" s="2">
        <v>3463093</v>
      </c>
      <c r="E565" s="2">
        <v>34698991</v>
      </c>
      <c r="F565" s="2">
        <v>574368</v>
      </c>
      <c r="G565" s="2">
        <v>4443156</v>
      </c>
      <c r="H565" s="2"/>
      <c r="I565" s="2">
        <v>839284</v>
      </c>
      <c r="J565" s="2">
        <v>2182454</v>
      </c>
      <c r="K565" s="2">
        <v>43982481958</v>
      </c>
      <c r="L565" s="3">
        <f t="shared" si="16"/>
        <v>1.8218173562036888E-3</v>
      </c>
      <c r="M565" s="3">
        <f t="shared" si="17"/>
        <v>1.8278327284205784E-4</v>
      </c>
    </row>
    <row r="566" spans="1:13" x14ac:dyDescent="0.35">
      <c r="A566" t="s">
        <v>99</v>
      </c>
      <c r="B566" t="s">
        <v>30</v>
      </c>
      <c r="C566" s="2">
        <v>9969224</v>
      </c>
      <c r="D566" s="2">
        <v>3536625</v>
      </c>
      <c r="E566" s="2">
        <v>35988812</v>
      </c>
      <c r="F566" s="2">
        <v>8811</v>
      </c>
      <c r="G566" s="2">
        <v>5905608</v>
      </c>
      <c r="H566" s="2"/>
      <c r="I566" s="2">
        <v>1556120</v>
      </c>
      <c r="J566" s="2">
        <v>2082371</v>
      </c>
      <c r="K566" s="2">
        <v>43954047176</v>
      </c>
      <c r="L566" s="3">
        <f t="shared" si="16"/>
        <v>1.3433932662346834E-3</v>
      </c>
      <c r="M566" s="3">
        <f t="shared" si="17"/>
        <v>2.1733857548426452E-4</v>
      </c>
    </row>
    <row r="567" spans="1:13" x14ac:dyDescent="0.35">
      <c r="A567" t="s">
        <v>99</v>
      </c>
      <c r="B567" t="s">
        <v>31</v>
      </c>
      <c r="C567" s="2">
        <v>8420806</v>
      </c>
      <c r="D567" s="2">
        <v>3797477</v>
      </c>
      <c r="E567" s="2">
        <v>31005647</v>
      </c>
      <c r="F567" s="2">
        <v>381363</v>
      </c>
      <c r="G567" s="2">
        <v>3211518</v>
      </c>
      <c r="H567" s="2"/>
      <c r="I567" s="2">
        <v>595094</v>
      </c>
      <c r="J567" s="2">
        <v>3353203</v>
      </c>
      <c r="K567" s="2">
        <v>45547358734</v>
      </c>
      <c r="L567" s="3">
        <f t="shared" si="16"/>
        <v>1.114556571687769E-3</v>
      </c>
      <c r="M567" s="3">
        <f t="shared" si="17"/>
        <v>1.6556784431872432E-4</v>
      </c>
    </row>
    <row r="568" spans="1:13" x14ac:dyDescent="0.35">
      <c r="A568" t="s">
        <v>99</v>
      </c>
      <c r="B568" t="s">
        <v>32</v>
      </c>
      <c r="C568" s="2">
        <v>10249004</v>
      </c>
      <c r="D568" s="2">
        <v>5077605</v>
      </c>
      <c r="E568" s="2">
        <v>33740381</v>
      </c>
      <c r="F568" s="2">
        <v>21732</v>
      </c>
      <c r="G568" s="2">
        <v>5622607</v>
      </c>
      <c r="H568" s="2"/>
      <c r="I568" s="2">
        <v>1239700</v>
      </c>
      <c r="J568" s="2">
        <v>3874122</v>
      </c>
      <c r="K568" s="2">
        <v>49608916959</v>
      </c>
      <c r="L568" s="3">
        <f t="shared" si="16"/>
        <v>1.2059354379665929E-3</v>
      </c>
      <c r="M568" s="3">
        <f t="shared" si="17"/>
        <v>2.1685942083539612E-4</v>
      </c>
    </row>
    <row r="569" spans="1:13" x14ac:dyDescent="0.35">
      <c r="A569" t="s">
        <v>99</v>
      </c>
      <c r="B569" t="s">
        <v>33</v>
      </c>
      <c r="C569" s="2">
        <v>5527153</v>
      </c>
      <c r="D569" s="2">
        <v>3769031</v>
      </c>
      <c r="E569" s="2">
        <v>21214620</v>
      </c>
      <c r="F569" s="2">
        <v>41462</v>
      </c>
      <c r="G569" s="2">
        <v>4176193</v>
      </c>
      <c r="H569" s="2">
        <v>182</v>
      </c>
      <c r="I569" s="2">
        <v>2073594</v>
      </c>
      <c r="J569" s="2">
        <v>3050390</v>
      </c>
      <c r="K569" s="2">
        <v>32897409422</v>
      </c>
      <c r="L569" s="3">
        <f t="shared" si="16"/>
        <v>1.2114213763394005E-3</v>
      </c>
      <c r="M569" s="3">
        <f t="shared" si="17"/>
        <v>2.8396828699078953E-4</v>
      </c>
    </row>
    <row r="570" spans="1:13" x14ac:dyDescent="0.35">
      <c r="A570" t="s">
        <v>99</v>
      </c>
      <c r="B570" t="s">
        <v>34</v>
      </c>
      <c r="C570" s="2">
        <v>9409234</v>
      </c>
      <c r="D570" s="2">
        <v>4860810</v>
      </c>
      <c r="E570" s="2">
        <v>39532391</v>
      </c>
      <c r="F570" s="2">
        <v>6957</v>
      </c>
      <c r="G570" s="2">
        <v>5557949</v>
      </c>
      <c r="H570" s="2"/>
      <c r="I570" s="2">
        <v>1256180</v>
      </c>
      <c r="J570" s="2">
        <v>2827677</v>
      </c>
      <c r="K570" s="2">
        <v>45142909266</v>
      </c>
      <c r="L570" s="3">
        <f t="shared" si="16"/>
        <v>1.4055628897579522E-3</v>
      </c>
      <c r="M570" s="3">
        <f t="shared" si="17"/>
        <v>2.1373817409829849E-4</v>
      </c>
    </row>
    <row r="571" spans="1:13" x14ac:dyDescent="0.35">
      <c r="A571" t="s">
        <v>99</v>
      </c>
      <c r="B571" t="s">
        <v>35</v>
      </c>
      <c r="C571" s="2">
        <v>31695868</v>
      </c>
      <c r="D571" s="2">
        <v>4827703</v>
      </c>
      <c r="E571" s="2">
        <v>40245210</v>
      </c>
      <c r="F571" s="2">
        <v>663140</v>
      </c>
      <c r="G571" s="2">
        <v>6884166</v>
      </c>
      <c r="H571" s="2">
        <v>770</v>
      </c>
      <c r="I571" s="2">
        <v>1831440</v>
      </c>
      <c r="J571" s="2">
        <v>3622628</v>
      </c>
      <c r="K571" s="2">
        <v>46368447161</v>
      </c>
      <c r="L571" s="3">
        <f t="shared" si="16"/>
        <v>1.9360347498439704E-3</v>
      </c>
      <c r="M571" s="3">
        <f t="shared" si="17"/>
        <v>2.804093040867662E-4</v>
      </c>
    </row>
    <row r="572" spans="1:13" x14ac:dyDescent="0.35">
      <c r="A572" t="s">
        <v>99</v>
      </c>
      <c r="B572" t="s">
        <v>36</v>
      </c>
      <c r="C572" s="2">
        <v>10718354</v>
      </c>
      <c r="D572" s="2">
        <v>3814630</v>
      </c>
      <c r="E572" s="2">
        <v>41899285</v>
      </c>
      <c r="F572" s="2">
        <v>391839</v>
      </c>
      <c r="G572" s="2">
        <v>6349946</v>
      </c>
      <c r="H572" s="2"/>
      <c r="I572" s="2">
        <v>2511983</v>
      </c>
      <c r="J572" s="2">
        <v>2808891</v>
      </c>
      <c r="K572" s="2">
        <v>48596283657</v>
      </c>
      <c r="L572" s="3">
        <f t="shared" si="16"/>
        <v>1.4094684376164991E-3</v>
      </c>
      <c r="M572" s="3">
        <f t="shared" si="17"/>
        <v>2.4822184110085641E-4</v>
      </c>
    </row>
    <row r="573" spans="1:13" x14ac:dyDescent="0.35">
      <c r="A573" t="s">
        <v>99</v>
      </c>
      <c r="B573" t="s">
        <v>37</v>
      </c>
      <c r="C573" s="2">
        <v>8647658</v>
      </c>
      <c r="D573" s="2">
        <v>3853697</v>
      </c>
      <c r="E573" s="2">
        <v>47000431</v>
      </c>
      <c r="F573" s="2">
        <v>478323</v>
      </c>
      <c r="G573" s="2">
        <v>7446680</v>
      </c>
      <c r="H573" s="2">
        <v>49</v>
      </c>
      <c r="I573" s="2">
        <v>3499136</v>
      </c>
      <c r="J573" s="2">
        <v>3805400</v>
      </c>
      <c r="K573" s="2">
        <v>45675962216</v>
      </c>
      <c r="L573" s="3">
        <f t="shared" si="16"/>
        <v>1.6361204093872832E-3</v>
      </c>
      <c r="M573" s="3">
        <f t="shared" si="17"/>
        <v>3.3342675799537225E-4</v>
      </c>
    </row>
    <row r="574" spans="1:13" x14ac:dyDescent="0.35">
      <c r="A574" t="s">
        <v>99</v>
      </c>
      <c r="B574" t="s">
        <v>38</v>
      </c>
      <c r="C574" s="2">
        <v>15300341</v>
      </c>
      <c r="D574" s="2">
        <v>2446232</v>
      </c>
      <c r="E574" s="2">
        <v>30589869</v>
      </c>
      <c r="F574" s="2">
        <v>451175</v>
      </c>
      <c r="G574" s="2">
        <v>3677251</v>
      </c>
      <c r="H574" s="2"/>
      <c r="I574" s="2">
        <v>958176</v>
      </c>
      <c r="J574" s="2">
        <v>2398756</v>
      </c>
      <c r="K574" s="2">
        <v>41217034051</v>
      </c>
      <c r="L574" s="3">
        <f t="shared" si="16"/>
        <v>1.3543381100864452E-3</v>
      </c>
      <c r="M574" s="3">
        <f t="shared" si="17"/>
        <v>1.8160836101738844E-4</v>
      </c>
    </row>
    <row r="575" spans="1:13" x14ac:dyDescent="0.35">
      <c r="A575" t="s">
        <v>99</v>
      </c>
      <c r="B575" t="s">
        <v>39</v>
      </c>
      <c r="C575" s="2">
        <v>7901294</v>
      </c>
      <c r="D575" s="2">
        <v>3027156</v>
      </c>
      <c r="E575" s="2">
        <v>32710086</v>
      </c>
      <c r="F575" s="2">
        <v>23738</v>
      </c>
      <c r="G575" s="2">
        <v>6828255</v>
      </c>
      <c r="H575" s="2"/>
      <c r="I575" s="2">
        <v>1686884</v>
      </c>
      <c r="J575" s="2">
        <v>3464911</v>
      </c>
      <c r="K575" s="2">
        <v>47415264283</v>
      </c>
      <c r="L575" s="3">
        <f t="shared" si="16"/>
        <v>1.1735107847948806E-3</v>
      </c>
      <c r="M575" s="3">
        <f t="shared" si="17"/>
        <v>2.5316294618447948E-4</v>
      </c>
    </row>
    <row r="576" spans="1:13" x14ac:dyDescent="0.35">
      <c r="A576" t="s">
        <v>99</v>
      </c>
      <c r="B576" t="s">
        <v>40</v>
      </c>
      <c r="C576" s="2">
        <v>9433006</v>
      </c>
      <c r="D576" s="2">
        <v>3199639</v>
      </c>
      <c r="E576" s="2">
        <v>44788995</v>
      </c>
      <c r="F576" s="2">
        <v>24484</v>
      </c>
      <c r="G576" s="2">
        <v>7720024</v>
      </c>
      <c r="H576" s="2">
        <v>116</v>
      </c>
      <c r="I576" s="2">
        <v>3340528</v>
      </c>
      <c r="J576" s="2">
        <v>4452484</v>
      </c>
      <c r="K576" s="2">
        <v>56817374913</v>
      </c>
      <c r="L576" s="3">
        <f t="shared" si="16"/>
        <v>1.2841014938074283E-3</v>
      </c>
      <c r="M576" s="3">
        <f t="shared" si="17"/>
        <v>2.7346627723986836E-4</v>
      </c>
    </row>
    <row r="577" spans="1:13" x14ac:dyDescent="0.35">
      <c r="A577" t="s">
        <v>99</v>
      </c>
      <c r="B577" t="s">
        <v>41</v>
      </c>
      <c r="C577" s="2">
        <v>29578914</v>
      </c>
      <c r="D577" s="2">
        <v>2147035</v>
      </c>
      <c r="E577" s="2">
        <v>31889139</v>
      </c>
      <c r="F577" s="2">
        <v>6356</v>
      </c>
      <c r="G577" s="2">
        <v>7072127</v>
      </c>
      <c r="H577" s="2">
        <v>2122</v>
      </c>
      <c r="I577" s="2">
        <v>2597849</v>
      </c>
      <c r="J577" s="2">
        <v>5302974</v>
      </c>
      <c r="K577" s="2">
        <v>50387697062</v>
      </c>
      <c r="L577" s="3">
        <f t="shared" si="16"/>
        <v>1.5598354475952771E-3</v>
      </c>
      <c r="M577" s="3">
        <f t="shared" si="17"/>
        <v>2.9732313389052025E-4</v>
      </c>
    </row>
    <row r="578" spans="1:13" x14ac:dyDescent="0.35">
      <c r="A578" t="s">
        <v>99</v>
      </c>
      <c r="B578" t="s">
        <v>42</v>
      </c>
      <c r="C578" s="2">
        <v>23708019</v>
      </c>
      <c r="D578" s="2">
        <v>3076776</v>
      </c>
      <c r="E578" s="2">
        <v>33863863</v>
      </c>
      <c r="F578" s="2">
        <v>11488</v>
      </c>
      <c r="G578" s="2">
        <v>5365060</v>
      </c>
      <c r="H578" s="2"/>
      <c r="I578" s="2">
        <v>1642880</v>
      </c>
      <c r="J578" s="2">
        <v>4626813</v>
      </c>
      <c r="K578" s="2">
        <v>56805566055</v>
      </c>
      <c r="L578" s="3">
        <f t="shared" ref="L578:L641" si="18">SUM(C578:J578)/K578</f>
        <v>1.2726728034010435E-3</v>
      </c>
      <c r="M578" s="3">
        <f t="shared" ref="M578:M641" si="19">SUM(F578:J578)/K578</f>
        <v>2.0501936357299801E-4</v>
      </c>
    </row>
    <row r="579" spans="1:13" x14ac:dyDescent="0.35">
      <c r="A579" t="s">
        <v>99</v>
      </c>
      <c r="B579" t="s">
        <v>43</v>
      </c>
      <c r="C579" s="2">
        <v>7740560</v>
      </c>
      <c r="D579" s="2">
        <v>3307168</v>
      </c>
      <c r="E579" s="2">
        <v>35933035</v>
      </c>
      <c r="F579" s="2">
        <v>10550</v>
      </c>
      <c r="G579" s="2">
        <v>12924993</v>
      </c>
      <c r="H579" s="2"/>
      <c r="I579" s="2">
        <v>1055295</v>
      </c>
      <c r="J579" s="2">
        <v>3023895</v>
      </c>
      <c r="K579" s="2">
        <v>54880666430</v>
      </c>
      <c r="L579" s="3">
        <f t="shared" si="18"/>
        <v>1.1660845278113727E-3</v>
      </c>
      <c r="M579" s="3">
        <f t="shared" si="19"/>
        <v>3.1003145746603136E-4</v>
      </c>
    </row>
    <row r="580" spans="1:13" x14ac:dyDescent="0.35">
      <c r="A580" t="s">
        <v>99</v>
      </c>
      <c r="B580" t="s">
        <v>44</v>
      </c>
      <c r="C580" s="2">
        <v>18849866</v>
      </c>
      <c r="D580" s="2">
        <v>4397826</v>
      </c>
      <c r="E580" s="2">
        <v>34247345</v>
      </c>
      <c r="F580" s="2">
        <v>86918</v>
      </c>
      <c r="G580" s="2">
        <v>10399277</v>
      </c>
      <c r="H580" s="2"/>
      <c r="I580" s="2">
        <v>1071659</v>
      </c>
      <c r="J580" s="2">
        <v>4346759</v>
      </c>
      <c r="K580" s="2">
        <v>58033264635</v>
      </c>
      <c r="L580" s="3">
        <f t="shared" si="18"/>
        <v>1.2647858165768689E-3</v>
      </c>
      <c r="M580" s="3">
        <f t="shared" si="19"/>
        <v>2.7406028421857713E-4</v>
      </c>
    </row>
    <row r="581" spans="1:13" x14ac:dyDescent="0.35">
      <c r="A581" t="s">
        <v>99</v>
      </c>
      <c r="B581" t="s">
        <v>45</v>
      </c>
      <c r="C581" s="2">
        <v>7048456</v>
      </c>
      <c r="D581" s="2">
        <v>4321423</v>
      </c>
      <c r="E581" s="2">
        <v>23582257</v>
      </c>
      <c r="F581" s="2">
        <v>160970</v>
      </c>
      <c r="G581" s="2">
        <v>8744176</v>
      </c>
      <c r="H581" s="2"/>
      <c r="I581" s="2">
        <v>2729307</v>
      </c>
      <c r="J581" s="2">
        <v>4025675</v>
      </c>
      <c r="K581" s="2">
        <v>41052859552</v>
      </c>
      <c r="L581" s="3">
        <f t="shared" si="18"/>
        <v>1.2328559947423756E-3</v>
      </c>
      <c r="M581" s="3">
        <f t="shared" si="19"/>
        <v>3.8146253807640239E-4</v>
      </c>
    </row>
    <row r="582" spans="1:13" x14ac:dyDescent="0.35">
      <c r="A582" t="s">
        <v>99</v>
      </c>
      <c r="B582" t="s">
        <v>46</v>
      </c>
      <c r="C582" s="2">
        <v>13146720</v>
      </c>
      <c r="D582" s="2">
        <v>7530334</v>
      </c>
      <c r="E582" s="2">
        <v>39713139</v>
      </c>
      <c r="F582" s="2">
        <v>18311</v>
      </c>
      <c r="G582" s="2">
        <v>9112673</v>
      </c>
      <c r="H582" s="2"/>
      <c r="I582" s="2">
        <v>2425303</v>
      </c>
      <c r="J582" s="2">
        <v>4411033</v>
      </c>
      <c r="K582" s="2">
        <v>55172787510</v>
      </c>
      <c r="L582" s="3">
        <f t="shared" si="18"/>
        <v>1.3839705486361424E-3</v>
      </c>
      <c r="M582" s="3">
        <f t="shared" si="19"/>
        <v>2.894057146760247E-4</v>
      </c>
    </row>
    <row r="583" spans="1:13" x14ac:dyDescent="0.35">
      <c r="A583" t="s">
        <v>99</v>
      </c>
      <c r="B583" t="s">
        <v>47</v>
      </c>
      <c r="C583" s="2">
        <v>13040290</v>
      </c>
      <c r="D583" s="2">
        <v>3975704</v>
      </c>
      <c r="E583" s="2">
        <v>37940956</v>
      </c>
      <c r="F583" s="2">
        <v>52332</v>
      </c>
      <c r="G583" s="2">
        <v>7179923</v>
      </c>
      <c r="H583" s="2"/>
      <c r="I583" s="2">
        <v>1679882</v>
      </c>
      <c r="J583" s="2">
        <v>3360961</v>
      </c>
      <c r="K583" s="2">
        <v>54837006240</v>
      </c>
      <c r="L583" s="3">
        <f t="shared" si="18"/>
        <v>1.2259977816031847E-3</v>
      </c>
      <c r="M583" s="3">
        <f t="shared" si="19"/>
        <v>2.2381050391929639E-4</v>
      </c>
    </row>
    <row r="584" spans="1:13" x14ac:dyDescent="0.35">
      <c r="A584" t="s">
        <v>99</v>
      </c>
      <c r="B584" t="s">
        <v>48</v>
      </c>
      <c r="C584" s="2">
        <v>10786090</v>
      </c>
      <c r="D584" s="2">
        <v>3969388</v>
      </c>
      <c r="E584" s="2">
        <v>32840447</v>
      </c>
      <c r="F584" s="2">
        <v>504395</v>
      </c>
      <c r="G584" s="2">
        <v>9451910</v>
      </c>
      <c r="H584" s="2"/>
      <c r="I584" s="2">
        <v>2567151</v>
      </c>
      <c r="J584" s="2">
        <v>5371311</v>
      </c>
      <c r="K584" s="2">
        <v>57634712212</v>
      </c>
      <c r="L584" s="3">
        <f t="shared" si="18"/>
        <v>1.136306393950629E-3</v>
      </c>
      <c r="M584" s="3">
        <f t="shared" si="19"/>
        <v>3.1048592615812816E-4</v>
      </c>
    </row>
    <row r="585" spans="1:13" x14ac:dyDescent="0.35">
      <c r="A585" t="s">
        <v>99</v>
      </c>
      <c r="B585" t="s">
        <v>49</v>
      </c>
      <c r="C585" s="2">
        <v>48723181</v>
      </c>
      <c r="D585" s="2">
        <v>3371375</v>
      </c>
      <c r="E585" s="2">
        <v>34813422</v>
      </c>
      <c r="F585" s="2">
        <v>607638</v>
      </c>
      <c r="G585" s="2">
        <v>5040153</v>
      </c>
      <c r="H585" s="2">
        <v>24052</v>
      </c>
      <c r="I585" s="2">
        <v>4631179</v>
      </c>
      <c r="J585" s="2">
        <v>5406686</v>
      </c>
      <c r="K585" s="2">
        <v>51915209889</v>
      </c>
      <c r="L585" s="3">
        <f t="shared" si="18"/>
        <v>1.9766401064236676E-3</v>
      </c>
      <c r="M585" s="3">
        <f t="shared" si="19"/>
        <v>3.0260318765134447E-4</v>
      </c>
    </row>
    <row r="586" spans="1:13" x14ac:dyDescent="0.35">
      <c r="A586" t="s">
        <v>99</v>
      </c>
      <c r="B586" t="s">
        <v>50</v>
      </c>
      <c r="C586" s="2">
        <v>13588251</v>
      </c>
      <c r="D586" s="2">
        <v>4854917</v>
      </c>
      <c r="E586" s="2">
        <v>36312572</v>
      </c>
      <c r="F586" s="2">
        <v>325779</v>
      </c>
      <c r="G586" s="2">
        <v>2319939</v>
      </c>
      <c r="H586" s="2"/>
      <c r="I586" s="2">
        <v>2541893</v>
      </c>
      <c r="J586" s="2">
        <v>3784353</v>
      </c>
      <c r="K586" s="2">
        <v>46805206356</v>
      </c>
      <c r="L586" s="3">
        <f t="shared" si="18"/>
        <v>1.3615516084960213E-3</v>
      </c>
      <c r="M586" s="3">
        <f t="shared" si="19"/>
        <v>1.9168730785544067E-4</v>
      </c>
    </row>
    <row r="587" spans="1:13" x14ac:dyDescent="0.35">
      <c r="A587" t="s">
        <v>99</v>
      </c>
      <c r="B587" t="s">
        <v>51</v>
      </c>
      <c r="C587" s="2">
        <v>9817810</v>
      </c>
      <c r="D587" s="2">
        <v>2811148</v>
      </c>
      <c r="E587" s="2">
        <v>27449021</v>
      </c>
      <c r="F587" s="2">
        <v>726402</v>
      </c>
      <c r="G587" s="2">
        <v>7461473</v>
      </c>
      <c r="H587" s="2">
        <v>3244</v>
      </c>
      <c r="I587" s="2">
        <v>1324806</v>
      </c>
      <c r="J587" s="2">
        <v>6899697</v>
      </c>
      <c r="K587" s="2">
        <v>52501784045</v>
      </c>
      <c r="L587" s="3">
        <f t="shared" si="18"/>
        <v>1.0760320249608767E-3</v>
      </c>
      <c r="M587" s="3">
        <f t="shared" si="19"/>
        <v>3.1266788926505708E-4</v>
      </c>
    </row>
    <row r="588" spans="1:13" x14ac:dyDescent="0.35">
      <c r="A588" t="s">
        <v>99</v>
      </c>
      <c r="B588" t="s">
        <v>52</v>
      </c>
      <c r="C588" s="2">
        <v>13437933</v>
      </c>
      <c r="D588" s="2">
        <v>3676168</v>
      </c>
      <c r="E588" s="2">
        <v>36064662</v>
      </c>
      <c r="F588" s="2">
        <v>373340</v>
      </c>
      <c r="G588" s="2">
        <v>15366278</v>
      </c>
      <c r="H588" s="2"/>
      <c r="I588" s="2">
        <v>1057456</v>
      </c>
      <c r="J588" s="2">
        <v>5608477</v>
      </c>
      <c r="K588" s="2">
        <v>59599924166</v>
      </c>
      <c r="L588" s="3">
        <f t="shared" si="18"/>
        <v>1.2681948015483991E-3</v>
      </c>
      <c r="M588" s="3">
        <f t="shared" si="19"/>
        <v>3.7593254208839592E-4</v>
      </c>
    </row>
    <row r="589" spans="1:13" x14ac:dyDescent="0.35">
      <c r="A589" t="s">
        <v>99</v>
      </c>
      <c r="B589" t="s">
        <v>53</v>
      </c>
      <c r="C589" s="2">
        <v>8179971</v>
      </c>
      <c r="D589" s="2">
        <v>4830665</v>
      </c>
      <c r="E589" s="2">
        <v>25982914</v>
      </c>
      <c r="F589" s="2">
        <v>2741674</v>
      </c>
      <c r="G589" s="2">
        <v>11228112</v>
      </c>
      <c r="H589" s="2"/>
      <c r="I589" s="2">
        <v>1164647</v>
      </c>
      <c r="J589" s="2">
        <v>4290205</v>
      </c>
      <c r="K589" s="2">
        <v>47598643061</v>
      </c>
      <c r="L589" s="3">
        <f t="shared" si="18"/>
        <v>1.2273078441571164E-3</v>
      </c>
      <c r="M589" s="3">
        <f t="shared" si="19"/>
        <v>4.0809226378799019E-4</v>
      </c>
    </row>
    <row r="590" spans="1:13" x14ac:dyDescent="0.35">
      <c r="A590" t="s">
        <v>99</v>
      </c>
      <c r="B590" t="s">
        <v>54</v>
      </c>
      <c r="C590" s="2">
        <v>29733941</v>
      </c>
      <c r="D590" s="2">
        <v>3264099</v>
      </c>
      <c r="E590" s="2">
        <v>27519015</v>
      </c>
      <c r="F590" s="2">
        <v>597846</v>
      </c>
      <c r="G590" s="2">
        <v>2981957</v>
      </c>
      <c r="H590" s="2"/>
      <c r="I590" s="2">
        <v>1493212</v>
      </c>
      <c r="J590" s="2">
        <v>6023791</v>
      </c>
      <c r="K590" s="2">
        <v>57147795302</v>
      </c>
      <c r="L590" s="3">
        <f t="shared" si="18"/>
        <v>1.2531342744116977E-3</v>
      </c>
      <c r="M590" s="3">
        <f t="shared" si="19"/>
        <v>1.9417732462570863E-4</v>
      </c>
    </row>
    <row r="591" spans="1:13" x14ac:dyDescent="0.35">
      <c r="A591" t="s">
        <v>99</v>
      </c>
      <c r="B591" t="s">
        <v>55</v>
      </c>
      <c r="C591" s="2">
        <v>10894034</v>
      </c>
      <c r="D591" s="2">
        <v>4271856</v>
      </c>
      <c r="E591" s="2">
        <v>29930965</v>
      </c>
      <c r="F591" s="2">
        <v>561416</v>
      </c>
      <c r="G591" s="2">
        <v>32713781</v>
      </c>
      <c r="H591" s="2"/>
      <c r="I591" s="2">
        <v>2170530</v>
      </c>
      <c r="J591" s="2">
        <v>5328479</v>
      </c>
      <c r="K591" s="2">
        <v>55320864873</v>
      </c>
      <c r="L591" s="3">
        <f t="shared" si="18"/>
        <v>1.5522364156296911E-3</v>
      </c>
      <c r="M591" s="3">
        <f t="shared" si="19"/>
        <v>7.3704932295627092E-4</v>
      </c>
    </row>
    <row r="592" spans="1:13" x14ac:dyDescent="0.35">
      <c r="A592" t="s">
        <v>99</v>
      </c>
      <c r="B592" t="s">
        <v>56</v>
      </c>
      <c r="C592" s="2">
        <v>10545625</v>
      </c>
      <c r="D592" s="2">
        <v>2659638</v>
      </c>
      <c r="E592" s="2">
        <v>26814498</v>
      </c>
      <c r="F592" s="2">
        <v>177834</v>
      </c>
      <c r="G592" s="2">
        <v>13817731</v>
      </c>
      <c r="H592" s="2"/>
      <c r="I592" s="2">
        <v>3540305</v>
      </c>
      <c r="J592" s="2">
        <v>4416732</v>
      </c>
      <c r="K592" s="2">
        <v>53646376616</v>
      </c>
      <c r="L592" s="3">
        <f t="shared" si="18"/>
        <v>1.155201281227198E-3</v>
      </c>
      <c r="M592" s="3">
        <f t="shared" si="19"/>
        <v>4.0920940769469691E-4</v>
      </c>
    </row>
    <row r="593" spans="1:13" x14ac:dyDescent="0.35">
      <c r="A593" t="s">
        <v>99</v>
      </c>
      <c r="B593" t="s">
        <v>57</v>
      </c>
      <c r="C593" s="2">
        <v>7290895</v>
      </c>
      <c r="D593" s="2">
        <v>1990070</v>
      </c>
      <c r="E593" s="2">
        <v>25090237</v>
      </c>
      <c r="F593" s="2">
        <v>1821439</v>
      </c>
      <c r="G593" s="2">
        <v>13849908</v>
      </c>
      <c r="H593" s="2"/>
      <c r="I593" s="2">
        <v>2661994</v>
      </c>
      <c r="J593" s="2">
        <v>8245022</v>
      </c>
      <c r="K593" s="2">
        <v>41965766148</v>
      </c>
      <c r="L593" s="3">
        <f t="shared" si="18"/>
        <v>1.452363928852154E-3</v>
      </c>
      <c r="M593" s="3">
        <f t="shared" si="19"/>
        <v>6.3333439228218801E-4</v>
      </c>
    </row>
    <row r="594" spans="1:13" x14ac:dyDescent="0.35">
      <c r="A594" t="s">
        <v>99</v>
      </c>
      <c r="B594" t="s">
        <v>58</v>
      </c>
      <c r="C594" s="2">
        <v>17325229</v>
      </c>
      <c r="D594" s="2">
        <v>2975394</v>
      </c>
      <c r="E594" s="2">
        <v>39300943</v>
      </c>
      <c r="F594" s="2">
        <v>165148</v>
      </c>
      <c r="G594" s="2">
        <v>19224163</v>
      </c>
      <c r="H594" s="2"/>
      <c r="I594" s="2">
        <v>3375745</v>
      </c>
      <c r="J594" s="2">
        <v>4474867</v>
      </c>
      <c r="K594" s="2">
        <v>51652657936</v>
      </c>
      <c r="L594" s="3">
        <f t="shared" si="18"/>
        <v>1.6812588639213992E-3</v>
      </c>
      <c r="M594" s="3">
        <f t="shared" si="19"/>
        <v>5.2736730477164428E-4</v>
      </c>
    </row>
    <row r="595" spans="1:13" x14ac:dyDescent="0.35">
      <c r="A595" t="s">
        <v>99</v>
      </c>
      <c r="B595" t="s">
        <v>59</v>
      </c>
      <c r="C595" s="2">
        <v>10489223</v>
      </c>
      <c r="D595" s="2">
        <v>2740793</v>
      </c>
      <c r="E595" s="2">
        <v>32829581</v>
      </c>
      <c r="F595" s="2">
        <v>1035000</v>
      </c>
      <c r="G595" s="2">
        <v>16753042</v>
      </c>
      <c r="H595" s="2"/>
      <c r="I595" s="2">
        <v>3805838</v>
      </c>
      <c r="J595" s="2">
        <v>5623598</v>
      </c>
      <c r="K595" s="2">
        <v>56540174231</v>
      </c>
      <c r="L595" s="3">
        <f t="shared" si="18"/>
        <v>1.2960178491955097E-3</v>
      </c>
      <c r="M595" s="3">
        <f t="shared" si="19"/>
        <v>4.8138298776371878E-4</v>
      </c>
    </row>
    <row r="596" spans="1:13" x14ac:dyDescent="0.35">
      <c r="A596" t="s">
        <v>99</v>
      </c>
      <c r="B596" t="s">
        <v>60</v>
      </c>
      <c r="C596" s="2">
        <v>10545416</v>
      </c>
      <c r="D596" s="2">
        <v>3607775</v>
      </c>
      <c r="E596" s="2">
        <v>37050878</v>
      </c>
      <c r="F596" s="2"/>
      <c r="G596" s="2">
        <v>10816357</v>
      </c>
      <c r="H596" s="2"/>
      <c r="I596" s="2">
        <v>2396321</v>
      </c>
      <c r="J596" s="2">
        <v>6279709</v>
      </c>
      <c r="K596" s="2">
        <v>55225654939</v>
      </c>
      <c r="L596" s="3">
        <f t="shared" si="18"/>
        <v>1.2801379373062829E-3</v>
      </c>
      <c r="M596" s="3">
        <f t="shared" si="19"/>
        <v>3.5295891051958541E-4</v>
      </c>
    </row>
    <row r="597" spans="1:13" x14ac:dyDescent="0.35">
      <c r="A597" t="s">
        <v>99</v>
      </c>
      <c r="B597" t="s">
        <v>61</v>
      </c>
      <c r="C597" s="2">
        <v>12647069</v>
      </c>
      <c r="D597" s="2">
        <v>3283145</v>
      </c>
      <c r="E597" s="2">
        <v>39708246</v>
      </c>
      <c r="F597" s="2">
        <v>1334249</v>
      </c>
      <c r="G597" s="2">
        <v>27868740</v>
      </c>
      <c r="H597" s="2"/>
      <c r="I597" s="2">
        <v>6075692</v>
      </c>
      <c r="J597" s="2">
        <v>4297890</v>
      </c>
      <c r="K597" s="2">
        <v>47944898684</v>
      </c>
      <c r="L597" s="3">
        <f t="shared" si="18"/>
        <v>1.9859262114109923E-3</v>
      </c>
      <c r="M597" s="3">
        <f t="shared" si="19"/>
        <v>8.2545947715616621E-4</v>
      </c>
    </row>
    <row r="598" spans="1:13" x14ac:dyDescent="0.35">
      <c r="A598" t="s">
        <v>99</v>
      </c>
      <c r="B598" t="s">
        <v>62</v>
      </c>
      <c r="C598" s="2">
        <v>9699626</v>
      </c>
      <c r="D598" s="2">
        <v>2974000</v>
      </c>
      <c r="E598" s="2">
        <v>22665925</v>
      </c>
      <c r="F598" s="2">
        <v>36230</v>
      </c>
      <c r="G598" s="2">
        <v>9326274</v>
      </c>
      <c r="H598" s="2"/>
      <c r="I598" s="2">
        <v>3437590</v>
      </c>
      <c r="J598" s="2">
        <v>5021803</v>
      </c>
      <c r="K598" s="2">
        <v>47547540256</v>
      </c>
      <c r="L598" s="3">
        <f t="shared" si="18"/>
        <v>1.1180693620274412E-3</v>
      </c>
      <c r="M598" s="3">
        <f t="shared" si="19"/>
        <v>3.7482269122746185E-4</v>
      </c>
    </row>
    <row r="599" spans="1:13" x14ac:dyDescent="0.35">
      <c r="A599" t="s">
        <v>99</v>
      </c>
      <c r="B599" t="s">
        <v>63</v>
      </c>
      <c r="C599" s="2">
        <v>11021941</v>
      </c>
      <c r="D599" s="2">
        <v>3420859</v>
      </c>
      <c r="E599" s="2">
        <v>26492760</v>
      </c>
      <c r="F599" s="2">
        <v>2092</v>
      </c>
      <c r="G599" s="2">
        <v>9051991</v>
      </c>
      <c r="H599" s="2"/>
      <c r="I599" s="2">
        <v>2870352</v>
      </c>
      <c r="J599" s="2">
        <v>8599827</v>
      </c>
      <c r="K599" s="2">
        <v>53477943503</v>
      </c>
      <c r="L599" s="3">
        <f t="shared" si="18"/>
        <v>1.1492555243182124E-3</v>
      </c>
      <c r="M599" s="3">
        <f t="shared" si="19"/>
        <v>3.8378929060442707E-4</v>
      </c>
    </row>
    <row r="600" spans="1:13" x14ac:dyDescent="0.35">
      <c r="A600" t="s">
        <v>99</v>
      </c>
      <c r="B600" t="s">
        <v>64</v>
      </c>
      <c r="C600" s="2">
        <v>9667699</v>
      </c>
      <c r="D600" s="2">
        <v>3239681</v>
      </c>
      <c r="E600" s="2">
        <v>27021580</v>
      </c>
      <c r="F600" s="2">
        <v>480927</v>
      </c>
      <c r="G600" s="2">
        <v>24321328</v>
      </c>
      <c r="H600" s="2"/>
      <c r="I600" s="2">
        <v>2492746</v>
      </c>
      <c r="J600" s="2">
        <v>6688275</v>
      </c>
      <c r="K600" s="2">
        <v>54207367502</v>
      </c>
      <c r="L600" s="3">
        <f t="shared" si="18"/>
        <v>1.363509046944089E-3</v>
      </c>
      <c r="M600" s="3">
        <f t="shared" si="19"/>
        <v>6.2691249485129815E-4</v>
      </c>
    </row>
    <row r="601" spans="1:13" x14ac:dyDescent="0.35">
      <c r="A601" t="s">
        <v>99</v>
      </c>
      <c r="B601" t="s">
        <v>65</v>
      </c>
      <c r="C601" s="2">
        <v>7997164</v>
      </c>
      <c r="D601" s="2">
        <v>3225635</v>
      </c>
      <c r="E601" s="2">
        <v>22817355</v>
      </c>
      <c r="F601" s="2">
        <v>2423347</v>
      </c>
      <c r="G601" s="2">
        <v>6744464</v>
      </c>
      <c r="H601" s="2"/>
      <c r="I601" s="2">
        <v>2106228</v>
      </c>
      <c r="J601" s="2">
        <v>5274467</v>
      </c>
      <c r="K601" s="2">
        <v>52695667316</v>
      </c>
      <c r="L601" s="3">
        <f t="shared" si="18"/>
        <v>9.6001554922219858E-4</v>
      </c>
      <c r="M601" s="3">
        <f t="shared" si="19"/>
        <v>3.1403921504141144E-4</v>
      </c>
    </row>
    <row r="602" spans="1:13" x14ac:dyDescent="0.35">
      <c r="A602" t="s">
        <v>99</v>
      </c>
      <c r="B602" t="s">
        <v>66</v>
      </c>
      <c r="C602" s="2">
        <v>14853299</v>
      </c>
      <c r="D602" s="2">
        <v>4713309</v>
      </c>
      <c r="E602" s="2">
        <v>24628315</v>
      </c>
      <c r="F602" s="2">
        <v>676415</v>
      </c>
      <c r="G602" s="2">
        <v>16792850</v>
      </c>
      <c r="H602" s="2"/>
      <c r="I602" s="2">
        <v>1249199</v>
      </c>
      <c r="J602" s="2">
        <v>8584117</v>
      </c>
      <c r="K602" s="2">
        <v>56032232362</v>
      </c>
      <c r="L602" s="3">
        <f t="shared" si="18"/>
        <v>1.2760067016085593E-3</v>
      </c>
      <c r="M602" s="3">
        <f t="shared" si="19"/>
        <v>4.8726562996115954E-4</v>
      </c>
    </row>
    <row r="603" spans="1:13" x14ac:dyDescent="0.35">
      <c r="A603" t="s">
        <v>99</v>
      </c>
      <c r="B603" t="s">
        <v>67</v>
      </c>
      <c r="C603" s="2">
        <v>10440974</v>
      </c>
      <c r="D603" s="2">
        <v>4466147</v>
      </c>
      <c r="E603" s="2">
        <v>26448112</v>
      </c>
      <c r="F603" s="2">
        <v>32402</v>
      </c>
      <c r="G603" s="2">
        <v>16033798</v>
      </c>
      <c r="H603" s="2"/>
      <c r="I603" s="2">
        <v>2405317</v>
      </c>
      <c r="J603" s="2">
        <v>6310288</v>
      </c>
      <c r="K603" s="2">
        <v>51822260702</v>
      </c>
      <c r="L603" s="3">
        <f t="shared" si="18"/>
        <v>1.2762283448095027E-3</v>
      </c>
      <c r="M603" s="3">
        <f t="shared" si="19"/>
        <v>4.7820771738434764E-4</v>
      </c>
    </row>
    <row r="604" spans="1:13" x14ac:dyDescent="0.35">
      <c r="A604" t="s">
        <v>99</v>
      </c>
      <c r="B604" t="s">
        <v>68</v>
      </c>
      <c r="C604" s="2">
        <v>11283442</v>
      </c>
      <c r="D604" s="2">
        <v>6140050</v>
      </c>
      <c r="E604" s="2">
        <v>28485427</v>
      </c>
      <c r="F604" s="2">
        <v>1180</v>
      </c>
      <c r="G604" s="2">
        <v>10293588</v>
      </c>
      <c r="H604" s="2"/>
      <c r="I604" s="2">
        <v>3933175</v>
      </c>
      <c r="J604" s="2">
        <v>7971922</v>
      </c>
      <c r="K604" s="2">
        <v>57284235555</v>
      </c>
      <c r="L604" s="3">
        <f t="shared" si="18"/>
        <v>1.1889620825018619E-3</v>
      </c>
      <c r="M604" s="3">
        <f t="shared" si="19"/>
        <v>3.8753881909946001E-4</v>
      </c>
    </row>
    <row r="605" spans="1:13" x14ac:dyDescent="0.35">
      <c r="A605" t="s">
        <v>99</v>
      </c>
      <c r="B605" t="s">
        <v>69</v>
      </c>
      <c r="C605" s="2">
        <v>6954522</v>
      </c>
      <c r="D605" s="2">
        <v>2683311</v>
      </c>
      <c r="E605" s="2">
        <v>23970304</v>
      </c>
      <c r="F605" s="2">
        <v>431329</v>
      </c>
      <c r="G605" s="2">
        <v>6656756</v>
      </c>
      <c r="H605" s="2"/>
      <c r="I605" s="2">
        <v>3158788</v>
      </c>
      <c r="J605" s="2">
        <v>4125721</v>
      </c>
      <c r="K605" s="2">
        <v>38899586843</v>
      </c>
      <c r="L605" s="3">
        <f t="shared" si="18"/>
        <v>1.233450915395369E-3</v>
      </c>
      <c r="M605" s="3">
        <f t="shared" si="19"/>
        <v>3.6947934840563364E-4</v>
      </c>
    </row>
    <row r="606" spans="1:13" x14ac:dyDescent="0.35">
      <c r="A606" t="s">
        <v>99</v>
      </c>
      <c r="B606" t="s">
        <v>70</v>
      </c>
      <c r="C606" s="2">
        <v>10500721</v>
      </c>
      <c r="D606" s="2">
        <v>3354085</v>
      </c>
      <c r="E606" s="2">
        <v>31848588</v>
      </c>
      <c r="F606" s="2">
        <v>878646</v>
      </c>
      <c r="G606" s="2">
        <v>10962179</v>
      </c>
      <c r="H606" s="2">
        <v>261</v>
      </c>
      <c r="I606" s="2">
        <v>1095606</v>
      </c>
      <c r="J606" s="2">
        <v>4859829</v>
      </c>
      <c r="K606" s="2">
        <v>50476371316</v>
      </c>
      <c r="L606" s="3">
        <f t="shared" si="18"/>
        <v>1.2580126769111035E-3</v>
      </c>
      <c r="M606" s="3">
        <f t="shared" si="19"/>
        <v>3.5257132270042675E-4</v>
      </c>
    </row>
    <row r="607" spans="1:13" x14ac:dyDescent="0.35">
      <c r="A607" t="s">
        <v>99</v>
      </c>
      <c r="B607" t="s">
        <v>71</v>
      </c>
      <c r="C607" s="2">
        <v>12643828</v>
      </c>
      <c r="D607" s="2">
        <v>3284875</v>
      </c>
      <c r="E607" s="2">
        <v>36975016</v>
      </c>
      <c r="F607" s="2">
        <v>411559</v>
      </c>
      <c r="G607" s="2">
        <v>2923805</v>
      </c>
      <c r="H607" s="2"/>
      <c r="I607" s="2">
        <v>2672604</v>
      </c>
      <c r="J607" s="2">
        <v>4883063</v>
      </c>
      <c r="K607" s="2">
        <v>57263063180</v>
      </c>
      <c r="L607" s="3">
        <f t="shared" si="18"/>
        <v>1.1140645724708855E-3</v>
      </c>
      <c r="M607" s="3">
        <f t="shared" si="19"/>
        <v>1.9019295153256593E-4</v>
      </c>
    </row>
    <row r="608" spans="1:13" x14ac:dyDescent="0.35">
      <c r="A608" t="s">
        <v>99</v>
      </c>
      <c r="B608" t="s">
        <v>72</v>
      </c>
      <c r="C608" s="2">
        <v>29283688</v>
      </c>
      <c r="D608" s="2">
        <v>6444730</v>
      </c>
      <c r="E608" s="2">
        <v>31932684</v>
      </c>
      <c r="F608" s="2">
        <v>68083</v>
      </c>
      <c r="G608" s="2">
        <v>12492276</v>
      </c>
      <c r="H608" s="2">
        <v>784</v>
      </c>
      <c r="I608" s="2">
        <v>429378</v>
      </c>
      <c r="J608" s="2">
        <v>4825261</v>
      </c>
      <c r="K608" s="2">
        <v>53681826088</v>
      </c>
      <c r="L608" s="3">
        <f t="shared" si="18"/>
        <v>1.5922871897069732E-3</v>
      </c>
      <c r="M608" s="3">
        <f t="shared" si="19"/>
        <v>3.3187734654918026E-4</v>
      </c>
    </row>
    <row r="609" spans="1:13" x14ac:dyDescent="0.35">
      <c r="A609" t="s">
        <v>99</v>
      </c>
      <c r="B609" t="s">
        <v>73</v>
      </c>
      <c r="C609" s="2">
        <v>23020624</v>
      </c>
      <c r="D609" s="2">
        <v>3805577</v>
      </c>
      <c r="E609" s="2">
        <v>35874835</v>
      </c>
      <c r="F609" s="2">
        <v>242473</v>
      </c>
      <c r="G609" s="2">
        <v>20338504</v>
      </c>
      <c r="H609" s="2">
        <v>261</v>
      </c>
      <c r="I609" s="2">
        <v>653109</v>
      </c>
      <c r="J609" s="2">
        <v>4281620</v>
      </c>
      <c r="K609" s="2">
        <v>49218878261</v>
      </c>
      <c r="L609" s="3">
        <f t="shared" si="18"/>
        <v>1.7923407870492102E-3</v>
      </c>
      <c r="M609" s="3">
        <f t="shared" si="19"/>
        <v>5.1841829601830469E-4</v>
      </c>
    </row>
    <row r="610" spans="1:13" x14ac:dyDescent="0.35">
      <c r="A610" t="s">
        <v>99</v>
      </c>
      <c r="B610" t="s">
        <v>74</v>
      </c>
      <c r="C610" s="2">
        <v>19321826</v>
      </c>
      <c r="D610" s="2">
        <v>8403474</v>
      </c>
      <c r="E610" s="2">
        <v>19133938</v>
      </c>
      <c r="F610" s="2">
        <v>2347</v>
      </c>
      <c r="G610" s="2">
        <v>1950980</v>
      </c>
      <c r="H610" s="2">
        <v>8751</v>
      </c>
      <c r="I610" s="2">
        <v>294606</v>
      </c>
      <c r="J610" s="2">
        <v>4139344</v>
      </c>
      <c r="K610" s="2">
        <v>48756489519</v>
      </c>
      <c r="L610" s="3">
        <f t="shared" si="18"/>
        <v>1.0922703116114803E-3</v>
      </c>
      <c r="M610" s="3">
        <f t="shared" si="19"/>
        <v>1.3118311148113977E-4</v>
      </c>
    </row>
    <row r="611" spans="1:13" x14ac:dyDescent="0.35">
      <c r="A611" t="s">
        <v>99</v>
      </c>
      <c r="B611" t="s">
        <v>75</v>
      </c>
      <c r="C611" s="2">
        <v>24150492</v>
      </c>
      <c r="D611" s="2">
        <v>2238509</v>
      </c>
      <c r="E611" s="2">
        <v>23124828</v>
      </c>
      <c r="F611" s="2">
        <v>979633</v>
      </c>
      <c r="G611" s="2">
        <v>1525662</v>
      </c>
      <c r="H611" s="2">
        <v>31527</v>
      </c>
      <c r="I611" s="2">
        <v>81635</v>
      </c>
      <c r="J611" s="2">
        <v>2554982</v>
      </c>
      <c r="K611" s="2">
        <v>53884635451</v>
      </c>
      <c r="L611" s="3">
        <f t="shared" si="18"/>
        <v>1.0148953879391069E-3</v>
      </c>
      <c r="M611" s="3">
        <f t="shared" si="19"/>
        <v>9.6009538836065199E-5</v>
      </c>
    </row>
    <row r="612" spans="1:13" x14ac:dyDescent="0.35">
      <c r="A612" t="s">
        <v>99</v>
      </c>
      <c r="B612" t="s">
        <v>76</v>
      </c>
      <c r="C612" s="2">
        <v>17369243</v>
      </c>
      <c r="D612" s="2">
        <v>3765064</v>
      </c>
      <c r="E612" s="2">
        <v>28794838</v>
      </c>
      <c r="F612" s="2">
        <v>8286407</v>
      </c>
      <c r="G612" s="2">
        <v>5093791</v>
      </c>
      <c r="H612" s="2">
        <v>879</v>
      </c>
      <c r="I612" s="2">
        <v>302365</v>
      </c>
      <c r="J612" s="2">
        <v>4164423</v>
      </c>
      <c r="K612" s="2">
        <v>57447400656</v>
      </c>
      <c r="L612" s="3">
        <f t="shared" si="18"/>
        <v>1.17980986478143E-3</v>
      </c>
      <c r="M612" s="3">
        <f t="shared" si="19"/>
        <v>3.1068185498721795E-4</v>
      </c>
    </row>
    <row r="613" spans="1:13" x14ac:dyDescent="0.35">
      <c r="A613" t="s">
        <v>99</v>
      </c>
      <c r="B613" t="s">
        <v>77</v>
      </c>
      <c r="C613" s="2">
        <v>10453025</v>
      </c>
      <c r="D613" s="2">
        <v>3286495</v>
      </c>
      <c r="E613" s="2">
        <v>22251324</v>
      </c>
      <c r="F613" s="2">
        <v>629823</v>
      </c>
      <c r="G613" s="2">
        <v>17527002</v>
      </c>
      <c r="H613" s="2"/>
      <c r="I613" s="2">
        <v>1774129</v>
      </c>
      <c r="J613" s="2">
        <v>4115219</v>
      </c>
      <c r="K613" s="2">
        <v>52968419701</v>
      </c>
      <c r="L613" s="3">
        <f t="shared" si="18"/>
        <v>1.1334492767369941E-3</v>
      </c>
      <c r="M613" s="3">
        <f t="shared" si="19"/>
        <v>4.5397187863518664E-4</v>
      </c>
    </row>
    <row r="614" spans="1:13" x14ac:dyDescent="0.35">
      <c r="A614" t="s">
        <v>99</v>
      </c>
      <c r="B614" t="s">
        <v>78</v>
      </c>
      <c r="C614" s="2">
        <v>11774126</v>
      </c>
      <c r="D614" s="2">
        <v>3041143</v>
      </c>
      <c r="E614" s="2">
        <v>19994405</v>
      </c>
      <c r="F614" s="2">
        <v>3492704</v>
      </c>
      <c r="G614" s="2">
        <v>7853701</v>
      </c>
      <c r="H614" s="2"/>
      <c r="I614" s="2">
        <v>38965</v>
      </c>
      <c r="J614" s="2">
        <v>3461654</v>
      </c>
      <c r="K614" s="2">
        <v>55125292668</v>
      </c>
      <c r="L614" s="3">
        <f t="shared" si="18"/>
        <v>9.0079699529333303E-4</v>
      </c>
      <c r="M614" s="3">
        <f t="shared" si="19"/>
        <v>2.6933233877629164E-4</v>
      </c>
    </row>
    <row r="615" spans="1:13" x14ac:dyDescent="0.35">
      <c r="A615" t="s">
        <v>99</v>
      </c>
      <c r="B615" t="s">
        <v>79</v>
      </c>
      <c r="C615" s="2">
        <v>12716575</v>
      </c>
      <c r="D615" s="2">
        <v>5309624</v>
      </c>
      <c r="E615" s="2">
        <v>22040992</v>
      </c>
      <c r="F615" s="2">
        <v>2796</v>
      </c>
      <c r="G615" s="2">
        <v>1923739</v>
      </c>
      <c r="H615" s="2"/>
      <c r="I615" s="2">
        <v>881871</v>
      </c>
      <c r="J615" s="2">
        <v>5741318</v>
      </c>
      <c r="K615" s="2">
        <v>54443571633</v>
      </c>
      <c r="L615" s="3">
        <f t="shared" si="18"/>
        <v>8.929780604351777E-4</v>
      </c>
      <c r="M615" s="3">
        <f t="shared" si="19"/>
        <v>1.5703826445540795E-4</v>
      </c>
    </row>
    <row r="616" spans="1:13" x14ac:dyDescent="0.35">
      <c r="A616" t="s">
        <v>99</v>
      </c>
      <c r="B616" t="s">
        <v>80</v>
      </c>
      <c r="C616" s="2">
        <v>51566379</v>
      </c>
      <c r="D616" s="2">
        <v>3269469</v>
      </c>
      <c r="E616" s="2">
        <v>22821538</v>
      </c>
      <c r="F616" s="2">
        <v>4750314</v>
      </c>
      <c r="G616" s="2">
        <v>5358528</v>
      </c>
      <c r="H616" s="2">
        <v>2000</v>
      </c>
      <c r="I616" s="2">
        <v>179296</v>
      </c>
      <c r="J616" s="2">
        <v>4859005</v>
      </c>
      <c r="K616" s="2">
        <v>61671823120</v>
      </c>
      <c r="L616" s="3">
        <f t="shared" si="18"/>
        <v>1.5048449081749799E-3</v>
      </c>
      <c r="M616" s="3">
        <f t="shared" si="19"/>
        <v>2.4564123830947968E-4</v>
      </c>
    </row>
    <row r="617" spans="1:13" x14ac:dyDescent="0.35">
      <c r="A617" t="s">
        <v>99</v>
      </c>
      <c r="B617" t="s">
        <v>81</v>
      </c>
      <c r="C617" s="2">
        <v>8814110</v>
      </c>
      <c r="D617" s="2">
        <v>3428948</v>
      </c>
      <c r="E617" s="2">
        <v>17760782</v>
      </c>
      <c r="F617" s="2">
        <v>38216</v>
      </c>
      <c r="G617" s="2">
        <v>10403267</v>
      </c>
      <c r="H617" s="2"/>
      <c r="I617" s="2">
        <v>794411</v>
      </c>
      <c r="J617" s="2">
        <v>8647939</v>
      </c>
      <c r="K617" s="2">
        <v>38617687920</v>
      </c>
      <c r="L617" s="3">
        <f t="shared" si="18"/>
        <v>1.2918347961003462E-3</v>
      </c>
      <c r="M617" s="3">
        <f t="shared" si="19"/>
        <v>5.1488926631731915E-4</v>
      </c>
    </row>
    <row r="618" spans="1:13" x14ac:dyDescent="0.35">
      <c r="A618" t="s">
        <v>99</v>
      </c>
      <c r="B618" t="s">
        <v>82</v>
      </c>
      <c r="C618" s="2">
        <v>26374938</v>
      </c>
      <c r="D618" s="2">
        <v>4242522</v>
      </c>
      <c r="E618" s="2">
        <v>32641960</v>
      </c>
      <c r="F618" s="2">
        <v>129568</v>
      </c>
      <c r="G618" s="2">
        <v>1202637</v>
      </c>
      <c r="H618" s="2"/>
      <c r="I618" s="2">
        <v>221901</v>
      </c>
      <c r="J618" s="2">
        <v>6087601</v>
      </c>
      <c r="K618" s="2">
        <v>56078929362</v>
      </c>
      <c r="L618" s="3">
        <f t="shared" si="18"/>
        <v>1.2643095687922274E-3</v>
      </c>
      <c r="M618" s="3">
        <f t="shared" si="19"/>
        <v>1.3626699166582423E-4</v>
      </c>
    </row>
    <row r="619" spans="1:13" x14ac:dyDescent="0.35">
      <c r="A619" t="s">
        <v>99</v>
      </c>
      <c r="B619" t="s">
        <v>83</v>
      </c>
      <c r="C619" s="2">
        <v>14188925</v>
      </c>
      <c r="D619" s="2">
        <v>4272972</v>
      </c>
      <c r="E619" s="2">
        <v>41000287</v>
      </c>
      <c r="F619" s="2">
        <v>868998</v>
      </c>
      <c r="G619" s="2">
        <v>3440756</v>
      </c>
      <c r="H619" s="2">
        <v>899</v>
      </c>
      <c r="I619" s="2">
        <v>3603935</v>
      </c>
      <c r="J619" s="2">
        <v>5708132</v>
      </c>
      <c r="K619" s="2">
        <v>58684725252</v>
      </c>
      <c r="L619" s="3">
        <f t="shared" si="18"/>
        <v>1.2453820595762137E-3</v>
      </c>
      <c r="M619" s="3">
        <f t="shared" si="19"/>
        <v>2.321339998015196E-4</v>
      </c>
    </row>
    <row r="620" spans="1:13" x14ac:dyDescent="0.35">
      <c r="A620" t="s">
        <v>99</v>
      </c>
      <c r="B620" t="s">
        <v>84</v>
      </c>
      <c r="C620" s="2">
        <v>17406724</v>
      </c>
      <c r="D620" s="2">
        <v>8723124</v>
      </c>
      <c r="E620" s="2">
        <v>41185449</v>
      </c>
      <c r="F620" s="2">
        <v>23707</v>
      </c>
      <c r="G620" s="2">
        <v>1866320</v>
      </c>
      <c r="H620" s="2">
        <v>16083</v>
      </c>
      <c r="I620" s="2">
        <v>1342985</v>
      </c>
      <c r="J620" s="2">
        <v>4627486</v>
      </c>
      <c r="K620" s="2">
        <v>53749129270</v>
      </c>
      <c r="L620" s="3">
        <f t="shared" si="18"/>
        <v>1.3989413227940093E-3</v>
      </c>
      <c r="M620" s="3">
        <f t="shared" si="19"/>
        <v>1.4654341580927344E-4</v>
      </c>
    </row>
    <row r="621" spans="1:13" x14ac:dyDescent="0.35">
      <c r="A621" t="s">
        <v>99</v>
      </c>
      <c r="B621" t="s">
        <v>85</v>
      </c>
      <c r="C621" s="2">
        <v>62597403</v>
      </c>
      <c r="D621" s="2">
        <v>14748865</v>
      </c>
      <c r="E621" s="2">
        <v>43400909</v>
      </c>
      <c r="F621" s="2">
        <v>269182</v>
      </c>
      <c r="G621" s="2">
        <v>5402581</v>
      </c>
      <c r="H621" s="2"/>
      <c r="I621" s="2">
        <v>1702555</v>
      </c>
      <c r="J621" s="2">
        <v>4149242</v>
      </c>
      <c r="K621" s="2">
        <v>51725161200</v>
      </c>
      <c r="L621" s="3">
        <f t="shared" si="18"/>
        <v>2.5571836593908963E-3</v>
      </c>
      <c r="M621" s="3">
        <f t="shared" si="19"/>
        <v>2.2278441927794322E-4</v>
      </c>
    </row>
    <row r="622" spans="1:13" x14ac:dyDescent="0.35">
      <c r="A622" t="s">
        <v>99</v>
      </c>
      <c r="B622" t="s">
        <v>86</v>
      </c>
      <c r="C622" s="2">
        <v>25603948</v>
      </c>
      <c r="D622" s="2">
        <v>5891041</v>
      </c>
      <c r="E622" s="2">
        <v>27575183</v>
      </c>
      <c r="F622" s="2">
        <v>2320</v>
      </c>
      <c r="G622" s="2">
        <v>4831326</v>
      </c>
      <c r="H622" s="2">
        <v>7183</v>
      </c>
      <c r="I622" s="2">
        <v>1607005</v>
      </c>
      <c r="J622" s="2">
        <v>3598300</v>
      </c>
      <c r="K622" s="2">
        <v>46625187076</v>
      </c>
      <c r="L622" s="3">
        <f t="shared" si="18"/>
        <v>1.4823813122151986E-3</v>
      </c>
      <c r="M622" s="3">
        <f t="shared" si="19"/>
        <v>2.1546581644004125E-4</v>
      </c>
    </row>
    <row r="623" spans="1:13" x14ac:dyDescent="0.35">
      <c r="A623" t="s">
        <v>99</v>
      </c>
      <c r="B623" t="s">
        <v>87</v>
      </c>
      <c r="C623" s="2">
        <v>29157107</v>
      </c>
      <c r="D623" s="2">
        <v>5062661</v>
      </c>
      <c r="E623" s="2">
        <v>27172800</v>
      </c>
      <c r="F623" s="2">
        <v>14673</v>
      </c>
      <c r="G623" s="2">
        <v>10833076</v>
      </c>
      <c r="H623" s="2"/>
      <c r="I623" s="2">
        <v>1565060</v>
      </c>
      <c r="J623" s="2">
        <v>2544693</v>
      </c>
      <c r="K623" s="2">
        <v>53838934234</v>
      </c>
      <c r="L623" s="3">
        <f t="shared" si="18"/>
        <v>1.4181200108486531E-3</v>
      </c>
      <c r="M623" s="3">
        <f t="shared" si="19"/>
        <v>2.7781942961556876E-4</v>
      </c>
    </row>
    <row r="624" spans="1:13" x14ac:dyDescent="0.35">
      <c r="A624" t="s">
        <v>99</v>
      </c>
      <c r="B624" t="s">
        <v>88</v>
      </c>
      <c r="C624" s="2">
        <v>38777090</v>
      </c>
      <c r="D624" s="2">
        <v>6826910</v>
      </c>
      <c r="E624" s="2">
        <v>37712414</v>
      </c>
      <c r="F624" s="2">
        <v>4737</v>
      </c>
      <c r="G624" s="2">
        <v>2697221</v>
      </c>
      <c r="H624" s="2"/>
      <c r="I624" s="2">
        <v>1952704</v>
      </c>
      <c r="J624" s="2">
        <v>3251778</v>
      </c>
      <c r="K624" s="2">
        <v>61739735142</v>
      </c>
      <c r="L624" s="3">
        <f t="shared" si="18"/>
        <v>1.4775387971812559E-3</v>
      </c>
      <c r="M624" s="3">
        <f t="shared" si="19"/>
        <v>1.2806080203964863E-4</v>
      </c>
    </row>
    <row r="625" spans="1:13" x14ac:dyDescent="0.35">
      <c r="A625" t="s">
        <v>99</v>
      </c>
      <c r="B625" t="s">
        <v>89</v>
      </c>
      <c r="C625" s="2">
        <v>26345266</v>
      </c>
      <c r="D625" s="2">
        <v>7420978</v>
      </c>
      <c r="E625" s="2">
        <v>25174687</v>
      </c>
      <c r="F625" s="2">
        <v>1886</v>
      </c>
      <c r="G625" s="2">
        <v>5039041</v>
      </c>
      <c r="H625" s="2">
        <v>4000</v>
      </c>
      <c r="I625" s="2">
        <v>2805376</v>
      </c>
      <c r="J625" s="2">
        <v>7891556</v>
      </c>
      <c r="K625" s="2">
        <v>57789592623</v>
      </c>
      <c r="L625" s="3">
        <f t="shared" si="18"/>
        <v>1.2923224859397362E-3</v>
      </c>
      <c r="M625" s="3">
        <f t="shared" si="19"/>
        <v>2.7239954956413399E-4</v>
      </c>
    </row>
    <row r="626" spans="1:13" x14ac:dyDescent="0.35">
      <c r="A626" t="s">
        <v>99</v>
      </c>
      <c r="B626" t="s">
        <v>90</v>
      </c>
      <c r="C626" s="2">
        <v>24762011</v>
      </c>
      <c r="D626" s="2">
        <v>6781867</v>
      </c>
      <c r="E626" s="2">
        <v>29019097</v>
      </c>
      <c r="F626" s="2">
        <v>74349</v>
      </c>
      <c r="G626" s="2">
        <v>4769124</v>
      </c>
      <c r="H626" s="2"/>
      <c r="I626" s="2">
        <v>1059392</v>
      </c>
      <c r="J626" s="2">
        <v>5373901</v>
      </c>
      <c r="K626" s="2">
        <v>57449627354</v>
      </c>
      <c r="L626" s="3">
        <f t="shared" si="18"/>
        <v>1.2504822800212311E-3</v>
      </c>
      <c r="M626" s="3">
        <f t="shared" si="19"/>
        <v>1.9628962831235564E-4</v>
      </c>
    </row>
    <row r="627" spans="1:13" x14ac:dyDescent="0.35">
      <c r="A627" t="s">
        <v>99</v>
      </c>
      <c r="B627" t="s">
        <v>91</v>
      </c>
      <c r="C627" s="2">
        <v>39815400</v>
      </c>
      <c r="D627" s="2">
        <v>7100752</v>
      </c>
      <c r="E627" s="2">
        <v>31922859</v>
      </c>
      <c r="F627" s="2">
        <v>543383</v>
      </c>
      <c r="G627" s="2">
        <v>2218146</v>
      </c>
      <c r="H627" s="2"/>
      <c r="I627" s="2">
        <v>1349360</v>
      </c>
      <c r="J627" s="2">
        <v>8393371</v>
      </c>
      <c r="K627" s="2">
        <v>59786968473</v>
      </c>
      <c r="L627" s="3">
        <f t="shared" si="18"/>
        <v>1.5278123867620238E-3</v>
      </c>
      <c r="M627" s="3">
        <f t="shared" si="19"/>
        <v>2.091469147770382E-4</v>
      </c>
    </row>
    <row r="628" spans="1:13" x14ac:dyDescent="0.35">
      <c r="A628" t="s">
        <v>100</v>
      </c>
      <c r="B628" t="s">
        <v>14</v>
      </c>
      <c r="C628" s="2">
        <v>377159615</v>
      </c>
      <c r="D628" s="2">
        <v>285915960</v>
      </c>
      <c r="E628" s="2">
        <v>383090512</v>
      </c>
      <c r="F628" s="2">
        <v>2873623</v>
      </c>
      <c r="G628" s="2">
        <v>399777506</v>
      </c>
      <c r="H628" s="2"/>
      <c r="I628" s="2">
        <v>3158738</v>
      </c>
      <c r="J628" s="2">
        <v>306548071</v>
      </c>
      <c r="K628" s="2">
        <v>53435482261</v>
      </c>
      <c r="L628" s="3">
        <f t="shared" si="18"/>
        <v>3.2909294547220032E-2</v>
      </c>
      <c r="M628" s="3">
        <f t="shared" si="19"/>
        <v>1.3331178233230169E-2</v>
      </c>
    </row>
    <row r="629" spans="1:13" x14ac:dyDescent="0.35">
      <c r="A629" t="s">
        <v>100</v>
      </c>
      <c r="B629" t="s">
        <v>15</v>
      </c>
      <c r="C629" s="2">
        <v>322955416</v>
      </c>
      <c r="D629" s="2">
        <v>227357855</v>
      </c>
      <c r="E629" s="2">
        <v>323753828</v>
      </c>
      <c r="F629" s="2">
        <v>1266965</v>
      </c>
      <c r="G629" s="2">
        <v>695330399</v>
      </c>
      <c r="H629" s="2"/>
      <c r="I629" s="2">
        <v>2796287</v>
      </c>
      <c r="J629" s="2">
        <v>235758309</v>
      </c>
      <c r="K629" s="2">
        <v>50541834332</v>
      </c>
      <c r="L629" s="3">
        <f t="shared" si="18"/>
        <v>3.5796466094118649E-2</v>
      </c>
      <c r="M629" s="3">
        <f t="shared" si="19"/>
        <v>1.8502533047319948E-2</v>
      </c>
    </row>
    <row r="630" spans="1:13" x14ac:dyDescent="0.35">
      <c r="A630" t="s">
        <v>100</v>
      </c>
      <c r="B630" t="s">
        <v>16</v>
      </c>
      <c r="C630" s="2">
        <v>352280657</v>
      </c>
      <c r="D630" s="2">
        <v>219236725</v>
      </c>
      <c r="E630" s="2">
        <v>331025508</v>
      </c>
      <c r="F630" s="2">
        <v>1958695</v>
      </c>
      <c r="G630" s="2">
        <v>905106507</v>
      </c>
      <c r="H630" s="2">
        <v>50</v>
      </c>
      <c r="I630" s="2">
        <v>2369456</v>
      </c>
      <c r="J630" s="2">
        <v>221572406</v>
      </c>
      <c r="K630" s="2">
        <v>52285499560</v>
      </c>
      <c r="L630" s="3">
        <f t="shared" si="18"/>
        <v>3.8893192589016169E-2</v>
      </c>
      <c r="M630" s="3">
        <f t="shared" si="19"/>
        <v>2.1631372436293119E-2</v>
      </c>
    </row>
    <row r="631" spans="1:13" x14ac:dyDescent="0.35">
      <c r="A631" t="s">
        <v>100</v>
      </c>
      <c r="B631" t="s">
        <v>17</v>
      </c>
      <c r="C631" s="2">
        <v>329523596</v>
      </c>
      <c r="D631" s="2">
        <v>202930196</v>
      </c>
      <c r="E631" s="2">
        <v>275494491</v>
      </c>
      <c r="F631" s="2">
        <v>2295011</v>
      </c>
      <c r="G631" s="2">
        <v>579644793</v>
      </c>
      <c r="H631" s="2"/>
      <c r="I631" s="2">
        <v>3354112</v>
      </c>
      <c r="J631" s="2">
        <v>250652044</v>
      </c>
      <c r="K631" s="2">
        <v>41452569635</v>
      </c>
      <c r="L631" s="3">
        <f t="shared" si="18"/>
        <v>3.9657233736651074E-2</v>
      </c>
      <c r="M631" s="3">
        <f t="shared" si="19"/>
        <v>2.0166324243845637E-2</v>
      </c>
    </row>
    <row r="632" spans="1:13" x14ac:dyDescent="0.35">
      <c r="A632" t="s">
        <v>100</v>
      </c>
      <c r="B632" t="s">
        <v>18</v>
      </c>
      <c r="C632" s="2">
        <v>323147653</v>
      </c>
      <c r="D632" s="2">
        <v>181605017</v>
      </c>
      <c r="E632" s="2">
        <v>287489394</v>
      </c>
      <c r="F632" s="2">
        <v>1906939</v>
      </c>
      <c r="G632" s="2">
        <v>890470510</v>
      </c>
      <c r="H632" s="2"/>
      <c r="I632" s="2">
        <v>3662223</v>
      </c>
      <c r="J632" s="2">
        <v>230806815</v>
      </c>
      <c r="K632" s="2">
        <v>41826581150</v>
      </c>
      <c r="L632" s="3">
        <f t="shared" si="18"/>
        <v>4.5882032387913683E-2</v>
      </c>
      <c r="M632" s="3">
        <f t="shared" si="19"/>
        <v>2.694091785696905E-2</v>
      </c>
    </row>
    <row r="633" spans="1:13" x14ac:dyDescent="0.35">
      <c r="A633" t="s">
        <v>100</v>
      </c>
      <c r="B633" t="s">
        <v>19</v>
      </c>
      <c r="C633" s="2">
        <v>298392043</v>
      </c>
      <c r="D633" s="2">
        <v>288817878</v>
      </c>
      <c r="E633" s="2">
        <v>329051176</v>
      </c>
      <c r="F633" s="2">
        <v>1575053</v>
      </c>
      <c r="G633" s="2">
        <v>1101816737</v>
      </c>
      <c r="H633" s="2"/>
      <c r="I633" s="2">
        <v>1709200</v>
      </c>
      <c r="J633" s="2">
        <v>217365266</v>
      </c>
      <c r="K633" s="2">
        <v>47422222450</v>
      </c>
      <c r="L633" s="3">
        <f t="shared" si="18"/>
        <v>4.7208402249819065E-2</v>
      </c>
      <c r="M633" s="3">
        <f t="shared" si="19"/>
        <v>2.7887057747965162E-2</v>
      </c>
    </row>
    <row r="634" spans="1:13" x14ac:dyDescent="0.35">
      <c r="A634" t="s">
        <v>100</v>
      </c>
      <c r="B634" t="s">
        <v>20</v>
      </c>
      <c r="C634" s="2">
        <v>327525045</v>
      </c>
      <c r="D634" s="2">
        <v>207389271</v>
      </c>
      <c r="E634" s="2">
        <v>415204269</v>
      </c>
      <c r="F634" s="2">
        <v>2817025</v>
      </c>
      <c r="G634" s="2">
        <v>574304150</v>
      </c>
      <c r="H634" s="2"/>
      <c r="I634" s="2">
        <v>4580431</v>
      </c>
      <c r="J634" s="2">
        <v>204291346</v>
      </c>
      <c r="K634" s="2">
        <v>48704133400</v>
      </c>
      <c r="L634" s="3">
        <f t="shared" si="18"/>
        <v>3.5646082083866826E-2</v>
      </c>
      <c r="M634" s="3">
        <f t="shared" si="19"/>
        <v>1.6138115948902194E-2</v>
      </c>
    </row>
    <row r="635" spans="1:13" x14ac:dyDescent="0.35">
      <c r="A635" t="s">
        <v>100</v>
      </c>
      <c r="B635" t="s">
        <v>21</v>
      </c>
      <c r="C635" s="2">
        <v>304198330</v>
      </c>
      <c r="D635" s="2">
        <v>183390599</v>
      </c>
      <c r="E635" s="2">
        <v>321475454</v>
      </c>
      <c r="F635" s="2">
        <v>91600</v>
      </c>
      <c r="G635" s="2">
        <v>632827700</v>
      </c>
      <c r="H635" s="2">
        <v>2454</v>
      </c>
      <c r="I635" s="2">
        <v>3900328</v>
      </c>
      <c r="J635" s="2">
        <v>156471243</v>
      </c>
      <c r="K635" s="2">
        <v>43341104465</v>
      </c>
      <c r="L635" s="3">
        <f t="shared" si="18"/>
        <v>3.6970855444950185E-2</v>
      </c>
      <c r="M635" s="3">
        <f t="shared" si="19"/>
        <v>1.8303486604514706E-2</v>
      </c>
    </row>
    <row r="636" spans="1:13" x14ac:dyDescent="0.35">
      <c r="A636" t="s">
        <v>100</v>
      </c>
      <c r="B636" t="s">
        <v>22</v>
      </c>
      <c r="C636" s="2">
        <v>357576420</v>
      </c>
      <c r="D636" s="2">
        <v>183833037</v>
      </c>
      <c r="E636" s="2">
        <v>354759271</v>
      </c>
      <c r="F636" s="2">
        <v>3376865</v>
      </c>
      <c r="G636" s="2">
        <v>1280824907</v>
      </c>
      <c r="H636" s="2">
        <v>104789</v>
      </c>
      <c r="I636" s="2">
        <v>3400568</v>
      </c>
      <c r="J636" s="2">
        <v>223492320</v>
      </c>
      <c r="K636" s="2">
        <v>50737781224</v>
      </c>
      <c r="L636" s="3">
        <f t="shared" si="18"/>
        <v>4.7447249740224469E-2</v>
      </c>
      <c r="M636" s="3">
        <f t="shared" si="19"/>
        <v>2.978450008147325E-2</v>
      </c>
    </row>
    <row r="637" spans="1:13" x14ac:dyDescent="0.35">
      <c r="A637" t="s">
        <v>100</v>
      </c>
      <c r="B637" t="s">
        <v>23</v>
      </c>
      <c r="C637" s="2">
        <v>372726795</v>
      </c>
      <c r="D637" s="2">
        <v>245980854</v>
      </c>
      <c r="E637" s="2">
        <v>387565297</v>
      </c>
      <c r="F637" s="2">
        <v>1082408</v>
      </c>
      <c r="G637" s="2">
        <v>656718322</v>
      </c>
      <c r="H637" s="2"/>
      <c r="I637" s="2">
        <v>4911904</v>
      </c>
      <c r="J637" s="2">
        <v>270062904</v>
      </c>
      <c r="K637" s="2">
        <v>53139160911</v>
      </c>
      <c r="L637" s="3">
        <f t="shared" si="18"/>
        <v>3.6490009453623302E-2</v>
      </c>
      <c r="M637" s="3">
        <f t="shared" si="19"/>
        <v>1.7553448756224378E-2</v>
      </c>
    </row>
    <row r="638" spans="1:13" x14ac:dyDescent="0.35">
      <c r="A638" t="s">
        <v>100</v>
      </c>
      <c r="B638" t="s">
        <v>24</v>
      </c>
      <c r="C638" s="2">
        <v>349882294</v>
      </c>
      <c r="D638" s="2">
        <v>229293281</v>
      </c>
      <c r="E638" s="2">
        <v>408566537</v>
      </c>
      <c r="F638" s="2">
        <v>3714662</v>
      </c>
      <c r="G638" s="2">
        <v>929761420</v>
      </c>
      <c r="H638" s="2"/>
      <c r="I638" s="2">
        <v>6569897</v>
      </c>
      <c r="J638" s="2">
        <v>264464085</v>
      </c>
      <c r="K638" s="2">
        <v>54376804367</v>
      </c>
      <c r="L638" s="3">
        <f t="shared" si="18"/>
        <v>4.031594356306871E-2</v>
      </c>
      <c r="M638" s="3">
        <f t="shared" si="19"/>
        <v>2.215117416372097E-2</v>
      </c>
    </row>
    <row r="639" spans="1:13" x14ac:dyDescent="0.35">
      <c r="A639" t="s">
        <v>100</v>
      </c>
      <c r="B639" t="s">
        <v>25</v>
      </c>
      <c r="C639" s="2">
        <v>362419740</v>
      </c>
      <c r="D639" s="2">
        <v>225020149</v>
      </c>
      <c r="E639" s="2">
        <v>390422264</v>
      </c>
      <c r="F639" s="2">
        <v>8016211</v>
      </c>
      <c r="G639" s="2">
        <v>1610809392</v>
      </c>
      <c r="H639" s="2">
        <v>28280</v>
      </c>
      <c r="I639" s="2">
        <v>8743205</v>
      </c>
      <c r="J639" s="2">
        <v>279569706</v>
      </c>
      <c r="K639" s="2">
        <v>52969980181</v>
      </c>
      <c r="L639" s="3">
        <f t="shared" si="18"/>
        <v>5.4465358248988772E-2</v>
      </c>
      <c r="M639" s="3">
        <f t="shared" si="19"/>
        <v>3.6004672599143028E-2</v>
      </c>
    </row>
    <row r="640" spans="1:13" x14ac:dyDescent="0.35">
      <c r="A640" t="s">
        <v>100</v>
      </c>
      <c r="B640" t="s">
        <v>26</v>
      </c>
      <c r="C640" s="2">
        <v>333104201</v>
      </c>
      <c r="D640" s="2">
        <v>231008795</v>
      </c>
      <c r="E640" s="2">
        <v>379441919</v>
      </c>
      <c r="F640" s="2">
        <v>1386455</v>
      </c>
      <c r="G640" s="2">
        <v>839807711</v>
      </c>
      <c r="H640" s="2"/>
      <c r="I640" s="2">
        <v>3328091</v>
      </c>
      <c r="J640" s="2">
        <v>235779851</v>
      </c>
      <c r="K640" s="2">
        <v>49926415081</v>
      </c>
      <c r="L640" s="3">
        <f t="shared" si="18"/>
        <v>4.0536798400536457E-2</v>
      </c>
      <c r="M640" s="3">
        <f t="shared" si="19"/>
        <v>2.1637886602659757E-2</v>
      </c>
    </row>
    <row r="641" spans="1:13" x14ac:dyDescent="0.35">
      <c r="A641" t="s">
        <v>100</v>
      </c>
      <c r="B641" t="s">
        <v>27</v>
      </c>
      <c r="C641" s="2">
        <v>360004079</v>
      </c>
      <c r="D641" s="2">
        <v>167588488</v>
      </c>
      <c r="E641" s="2">
        <v>339979216</v>
      </c>
      <c r="F641" s="2">
        <v>1458930</v>
      </c>
      <c r="G641" s="2">
        <v>977762399</v>
      </c>
      <c r="H641" s="2">
        <v>3380</v>
      </c>
      <c r="I641" s="2">
        <v>5285093</v>
      </c>
      <c r="J641" s="2">
        <v>229430869</v>
      </c>
      <c r="K641" s="2">
        <v>51275524210</v>
      </c>
      <c r="L641" s="3">
        <f t="shared" si="18"/>
        <v>4.0594659656235231E-2</v>
      </c>
      <c r="M641" s="3">
        <f t="shared" si="19"/>
        <v>2.3674856370620029E-2</v>
      </c>
    </row>
    <row r="642" spans="1:13" x14ac:dyDescent="0.35">
      <c r="A642" t="s">
        <v>100</v>
      </c>
      <c r="B642" t="s">
        <v>28</v>
      </c>
      <c r="C642" s="2">
        <v>386980859</v>
      </c>
      <c r="D642" s="2">
        <v>259179992</v>
      </c>
      <c r="E642" s="2">
        <v>413908809</v>
      </c>
      <c r="F642" s="2">
        <v>411116</v>
      </c>
      <c r="G642" s="2">
        <v>1421012693</v>
      </c>
      <c r="H642" s="2">
        <v>9547</v>
      </c>
      <c r="I642" s="2">
        <v>5083771</v>
      </c>
      <c r="J642" s="2">
        <v>273154183</v>
      </c>
      <c r="K642" s="2">
        <v>62516572198</v>
      </c>
      <c r="L642" s="3">
        <f t="shared" ref="L642:L705" si="20">SUM(C642:J642)/K642</f>
        <v>4.4144150470365816E-2</v>
      </c>
      <c r="M642" s="3">
        <f t="shared" ref="M642:M705" si="21">SUM(F642:J642)/K642</f>
        <v>2.7187532045373004E-2</v>
      </c>
    </row>
    <row r="643" spans="1:13" x14ac:dyDescent="0.35">
      <c r="A643" t="s">
        <v>100</v>
      </c>
      <c r="B643" t="s">
        <v>29</v>
      </c>
      <c r="C643" s="2">
        <v>310914646</v>
      </c>
      <c r="D643" s="2">
        <v>196445675</v>
      </c>
      <c r="E643" s="2">
        <v>344966792</v>
      </c>
      <c r="F643" s="2">
        <v>2692479</v>
      </c>
      <c r="G643" s="2">
        <v>973042277</v>
      </c>
      <c r="H643" s="2">
        <v>96</v>
      </c>
      <c r="I643" s="2">
        <v>5577960</v>
      </c>
      <c r="J643" s="2">
        <v>271833783</v>
      </c>
      <c r="K643" s="2">
        <v>55748821606</v>
      </c>
      <c r="L643" s="3">
        <f t="shared" si="20"/>
        <v>3.7767142826448497E-2</v>
      </c>
      <c r="M643" s="3">
        <f t="shared" si="21"/>
        <v>2.2478440958922964E-2</v>
      </c>
    </row>
    <row r="644" spans="1:13" x14ac:dyDescent="0.35">
      <c r="A644" t="s">
        <v>100</v>
      </c>
      <c r="B644" t="s">
        <v>30</v>
      </c>
      <c r="C644" s="2">
        <v>338757506</v>
      </c>
      <c r="D644" s="2">
        <v>231501910</v>
      </c>
      <c r="E644" s="2">
        <v>341715297</v>
      </c>
      <c r="F644" s="2">
        <v>2085364</v>
      </c>
      <c r="G644" s="2">
        <v>644199496</v>
      </c>
      <c r="H644" s="2">
        <v>1076</v>
      </c>
      <c r="I644" s="2">
        <v>5380575</v>
      </c>
      <c r="J644" s="2">
        <v>232528289</v>
      </c>
      <c r="K644" s="2">
        <v>55221475950</v>
      </c>
      <c r="L644" s="3">
        <f t="shared" si="20"/>
        <v>3.2526648049507632E-2</v>
      </c>
      <c r="M644" s="3">
        <f t="shared" si="21"/>
        <v>1.6011792238233357E-2</v>
      </c>
    </row>
    <row r="645" spans="1:13" x14ac:dyDescent="0.35">
      <c r="A645" t="s">
        <v>100</v>
      </c>
      <c r="B645" t="s">
        <v>31</v>
      </c>
      <c r="C645" s="2">
        <v>361964987</v>
      </c>
      <c r="D645" s="2">
        <v>177404161</v>
      </c>
      <c r="E645" s="2">
        <v>325800412</v>
      </c>
      <c r="F645" s="2">
        <v>945243</v>
      </c>
      <c r="G645" s="2">
        <v>1375507148</v>
      </c>
      <c r="H645" s="2">
        <v>693</v>
      </c>
      <c r="I645" s="2">
        <v>5276947</v>
      </c>
      <c r="J645" s="2">
        <v>323908215</v>
      </c>
      <c r="K645" s="2">
        <v>60715164900</v>
      </c>
      <c r="L645" s="3">
        <f t="shared" si="20"/>
        <v>4.2342103661156323E-2</v>
      </c>
      <c r="M645" s="3">
        <f t="shared" si="21"/>
        <v>2.8092458429607264E-2</v>
      </c>
    </row>
    <row r="646" spans="1:13" x14ac:dyDescent="0.35">
      <c r="A646" t="s">
        <v>100</v>
      </c>
      <c r="B646" t="s">
        <v>32</v>
      </c>
      <c r="C646" s="2">
        <v>286031291</v>
      </c>
      <c r="D646" s="2">
        <v>194145546</v>
      </c>
      <c r="E646" s="2">
        <v>310634558</v>
      </c>
      <c r="F646" s="2">
        <v>181401</v>
      </c>
      <c r="G646" s="2">
        <v>1189007958</v>
      </c>
      <c r="H646" s="2"/>
      <c r="I646" s="2">
        <v>9588577</v>
      </c>
      <c r="J646" s="2">
        <v>193504000</v>
      </c>
      <c r="K646" s="2">
        <v>58872973122</v>
      </c>
      <c r="L646" s="3">
        <f t="shared" si="20"/>
        <v>3.7081418097843759E-2</v>
      </c>
      <c r="M646" s="3">
        <f t="shared" si="21"/>
        <v>2.3648914980305691E-2</v>
      </c>
    </row>
    <row r="647" spans="1:13" x14ac:dyDescent="0.35">
      <c r="A647" t="s">
        <v>100</v>
      </c>
      <c r="B647" t="s">
        <v>33</v>
      </c>
      <c r="C647" s="2">
        <v>371085957</v>
      </c>
      <c r="D647" s="2">
        <v>212210502</v>
      </c>
      <c r="E647" s="2">
        <v>337272153</v>
      </c>
      <c r="F647" s="2">
        <v>176463</v>
      </c>
      <c r="G647" s="2">
        <v>1310001883</v>
      </c>
      <c r="H647" s="2"/>
      <c r="I647" s="2">
        <v>4434797</v>
      </c>
      <c r="J647" s="2">
        <v>153191917</v>
      </c>
      <c r="K647" s="2">
        <v>56263371745</v>
      </c>
      <c r="L647" s="3">
        <f t="shared" si="20"/>
        <v>4.244988520817275E-2</v>
      </c>
      <c r="M647" s="3">
        <f t="shared" si="21"/>
        <v>2.6088110514465222E-2</v>
      </c>
    </row>
    <row r="648" spans="1:13" x14ac:dyDescent="0.35">
      <c r="A648" t="s">
        <v>100</v>
      </c>
      <c r="B648" t="s">
        <v>34</v>
      </c>
      <c r="C648" s="2">
        <v>378605814</v>
      </c>
      <c r="D648" s="2">
        <v>271284425</v>
      </c>
      <c r="E648" s="2">
        <v>362112249</v>
      </c>
      <c r="F648" s="2">
        <v>149025</v>
      </c>
      <c r="G648" s="2">
        <v>1408055912</v>
      </c>
      <c r="H648" s="2">
        <v>1610</v>
      </c>
      <c r="I648" s="2">
        <v>6632297</v>
      </c>
      <c r="J648" s="2">
        <v>380318048</v>
      </c>
      <c r="K648" s="2">
        <v>62552689050</v>
      </c>
      <c r="L648" s="3">
        <f t="shared" si="20"/>
        <v>4.4876717893872861E-2</v>
      </c>
      <c r="M648" s="3">
        <f t="shared" si="21"/>
        <v>2.8698316879152617E-2</v>
      </c>
    </row>
    <row r="649" spans="1:13" x14ac:dyDescent="0.35">
      <c r="A649" t="s">
        <v>100</v>
      </c>
      <c r="B649" t="s">
        <v>35</v>
      </c>
      <c r="C649" s="2">
        <v>356586843</v>
      </c>
      <c r="D649" s="2">
        <v>195542399</v>
      </c>
      <c r="E649" s="2">
        <v>375001583</v>
      </c>
      <c r="F649" s="2">
        <v>375604</v>
      </c>
      <c r="G649" s="2">
        <v>855456466</v>
      </c>
      <c r="H649" s="2"/>
      <c r="I649" s="2">
        <v>5136990</v>
      </c>
      <c r="J649" s="2">
        <v>242354207</v>
      </c>
      <c r="K649" s="2">
        <v>61997019108</v>
      </c>
      <c r="L649" s="3">
        <f t="shared" si="20"/>
        <v>3.2750834172573844E-2</v>
      </c>
      <c r="M649" s="3">
        <f t="shared" si="21"/>
        <v>1.7796392195534267E-2</v>
      </c>
    </row>
    <row r="650" spans="1:13" x14ac:dyDescent="0.35">
      <c r="A650" t="s">
        <v>100</v>
      </c>
      <c r="B650" t="s">
        <v>36</v>
      </c>
      <c r="C650" s="2">
        <v>431277082</v>
      </c>
      <c r="D650" s="2">
        <v>258687538</v>
      </c>
      <c r="E650" s="2">
        <v>406461859</v>
      </c>
      <c r="F650" s="2">
        <v>459941</v>
      </c>
      <c r="G650" s="2">
        <v>1138223997</v>
      </c>
      <c r="H650" s="2">
        <v>50</v>
      </c>
      <c r="I650" s="2">
        <v>5857746</v>
      </c>
      <c r="J650" s="2">
        <v>286966543</v>
      </c>
      <c r="K650" s="2">
        <v>68699085297</v>
      </c>
      <c r="L650" s="3">
        <f t="shared" si="20"/>
        <v>3.6797211273938049E-2</v>
      </c>
      <c r="M650" s="3">
        <f t="shared" si="21"/>
        <v>2.0837370262082835E-2</v>
      </c>
    </row>
    <row r="651" spans="1:13" x14ac:dyDescent="0.35">
      <c r="A651" t="s">
        <v>100</v>
      </c>
      <c r="B651" t="s">
        <v>37</v>
      </c>
      <c r="C651" s="2">
        <v>379768105</v>
      </c>
      <c r="D651" s="2">
        <v>245915237</v>
      </c>
      <c r="E651" s="2">
        <v>412184562</v>
      </c>
      <c r="F651" s="2">
        <v>332151</v>
      </c>
      <c r="G651" s="2">
        <v>1681504232</v>
      </c>
      <c r="H651" s="2">
        <v>51153</v>
      </c>
      <c r="I651" s="2">
        <v>10515852</v>
      </c>
      <c r="J651" s="2">
        <v>266263693</v>
      </c>
      <c r="K651" s="2">
        <v>67280735258</v>
      </c>
      <c r="L651" s="3">
        <f t="shared" si="20"/>
        <v>4.4537785942874303E-2</v>
      </c>
      <c r="M651" s="3">
        <f t="shared" si="21"/>
        <v>2.9111856068295645E-2</v>
      </c>
    </row>
    <row r="652" spans="1:13" x14ac:dyDescent="0.35">
      <c r="A652" t="s">
        <v>100</v>
      </c>
      <c r="B652" t="s">
        <v>38</v>
      </c>
      <c r="C652" s="2">
        <v>366707196</v>
      </c>
      <c r="D652" s="2">
        <v>293466436</v>
      </c>
      <c r="E652" s="2">
        <v>391925744</v>
      </c>
      <c r="F652" s="2">
        <v>65104</v>
      </c>
      <c r="G652" s="2">
        <v>737295300</v>
      </c>
      <c r="H652" s="2">
        <v>139</v>
      </c>
      <c r="I652" s="2">
        <v>9169062</v>
      </c>
      <c r="J652" s="2">
        <v>211150623</v>
      </c>
      <c r="K652" s="2">
        <v>64017317902</v>
      </c>
      <c r="L652" s="3">
        <f t="shared" si="20"/>
        <v>3.1394311256161066E-2</v>
      </c>
      <c r="M652" s="3">
        <f t="shared" si="21"/>
        <v>1.4959705582574565E-2</v>
      </c>
    </row>
    <row r="653" spans="1:13" x14ac:dyDescent="0.35">
      <c r="A653" t="s">
        <v>100</v>
      </c>
      <c r="B653" t="s">
        <v>39</v>
      </c>
      <c r="C653" s="2">
        <v>337519048</v>
      </c>
      <c r="D653" s="2">
        <v>239517964</v>
      </c>
      <c r="E653" s="2">
        <v>413184625</v>
      </c>
      <c r="F653" s="2">
        <v>268398</v>
      </c>
      <c r="G653" s="2">
        <v>1015100325</v>
      </c>
      <c r="H653" s="2">
        <v>2705</v>
      </c>
      <c r="I653" s="2">
        <v>3009269</v>
      </c>
      <c r="J653" s="2">
        <v>318179707</v>
      </c>
      <c r="K653" s="2">
        <v>63666393207</v>
      </c>
      <c r="L653" s="3">
        <f t="shared" si="20"/>
        <v>3.6546471753706546E-2</v>
      </c>
      <c r="M653" s="3">
        <f t="shared" si="21"/>
        <v>2.0993185520254157E-2</v>
      </c>
    </row>
    <row r="654" spans="1:13" x14ac:dyDescent="0.35">
      <c r="A654" t="s">
        <v>100</v>
      </c>
      <c r="B654" t="s">
        <v>40</v>
      </c>
      <c r="C654" s="2">
        <v>408449510</v>
      </c>
      <c r="D654" s="2">
        <v>212205515</v>
      </c>
      <c r="E654" s="2">
        <v>414076765</v>
      </c>
      <c r="F654" s="2">
        <v>331122</v>
      </c>
      <c r="G654" s="2">
        <v>1520794633</v>
      </c>
      <c r="H654" s="2">
        <v>1318</v>
      </c>
      <c r="I654" s="2">
        <v>8669196</v>
      </c>
      <c r="J654" s="2">
        <v>396608026</v>
      </c>
      <c r="K654" s="2">
        <v>77090299848</v>
      </c>
      <c r="L654" s="3">
        <f t="shared" si="20"/>
        <v>3.8411266927726478E-2</v>
      </c>
      <c r="M654" s="3">
        <f t="shared" si="21"/>
        <v>2.4988932444137819E-2</v>
      </c>
    </row>
    <row r="655" spans="1:13" x14ac:dyDescent="0.35">
      <c r="A655" t="s">
        <v>100</v>
      </c>
      <c r="B655" t="s">
        <v>41</v>
      </c>
      <c r="C655" s="2">
        <v>400256490</v>
      </c>
      <c r="D655" s="2">
        <v>198655768</v>
      </c>
      <c r="E655" s="2">
        <v>360867568</v>
      </c>
      <c r="F655" s="2">
        <v>766333</v>
      </c>
      <c r="G655" s="2">
        <v>915458668</v>
      </c>
      <c r="H655" s="2">
        <v>12543</v>
      </c>
      <c r="I655" s="2">
        <v>3240842</v>
      </c>
      <c r="J655" s="2">
        <v>256057275</v>
      </c>
      <c r="K655" s="2">
        <v>71480265132</v>
      </c>
      <c r="L655" s="3">
        <f t="shared" si="20"/>
        <v>2.9872797520501509E-2</v>
      </c>
      <c r="M655" s="3">
        <f t="shared" si="21"/>
        <v>1.6445597380328417E-2</v>
      </c>
    </row>
    <row r="656" spans="1:13" x14ac:dyDescent="0.35">
      <c r="A656" t="s">
        <v>100</v>
      </c>
      <c r="B656" t="s">
        <v>42</v>
      </c>
      <c r="C656" s="2">
        <v>469154074</v>
      </c>
      <c r="D656" s="2">
        <v>198657369</v>
      </c>
      <c r="E656" s="2">
        <v>425405795</v>
      </c>
      <c r="F656" s="2">
        <v>265188</v>
      </c>
      <c r="G656" s="2">
        <v>1257846490</v>
      </c>
      <c r="H656" s="2">
        <v>66</v>
      </c>
      <c r="I656" s="2">
        <v>5797288</v>
      </c>
      <c r="J656" s="2">
        <v>238936976</v>
      </c>
      <c r="K656" s="2">
        <v>77722764017</v>
      </c>
      <c r="L656" s="3">
        <f t="shared" si="20"/>
        <v>3.3401581619410411E-2</v>
      </c>
      <c r="M656" s="3">
        <f t="shared" si="21"/>
        <v>1.9335982540086817E-2</v>
      </c>
    </row>
    <row r="657" spans="1:13" x14ac:dyDescent="0.35">
      <c r="A657" t="s">
        <v>100</v>
      </c>
      <c r="B657" t="s">
        <v>43</v>
      </c>
      <c r="C657" s="2">
        <v>497176671</v>
      </c>
      <c r="D657" s="2">
        <v>227191195</v>
      </c>
      <c r="E657" s="2">
        <v>428064344</v>
      </c>
      <c r="F657" s="2">
        <v>437743</v>
      </c>
      <c r="G657" s="2">
        <v>1807684652</v>
      </c>
      <c r="H657" s="2"/>
      <c r="I657" s="2">
        <v>5116432</v>
      </c>
      <c r="J657" s="2">
        <v>356968070</v>
      </c>
      <c r="K657" s="2">
        <v>80869982615</v>
      </c>
      <c r="L657" s="3">
        <f t="shared" si="20"/>
        <v>4.1086185498742857E-2</v>
      </c>
      <c r="M657" s="3">
        <f t="shared" si="21"/>
        <v>2.6835753227891307E-2</v>
      </c>
    </row>
    <row r="658" spans="1:13" x14ac:dyDescent="0.35">
      <c r="A658" t="s">
        <v>100</v>
      </c>
      <c r="B658" t="s">
        <v>44</v>
      </c>
      <c r="C658" s="2">
        <v>499278263</v>
      </c>
      <c r="D658" s="2">
        <v>239927852</v>
      </c>
      <c r="E658" s="2">
        <v>388505910</v>
      </c>
      <c r="F658" s="2">
        <v>1000556</v>
      </c>
      <c r="G658" s="2">
        <v>924736917</v>
      </c>
      <c r="H658" s="2"/>
      <c r="I658" s="2">
        <v>4293773</v>
      </c>
      <c r="J658" s="2">
        <v>300560453</v>
      </c>
      <c r="K658" s="2">
        <v>75259825453</v>
      </c>
      <c r="L658" s="3">
        <f t="shared" si="20"/>
        <v>3.1335492871595462E-2</v>
      </c>
      <c r="M658" s="3">
        <f t="shared" si="21"/>
        <v>1.6351243064847504E-2</v>
      </c>
    </row>
    <row r="659" spans="1:13" x14ac:dyDescent="0.35">
      <c r="A659" t="s">
        <v>100</v>
      </c>
      <c r="B659" t="s">
        <v>45</v>
      </c>
      <c r="C659" s="2">
        <v>517492517</v>
      </c>
      <c r="D659" s="2">
        <v>318649600</v>
      </c>
      <c r="E659" s="2">
        <v>553195669</v>
      </c>
      <c r="F659" s="2">
        <v>621331</v>
      </c>
      <c r="G659" s="2">
        <v>1521502248</v>
      </c>
      <c r="H659" s="2">
        <v>3975</v>
      </c>
      <c r="I659" s="2">
        <v>4421174</v>
      </c>
      <c r="J659" s="2">
        <v>303337037</v>
      </c>
      <c r="K659" s="2">
        <v>76988547011</v>
      </c>
      <c r="L659" s="3">
        <f t="shared" si="20"/>
        <v>4.1814317531412078E-2</v>
      </c>
      <c r="M659" s="3">
        <f t="shared" si="21"/>
        <v>2.3768285492367442E-2</v>
      </c>
    </row>
    <row r="660" spans="1:13" x14ac:dyDescent="0.35">
      <c r="A660" t="s">
        <v>100</v>
      </c>
      <c r="B660" t="s">
        <v>46</v>
      </c>
      <c r="C660" s="2">
        <v>481916953</v>
      </c>
      <c r="D660" s="2">
        <v>248703106</v>
      </c>
      <c r="E660" s="2">
        <v>596118852</v>
      </c>
      <c r="F660" s="2">
        <v>848998</v>
      </c>
      <c r="G660" s="2">
        <v>1770481580</v>
      </c>
      <c r="H660" s="2">
        <v>1008</v>
      </c>
      <c r="I660" s="2">
        <v>4461948</v>
      </c>
      <c r="J660" s="2">
        <v>336676406</v>
      </c>
      <c r="K660" s="2">
        <v>86024535997</v>
      </c>
      <c r="L660" s="3">
        <f t="shared" si="20"/>
        <v>3.9979394380225873E-2</v>
      </c>
      <c r="M660" s="3">
        <f t="shared" si="21"/>
        <v>2.45565978998558E-2</v>
      </c>
    </row>
    <row r="661" spans="1:13" x14ac:dyDescent="0.35">
      <c r="A661" t="s">
        <v>100</v>
      </c>
      <c r="B661" t="s">
        <v>47</v>
      </c>
      <c r="C661" s="2">
        <v>423370579</v>
      </c>
      <c r="D661" s="2">
        <v>286851031</v>
      </c>
      <c r="E661" s="2">
        <v>528330671</v>
      </c>
      <c r="F661" s="2">
        <v>234685</v>
      </c>
      <c r="G661" s="2">
        <v>1038115252</v>
      </c>
      <c r="H661" s="2"/>
      <c r="I661" s="2">
        <v>3230131</v>
      </c>
      <c r="J661" s="2">
        <v>304544704</v>
      </c>
      <c r="K661" s="2">
        <v>84125323191</v>
      </c>
      <c r="L661" s="3">
        <f t="shared" si="20"/>
        <v>3.0724126279214309E-2</v>
      </c>
      <c r="M661" s="3">
        <f t="shared" si="21"/>
        <v>1.6001421699667392E-2</v>
      </c>
    </row>
    <row r="662" spans="1:13" x14ac:dyDescent="0.35">
      <c r="A662" t="s">
        <v>100</v>
      </c>
      <c r="B662" t="s">
        <v>48</v>
      </c>
      <c r="C662" s="2">
        <v>457879035</v>
      </c>
      <c r="D662" s="2">
        <v>276213524</v>
      </c>
      <c r="E662" s="2">
        <v>551554044</v>
      </c>
      <c r="F662" s="2">
        <v>277028</v>
      </c>
      <c r="G662" s="2">
        <v>1400372888</v>
      </c>
      <c r="H662" s="2">
        <v>8</v>
      </c>
      <c r="I662" s="2">
        <v>3394179</v>
      </c>
      <c r="J662" s="2">
        <v>339451699</v>
      </c>
      <c r="K662" s="2">
        <v>84417400331</v>
      </c>
      <c r="L662" s="3">
        <f t="shared" si="20"/>
        <v>3.588291505214275E-2</v>
      </c>
      <c r="M662" s="3">
        <f t="shared" si="21"/>
        <v>2.0653275215343825E-2</v>
      </c>
    </row>
    <row r="663" spans="1:13" x14ac:dyDescent="0.35">
      <c r="A663" t="s">
        <v>100</v>
      </c>
      <c r="B663" t="s">
        <v>49</v>
      </c>
      <c r="C663" s="2">
        <v>420479635</v>
      </c>
      <c r="D663" s="2">
        <v>266480047</v>
      </c>
      <c r="E663" s="2">
        <v>462857654</v>
      </c>
      <c r="F663" s="2">
        <v>184175</v>
      </c>
      <c r="G663" s="2">
        <v>2657313573</v>
      </c>
      <c r="H663" s="2">
        <v>6071</v>
      </c>
      <c r="I663" s="2">
        <v>6995166</v>
      </c>
      <c r="J663" s="2">
        <v>309209792</v>
      </c>
      <c r="K663" s="2">
        <v>75877275486</v>
      </c>
      <c r="L663" s="3">
        <f t="shared" si="20"/>
        <v>5.4344678121196185E-2</v>
      </c>
      <c r="M663" s="3">
        <f t="shared" si="21"/>
        <v>3.919103259774627E-2</v>
      </c>
    </row>
    <row r="664" spans="1:13" x14ac:dyDescent="0.35">
      <c r="A664" t="s">
        <v>100</v>
      </c>
      <c r="B664" t="s">
        <v>50</v>
      </c>
      <c r="C664" s="2">
        <v>394903089</v>
      </c>
      <c r="D664" s="2">
        <v>374386268</v>
      </c>
      <c r="E664" s="2">
        <v>468603644</v>
      </c>
      <c r="F664" s="2">
        <v>280110</v>
      </c>
      <c r="G664" s="2">
        <v>613770354</v>
      </c>
      <c r="H664" s="2"/>
      <c r="I664" s="2">
        <v>4760607</v>
      </c>
      <c r="J664" s="2">
        <v>295663306</v>
      </c>
      <c r="K664" s="2">
        <v>75909868953</v>
      </c>
      <c r="L664" s="3">
        <f t="shared" si="20"/>
        <v>2.8354249686989314E-2</v>
      </c>
      <c r="M664" s="3">
        <f t="shared" si="21"/>
        <v>1.2046844364415932E-2</v>
      </c>
    </row>
    <row r="665" spans="1:13" x14ac:dyDescent="0.35">
      <c r="A665" t="s">
        <v>100</v>
      </c>
      <c r="B665" t="s">
        <v>51</v>
      </c>
      <c r="C665" s="2">
        <v>299977149</v>
      </c>
      <c r="D665" s="2">
        <v>694611558</v>
      </c>
      <c r="E665" s="2">
        <v>464658167</v>
      </c>
      <c r="F665" s="2">
        <v>87086</v>
      </c>
      <c r="G665" s="2">
        <v>1218328502</v>
      </c>
      <c r="H665" s="2">
        <v>753</v>
      </c>
      <c r="I665" s="2">
        <v>6603442</v>
      </c>
      <c r="J665" s="2">
        <v>334789081</v>
      </c>
      <c r="K665" s="2">
        <v>72557660500</v>
      </c>
      <c r="L665" s="3">
        <f t="shared" si="20"/>
        <v>4.1609055710940403E-2</v>
      </c>
      <c r="M665" s="3">
        <f t="shared" si="21"/>
        <v>2.149750768218333E-2</v>
      </c>
    </row>
    <row r="666" spans="1:13" x14ac:dyDescent="0.35">
      <c r="A666" t="s">
        <v>100</v>
      </c>
      <c r="B666" t="s">
        <v>52</v>
      </c>
      <c r="C666" s="2">
        <v>399919328</v>
      </c>
      <c r="D666" s="2">
        <v>500145279</v>
      </c>
      <c r="E666" s="2">
        <v>487230071</v>
      </c>
      <c r="F666" s="2">
        <v>391464</v>
      </c>
      <c r="G666" s="2">
        <v>1442978881</v>
      </c>
      <c r="H666" s="2">
        <v>5917</v>
      </c>
      <c r="I666" s="2">
        <v>8536660</v>
      </c>
      <c r="J666" s="2">
        <v>524830360</v>
      </c>
      <c r="K666" s="2">
        <v>80520896309</v>
      </c>
      <c r="L666" s="3">
        <f t="shared" si="20"/>
        <v>4.1778446517664929E-2</v>
      </c>
      <c r="M666" s="3">
        <f t="shared" si="21"/>
        <v>2.4549444586585593E-2</v>
      </c>
    </row>
    <row r="667" spans="1:13" x14ac:dyDescent="0.35">
      <c r="A667" t="s">
        <v>100</v>
      </c>
      <c r="B667" t="s">
        <v>53</v>
      </c>
      <c r="C667" s="2">
        <v>302841689</v>
      </c>
      <c r="D667" s="2">
        <v>402662851</v>
      </c>
      <c r="E667" s="2">
        <v>358376650</v>
      </c>
      <c r="F667" s="2">
        <v>299197</v>
      </c>
      <c r="G667" s="2">
        <v>1061480443</v>
      </c>
      <c r="H667" s="2"/>
      <c r="I667" s="2">
        <v>7580387</v>
      </c>
      <c r="J667" s="2">
        <v>276111299</v>
      </c>
      <c r="K667" s="2">
        <v>65228423180</v>
      </c>
      <c r="L667" s="3">
        <f t="shared" si="20"/>
        <v>3.6937157124760041E-2</v>
      </c>
      <c r="M667" s="3">
        <f t="shared" si="21"/>
        <v>2.0627071150978574E-2</v>
      </c>
    </row>
    <row r="668" spans="1:13" x14ac:dyDescent="0.35">
      <c r="A668" t="s">
        <v>100</v>
      </c>
      <c r="B668" t="s">
        <v>54</v>
      </c>
      <c r="C668" s="2">
        <v>338712949</v>
      </c>
      <c r="D668" s="2">
        <v>572422511</v>
      </c>
      <c r="E668" s="2">
        <v>732167416</v>
      </c>
      <c r="F668" s="2">
        <v>614851</v>
      </c>
      <c r="G668" s="2">
        <v>1777351768</v>
      </c>
      <c r="H668" s="2">
        <v>1580</v>
      </c>
      <c r="I668" s="2">
        <v>7642352</v>
      </c>
      <c r="J668" s="2">
        <v>357548637</v>
      </c>
      <c r="K668" s="2">
        <v>73666192564</v>
      </c>
      <c r="L668" s="3">
        <f t="shared" si="20"/>
        <v>5.1400268321325049E-2</v>
      </c>
      <c r="M668" s="3">
        <f t="shared" si="21"/>
        <v>2.9092845895870863E-2</v>
      </c>
    </row>
    <row r="669" spans="1:13" x14ac:dyDescent="0.35">
      <c r="A669" t="s">
        <v>100</v>
      </c>
      <c r="B669" t="s">
        <v>55</v>
      </c>
      <c r="C669" s="2">
        <v>344758560</v>
      </c>
      <c r="D669" s="2">
        <v>381552398</v>
      </c>
      <c r="E669" s="2">
        <v>417822155</v>
      </c>
      <c r="F669" s="2">
        <v>58050</v>
      </c>
      <c r="G669" s="2">
        <v>1914541312</v>
      </c>
      <c r="H669" s="2"/>
      <c r="I669" s="2">
        <v>7094903</v>
      </c>
      <c r="J669" s="2">
        <v>466495611</v>
      </c>
      <c r="K669" s="2">
        <v>74145564980</v>
      </c>
      <c r="L669" s="3">
        <f t="shared" si="20"/>
        <v>4.7640381322238322E-2</v>
      </c>
      <c r="M669" s="3">
        <f t="shared" si="21"/>
        <v>3.2209477082603521E-2</v>
      </c>
    </row>
    <row r="670" spans="1:13" x14ac:dyDescent="0.35">
      <c r="A670" t="s">
        <v>100</v>
      </c>
      <c r="B670" t="s">
        <v>56</v>
      </c>
      <c r="C670" s="2">
        <v>376208141</v>
      </c>
      <c r="D670" s="2">
        <v>522944801</v>
      </c>
      <c r="E670" s="2">
        <v>446014216</v>
      </c>
      <c r="F670" s="2">
        <v>548733</v>
      </c>
      <c r="G670" s="2">
        <v>1170893892</v>
      </c>
      <c r="H670" s="2">
        <v>62</v>
      </c>
      <c r="I670" s="2">
        <v>7611927</v>
      </c>
      <c r="J670" s="2">
        <v>246005916</v>
      </c>
      <c r="K670" s="2">
        <v>67328577041</v>
      </c>
      <c r="L670" s="3">
        <f t="shared" si="20"/>
        <v>4.1144901760110854E-2</v>
      </c>
      <c r="M670" s="3">
        <f t="shared" si="21"/>
        <v>2.1165760404117911E-2</v>
      </c>
    </row>
    <row r="671" spans="1:13" x14ac:dyDescent="0.35">
      <c r="A671" t="s">
        <v>100</v>
      </c>
      <c r="B671" t="s">
        <v>57</v>
      </c>
      <c r="C671" s="2">
        <v>504950907</v>
      </c>
      <c r="D671" s="2">
        <v>1093508870</v>
      </c>
      <c r="E671" s="2">
        <v>586231074</v>
      </c>
      <c r="F671" s="2">
        <v>195393</v>
      </c>
      <c r="G671" s="2">
        <v>1755570329</v>
      </c>
      <c r="H671" s="2">
        <v>70</v>
      </c>
      <c r="I671" s="2">
        <v>10099982</v>
      </c>
      <c r="J671" s="2">
        <v>338077083</v>
      </c>
      <c r="K671" s="2">
        <v>69038610540</v>
      </c>
      <c r="L671" s="3">
        <f t="shared" si="20"/>
        <v>6.2119351395625584E-2</v>
      </c>
      <c r="M671" s="3">
        <f t="shared" si="21"/>
        <v>3.0474872546587609E-2</v>
      </c>
    </row>
    <row r="672" spans="1:13" x14ac:dyDescent="0.35">
      <c r="A672" t="s">
        <v>100</v>
      </c>
      <c r="B672" t="s">
        <v>58</v>
      </c>
      <c r="C672" s="2">
        <v>452634958</v>
      </c>
      <c r="D672" s="2">
        <v>1068725471</v>
      </c>
      <c r="E672" s="2">
        <v>364655119</v>
      </c>
      <c r="F672" s="2">
        <v>152988</v>
      </c>
      <c r="G672" s="2">
        <v>1898432662</v>
      </c>
      <c r="H672" s="2"/>
      <c r="I672" s="2">
        <v>6809720</v>
      </c>
      <c r="J672" s="2">
        <v>280275219</v>
      </c>
      <c r="K672" s="2">
        <v>72088772072</v>
      </c>
      <c r="L672" s="3">
        <f t="shared" si="20"/>
        <v>5.6481557668000337E-2</v>
      </c>
      <c r="M672" s="3">
        <f t="shared" si="21"/>
        <v>3.0319154095411985E-2</v>
      </c>
    </row>
    <row r="673" spans="1:13" x14ac:dyDescent="0.35">
      <c r="A673" t="s">
        <v>100</v>
      </c>
      <c r="B673" t="s">
        <v>59</v>
      </c>
      <c r="C673" s="2">
        <v>406279956</v>
      </c>
      <c r="D673" s="2">
        <v>938528288</v>
      </c>
      <c r="E673" s="2">
        <v>399520358</v>
      </c>
      <c r="F673" s="2">
        <v>194218</v>
      </c>
      <c r="G673" s="2">
        <v>1116030734</v>
      </c>
      <c r="H673" s="2"/>
      <c r="I673" s="2">
        <v>7223421</v>
      </c>
      <c r="J673" s="2">
        <v>316141069</v>
      </c>
      <c r="K673" s="2">
        <v>73843303113</v>
      </c>
      <c r="L673" s="3">
        <f t="shared" si="20"/>
        <v>4.311722132916717E-2</v>
      </c>
      <c r="M673" s="3">
        <f t="shared" si="21"/>
        <v>1.9495192946570161E-2</v>
      </c>
    </row>
    <row r="674" spans="1:13" x14ac:dyDescent="0.35">
      <c r="A674" t="s">
        <v>100</v>
      </c>
      <c r="B674" t="s">
        <v>60</v>
      </c>
      <c r="C674" s="2">
        <v>558546734</v>
      </c>
      <c r="D674" s="2">
        <v>573488892</v>
      </c>
      <c r="E674" s="2">
        <v>406632511</v>
      </c>
      <c r="F674" s="2">
        <v>126993</v>
      </c>
      <c r="G674" s="2">
        <v>1833292759</v>
      </c>
      <c r="H674" s="2"/>
      <c r="I674" s="2">
        <v>9732578</v>
      </c>
      <c r="J674" s="2">
        <v>385835000</v>
      </c>
      <c r="K674" s="2">
        <v>74939848988</v>
      </c>
      <c r="L674" s="3">
        <f t="shared" si="20"/>
        <v>5.0275728038941057E-2</v>
      </c>
      <c r="M674" s="3">
        <f t="shared" si="21"/>
        <v>2.9743685904103225E-2</v>
      </c>
    </row>
    <row r="675" spans="1:13" x14ac:dyDescent="0.35">
      <c r="A675" t="s">
        <v>100</v>
      </c>
      <c r="B675" t="s">
        <v>61</v>
      </c>
      <c r="C675" s="2">
        <v>499372743</v>
      </c>
      <c r="D675" s="2">
        <v>607840719</v>
      </c>
      <c r="E675" s="2">
        <v>355031977</v>
      </c>
      <c r="F675" s="2">
        <v>392586</v>
      </c>
      <c r="G675" s="2">
        <v>2285020700</v>
      </c>
      <c r="H675" s="2">
        <v>3299</v>
      </c>
      <c r="I675" s="2">
        <v>10356860</v>
      </c>
      <c r="J675" s="2">
        <v>294564313</v>
      </c>
      <c r="K675" s="2">
        <v>65661149402</v>
      </c>
      <c r="L675" s="3">
        <f t="shared" si="20"/>
        <v>6.1719650568233288E-2</v>
      </c>
      <c r="M675" s="3">
        <f t="shared" si="21"/>
        <v>3.9450082455015627E-2</v>
      </c>
    </row>
    <row r="676" spans="1:13" x14ac:dyDescent="0.35">
      <c r="A676" t="s">
        <v>100</v>
      </c>
      <c r="B676" t="s">
        <v>62</v>
      </c>
      <c r="C676" s="2">
        <v>453438358</v>
      </c>
      <c r="D676" s="2">
        <v>445908326</v>
      </c>
      <c r="E676" s="2">
        <v>369729709</v>
      </c>
      <c r="F676" s="2">
        <v>100659</v>
      </c>
      <c r="G676" s="2">
        <v>992728385</v>
      </c>
      <c r="H676" s="2"/>
      <c r="I676" s="2">
        <v>8193904</v>
      </c>
      <c r="J676" s="2">
        <v>285322479</v>
      </c>
      <c r="K676" s="2">
        <v>67476988991</v>
      </c>
      <c r="L676" s="3">
        <f t="shared" si="20"/>
        <v>3.7871011410139224E-2</v>
      </c>
      <c r="M676" s="3">
        <f t="shared" si="21"/>
        <v>1.9063468098310835E-2</v>
      </c>
    </row>
    <row r="677" spans="1:13" x14ac:dyDescent="0.35">
      <c r="A677" t="s">
        <v>100</v>
      </c>
      <c r="B677" t="s">
        <v>63</v>
      </c>
      <c r="C677" s="2">
        <v>428694075</v>
      </c>
      <c r="D677" s="2">
        <v>434931947</v>
      </c>
      <c r="E677" s="2">
        <v>397112039</v>
      </c>
      <c r="F677" s="2">
        <v>923780</v>
      </c>
      <c r="G677" s="2">
        <v>930612348</v>
      </c>
      <c r="H677" s="2"/>
      <c r="I677" s="2">
        <v>6844900</v>
      </c>
      <c r="J677" s="2">
        <v>310640520</v>
      </c>
      <c r="K677" s="2">
        <v>66662840251</v>
      </c>
      <c r="L677" s="3">
        <f t="shared" si="20"/>
        <v>3.7648555020311357E-2</v>
      </c>
      <c r="M677" s="3">
        <f t="shared" si="21"/>
        <v>1.8736398618738173E-2</v>
      </c>
    </row>
    <row r="678" spans="1:13" x14ac:dyDescent="0.35">
      <c r="A678" t="s">
        <v>100</v>
      </c>
      <c r="B678" t="s">
        <v>64</v>
      </c>
      <c r="C678" s="2">
        <v>519479788</v>
      </c>
      <c r="D678" s="2">
        <v>674546691</v>
      </c>
      <c r="E678" s="2">
        <v>364030083</v>
      </c>
      <c r="F678" s="2">
        <v>296103</v>
      </c>
      <c r="G678" s="2">
        <v>1939954173</v>
      </c>
      <c r="H678" s="2"/>
      <c r="I678" s="2">
        <v>10335055</v>
      </c>
      <c r="J678" s="2">
        <v>400893294</v>
      </c>
      <c r="K678" s="2">
        <v>73091361883</v>
      </c>
      <c r="L678" s="3">
        <f t="shared" si="20"/>
        <v>5.3488334138008471E-2</v>
      </c>
      <c r="M678" s="3">
        <f t="shared" si="21"/>
        <v>3.2171771936116027E-2</v>
      </c>
    </row>
    <row r="679" spans="1:13" x14ac:dyDescent="0.35">
      <c r="A679" t="s">
        <v>100</v>
      </c>
      <c r="B679" t="s">
        <v>65</v>
      </c>
      <c r="C679" s="2">
        <v>687046462</v>
      </c>
      <c r="D679" s="2">
        <v>402384799</v>
      </c>
      <c r="E679" s="2">
        <v>505686646</v>
      </c>
      <c r="F679" s="2">
        <v>52968</v>
      </c>
      <c r="G679" s="2">
        <v>1242138560</v>
      </c>
      <c r="H679" s="2"/>
      <c r="I679" s="2">
        <v>21204247</v>
      </c>
      <c r="J679" s="2">
        <v>366722068</v>
      </c>
      <c r="K679" s="2">
        <v>70101250860</v>
      </c>
      <c r="L679" s="3">
        <f t="shared" si="20"/>
        <v>4.6008248218582501E-2</v>
      </c>
      <c r="M679" s="3">
        <f t="shared" si="21"/>
        <v>2.3253762564886708E-2</v>
      </c>
    </row>
    <row r="680" spans="1:13" x14ac:dyDescent="0.35">
      <c r="A680" t="s">
        <v>100</v>
      </c>
      <c r="B680" t="s">
        <v>66</v>
      </c>
      <c r="C680" s="2">
        <v>537112337</v>
      </c>
      <c r="D680" s="2">
        <v>572946118</v>
      </c>
      <c r="E680" s="2">
        <v>562551891</v>
      </c>
      <c r="F680" s="2">
        <v>49635</v>
      </c>
      <c r="G680" s="2">
        <v>1348523366</v>
      </c>
      <c r="H680" s="2"/>
      <c r="I680" s="2">
        <v>9837264</v>
      </c>
      <c r="J680" s="2">
        <v>347348804</v>
      </c>
      <c r="K680" s="2">
        <v>70438870599</v>
      </c>
      <c r="L680" s="3">
        <f t="shared" si="20"/>
        <v>4.7961720372159997E-2</v>
      </c>
      <c r="M680" s="3">
        <f t="shared" si="21"/>
        <v>2.4216161538288723E-2</v>
      </c>
    </row>
    <row r="681" spans="1:13" x14ac:dyDescent="0.35">
      <c r="A681" t="s">
        <v>100</v>
      </c>
      <c r="B681" t="s">
        <v>67</v>
      </c>
      <c r="C681" s="2">
        <v>329067048</v>
      </c>
      <c r="D681" s="2">
        <v>625788313</v>
      </c>
      <c r="E681" s="2">
        <v>459646277</v>
      </c>
      <c r="F681" s="2">
        <v>12734</v>
      </c>
      <c r="G681" s="2">
        <v>1907619670</v>
      </c>
      <c r="H681" s="2"/>
      <c r="I681" s="2">
        <v>5474043</v>
      </c>
      <c r="J681" s="2">
        <v>282434073</v>
      </c>
      <c r="K681" s="2">
        <v>69868173130</v>
      </c>
      <c r="L681" s="3">
        <f t="shared" si="20"/>
        <v>5.166933664177803E-2</v>
      </c>
      <c r="M681" s="3">
        <f t="shared" si="21"/>
        <v>3.1424043618757204E-2</v>
      </c>
    </row>
    <row r="682" spans="1:13" x14ac:dyDescent="0.35">
      <c r="A682" t="s">
        <v>100</v>
      </c>
      <c r="B682" t="s">
        <v>68</v>
      </c>
      <c r="C682" s="2">
        <v>449796842</v>
      </c>
      <c r="D682" s="2">
        <v>333102500</v>
      </c>
      <c r="E682" s="2">
        <v>499021640</v>
      </c>
      <c r="F682" s="2">
        <v>54005</v>
      </c>
      <c r="G682" s="2">
        <v>1241063780</v>
      </c>
      <c r="H682" s="2"/>
      <c r="I682" s="2">
        <v>8690671</v>
      </c>
      <c r="J682" s="2">
        <v>258439307</v>
      </c>
      <c r="K682" s="2">
        <v>72805230898</v>
      </c>
      <c r="L682" s="3">
        <f t="shared" si="20"/>
        <v>3.8323740074514993E-2</v>
      </c>
      <c r="M682" s="3">
        <f t="shared" si="21"/>
        <v>2.0716200531154864E-2</v>
      </c>
    </row>
    <row r="683" spans="1:13" x14ac:dyDescent="0.35">
      <c r="A683" t="s">
        <v>100</v>
      </c>
      <c r="B683" t="s">
        <v>69</v>
      </c>
      <c r="C683" s="2">
        <v>628032261</v>
      </c>
      <c r="D683" s="2">
        <v>665732614</v>
      </c>
      <c r="E683" s="2">
        <v>684660628</v>
      </c>
      <c r="F683" s="2">
        <v>24174</v>
      </c>
      <c r="G683" s="2">
        <v>1054218141</v>
      </c>
      <c r="H683" s="2">
        <v>2120</v>
      </c>
      <c r="I683" s="2">
        <v>13205540</v>
      </c>
      <c r="J683" s="2">
        <v>343424321</v>
      </c>
      <c r="K683" s="2">
        <v>67001121927</v>
      </c>
      <c r="L683" s="3">
        <f t="shared" si="20"/>
        <v>5.0585717097286181E-2</v>
      </c>
      <c r="M683" s="3">
        <f t="shared" si="21"/>
        <v>2.1057472702280949E-2</v>
      </c>
    </row>
    <row r="684" spans="1:13" x14ac:dyDescent="0.35">
      <c r="A684" t="s">
        <v>100</v>
      </c>
      <c r="B684" t="s">
        <v>70</v>
      </c>
      <c r="C684" s="2">
        <v>544445173</v>
      </c>
      <c r="D684" s="2">
        <v>624643568</v>
      </c>
      <c r="E684" s="2">
        <v>431210638</v>
      </c>
      <c r="F684" s="2">
        <v>112039</v>
      </c>
      <c r="G684" s="2">
        <v>2552199686</v>
      </c>
      <c r="H684" s="2"/>
      <c r="I684" s="2">
        <v>9968307</v>
      </c>
      <c r="J684" s="2">
        <v>299621013</v>
      </c>
      <c r="K684" s="2">
        <v>72426473314</v>
      </c>
      <c r="L684" s="3">
        <f t="shared" si="20"/>
        <v>6.1610074601512577E-2</v>
      </c>
      <c r="M684" s="3">
        <f t="shared" si="21"/>
        <v>3.9514571316933034E-2</v>
      </c>
    </row>
    <row r="685" spans="1:13" x14ac:dyDescent="0.35">
      <c r="A685" t="s">
        <v>100</v>
      </c>
      <c r="B685" t="s">
        <v>71</v>
      </c>
      <c r="C685" s="2">
        <v>664036732</v>
      </c>
      <c r="D685" s="2">
        <v>948412236</v>
      </c>
      <c r="E685" s="2">
        <v>505620468</v>
      </c>
      <c r="F685" s="2">
        <v>10390</v>
      </c>
      <c r="G685" s="2">
        <v>1472313364</v>
      </c>
      <c r="H685" s="2"/>
      <c r="I685" s="2">
        <v>4488990</v>
      </c>
      <c r="J685" s="2">
        <v>339032003</v>
      </c>
      <c r="K685" s="2">
        <v>77440641098</v>
      </c>
      <c r="L685" s="3">
        <f t="shared" si="20"/>
        <v>5.0799091113175175E-2</v>
      </c>
      <c r="M685" s="3">
        <f t="shared" si="21"/>
        <v>2.3448214287147686E-2</v>
      </c>
    </row>
    <row r="686" spans="1:13" x14ac:dyDescent="0.35">
      <c r="A686" t="s">
        <v>100</v>
      </c>
      <c r="B686" t="s">
        <v>72</v>
      </c>
      <c r="C686" s="2">
        <v>1049742254</v>
      </c>
      <c r="D686" s="2">
        <v>387789648</v>
      </c>
      <c r="E686" s="2">
        <v>482865642</v>
      </c>
      <c r="F686" s="2">
        <v>435375</v>
      </c>
      <c r="G686" s="2">
        <v>2230758346</v>
      </c>
      <c r="H686" s="2">
        <v>582</v>
      </c>
      <c r="I686" s="2">
        <v>14333934</v>
      </c>
      <c r="J686" s="2">
        <v>254268461</v>
      </c>
      <c r="K686" s="2">
        <v>75042935115</v>
      </c>
      <c r="L686" s="3">
        <f t="shared" si="20"/>
        <v>5.8902203588202494E-2</v>
      </c>
      <c r="M686" s="3">
        <f t="shared" si="21"/>
        <v>3.3311552835309163E-2</v>
      </c>
    </row>
    <row r="687" spans="1:13" x14ac:dyDescent="0.35">
      <c r="A687" t="s">
        <v>100</v>
      </c>
      <c r="B687" t="s">
        <v>73</v>
      </c>
      <c r="C687" s="2">
        <v>534972003</v>
      </c>
      <c r="D687" s="2">
        <v>356525438</v>
      </c>
      <c r="E687" s="2">
        <v>452593839</v>
      </c>
      <c r="F687" s="2">
        <v>8591</v>
      </c>
      <c r="G687" s="2">
        <v>3372375325</v>
      </c>
      <c r="H687" s="2"/>
      <c r="I687" s="2">
        <v>14251878</v>
      </c>
      <c r="J687" s="2">
        <v>247795009</v>
      </c>
      <c r="K687" s="2">
        <v>68340892859</v>
      </c>
      <c r="L687" s="3">
        <f t="shared" si="20"/>
        <v>7.2848361716192661E-2</v>
      </c>
      <c r="M687" s="3">
        <f t="shared" si="21"/>
        <v>5.3180908983710647E-2</v>
      </c>
    </row>
    <row r="688" spans="1:13" x14ac:dyDescent="0.35">
      <c r="A688" t="s">
        <v>100</v>
      </c>
      <c r="B688" t="s">
        <v>74</v>
      </c>
      <c r="C688" s="2">
        <v>709001350</v>
      </c>
      <c r="D688" s="2">
        <v>673335418</v>
      </c>
      <c r="E688" s="2">
        <v>613282011</v>
      </c>
      <c r="F688" s="2">
        <v>195429</v>
      </c>
      <c r="G688" s="2">
        <v>853214092</v>
      </c>
      <c r="H688" s="2"/>
      <c r="I688" s="2">
        <v>5169756</v>
      </c>
      <c r="J688" s="2">
        <v>243937484</v>
      </c>
      <c r="K688" s="2">
        <v>71792571642</v>
      </c>
      <c r="L688" s="3">
        <f t="shared" si="20"/>
        <v>4.3153984724897815E-2</v>
      </c>
      <c r="M688" s="3">
        <f t="shared" si="21"/>
        <v>1.5356975461163269E-2</v>
      </c>
    </row>
    <row r="689" spans="1:13" x14ac:dyDescent="0.35">
      <c r="A689" t="s">
        <v>100</v>
      </c>
      <c r="B689" t="s">
        <v>75</v>
      </c>
      <c r="C689" s="2">
        <v>510481179</v>
      </c>
      <c r="D689" s="2">
        <v>531582743</v>
      </c>
      <c r="E689" s="2">
        <v>562345230</v>
      </c>
      <c r="F689" s="2">
        <v>124325</v>
      </c>
      <c r="G689" s="2">
        <v>1645385273</v>
      </c>
      <c r="H689" s="2"/>
      <c r="I689" s="2">
        <v>33277724</v>
      </c>
      <c r="J689" s="2">
        <v>326410208</v>
      </c>
      <c r="K689" s="2">
        <v>70466268614</v>
      </c>
      <c r="L689" s="3">
        <f t="shared" si="20"/>
        <v>5.1224603672044802E-2</v>
      </c>
      <c r="M689" s="3">
        <f t="shared" si="21"/>
        <v>2.8456133259787991E-2</v>
      </c>
    </row>
    <row r="690" spans="1:13" x14ac:dyDescent="0.35">
      <c r="A690" t="s">
        <v>100</v>
      </c>
      <c r="B690" t="s">
        <v>76</v>
      </c>
      <c r="C690" s="2">
        <v>693356055</v>
      </c>
      <c r="D690" s="2">
        <v>551412442</v>
      </c>
      <c r="E690" s="2">
        <v>559862453</v>
      </c>
      <c r="F690" s="2">
        <v>15158</v>
      </c>
      <c r="G690" s="2">
        <v>2279370569</v>
      </c>
      <c r="H690" s="2"/>
      <c r="I690" s="2">
        <v>14259556</v>
      </c>
      <c r="J690" s="2">
        <v>303166937</v>
      </c>
      <c r="K690" s="2">
        <v>77336213305</v>
      </c>
      <c r="L690" s="3">
        <f t="shared" si="20"/>
        <v>5.6913093903906392E-2</v>
      </c>
      <c r="M690" s="3">
        <f t="shared" si="21"/>
        <v>3.3578217875222874E-2</v>
      </c>
    </row>
    <row r="691" spans="1:13" x14ac:dyDescent="0.35">
      <c r="A691" t="s">
        <v>100</v>
      </c>
      <c r="B691" t="s">
        <v>77</v>
      </c>
      <c r="C691" s="2">
        <v>813989189</v>
      </c>
      <c r="D691" s="2">
        <v>430236265</v>
      </c>
      <c r="E691" s="2">
        <v>587252422</v>
      </c>
      <c r="F691" s="2">
        <v>6705</v>
      </c>
      <c r="G691" s="2">
        <v>1367116546</v>
      </c>
      <c r="H691" s="2">
        <v>4127</v>
      </c>
      <c r="I691" s="2">
        <v>59419499</v>
      </c>
      <c r="J691" s="2">
        <v>288237314</v>
      </c>
      <c r="K691" s="2">
        <v>71873910639</v>
      </c>
      <c r="L691" s="3">
        <f t="shared" si="20"/>
        <v>4.9340046137349568E-2</v>
      </c>
      <c r="M691" s="3">
        <f t="shared" si="21"/>
        <v>2.3858228608330784E-2</v>
      </c>
    </row>
    <row r="692" spans="1:13" x14ac:dyDescent="0.35">
      <c r="A692" t="s">
        <v>100</v>
      </c>
      <c r="B692" t="s">
        <v>78</v>
      </c>
      <c r="C692" s="2">
        <v>832905301</v>
      </c>
      <c r="D692" s="2">
        <v>340656738</v>
      </c>
      <c r="E692" s="2">
        <v>578340913</v>
      </c>
      <c r="F692" s="2">
        <v>9476</v>
      </c>
      <c r="G692" s="2">
        <v>1554399129</v>
      </c>
      <c r="H692" s="2">
        <v>150000</v>
      </c>
      <c r="I692" s="2">
        <v>4096241</v>
      </c>
      <c r="J692" s="2">
        <v>433656835</v>
      </c>
      <c r="K692" s="2">
        <v>71589988991</v>
      </c>
      <c r="L692" s="3">
        <f t="shared" si="20"/>
        <v>5.2300813085342242E-2</v>
      </c>
      <c r="M692" s="3">
        <f t="shared" si="21"/>
        <v>2.7829473213782242E-2</v>
      </c>
    </row>
    <row r="693" spans="1:13" x14ac:dyDescent="0.35">
      <c r="A693" t="s">
        <v>100</v>
      </c>
      <c r="B693" t="s">
        <v>79</v>
      </c>
      <c r="C693" s="2">
        <v>816492256</v>
      </c>
      <c r="D693" s="2">
        <v>227936580</v>
      </c>
      <c r="E693" s="2">
        <v>481127422</v>
      </c>
      <c r="F693" s="2">
        <v>6824</v>
      </c>
      <c r="G693" s="2">
        <v>2090153823</v>
      </c>
      <c r="H693" s="2"/>
      <c r="I693" s="2">
        <v>4359802</v>
      </c>
      <c r="J693" s="2">
        <v>377810823</v>
      </c>
      <c r="K693" s="2">
        <v>72173225475</v>
      </c>
      <c r="L693" s="3">
        <f t="shared" si="20"/>
        <v>5.5392945288067021E-2</v>
      </c>
      <c r="M693" s="3">
        <f t="shared" si="21"/>
        <v>3.4255518659844129E-2</v>
      </c>
    </row>
    <row r="694" spans="1:13" x14ac:dyDescent="0.35">
      <c r="A694" t="s">
        <v>100</v>
      </c>
      <c r="B694" t="s">
        <v>80</v>
      </c>
      <c r="C694" s="2">
        <v>815939176</v>
      </c>
      <c r="D694" s="2">
        <v>403967457</v>
      </c>
      <c r="E694" s="2">
        <v>623069201</v>
      </c>
      <c r="F694" s="2">
        <v>32403</v>
      </c>
      <c r="G694" s="2">
        <v>1303645737</v>
      </c>
      <c r="H694" s="2"/>
      <c r="I694" s="2">
        <v>9466244</v>
      </c>
      <c r="J694" s="2">
        <v>447241911</v>
      </c>
      <c r="K694" s="2">
        <v>72904585856</v>
      </c>
      <c r="L694" s="3">
        <f t="shared" si="20"/>
        <v>4.9425726608162961E-2</v>
      </c>
      <c r="M694" s="3">
        <f t="shared" si="21"/>
        <v>2.4146441192013455E-2</v>
      </c>
    </row>
    <row r="695" spans="1:13" x14ac:dyDescent="0.35">
      <c r="A695" t="s">
        <v>100</v>
      </c>
      <c r="B695" t="s">
        <v>81</v>
      </c>
      <c r="C695" s="2">
        <v>923428513</v>
      </c>
      <c r="D695" s="2">
        <v>229761415</v>
      </c>
      <c r="E695" s="2">
        <v>695610571</v>
      </c>
      <c r="F695" s="2">
        <v>5402</v>
      </c>
      <c r="G695" s="2">
        <v>1469595981</v>
      </c>
      <c r="H695" s="2"/>
      <c r="I695" s="2">
        <v>121040666</v>
      </c>
      <c r="J695" s="2">
        <v>308666049</v>
      </c>
      <c r="K695" s="2">
        <v>65732910533</v>
      </c>
      <c r="L695" s="3">
        <f t="shared" si="20"/>
        <v>5.7020274419741855E-2</v>
      </c>
      <c r="M695" s="3">
        <f t="shared" si="21"/>
        <v>2.8894325271759985E-2</v>
      </c>
    </row>
    <row r="696" spans="1:13" x14ac:dyDescent="0.35">
      <c r="A696" t="s">
        <v>100</v>
      </c>
      <c r="B696" t="s">
        <v>82</v>
      </c>
      <c r="C696" s="2">
        <v>1057513497</v>
      </c>
      <c r="D696" s="2">
        <v>309811847</v>
      </c>
      <c r="E696" s="2">
        <v>959609503</v>
      </c>
      <c r="F696" s="2">
        <v>7223</v>
      </c>
      <c r="G696" s="2">
        <v>2556757361</v>
      </c>
      <c r="H696" s="2"/>
      <c r="I696" s="2">
        <v>33877734</v>
      </c>
      <c r="J696" s="2">
        <v>427135043</v>
      </c>
      <c r="K696" s="2">
        <v>75315257035</v>
      </c>
      <c r="L696" s="3">
        <f t="shared" si="20"/>
        <v>7.096453518728936E-2</v>
      </c>
      <c r="M696" s="3">
        <f t="shared" si="21"/>
        <v>4.0068606014284712E-2</v>
      </c>
    </row>
    <row r="697" spans="1:13" x14ac:dyDescent="0.35">
      <c r="A697" t="s">
        <v>100</v>
      </c>
      <c r="B697" t="s">
        <v>83</v>
      </c>
      <c r="C697" s="2">
        <v>660772964</v>
      </c>
      <c r="D697" s="2">
        <v>300124772</v>
      </c>
      <c r="E697" s="2">
        <v>713671031</v>
      </c>
      <c r="F697" s="2">
        <v>29123</v>
      </c>
      <c r="G697" s="2">
        <v>1416765595</v>
      </c>
      <c r="H697" s="2"/>
      <c r="I697" s="2">
        <v>5807410</v>
      </c>
      <c r="J697" s="2">
        <v>508327856</v>
      </c>
      <c r="K697" s="2">
        <v>77488187097</v>
      </c>
      <c r="L697" s="3">
        <f t="shared" si="20"/>
        <v>4.6529656791255466E-2</v>
      </c>
      <c r="M697" s="3">
        <f t="shared" si="21"/>
        <v>2.491902387112057E-2</v>
      </c>
    </row>
    <row r="698" spans="1:13" x14ac:dyDescent="0.35">
      <c r="A698" t="s">
        <v>100</v>
      </c>
      <c r="B698" t="s">
        <v>84</v>
      </c>
      <c r="C698" s="2">
        <v>1293777909</v>
      </c>
      <c r="D698" s="2">
        <v>287196395</v>
      </c>
      <c r="E698" s="2">
        <v>789386728</v>
      </c>
      <c r="F698" s="2">
        <v>9868</v>
      </c>
      <c r="G698" s="2">
        <v>1424408746</v>
      </c>
      <c r="H698" s="2"/>
      <c r="I698" s="2">
        <v>6728596</v>
      </c>
      <c r="J698" s="2">
        <v>404556129</v>
      </c>
      <c r="K698" s="2">
        <v>75877969208</v>
      </c>
      <c r="L698" s="3">
        <f t="shared" si="20"/>
        <v>5.5431957587981209E-2</v>
      </c>
      <c r="M698" s="3">
        <f t="shared" si="21"/>
        <v>2.4192836974430483E-2</v>
      </c>
    </row>
    <row r="699" spans="1:13" x14ac:dyDescent="0.35">
      <c r="A699" t="s">
        <v>100</v>
      </c>
      <c r="B699" t="s">
        <v>85</v>
      </c>
      <c r="C699" s="2">
        <v>1502762087</v>
      </c>
      <c r="D699" s="2">
        <v>287394014</v>
      </c>
      <c r="E699" s="2">
        <v>1087290735</v>
      </c>
      <c r="F699" s="2">
        <v>818603</v>
      </c>
      <c r="G699" s="2">
        <v>3124037363</v>
      </c>
      <c r="H699" s="2">
        <v>558</v>
      </c>
      <c r="I699" s="2">
        <v>8603366</v>
      </c>
      <c r="J699" s="2">
        <v>457623052</v>
      </c>
      <c r="K699" s="2">
        <v>73089976347</v>
      </c>
      <c r="L699" s="3">
        <f t="shared" si="20"/>
        <v>8.8500914917391441E-2</v>
      </c>
      <c r="M699" s="3">
        <f t="shared" si="21"/>
        <v>4.9132358792279139E-2</v>
      </c>
    </row>
    <row r="700" spans="1:13" x14ac:dyDescent="0.35">
      <c r="A700" t="s">
        <v>100</v>
      </c>
      <c r="B700" t="s">
        <v>86</v>
      </c>
      <c r="C700" s="2">
        <v>919292687</v>
      </c>
      <c r="D700" s="2">
        <v>270731870</v>
      </c>
      <c r="E700" s="2">
        <v>774572822</v>
      </c>
      <c r="F700" s="2">
        <v>7503</v>
      </c>
      <c r="G700" s="2">
        <v>659929965</v>
      </c>
      <c r="H700" s="2"/>
      <c r="I700" s="2">
        <v>12090068</v>
      </c>
      <c r="J700" s="2">
        <v>374265470</v>
      </c>
      <c r="K700" s="2">
        <v>68930751684</v>
      </c>
      <c r="L700" s="3">
        <f t="shared" si="20"/>
        <v>4.3679929660463558E-2</v>
      </c>
      <c r="M700" s="3">
        <f t="shared" si="21"/>
        <v>1.5178900279464998E-2</v>
      </c>
    </row>
    <row r="701" spans="1:13" x14ac:dyDescent="0.35">
      <c r="A701" t="s">
        <v>100</v>
      </c>
      <c r="B701" t="s">
        <v>87</v>
      </c>
      <c r="C701" s="2">
        <v>1049104605</v>
      </c>
      <c r="D701" s="2">
        <v>250570649</v>
      </c>
      <c r="E701" s="2">
        <v>549617313</v>
      </c>
      <c r="F701" s="2">
        <v>6294</v>
      </c>
      <c r="G701" s="2">
        <v>1332222347</v>
      </c>
      <c r="H701" s="2">
        <v>81</v>
      </c>
      <c r="I701" s="2">
        <v>3776548</v>
      </c>
      <c r="J701" s="2">
        <v>339586537</v>
      </c>
      <c r="K701" s="2">
        <v>67074309550</v>
      </c>
      <c r="L701" s="3">
        <f t="shared" si="20"/>
        <v>5.2551929310169096E-2</v>
      </c>
      <c r="M701" s="3">
        <f t="shared" si="21"/>
        <v>2.4981126428904106E-2</v>
      </c>
    </row>
    <row r="702" spans="1:13" x14ac:dyDescent="0.35">
      <c r="A702" t="s">
        <v>100</v>
      </c>
      <c r="B702" t="s">
        <v>88</v>
      </c>
      <c r="C702" s="2">
        <v>1225373065</v>
      </c>
      <c r="D702" s="2">
        <v>238378369</v>
      </c>
      <c r="E702" s="2">
        <v>1333986513</v>
      </c>
      <c r="F702" s="2">
        <v>9813</v>
      </c>
      <c r="G702" s="2">
        <v>1348245492</v>
      </c>
      <c r="H702" s="2"/>
      <c r="I702" s="2">
        <v>25086021</v>
      </c>
      <c r="J702" s="2">
        <v>378540836</v>
      </c>
      <c r="K702" s="2">
        <v>80910858398</v>
      </c>
      <c r="L702" s="3">
        <f t="shared" si="20"/>
        <v>5.6230031408398211E-2</v>
      </c>
      <c r="M702" s="3">
        <f t="shared" si="21"/>
        <v>2.1652003163561841E-2</v>
      </c>
    </row>
    <row r="703" spans="1:13" x14ac:dyDescent="0.35">
      <c r="A703" t="s">
        <v>100</v>
      </c>
      <c r="B703" t="s">
        <v>89</v>
      </c>
      <c r="C703" s="2">
        <v>1473206142</v>
      </c>
      <c r="D703" s="2">
        <v>210249434</v>
      </c>
      <c r="E703" s="2">
        <v>880345262</v>
      </c>
      <c r="F703" s="2">
        <v>17873</v>
      </c>
      <c r="G703" s="2">
        <v>1140926426</v>
      </c>
      <c r="H703" s="2">
        <v>166</v>
      </c>
      <c r="I703" s="2">
        <v>17117751</v>
      </c>
      <c r="J703" s="2">
        <v>355326470</v>
      </c>
      <c r="K703" s="2">
        <v>77546979497</v>
      </c>
      <c r="L703" s="3">
        <f t="shared" si="20"/>
        <v>5.2577025571418044E-2</v>
      </c>
      <c r="M703" s="3">
        <f t="shared" si="21"/>
        <v>1.9515765743765009E-2</v>
      </c>
    </row>
    <row r="704" spans="1:13" x14ac:dyDescent="0.35">
      <c r="A704" t="s">
        <v>100</v>
      </c>
      <c r="B704" t="s">
        <v>90</v>
      </c>
      <c r="C704" s="2">
        <v>1824913345</v>
      </c>
      <c r="D704" s="2">
        <v>220489144</v>
      </c>
      <c r="E704" s="2">
        <v>733887675</v>
      </c>
      <c r="F704" s="2">
        <v>33982</v>
      </c>
      <c r="G704" s="2">
        <v>581003480</v>
      </c>
      <c r="H704" s="2"/>
      <c r="I704" s="2">
        <v>24691536</v>
      </c>
      <c r="J704" s="2">
        <v>395190550</v>
      </c>
      <c r="K704" s="2">
        <v>76892981490</v>
      </c>
      <c r="L704" s="3">
        <f t="shared" si="20"/>
        <v>4.9161960412363766E-2</v>
      </c>
      <c r="M704" s="3">
        <f t="shared" si="21"/>
        <v>1.3017046921638362E-2</v>
      </c>
    </row>
    <row r="705" spans="1:13" x14ac:dyDescent="0.35">
      <c r="A705" t="s">
        <v>100</v>
      </c>
      <c r="B705" t="s">
        <v>91</v>
      </c>
      <c r="C705" s="2">
        <v>1851807247</v>
      </c>
      <c r="D705" s="2">
        <v>267770165</v>
      </c>
      <c r="E705" s="2">
        <v>2160928253</v>
      </c>
      <c r="F705" s="2">
        <v>101606</v>
      </c>
      <c r="G705" s="2">
        <v>2472560297</v>
      </c>
      <c r="H705" s="2"/>
      <c r="I705" s="2">
        <v>13551457</v>
      </c>
      <c r="J705" s="2">
        <v>376148422</v>
      </c>
      <c r="K705" s="2">
        <v>85314072138</v>
      </c>
      <c r="L705" s="3">
        <f t="shared" si="20"/>
        <v>8.3724375920610564E-2</v>
      </c>
      <c r="M705" s="3">
        <f t="shared" si="21"/>
        <v>3.3550875140152488E-2</v>
      </c>
    </row>
    <row r="706" spans="1:13" x14ac:dyDescent="0.35">
      <c r="A706" t="s">
        <v>101</v>
      </c>
      <c r="B706" t="s">
        <v>14</v>
      </c>
      <c r="C706" s="2">
        <v>578532</v>
      </c>
      <c r="D706" s="2">
        <v>418112</v>
      </c>
      <c r="E706" s="2">
        <v>2472624</v>
      </c>
      <c r="F706" s="2"/>
      <c r="G706" s="2">
        <v>173075</v>
      </c>
      <c r="H706" s="2"/>
      <c r="I706" s="2"/>
      <c r="J706" s="2">
        <v>39229</v>
      </c>
      <c r="K706" s="2">
        <v>5131792879</v>
      </c>
      <c r="L706" s="3">
        <f t="shared" ref="L706:L769" si="22">SUM(C706:J706)/K706</f>
        <v>7.1740463553497983E-4</v>
      </c>
      <c r="M706" s="3">
        <f t="shared" ref="M706:M769" si="23">SUM(F706:J706)/K706</f>
        <v>4.1370336840517683E-5</v>
      </c>
    </row>
    <row r="707" spans="1:13" x14ac:dyDescent="0.35">
      <c r="A707" t="s">
        <v>101</v>
      </c>
      <c r="B707" t="s">
        <v>15</v>
      </c>
      <c r="C707" s="2">
        <v>1113622</v>
      </c>
      <c r="D707" s="2">
        <v>297317</v>
      </c>
      <c r="E707" s="2">
        <v>2546101</v>
      </c>
      <c r="F707" s="2"/>
      <c r="G707" s="2">
        <v>146526</v>
      </c>
      <c r="H707" s="2"/>
      <c r="I707" s="2"/>
      <c r="J707" s="2">
        <v>31002</v>
      </c>
      <c r="K707" s="2">
        <v>4861690406</v>
      </c>
      <c r="L707" s="3">
        <f t="shared" si="22"/>
        <v>8.5043835676935941E-4</v>
      </c>
      <c r="M707" s="3">
        <f t="shared" si="23"/>
        <v>3.6515694166972424E-5</v>
      </c>
    </row>
    <row r="708" spans="1:13" x14ac:dyDescent="0.35">
      <c r="A708" t="s">
        <v>101</v>
      </c>
      <c r="B708" t="s">
        <v>16</v>
      </c>
      <c r="C708" s="2">
        <v>1548294</v>
      </c>
      <c r="D708" s="2">
        <v>196164</v>
      </c>
      <c r="E708" s="2">
        <v>4419703</v>
      </c>
      <c r="F708" s="2"/>
      <c r="G708" s="2">
        <v>146238</v>
      </c>
      <c r="H708" s="2"/>
      <c r="I708" s="2"/>
      <c r="J708" s="2">
        <v>47302</v>
      </c>
      <c r="K708" s="2">
        <v>4492618008</v>
      </c>
      <c r="L708" s="3">
        <f t="shared" si="22"/>
        <v>1.415143906888778E-3</v>
      </c>
      <c r="M708" s="3">
        <f t="shared" si="23"/>
        <v>4.307955843460618E-5</v>
      </c>
    </row>
    <row r="709" spans="1:13" x14ac:dyDescent="0.35">
      <c r="A709" t="s">
        <v>101</v>
      </c>
      <c r="B709" t="s">
        <v>17</v>
      </c>
      <c r="C709" s="2">
        <v>308694</v>
      </c>
      <c r="D709" s="2">
        <v>92540</v>
      </c>
      <c r="E709" s="2">
        <v>4682172</v>
      </c>
      <c r="F709" s="2"/>
      <c r="G709" s="2">
        <v>97959</v>
      </c>
      <c r="H709" s="2"/>
      <c r="I709" s="2"/>
      <c r="J709" s="2">
        <v>32524</v>
      </c>
      <c r="K709" s="2">
        <v>2919718969</v>
      </c>
      <c r="L709" s="3">
        <f t="shared" si="22"/>
        <v>1.7857502915034835E-3</v>
      </c>
      <c r="M709" s="3">
        <f t="shared" si="23"/>
        <v>4.4690260050846695E-5</v>
      </c>
    </row>
    <row r="710" spans="1:13" x14ac:dyDescent="0.35">
      <c r="A710" t="s">
        <v>101</v>
      </c>
      <c r="B710" t="s">
        <v>18</v>
      </c>
      <c r="C710" s="2">
        <v>712597</v>
      </c>
      <c r="D710" s="2">
        <v>218539</v>
      </c>
      <c r="E710" s="2">
        <v>4479529</v>
      </c>
      <c r="F710" s="2"/>
      <c r="G710" s="2">
        <v>216967</v>
      </c>
      <c r="H710" s="2"/>
      <c r="I710" s="2"/>
      <c r="J710" s="2">
        <v>18044</v>
      </c>
      <c r="K710" s="2">
        <v>3426579716</v>
      </c>
      <c r="L710" s="3">
        <f t="shared" si="22"/>
        <v>1.6476126248101564E-3</v>
      </c>
      <c r="M710" s="3">
        <f t="shared" si="23"/>
        <v>6.8584716970874644E-5</v>
      </c>
    </row>
    <row r="711" spans="1:13" x14ac:dyDescent="0.35">
      <c r="A711" t="s">
        <v>101</v>
      </c>
      <c r="B711" t="s">
        <v>19</v>
      </c>
      <c r="C711" s="2">
        <v>538814</v>
      </c>
      <c r="D711" s="2">
        <v>177175</v>
      </c>
      <c r="E711" s="2">
        <v>6952091</v>
      </c>
      <c r="F711" s="2"/>
      <c r="G711" s="2">
        <v>432061</v>
      </c>
      <c r="H711" s="2"/>
      <c r="I711" s="2">
        <v>40000</v>
      </c>
      <c r="J711" s="2">
        <v>45145</v>
      </c>
      <c r="K711" s="2">
        <v>4240158587</v>
      </c>
      <c r="L711" s="3">
        <f t="shared" si="22"/>
        <v>1.930419778424198E-3</v>
      </c>
      <c r="M711" s="3">
        <f t="shared" si="23"/>
        <v>1.2197798487672461E-4</v>
      </c>
    </row>
    <row r="712" spans="1:13" x14ac:dyDescent="0.35">
      <c r="A712" t="s">
        <v>101</v>
      </c>
      <c r="B712" t="s">
        <v>20</v>
      </c>
      <c r="C712" s="2">
        <v>1157961</v>
      </c>
      <c r="D712" s="2">
        <v>157896</v>
      </c>
      <c r="E712" s="2">
        <v>6113601</v>
      </c>
      <c r="F712" s="2"/>
      <c r="G712" s="2">
        <v>114100</v>
      </c>
      <c r="H712" s="2"/>
      <c r="I712" s="2"/>
      <c r="J712" s="2">
        <v>54661</v>
      </c>
      <c r="K712" s="2">
        <v>5032500415</v>
      </c>
      <c r="L712" s="3">
        <f t="shared" si="22"/>
        <v>1.5098297811069331E-3</v>
      </c>
      <c r="M712" s="3">
        <f t="shared" si="23"/>
        <v>3.3534224755746987E-5</v>
      </c>
    </row>
    <row r="713" spans="1:13" x14ac:dyDescent="0.35">
      <c r="A713" t="s">
        <v>101</v>
      </c>
      <c r="B713" t="s">
        <v>21</v>
      </c>
      <c r="C713" s="2">
        <v>709324</v>
      </c>
      <c r="D713" s="2">
        <v>132860</v>
      </c>
      <c r="E713" s="2">
        <v>5929667</v>
      </c>
      <c r="F713" s="2"/>
      <c r="G713" s="2">
        <v>55024</v>
      </c>
      <c r="H713" s="2"/>
      <c r="I713" s="2"/>
      <c r="J713" s="2">
        <v>142057</v>
      </c>
      <c r="K713" s="2">
        <v>3742406916</v>
      </c>
      <c r="L713" s="3">
        <f t="shared" si="22"/>
        <v>1.8621523945473598E-3</v>
      </c>
      <c r="M713" s="3">
        <f t="shared" si="23"/>
        <v>5.2661563647024856E-5</v>
      </c>
    </row>
    <row r="714" spans="1:13" x14ac:dyDescent="0.35">
      <c r="A714" t="s">
        <v>101</v>
      </c>
      <c r="B714" t="s">
        <v>22</v>
      </c>
      <c r="C714" s="2">
        <v>1003429</v>
      </c>
      <c r="D714" s="2">
        <v>179339</v>
      </c>
      <c r="E714" s="2">
        <v>4212870</v>
      </c>
      <c r="F714" s="2"/>
      <c r="G714" s="2">
        <v>162476</v>
      </c>
      <c r="H714" s="2"/>
      <c r="I714" s="2"/>
      <c r="J714" s="2">
        <v>35231</v>
      </c>
      <c r="K714" s="2">
        <v>5011103145</v>
      </c>
      <c r="L714" s="3">
        <f t="shared" si="22"/>
        <v>1.1161903553274395E-3</v>
      </c>
      <c r="M714" s="3">
        <f t="shared" si="23"/>
        <v>3.9453787774707639E-5</v>
      </c>
    </row>
    <row r="715" spans="1:13" x14ac:dyDescent="0.35">
      <c r="A715" t="s">
        <v>101</v>
      </c>
      <c r="B715" t="s">
        <v>23</v>
      </c>
      <c r="C715" s="2">
        <v>1009991</v>
      </c>
      <c r="D715" s="2">
        <v>213367</v>
      </c>
      <c r="E715" s="2">
        <v>2538917</v>
      </c>
      <c r="F715" s="2"/>
      <c r="G715" s="2">
        <v>161456</v>
      </c>
      <c r="H715" s="2"/>
      <c r="I715" s="2">
        <v>161190</v>
      </c>
      <c r="J715" s="2">
        <v>58135</v>
      </c>
      <c r="K715" s="2">
        <v>5449234842</v>
      </c>
      <c r="L715" s="3">
        <f t="shared" si="22"/>
        <v>7.6030050458963136E-4</v>
      </c>
      <c r="M715" s="3">
        <f t="shared" si="23"/>
        <v>6.9877883967328571E-5</v>
      </c>
    </row>
    <row r="716" spans="1:13" x14ac:dyDescent="0.35">
      <c r="A716" t="s">
        <v>101</v>
      </c>
      <c r="B716" t="s">
        <v>24</v>
      </c>
      <c r="C716" s="2">
        <v>1758952</v>
      </c>
      <c r="D716" s="2">
        <v>194006</v>
      </c>
      <c r="E716" s="2">
        <v>5024033</v>
      </c>
      <c r="F716" s="2">
        <v>120</v>
      </c>
      <c r="G716" s="2">
        <v>202617</v>
      </c>
      <c r="H716" s="2"/>
      <c r="I716" s="2"/>
      <c r="J716" s="2">
        <v>50098</v>
      </c>
      <c r="K716" s="2">
        <v>5194662683</v>
      </c>
      <c r="L716" s="3">
        <f t="shared" si="22"/>
        <v>1.3917796864193425E-3</v>
      </c>
      <c r="M716" s="3">
        <f t="shared" si="23"/>
        <v>4.8672072746402812E-5</v>
      </c>
    </row>
    <row r="717" spans="1:13" x14ac:dyDescent="0.35">
      <c r="A717" t="s">
        <v>101</v>
      </c>
      <c r="B717" t="s">
        <v>25</v>
      </c>
      <c r="C717" s="2">
        <v>1152625</v>
      </c>
      <c r="D717" s="2">
        <v>843600</v>
      </c>
      <c r="E717" s="2">
        <v>3846957</v>
      </c>
      <c r="F717" s="2"/>
      <c r="G717" s="2">
        <v>143185</v>
      </c>
      <c r="H717" s="2"/>
      <c r="I717" s="2"/>
      <c r="J717" s="2">
        <v>209749</v>
      </c>
      <c r="K717" s="2">
        <v>4254925998</v>
      </c>
      <c r="L717" s="3">
        <f t="shared" si="22"/>
        <v>1.4562218010166202E-3</v>
      </c>
      <c r="M717" s="3">
        <f t="shared" si="23"/>
        <v>8.2947153526499474E-5</v>
      </c>
    </row>
    <row r="718" spans="1:13" x14ac:dyDescent="0.35">
      <c r="A718" t="s">
        <v>101</v>
      </c>
      <c r="B718" t="s">
        <v>26</v>
      </c>
      <c r="C718" s="2">
        <v>676277</v>
      </c>
      <c r="D718" s="2">
        <v>939074</v>
      </c>
      <c r="E718" s="2">
        <v>3184647</v>
      </c>
      <c r="F718" s="2"/>
      <c r="G718" s="2">
        <v>76629</v>
      </c>
      <c r="H718" s="2"/>
      <c r="I718" s="2"/>
      <c r="J718" s="2">
        <v>22235</v>
      </c>
      <c r="K718" s="2">
        <v>4615570140</v>
      </c>
      <c r="L718" s="3">
        <f t="shared" si="22"/>
        <v>1.0613774358112127E-3</v>
      </c>
      <c r="M718" s="3">
        <f t="shared" si="23"/>
        <v>2.1419672326764814E-5</v>
      </c>
    </row>
    <row r="719" spans="1:13" x14ac:dyDescent="0.35">
      <c r="A719" t="s">
        <v>101</v>
      </c>
      <c r="B719" t="s">
        <v>27</v>
      </c>
      <c r="C719" s="2">
        <v>622716</v>
      </c>
      <c r="D719" s="2">
        <v>114516</v>
      </c>
      <c r="E719" s="2">
        <v>7567454</v>
      </c>
      <c r="F719" s="2"/>
      <c r="G719" s="2">
        <v>76304</v>
      </c>
      <c r="H719" s="2"/>
      <c r="I719" s="2"/>
      <c r="J719" s="2">
        <v>27280</v>
      </c>
      <c r="K719" s="2">
        <v>4987340594</v>
      </c>
      <c r="L719" s="3">
        <f t="shared" si="22"/>
        <v>1.6859225556232385E-3</v>
      </c>
      <c r="M719" s="3">
        <f t="shared" si="23"/>
        <v>2.0769385616979179E-5</v>
      </c>
    </row>
    <row r="720" spans="1:13" x14ac:dyDescent="0.35">
      <c r="A720" t="s">
        <v>101</v>
      </c>
      <c r="B720" t="s">
        <v>28</v>
      </c>
      <c r="C720" s="2">
        <v>1179901</v>
      </c>
      <c r="D720" s="2">
        <v>139199</v>
      </c>
      <c r="E720" s="2">
        <v>11072335</v>
      </c>
      <c r="F720" s="2"/>
      <c r="G720" s="2">
        <v>161081</v>
      </c>
      <c r="H720" s="2"/>
      <c r="I720" s="2">
        <v>32835</v>
      </c>
      <c r="J720" s="2">
        <v>439647</v>
      </c>
      <c r="K720" s="2">
        <v>5848076521</v>
      </c>
      <c r="L720" s="3">
        <f t="shared" si="22"/>
        <v>2.2272276967013373E-3</v>
      </c>
      <c r="M720" s="3">
        <f t="shared" si="23"/>
        <v>1.083369887047345E-4</v>
      </c>
    </row>
    <row r="721" spans="1:13" x14ac:dyDescent="0.35">
      <c r="A721" t="s">
        <v>101</v>
      </c>
      <c r="B721" t="s">
        <v>29</v>
      </c>
      <c r="C721" s="2">
        <v>595097</v>
      </c>
      <c r="D721" s="2">
        <v>333896</v>
      </c>
      <c r="E721" s="2">
        <v>7482723</v>
      </c>
      <c r="F721" s="2">
        <v>125</v>
      </c>
      <c r="G721" s="2">
        <v>119879</v>
      </c>
      <c r="H721" s="2"/>
      <c r="I721" s="2"/>
      <c r="J721" s="2">
        <v>298311</v>
      </c>
      <c r="K721" s="2">
        <v>5341213136</v>
      </c>
      <c r="L721" s="3">
        <f t="shared" si="22"/>
        <v>1.6531882879724873E-3</v>
      </c>
      <c r="M721" s="3">
        <f t="shared" si="23"/>
        <v>7.8318350035601352E-5</v>
      </c>
    </row>
    <row r="722" spans="1:13" x14ac:dyDescent="0.35">
      <c r="A722" t="s">
        <v>101</v>
      </c>
      <c r="B722" t="s">
        <v>30</v>
      </c>
      <c r="C722" s="2">
        <v>937490</v>
      </c>
      <c r="D722" s="2">
        <v>310591</v>
      </c>
      <c r="E722" s="2">
        <v>4827722</v>
      </c>
      <c r="F722" s="2"/>
      <c r="G722" s="2">
        <v>169569</v>
      </c>
      <c r="H722" s="2"/>
      <c r="I722" s="2"/>
      <c r="J722" s="2">
        <v>74383</v>
      </c>
      <c r="K722" s="2">
        <v>5310622530</v>
      </c>
      <c r="L722" s="3">
        <f t="shared" si="22"/>
        <v>1.1900215020554286E-3</v>
      </c>
      <c r="M722" s="3">
        <f t="shared" si="23"/>
        <v>4.5936610749851201E-5</v>
      </c>
    </row>
    <row r="723" spans="1:13" x14ac:dyDescent="0.35">
      <c r="A723" t="s">
        <v>101</v>
      </c>
      <c r="B723" t="s">
        <v>31</v>
      </c>
      <c r="C723" s="2">
        <v>828721</v>
      </c>
      <c r="D723" s="2">
        <v>299557</v>
      </c>
      <c r="E723" s="2">
        <v>10955119</v>
      </c>
      <c r="F723" s="2"/>
      <c r="G723" s="2">
        <v>136308</v>
      </c>
      <c r="H723" s="2"/>
      <c r="I723" s="2"/>
      <c r="J723" s="2">
        <v>42286</v>
      </c>
      <c r="K723" s="2">
        <v>5143561293</v>
      </c>
      <c r="L723" s="3">
        <f t="shared" si="22"/>
        <v>2.383949621964775E-3</v>
      </c>
      <c r="M723" s="3">
        <f t="shared" si="23"/>
        <v>3.4721857060992545E-5</v>
      </c>
    </row>
    <row r="724" spans="1:13" x14ac:dyDescent="0.35">
      <c r="A724" t="s">
        <v>101</v>
      </c>
      <c r="B724" t="s">
        <v>32</v>
      </c>
      <c r="C724" s="2">
        <v>694330</v>
      </c>
      <c r="D724" s="2">
        <v>380557</v>
      </c>
      <c r="E724" s="2">
        <v>11228048</v>
      </c>
      <c r="F724" s="2"/>
      <c r="G724" s="2">
        <v>139121</v>
      </c>
      <c r="H724" s="2"/>
      <c r="I724" s="2"/>
      <c r="J724" s="2">
        <v>29539</v>
      </c>
      <c r="K724" s="2">
        <v>5579655004</v>
      </c>
      <c r="L724" s="3">
        <f t="shared" si="22"/>
        <v>2.2351910630781357E-3</v>
      </c>
      <c r="M724" s="3">
        <f t="shared" si="23"/>
        <v>3.0227675345355455E-5</v>
      </c>
    </row>
    <row r="725" spans="1:13" x14ac:dyDescent="0.35">
      <c r="A725" t="s">
        <v>101</v>
      </c>
      <c r="B725" t="s">
        <v>33</v>
      </c>
      <c r="C725" s="2">
        <v>722315</v>
      </c>
      <c r="D725" s="2">
        <v>73258</v>
      </c>
      <c r="E725" s="2">
        <v>4794915</v>
      </c>
      <c r="F725" s="2"/>
      <c r="G725" s="2">
        <v>79222</v>
      </c>
      <c r="H725" s="2"/>
      <c r="I725" s="2"/>
      <c r="J725" s="2">
        <v>74155</v>
      </c>
      <c r="K725" s="2">
        <v>4357804920</v>
      </c>
      <c r="L725" s="3">
        <f t="shared" si="22"/>
        <v>1.3180638200757276E-3</v>
      </c>
      <c r="M725" s="3">
        <f t="shared" si="23"/>
        <v>3.5195930707242399E-5</v>
      </c>
    </row>
    <row r="726" spans="1:13" x14ac:dyDescent="0.35">
      <c r="A726" t="s">
        <v>101</v>
      </c>
      <c r="B726" t="s">
        <v>34</v>
      </c>
      <c r="C726" s="2">
        <v>712091</v>
      </c>
      <c r="D726" s="2">
        <v>268876</v>
      </c>
      <c r="E726" s="2">
        <v>12578793</v>
      </c>
      <c r="F726" s="2"/>
      <c r="G726" s="2">
        <v>195889</v>
      </c>
      <c r="H726" s="2"/>
      <c r="I726" s="2"/>
      <c r="J726" s="2">
        <v>40428</v>
      </c>
      <c r="K726" s="2">
        <v>5491776007</v>
      </c>
      <c r="L726" s="3">
        <f t="shared" si="22"/>
        <v>2.5121339585618681E-3</v>
      </c>
      <c r="M726" s="3">
        <f t="shared" si="23"/>
        <v>4.3031070403960848E-5</v>
      </c>
    </row>
    <row r="727" spans="1:13" x14ac:dyDescent="0.35">
      <c r="A727" t="s">
        <v>101</v>
      </c>
      <c r="B727" t="s">
        <v>35</v>
      </c>
      <c r="C727" s="2">
        <v>1302692</v>
      </c>
      <c r="D727" s="2">
        <v>200824</v>
      </c>
      <c r="E727" s="2">
        <v>6089675</v>
      </c>
      <c r="F727" s="2"/>
      <c r="G727" s="2">
        <v>188725</v>
      </c>
      <c r="H727" s="2"/>
      <c r="I727" s="2"/>
      <c r="J727" s="2">
        <v>99559</v>
      </c>
      <c r="K727" s="2">
        <v>5567918094</v>
      </c>
      <c r="L727" s="3">
        <f t="shared" si="22"/>
        <v>1.4155156140843908E-3</v>
      </c>
      <c r="M727" s="3">
        <f t="shared" si="23"/>
        <v>5.1775905308423169E-5</v>
      </c>
    </row>
    <row r="728" spans="1:13" x14ac:dyDescent="0.35">
      <c r="A728" t="s">
        <v>101</v>
      </c>
      <c r="B728" t="s">
        <v>36</v>
      </c>
      <c r="C728" s="2">
        <v>940155</v>
      </c>
      <c r="D728" s="2">
        <v>190569</v>
      </c>
      <c r="E728" s="2">
        <v>4896511</v>
      </c>
      <c r="F728" s="2"/>
      <c r="G728" s="2">
        <v>318944</v>
      </c>
      <c r="H728" s="2"/>
      <c r="I728" s="2">
        <v>3450</v>
      </c>
      <c r="J728" s="2">
        <v>142372</v>
      </c>
      <c r="K728" s="2">
        <v>6060495560</v>
      </c>
      <c r="L728" s="3">
        <f t="shared" si="22"/>
        <v>1.0711996957555728E-3</v>
      </c>
      <c r="M728" s="3">
        <f t="shared" si="23"/>
        <v>7.6687788217767456E-5</v>
      </c>
    </row>
    <row r="729" spans="1:13" x14ac:dyDescent="0.35">
      <c r="A729" t="s">
        <v>101</v>
      </c>
      <c r="B729" t="s">
        <v>37</v>
      </c>
      <c r="C729" s="2">
        <v>919676</v>
      </c>
      <c r="D729" s="2">
        <v>118038</v>
      </c>
      <c r="E729" s="2">
        <v>4878940</v>
      </c>
      <c r="F729" s="2"/>
      <c r="G729" s="2">
        <v>123825</v>
      </c>
      <c r="H729" s="2"/>
      <c r="I729" s="2"/>
      <c r="J729" s="2">
        <v>154682</v>
      </c>
      <c r="K729" s="2">
        <v>5314491489</v>
      </c>
      <c r="L729" s="3">
        <f t="shared" si="22"/>
        <v>1.1657109645998719E-3</v>
      </c>
      <c r="M729" s="3">
        <f t="shared" si="23"/>
        <v>5.2405201998433385E-5</v>
      </c>
    </row>
    <row r="730" spans="1:13" x14ac:dyDescent="0.35">
      <c r="A730" t="s">
        <v>101</v>
      </c>
      <c r="B730" t="s">
        <v>38</v>
      </c>
      <c r="C730" s="2">
        <v>1534014</v>
      </c>
      <c r="D730" s="2">
        <v>509434</v>
      </c>
      <c r="E730" s="2">
        <v>5397860</v>
      </c>
      <c r="F730" s="2"/>
      <c r="G730" s="2">
        <v>129670</v>
      </c>
      <c r="H730" s="2"/>
      <c r="I730" s="2">
        <v>677386</v>
      </c>
      <c r="J730" s="2">
        <v>168770</v>
      </c>
      <c r="K730" s="2">
        <v>5624856179</v>
      </c>
      <c r="L730" s="3">
        <f t="shared" si="22"/>
        <v>1.4964176384499874E-3</v>
      </c>
      <c r="M730" s="3">
        <f t="shared" si="23"/>
        <v>1.7348461346321651E-4</v>
      </c>
    </row>
    <row r="731" spans="1:13" x14ac:dyDescent="0.35">
      <c r="A731" t="s">
        <v>101</v>
      </c>
      <c r="B731" t="s">
        <v>39</v>
      </c>
      <c r="C731" s="2">
        <v>785139</v>
      </c>
      <c r="D731" s="2">
        <v>976600</v>
      </c>
      <c r="E731" s="2">
        <v>2298862</v>
      </c>
      <c r="F731" s="2"/>
      <c r="G731" s="2">
        <v>85320</v>
      </c>
      <c r="H731" s="2"/>
      <c r="I731" s="2"/>
      <c r="J731" s="2">
        <v>131446</v>
      </c>
      <c r="K731" s="2">
        <v>5985077503</v>
      </c>
      <c r="L731" s="3">
        <f t="shared" si="22"/>
        <v>7.1467194833416678E-4</v>
      </c>
      <c r="M731" s="3">
        <f t="shared" si="23"/>
        <v>3.6217743194026606E-5</v>
      </c>
    </row>
    <row r="732" spans="1:13" x14ac:dyDescent="0.35">
      <c r="A732" t="s">
        <v>101</v>
      </c>
      <c r="B732" t="s">
        <v>40</v>
      </c>
      <c r="C732" s="2">
        <v>2526225</v>
      </c>
      <c r="D732" s="2">
        <v>1120756</v>
      </c>
      <c r="E732" s="2">
        <v>3521397</v>
      </c>
      <c r="F732" s="2"/>
      <c r="G732" s="2">
        <v>330364</v>
      </c>
      <c r="H732" s="2"/>
      <c r="I732" s="2"/>
      <c r="J732" s="2">
        <v>244205</v>
      </c>
      <c r="K732" s="2">
        <v>6621298890</v>
      </c>
      <c r="L732" s="3">
        <f t="shared" si="22"/>
        <v>1.1694000117853009E-3</v>
      </c>
      <c r="M732" s="3">
        <f t="shared" si="23"/>
        <v>8.6775874272608161E-5</v>
      </c>
    </row>
    <row r="733" spans="1:13" x14ac:dyDescent="0.35">
      <c r="A733" t="s">
        <v>101</v>
      </c>
      <c r="B733" t="s">
        <v>41</v>
      </c>
      <c r="C733" s="2">
        <v>1448185</v>
      </c>
      <c r="D733" s="2">
        <v>1282280</v>
      </c>
      <c r="E733" s="2">
        <v>5012448</v>
      </c>
      <c r="F733" s="2"/>
      <c r="G733" s="2">
        <v>131446</v>
      </c>
      <c r="H733" s="2"/>
      <c r="I733" s="2">
        <v>114617</v>
      </c>
      <c r="J733" s="2">
        <v>137595</v>
      </c>
      <c r="K733" s="2">
        <v>6202206226</v>
      </c>
      <c r="L733" s="3">
        <f t="shared" si="22"/>
        <v>1.3102710074252213E-3</v>
      </c>
      <c r="M733" s="3">
        <f t="shared" si="23"/>
        <v>6.1858310739762876E-5</v>
      </c>
    </row>
    <row r="734" spans="1:13" x14ac:dyDescent="0.35">
      <c r="A734" t="s">
        <v>101</v>
      </c>
      <c r="B734" t="s">
        <v>42</v>
      </c>
      <c r="C734" s="2">
        <v>1859307</v>
      </c>
      <c r="D734" s="2">
        <v>1050985</v>
      </c>
      <c r="E734" s="2">
        <v>4022004</v>
      </c>
      <c r="F734" s="2"/>
      <c r="G734" s="2">
        <v>161179</v>
      </c>
      <c r="H734" s="2"/>
      <c r="I734" s="2"/>
      <c r="J734" s="2">
        <v>156036</v>
      </c>
      <c r="K734" s="2">
        <v>7472918757</v>
      </c>
      <c r="L734" s="3">
        <f t="shared" si="22"/>
        <v>9.7010435088823487E-4</v>
      </c>
      <c r="M734" s="3">
        <f t="shared" si="23"/>
        <v>4.2448608142950804E-5</v>
      </c>
    </row>
    <row r="735" spans="1:13" x14ac:dyDescent="0.35">
      <c r="A735" t="s">
        <v>101</v>
      </c>
      <c r="B735" t="s">
        <v>43</v>
      </c>
      <c r="C735" s="2">
        <v>1363891</v>
      </c>
      <c r="D735" s="2">
        <v>1167657</v>
      </c>
      <c r="E735" s="2">
        <v>9769650</v>
      </c>
      <c r="F735" s="2"/>
      <c r="G735" s="2">
        <v>137809</v>
      </c>
      <c r="H735" s="2"/>
      <c r="I735" s="2"/>
      <c r="J735" s="2">
        <v>225574</v>
      </c>
      <c r="K735" s="2">
        <v>7058332678</v>
      </c>
      <c r="L735" s="3">
        <f t="shared" si="22"/>
        <v>1.7942737439217086E-3</v>
      </c>
      <c r="M735" s="3">
        <f t="shared" si="23"/>
        <v>5.1482838310047701E-5</v>
      </c>
    </row>
    <row r="736" spans="1:13" x14ac:dyDescent="0.35">
      <c r="A736" t="s">
        <v>101</v>
      </c>
      <c r="B736" t="s">
        <v>44</v>
      </c>
      <c r="C736" s="2">
        <v>686741</v>
      </c>
      <c r="D736" s="2">
        <v>1222496</v>
      </c>
      <c r="E736" s="2">
        <v>8360841</v>
      </c>
      <c r="F736" s="2"/>
      <c r="G736" s="2">
        <v>222240</v>
      </c>
      <c r="H736" s="2"/>
      <c r="I736" s="2"/>
      <c r="J736" s="2">
        <v>188186</v>
      </c>
      <c r="K736" s="2">
        <v>7161531179</v>
      </c>
      <c r="L736" s="3">
        <f t="shared" si="22"/>
        <v>1.4913715702751951E-3</v>
      </c>
      <c r="M736" s="3">
        <f t="shared" si="23"/>
        <v>5.7309811231920075E-5</v>
      </c>
    </row>
    <row r="737" spans="1:13" x14ac:dyDescent="0.35">
      <c r="A737" t="s">
        <v>101</v>
      </c>
      <c r="B737" t="s">
        <v>45</v>
      </c>
      <c r="C737" s="2">
        <v>1056671</v>
      </c>
      <c r="D737" s="2">
        <v>1507827</v>
      </c>
      <c r="E737" s="2">
        <v>2022993</v>
      </c>
      <c r="F737" s="2"/>
      <c r="G737" s="2">
        <v>77754</v>
      </c>
      <c r="H737" s="2"/>
      <c r="I737" s="2"/>
      <c r="J737" s="2">
        <v>128862</v>
      </c>
      <c r="K737" s="2">
        <v>5769949534</v>
      </c>
      <c r="L737" s="3">
        <f t="shared" si="22"/>
        <v>8.3087503135863652E-4</v>
      </c>
      <c r="M737" s="3">
        <f t="shared" si="23"/>
        <v>3.5808978706398511E-5</v>
      </c>
    </row>
    <row r="738" spans="1:13" x14ac:dyDescent="0.35">
      <c r="A738" t="s">
        <v>101</v>
      </c>
      <c r="B738" t="s">
        <v>46</v>
      </c>
      <c r="C738" s="2">
        <v>1134511</v>
      </c>
      <c r="D738" s="2">
        <v>1475257</v>
      </c>
      <c r="E738" s="2">
        <v>5330281</v>
      </c>
      <c r="F738" s="2"/>
      <c r="G738" s="2">
        <v>565997</v>
      </c>
      <c r="H738" s="2"/>
      <c r="I738" s="2">
        <v>77584</v>
      </c>
      <c r="J738" s="2">
        <v>277074</v>
      </c>
      <c r="K738" s="2">
        <v>6873439527</v>
      </c>
      <c r="L738" s="3">
        <f t="shared" si="22"/>
        <v>1.2891222749823721E-3</v>
      </c>
      <c r="M738" s="3">
        <f t="shared" si="23"/>
        <v>1.3394385683958022E-4</v>
      </c>
    </row>
    <row r="739" spans="1:13" x14ac:dyDescent="0.35">
      <c r="A739" t="s">
        <v>101</v>
      </c>
      <c r="B739" t="s">
        <v>47</v>
      </c>
      <c r="C739" s="2">
        <v>3320452</v>
      </c>
      <c r="D739" s="2">
        <v>1926471</v>
      </c>
      <c r="E739" s="2">
        <v>4942515</v>
      </c>
      <c r="F739" s="2"/>
      <c r="G739" s="2">
        <v>203014</v>
      </c>
      <c r="H739" s="2"/>
      <c r="I739" s="2">
        <v>896</v>
      </c>
      <c r="J739" s="2">
        <v>298255</v>
      </c>
      <c r="K739" s="2">
        <v>6703495754</v>
      </c>
      <c r="L739" s="3">
        <f t="shared" si="22"/>
        <v>1.5949294804312036E-3</v>
      </c>
      <c r="M739" s="3">
        <f t="shared" si="23"/>
        <v>7.4910914905906568E-5</v>
      </c>
    </row>
    <row r="740" spans="1:13" x14ac:dyDescent="0.35">
      <c r="A740" t="s">
        <v>101</v>
      </c>
      <c r="B740" t="s">
        <v>48</v>
      </c>
      <c r="C740" s="2">
        <v>2112510</v>
      </c>
      <c r="D740" s="2">
        <v>3610772</v>
      </c>
      <c r="E740" s="2">
        <v>7045833</v>
      </c>
      <c r="F740" s="2"/>
      <c r="G740" s="2">
        <v>174567</v>
      </c>
      <c r="H740" s="2"/>
      <c r="I740" s="2"/>
      <c r="J740" s="2">
        <v>238858</v>
      </c>
      <c r="K740" s="2">
        <v>7148593256</v>
      </c>
      <c r="L740" s="3">
        <f t="shared" si="22"/>
        <v>1.8440747050387223E-3</v>
      </c>
      <c r="M740" s="3">
        <f t="shared" si="23"/>
        <v>5.783305682597085E-5</v>
      </c>
    </row>
    <row r="741" spans="1:13" x14ac:dyDescent="0.35">
      <c r="A741" t="s">
        <v>101</v>
      </c>
      <c r="B741" t="s">
        <v>49</v>
      </c>
      <c r="C741" s="2">
        <v>1584667</v>
      </c>
      <c r="D741" s="2">
        <v>2462706</v>
      </c>
      <c r="E741" s="2">
        <v>4799560</v>
      </c>
      <c r="F741" s="2"/>
      <c r="G741" s="2">
        <v>129046</v>
      </c>
      <c r="H741" s="2"/>
      <c r="I741" s="2"/>
      <c r="J741" s="2">
        <v>297259</v>
      </c>
      <c r="K741" s="2">
        <v>5781000830</v>
      </c>
      <c r="L741" s="3">
        <f t="shared" si="22"/>
        <v>1.6040886816478799E-3</v>
      </c>
      <c r="M741" s="3">
        <f t="shared" si="23"/>
        <v>7.3742421517694189E-5</v>
      </c>
    </row>
    <row r="742" spans="1:13" x14ac:dyDescent="0.35">
      <c r="A742" t="s">
        <v>101</v>
      </c>
      <c r="B742" t="s">
        <v>50</v>
      </c>
      <c r="C742" s="2">
        <v>1470860</v>
      </c>
      <c r="D742" s="2">
        <v>2905842</v>
      </c>
      <c r="E742" s="2">
        <v>3548101</v>
      </c>
      <c r="F742" s="2"/>
      <c r="G742" s="2">
        <v>359603</v>
      </c>
      <c r="H742" s="2"/>
      <c r="I742" s="2"/>
      <c r="J742" s="2">
        <v>41206</v>
      </c>
      <c r="K742" s="2">
        <v>6380673544</v>
      </c>
      <c r="L742" s="3">
        <f t="shared" si="22"/>
        <v>1.3048171078786663E-3</v>
      </c>
      <c r="M742" s="3">
        <f t="shared" si="23"/>
        <v>6.2816095704644936E-5</v>
      </c>
    </row>
    <row r="743" spans="1:13" x14ac:dyDescent="0.35">
      <c r="A743" t="s">
        <v>101</v>
      </c>
      <c r="B743" t="s">
        <v>51</v>
      </c>
      <c r="C743" s="2">
        <v>600261</v>
      </c>
      <c r="D743" s="2">
        <v>1858722</v>
      </c>
      <c r="E743" s="2">
        <v>3750709</v>
      </c>
      <c r="F743" s="2"/>
      <c r="G743" s="2">
        <v>405922</v>
      </c>
      <c r="H743" s="2"/>
      <c r="I743" s="2"/>
      <c r="J743" s="2">
        <v>69774</v>
      </c>
      <c r="K743" s="2">
        <v>6406084918</v>
      </c>
      <c r="L743" s="3">
        <f t="shared" si="22"/>
        <v>1.0435996533881726E-3</v>
      </c>
      <c r="M743" s="3">
        <f t="shared" si="23"/>
        <v>7.4256898884274199E-5</v>
      </c>
    </row>
    <row r="744" spans="1:13" x14ac:dyDescent="0.35">
      <c r="A744" t="s">
        <v>101</v>
      </c>
      <c r="B744" t="s">
        <v>52</v>
      </c>
      <c r="C744" s="2">
        <v>1030456</v>
      </c>
      <c r="D744" s="2">
        <v>2189796</v>
      </c>
      <c r="E744" s="2">
        <v>8034686</v>
      </c>
      <c r="F744" s="2"/>
      <c r="G744" s="2">
        <v>498731</v>
      </c>
      <c r="H744" s="2"/>
      <c r="I744" s="2">
        <v>324</v>
      </c>
      <c r="J744" s="2">
        <v>43632</v>
      </c>
      <c r="K744" s="2">
        <v>7837669089</v>
      </c>
      <c r="L744" s="3">
        <f t="shared" si="22"/>
        <v>1.5052466321342545E-3</v>
      </c>
      <c r="M744" s="3">
        <f t="shared" si="23"/>
        <v>6.9240866619598614E-5</v>
      </c>
    </row>
    <row r="745" spans="1:13" x14ac:dyDescent="0.35">
      <c r="A745" t="s">
        <v>101</v>
      </c>
      <c r="B745" t="s">
        <v>53</v>
      </c>
      <c r="C745" s="2">
        <v>890870</v>
      </c>
      <c r="D745" s="2">
        <v>1849052</v>
      </c>
      <c r="E745" s="2">
        <v>6134490</v>
      </c>
      <c r="F745" s="2"/>
      <c r="G745" s="2">
        <v>302847</v>
      </c>
      <c r="H745" s="2"/>
      <c r="I745" s="2"/>
      <c r="J745" s="2">
        <v>57974</v>
      </c>
      <c r="K745" s="2">
        <v>5962505907</v>
      </c>
      <c r="L745" s="3">
        <f t="shared" si="22"/>
        <v>1.5488845032686355E-3</v>
      </c>
      <c r="M745" s="3">
        <f t="shared" si="23"/>
        <v>6.0514992459193214E-5</v>
      </c>
    </row>
    <row r="746" spans="1:13" x14ac:dyDescent="0.35">
      <c r="A746" t="s">
        <v>101</v>
      </c>
      <c r="B746" t="s">
        <v>54</v>
      </c>
      <c r="C746" s="2">
        <v>1347296</v>
      </c>
      <c r="D746" s="2">
        <v>2047767</v>
      </c>
      <c r="E746" s="2">
        <v>8091224</v>
      </c>
      <c r="F746" s="2"/>
      <c r="G746" s="2">
        <v>361463</v>
      </c>
      <c r="H746" s="2"/>
      <c r="I746" s="2"/>
      <c r="J746" s="2">
        <v>53726</v>
      </c>
      <c r="K746" s="2">
        <v>6915552838</v>
      </c>
      <c r="L746" s="3">
        <f t="shared" si="22"/>
        <v>1.7209724629104193E-3</v>
      </c>
      <c r="M746" s="3">
        <f t="shared" si="23"/>
        <v>6.0036993386644989E-5</v>
      </c>
    </row>
    <row r="747" spans="1:13" x14ac:dyDescent="0.35">
      <c r="A747" t="s">
        <v>101</v>
      </c>
      <c r="B747" t="s">
        <v>55</v>
      </c>
      <c r="C747" s="2">
        <v>1588121</v>
      </c>
      <c r="D747" s="2">
        <v>1681271</v>
      </c>
      <c r="E747" s="2">
        <v>8866140</v>
      </c>
      <c r="F747" s="2"/>
      <c r="G747" s="2">
        <v>332474</v>
      </c>
      <c r="H747" s="2"/>
      <c r="I747" s="2"/>
      <c r="J747" s="2">
        <v>95568</v>
      </c>
      <c r="K747" s="2">
        <v>6886344320</v>
      </c>
      <c r="L747" s="3">
        <f t="shared" si="22"/>
        <v>1.8244185036626226E-3</v>
      </c>
      <c r="M747" s="3">
        <f t="shared" si="23"/>
        <v>6.2158088545883228E-5</v>
      </c>
    </row>
    <row r="748" spans="1:13" x14ac:dyDescent="0.35">
      <c r="A748" t="s">
        <v>101</v>
      </c>
      <c r="B748" t="s">
        <v>56</v>
      </c>
      <c r="C748" s="2">
        <v>1342675</v>
      </c>
      <c r="D748" s="2">
        <v>1988823</v>
      </c>
      <c r="E748" s="2">
        <v>3653506</v>
      </c>
      <c r="F748" s="2"/>
      <c r="G748" s="2">
        <v>314612</v>
      </c>
      <c r="H748" s="2"/>
      <c r="I748" s="2"/>
      <c r="J748" s="2">
        <v>95061</v>
      </c>
      <c r="K748" s="2">
        <v>6405416459</v>
      </c>
      <c r="L748" s="3">
        <f t="shared" si="22"/>
        <v>1.1544412525449502E-3</v>
      </c>
      <c r="M748" s="3">
        <f t="shared" si="23"/>
        <v>6.3957277816711596E-5</v>
      </c>
    </row>
    <row r="749" spans="1:13" x14ac:dyDescent="0.35">
      <c r="A749" t="s">
        <v>101</v>
      </c>
      <c r="B749" t="s">
        <v>57</v>
      </c>
      <c r="C749" s="2">
        <v>737831</v>
      </c>
      <c r="D749" s="2">
        <v>2493292</v>
      </c>
      <c r="E749" s="2">
        <v>3769104</v>
      </c>
      <c r="F749" s="2"/>
      <c r="G749" s="2">
        <v>447261</v>
      </c>
      <c r="H749" s="2"/>
      <c r="I749" s="2"/>
      <c r="J749" s="2">
        <v>40833</v>
      </c>
      <c r="K749" s="2">
        <v>5316329641</v>
      </c>
      <c r="L749" s="3">
        <f t="shared" si="22"/>
        <v>1.4085509187107986E-3</v>
      </c>
      <c r="M749" s="3">
        <f t="shared" si="23"/>
        <v>9.1810334001070267E-5</v>
      </c>
    </row>
    <row r="750" spans="1:13" x14ac:dyDescent="0.35">
      <c r="A750" t="s">
        <v>101</v>
      </c>
      <c r="B750" t="s">
        <v>58</v>
      </c>
      <c r="C750" s="2">
        <v>2168004</v>
      </c>
      <c r="D750" s="2">
        <v>2554936</v>
      </c>
      <c r="E750" s="2">
        <v>4196296</v>
      </c>
      <c r="F750" s="2"/>
      <c r="G750" s="2">
        <v>335569</v>
      </c>
      <c r="H750" s="2"/>
      <c r="I750" s="2"/>
      <c r="J750" s="2">
        <v>47912</v>
      </c>
      <c r="K750" s="2">
        <v>6174787847</v>
      </c>
      <c r="L750" s="3">
        <f t="shared" si="22"/>
        <v>1.5065646351752301E-3</v>
      </c>
      <c r="M750" s="3">
        <f t="shared" si="23"/>
        <v>6.2104319938103287E-5</v>
      </c>
    </row>
    <row r="751" spans="1:13" x14ac:dyDescent="0.35">
      <c r="A751" t="s">
        <v>101</v>
      </c>
      <c r="B751" t="s">
        <v>59</v>
      </c>
      <c r="C751" s="2">
        <v>1379251</v>
      </c>
      <c r="D751" s="2">
        <v>2490294</v>
      </c>
      <c r="E751" s="2">
        <v>6102075</v>
      </c>
      <c r="F751" s="2"/>
      <c r="G751" s="2">
        <v>517799</v>
      </c>
      <c r="H751" s="2"/>
      <c r="I751" s="2"/>
      <c r="J751" s="2">
        <v>60855</v>
      </c>
      <c r="K751" s="2">
        <v>6335735054</v>
      </c>
      <c r="L751" s="3">
        <f t="shared" si="22"/>
        <v>1.6652012607975446E-3</v>
      </c>
      <c r="M751" s="3">
        <f t="shared" si="23"/>
        <v>9.1331786299156059E-5</v>
      </c>
    </row>
    <row r="752" spans="1:13" x14ac:dyDescent="0.35">
      <c r="A752" t="s">
        <v>101</v>
      </c>
      <c r="B752" t="s">
        <v>60</v>
      </c>
      <c r="C752" s="2">
        <v>1726680</v>
      </c>
      <c r="D752" s="2">
        <v>532721</v>
      </c>
      <c r="E752" s="2">
        <v>9394252</v>
      </c>
      <c r="F752" s="2"/>
      <c r="G752" s="2">
        <v>573773</v>
      </c>
      <c r="H752" s="2"/>
      <c r="I752" s="2">
        <v>289374</v>
      </c>
      <c r="J752" s="2">
        <v>65837</v>
      </c>
      <c r="K752" s="2">
        <v>6923245205</v>
      </c>
      <c r="L752" s="3">
        <f t="shared" si="22"/>
        <v>1.8174478336998321E-3</v>
      </c>
      <c r="M752" s="3">
        <f t="shared" si="23"/>
        <v>1.3418331613173015E-4</v>
      </c>
    </row>
    <row r="753" spans="1:13" x14ac:dyDescent="0.35">
      <c r="A753" t="s">
        <v>101</v>
      </c>
      <c r="B753" t="s">
        <v>61</v>
      </c>
      <c r="C753" s="2">
        <v>886571</v>
      </c>
      <c r="D753" s="2">
        <v>145021</v>
      </c>
      <c r="E753" s="2">
        <v>7736947</v>
      </c>
      <c r="F753" s="2"/>
      <c r="G753" s="2">
        <v>434554</v>
      </c>
      <c r="H753" s="2"/>
      <c r="I753" s="2"/>
      <c r="J753" s="2">
        <v>196547</v>
      </c>
      <c r="K753" s="2">
        <v>5795788152</v>
      </c>
      <c r="L753" s="3">
        <f t="shared" si="22"/>
        <v>1.6218053099053299E-3</v>
      </c>
      <c r="M753" s="3">
        <f t="shared" si="23"/>
        <v>1.0888959075949331E-4</v>
      </c>
    </row>
    <row r="754" spans="1:13" x14ac:dyDescent="0.35">
      <c r="A754" t="s">
        <v>101</v>
      </c>
      <c r="B754" t="s">
        <v>62</v>
      </c>
      <c r="C754" s="2">
        <v>1002488</v>
      </c>
      <c r="D754" s="2">
        <v>150891</v>
      </c>
      <c r="E754" s="2">
        <v>3972618</v>
      </c>
      <c r="F754" s="2"/>
      <c r="G754" s="2">
        <v>69139</v>
      </c>
      <c r="H754" s="2"/>
      <c r="I754" s="2"/>
      <c r="J754" s="2">
        <v>8281</v>
      </c>
      <c r="K754" s="2">
        <v>6323177649</v>
      </c>
      <c r="L754" s="3">
        <f t="shared" si="22"/>
        <v>8.2291172079008588E-4</v>
      </c>
      <c r="M754" s="3">
        <f t="shared" si="23"/>
        <v>1.2243843886347847E-5</v>
      </c>
    </row>
    <row r="755" spans="1:13" x14ac:dyDescent="0.35">
      <c r="A755" t="s">
        <v>101</v>
      </c>
      <c r="B755" t="s">
        <v>63</v>
      </c>
      <c r="C755" s="2">
        <v>978522</v>
      </c>
      <c r="D755" s="2">
        <v>165782</v>
      </c>
      <c r="E755" s="2">
        <v>5010688</v>
      </c>
      <c r="F755" s="2"/>
      <c r="G755" s="2">
        <v>57685</v>
      </c>
      <c r="H755" s="2"/>
      <c r="I755" s="2"/>
      <c r="J755" s="2">
        <v>7217</v>
      </c>
      <c r="K755" s="2">
        <v>6504777367</v>
      </c>
      <c r="L755" s="3">
        <f t="shared" si="22"/>
        <v>9.5620397887170297E-4</v>
      </c>
      <c r="M755" s="3">
        <f t="shared" si="23"/>
        <v>9.9775897526117442E-6</v>
      </c>
    </row>
    <row r="756" spans="1:13" x14ac:dyDescent="0.35">
      <c r="A756" t="s">
        <v>101</v>
      </c>
      <c r="B756" t="s">
        <v>64</v>
      </c>
      <c r="C756" s="2">
        <v>1675301</v>
      </c>
      <c r="D756" s="2">
        <v>865809</v>
      </c>
      <c r="E756" s="2">
        <v>3827283</v>
      </c>
      <c r="F756" s="2"/>
      <c r="G756" s="2">
        <v>74886</v>
      </c>
      <c r="H756" s="2"/>
      <c r="I756" s="2"/>
      <c r="J756" s="2">
        <v>34551</v>
      </c>
      <c r="K756" s="2">
        <v>6777036575</v>
      </c>
      <c r="L756" s="3">
        <f t="shared" si="22"/>
        <v>9.5584993947004043E-4</v>
      </c>
      <c r="M756" s="3">
        <f t="shared" si="23"/>
        <v>1.6148208555300588E-5</v>
      </c>
    </row>
    <row r="757" spans="1:13" x14ac:dyDescent="0.35">
      <c r="A757" t="s">
        <v>101</v>
      </c>
      <c r="B757" t="s">
        <v>65</v>
      </c>
      <c r="C757" s="2">
        <v>3517357</v>
      </c>
      <c r="D757" s="2">
        <v>915840</v>
      </c>
      <c r="E757" s="2">
        <v>5467917</v>
      </c>
      <c r="F757" s="2"/>
      <c r="G757" s="2">
        <v>51559</v>
      </c>
      <c r="H757" s="2"/>
      <c r="I757" s="2"/>
      <c r="J757" s="2">
        <v>20486</v>
      </c>
      <c r="K757" s="2">
        <v>6853882129</v>
      </c>
      <c r="L757" s="3">
        <f t="shared" si="22"/>
        <v>1.4551109593498525E-3</v>
      </c>
      <c r="M757" s="3">
        <f t="shared" si="23"/>
        <v>1.0511560987482514E-5</v>
      </c>
    </row>
    <row r="758" spans="1:13" x14ac:dyDescent="0.35">
      <c r="A758" t="s">
        <v>101</v>
      </c>
      <c r="B758" t="s">
        <v>66</v>
      </c>
      <c r="C758" s="2">
        <v>1491140</v>
      </c>
      <c r="D758" s="2">
        <v>501171</v>
      </c>
      <c r="E758" s="2">
        <v>5374499</v>
      </c>
      <c r="F758" s="2"/>
      <c r="G758" s="2">
        <v>68134</v>
      </c>
      <c r="H758" s="2"/>
      <c r="I758" s="2"/>
      <c r="J758" s="2">
        <v>24365</v>
      </c>
      <c r="K758" s="2">
        <v>6831917318</v>
      </c>
      <c r="L758" s="3">
        <f t="shared" si="22"/>
        <v>1.0918324465588915E-3</v>
      </c>
      <c r="M758" s="3">
        <f t="shared" si="23"/>
        <v>1.3539244650442944E-5</v>
      </c>
    </row>
    <row r="759" spans="1:13" x14ac:dyDescent="0.35">
      <c r="A759" t="s">
        <v>101</v>
      </c>
      <c r="B759" t="s">
        <v>67</v>
      </c>
      <c r="C759" s="2">
        <v>879293</v>
      </c>
      <c r="D759" s="2">
        <v>281216</v>
      </c>
      <c r="E759" s="2">
        <v>10083538</v>
      </c>
      <c r="F759" s="2"/>
      <c r="G759" s="2">
        <v>33367</v>
      </c>
      <c r="H759" s="2"/>
      <c r="I759" s="2"/>
      <c r="J759" s="2">
        <v>920963</v>
      </c>
      <c r="K759" s="2">
        <v>6551579373</v>
      </c>
      <c r="L759" s="3">
        <f t="shared" si="22"/>
        <v>1.8618986820599724E-3</v>
      </c>
      <c r="M759" s="3">
        <f t="shared" si="23"/>
        <v>1.4566411328739007E-4</v>
      </c>
    </row>
    <row r="760" spans="1:13" x14ac:dyDescent="0.35">
      <c r="A760" t="s">
        <v>101</v>
      </c>
      <c r="B760" t="s">
        <v>68</v>
      </c>
      <c r="C760" s="2">
        <v>1739157</v>
      </c>
      <c r="D760" s="2">
        <v>445009</v>
      </c>
      <c r="E760" s="2">
        <v>4813390</v>
      </c>
      <c r="F760" s="2"/>
      <c r="G760" s="2">
        <v>67957</v>
      </c>
      <c r="H760" s="2"/>
      <c r="I760" s="2"/>
      <c r="J760" s="2">
        <v>69923</v>
      </c>
      <c r="K760" s="2">
        <v>7882038604</v>
      </c>
      <c r="L760" s="3">
        <f t="shared" si="22"/>
        <v>9.0527798181283807E-4</v>
      </c>
      <c r="M760" s="3">
        <f t="shared" si="23"/>
        <v>1.7492936399731441E-5</v>
      </c>
    </row>
    <row r="761" spans="1:13" x14ac:dyDescent="0.35">
      <c r="A761" t="s">
        <v>101</v>
      </c>
      <c r="B761" t="s">
        <v>69</v>
      </c>
      <c r="C761" s="2">
        <v>936720</v>
      </c>
      <c r="D761" s="2">
        <v>665436</v>
      </c>
      <c r="E761" s="2">
        <v>5823177</v>
      </c>
      <c r="F761" s="2"/>
      <c r="G761" s="2">
        <v>23589</v>
      </c>
      <c r="H761" s="2">
        <v>667</v>
      </c>
      <c r="I761" s="2"/>
      <c r="J761" s="2">
        <v>160664</v>
      </c>
      <c r="K761" s="2">
        <v>5164268419</v>
      </c>
      <c r="L761" s="3">
        <f t="shared" si="22"/>
        <v>1.4736362215412569E-3</v>
      </c>
      <c r="M761" s="3">
        <f t="shared" si="23"/>
        <v>3.5807588799926782E-5</v>
      </c>
    </row>
    <row r="762" spans="1:13" x14ac:dyDescent="0.35">
      <c r="A762" t="s">
        <v>101</v>
      </c>
      <c r="B762" t="s">
        <v>70</v>
      </c>
      <c r="C762" s="2">
        <v>1172791</v>
      </c>
      <c r="D762" s="2">
        <v>172406</v>
      </c>
      <c r="E762" s="2">
        <v>5846666</v>
      </c>
      <c r="F762" s="2"/>
      <c r="G762" s="2">
        <v>66732</v>
      </c>
      <c r="H762" s="2"/>
      <c r="I762" s="2"/>
      <c r="J762" s="2">
        <v>129519</v>
      </c>
      <c r="K762" s="2">
        <v>6333356164</v>
      </c>
      <c r="L762" s="3">
        <f t="shared" si="22"/>
        <v>1.1665401105965655E-3</v>
      </c>
      <c r="M762" s="3">
        <f t="shared" si="23"/>
        <v>3.0986888297160354E-5</v>
      </c>
    </row>
    <row r="763" spans="1:13" x14ac:dyDescent="0.35">
      <c r="A763" t="s">
        <v>101</v>
      </c>
      <c r="B763" t="s">
        <v>71</v>
      </c>
      <c r="C763" s="2">
        <v>1393217</v>
      </c>
      <c r="D763" s="2">
        <v>483036</v>
      </c>
      <c r="E763" s="2">
        <v>6050477</v>
      </c>
      <c r="F763" s="2"/>
      <c r="G763" s="2">
        <v>78444</v>
      </c>
      <c r="H763" s="2"/>
      <c r="I763" s="2"/>
      <c r="J763" s="2">
        <v>264158</v>
      </c>
      <c r="K763" s="2">
        <v>7245705326</v>
      </c>
      <c r="L763" s="3">
        <f t="shared" si="22"/>
        <v>1.1412735721292567E-3</v>
      </c>
      <c r="M763" s="3">
        <f t="shared" si="23"/>
        <v>4.7283457522158689E-5</v>
      </c>
    </row>
    <row r="764" spans="1:13" x14ac:dyDescent="0.35">
      <c r="A764" t="s">
        <v>101</v>
      </c>
      <c r="B764" t="s">
        <v>72</v>
      </c>
      <c r="C764" s="2">
        <v>2332501</v>
      </c>
      <c r="D764" s="2">
        <v>1005890</v>
      </c>
      <c r="E764" s="2">
        <v>5193148</v>
      </c>
      <c r="F764" s="2"/>
      <c r="G764" s="2">
        <v>84972</v>
      </c>
      <c r="H764" s="2"/>
      <c r="I764" s="2"/>
      <c r="J764" s="2">
        <v>107857</v>
      </c>
      <c r="K764" s="2">
        <v>6781708799</v>
      </c>
      <c r="L764" s="3">
        <f t="shared" si="22"/>
        <v>1.2864557088158159E-3</v>
      </c>
      <c r="M764" s="3">
        <f t="shared" si="23"/>
        <v>2.8433689165248984E-5</v>
      </c>
    </row>
    <row r="765" spans="1:13" x14ac:dyDescent="0.35">
      <c r="A765" t="s">
        <v>101</v>
      </c>
      <c r="B765" t="s">
        <v>73</v>
      </c>
      <c r="C765" s="2">
        <v>1307305</v>
      </c>
      <c r="D765" s="2">
        <v>785080</v>
      </c>
      <c r="E765" s="2">
        <v>7587886</v>
      </c>
      <c r="F765" s="2"/>
      <c r="G765" s="2">
        <v>14369</v>
      </c>
      <c r="H765" s="2"/>
      <c r="I765" s="2"/>
      <c r="J765" s="2">
        <v>84991</v>
      </c>
      <c r="K765" s="2">
        <v>5645591938</v>
      </c>
      <c r="L765" s="3">
        <f t="shared" si="22"/>
        <v>1.7322596297075837E-3</v>
      </c>
      <c r="M765" s="3">
        <f t="shared" si="23"/>
        <v>1.7599571681973023E-5</v>
      </c>
    </row>
    <row r="766" spans="1:13" x14ac:dyDescent="0.35">
      <c r="A766" t="s">
        <v>101</v>
      </c>
      <c r="B766" t="s">
        <v>74</v>
      </c>
      <c r="C766" s="2">
        <v>632686</v>
      </c>
      <c r="D766" s="2">
        <v>140558</v>
      </c>
      <c r="E766" s="2">
        <v>4351716</v>
      </c>
      <c r="F766" s="2"/>
      <c r="G766" s="2"/>
      <c r="H766" s="2"/>
      <c r="I766" s="2"/>
      <c r="J766" s="2">
        <v>71789</v>
      </c>
      <c r="K766" s="2">
        <v>6980410317</v>
      </c>
      <c r="L766" s="3">
        <f t="shared" si="22"/>
        <v>7.4447615025493641E-4</v>
      </c>
      <c r="M766" s="3">
        <f t="shared" si="23"/>
        <v>1.0284352457786903E-5</v>
      </c>
    </row>
    <row r="767" spans="1:13" x14ac:dyDescent="0.35">
      <c r="A767" t="s">
        <v>101</v>
      </c>
      <c r="B767" t="s">
        <v>75</v>
      </c>
      <c r="C767" s="2">
        <v>2392366</v>
      </c>
      <c r="D767" s="2">
        <v>195202</v>
      </c>
      <c r="E767" s="2">
        <v>9927772</v>
      </c>
      <c r="F767" s="2"/>
      <c r="G767" s="2"/>
      <c r="H767" s="2"/>
      <c r="I767" s="2"/>
      <c r="J767" s="2">
        <v>28422</v>
      </c>
      <c r="K767" s="2">
        <v>7187098374</v>
      </c>
      <c r="L767" s="3">
        <f t="shared" si="22"/>
        <v>1.745316586367905E-3</v>
      </c>
      <c r="M767" s="3">
        <f t="shared" si="23"/>
        <v>3.9545861933404501E-6</v>
      </c>
    </row>
    <row r="768" spans="1:13" x14ac:dyDescent="0.35">
      <c r="A768" t="s">
        <v>101</v>
      </c>
      <c r="B768" t="s">
        <v>76</v>
      </c>
      <c r="C768" s="2">
        <v>1361835</v>
      </c>
      <c r="D768" s="2">
        <v>327004</v>
      </c>
      <c r="E768" s="2">
        <v>9777765</v>
      </c>
      <c r="F768" s="2">
        <v>119</v>
      </c>
      <c r="G768" s="2"/>
      <c r="H768" s="2"/>
      <c r="I768" s="2"/>
      <c r="J768" s="2">
        <v>48878</v>
      </c>
      <c r="K768" s="2">
        <v>6715052095</v>
      </c>
      <c r="L768" s="3">
        <f t="shared" si="22"/>
        <v>1.7148937695620364E-3</v>
      </c>
      <c r="M768" s="3">
        <f t="shared" si="23"/>
        <v>7.2965926856297904E-6</v>
      </c>
    </row>
    <row r="769" spans="1:13" x14ac:dyDescent="0.35">
      <c r="A769" t="s">
        <v>101</v>
      </c>
      <c r="B769" t="s">
        <v>77</v>
      </c>
      <c r="C769" s="2">
        <v>1667275</v>
      </c>
      <c r="D769" s="2">
        <v>525547</v>
      </c>
      <c r="E769" s="2">
        <v>2962679</v>
      </c>
      <c r="F769" s="2"/>
      <c r="G769" s="2">
        <v>134921</v>
      </c>
      <c r="H769" s="2"/>
      <c r="I769" s="2">
        <v>175610</v>
      </c>
      <c r="J769" s="2">
        <v>18740</v>
      </c>
      <c r="K769" s="2">
        <v>6340656375</v>
      </c>
      <c r="L769" s="3">
        <f t="shared" si="22"/>
        <v>8.6501643924837359E-4</v>
      </c>
      <c r="M769" s="3">
        <f t="shared" si="23"/>
        <v>5.1930112677017604E-5</v>
      </c>
    </row>
    <row r="770" spans="1:13" x14ac:dyDescent="0.35">
      <c r="A770" t="s">
        <v>101</v>
      </c>
      <c r="B770" t="s">
        <v>78</v>
      </c>
      <c r="C770" s="2">
        <v>907274</v>
      </c>
      <c r="D770" s="2">
        <v>994204</v>
      </c>
      <c r="E770" s="2">
        <v>4575520</v>
      </c>
      <c r="F770" s="2"/>
      <c r="G770" s="2"/>
      <c r="H770" s="2"/>
      <c r="I770" s="2">
        <v>606823</v>
      </c>
      <c r="J770" s="2">
        <v>567291</v>
      </c>
      <c r="K770" s="2">
        <v>6913774440</v>
      </c>
      <c r="L770" s="3">
        <f t="shared" ref="L770:L833" si="24">SUM(C770:J770)/K770</f>
        <v>1.1066476157703519E-3</v>
      </c>
      <c r="M770" s="3">
        <f t="shared" ref="M770:M833" si="25">SUM(F770:J770)/K770</f>
        <v>1.6982243348974516E-4</v>
      </c>
    </row>
    <row r="771" spans="1:13" x14ac:dyDescent="0.35">
      <c r="A771" t="s">
        <v>101</v>
      </c>
      <c r="B771" t="s">
        <v>79</v>
      </c>
      <c r="C771" s="2">
        <v>988688</v>
      </c>
      <c r="D771" s="2">
        <v>485189</v>
      </c>
      <c r="E771" s="2">
        <v>5224310</v>
      </c>
      <c r="F771" s="2">
        <v>100</v>
      </c>
      <c r="G771" s="2"/>
      <c r="H771" s="2"/>
      <c r="I771" s="2"/>
      <c r="J771" s="2">
        <v>3007</v>
      </c>
      <c r="K771" s="2">
        <v>6514571057</v>
      </c>
      <c r="L771" s="3">
        <f t="shared" si="24"/>
        <v>1.0286623541851407E-3</v>
      </c>
      <c r="M771" s="3">
        <f t="shared" si="25"/>
        <v>4.7693086356951836E-7</v>
      </c>
    </row>
    <row r="772" spans="1:13" x14ac:dyDescent="0.35">
      <c r="A772" t="s">
        <v>101</v>
      </c>
      <c r="B772" t="s">
        <v>80</v>
      </c>
      <c r="C772" s="2">
        <v>2163982</v>
      </c>
      <c r="D772" s="2">
        <v>504545</v>
      </c>
      <c r="E772" s="2">
        <v>4846814</v>
      </c>
      <c r="F772" s="2"/>
      <c r="G772" s="2"/>
      <c r="H772" s="2"/>
      <c r="I772" s="2"/>
      <c r="J772" s="2">
        <v>46152</v>
      </c>
      <c r="K772" s="2">
        <v>6947730219</v>
      </c>
      <c r="L772" s="3">
        <f t="shared" si="24"/>
        <v>1.0883400422373251E-3</v>
      </c>
      <c r="M772" s="3">
        <f t="shared" si="25"/>
        <v>6.6427449750118171E-6</v>
      </c>
    </row>
    <row r="773" spans="1:13" x14ac:dyDescent="0.35">
      <c r="A773" t="s">
        <v>101</v>
      </c>
      <c r="B773" t="s">
        <v>81</v>
      </c>
      <c r="C773" s="2">
        <v>768346</v>
      </c>
      <c r="D773" s="2">
        <v>388862</v>
      </c>
      <c r="E773" s="2">
        <v>5350002</v>
      </c>
      <c r="F773" s="2"/>
      <c r="G773" s="2"/>
      <c r="H773" s="2"/>
      <c r="I773" s="2"/>
      <c r="J773" s="2">
        <v>9669</v>
      </c>
      <c r="K773" s="2">
        <v>5021905020</v>
      </c>
      <c r="L773" s="3">
        <f t="shared" si="24"/>
        <v>1.2976906122370271E-3</v>
      </c>
      <c r="M773" s="3">
        <f t="shared" si="25"/>
        <v>1.9253649683721018E-6</v>
      </c>
    </row>
    <row r="774" spans="1:13" x14ac:dyDescent="0.35">
      <c r="A774" t="s">
        <v>101</v>
      </c>
      <c r="B774" t="s">
        <v>82</v>
      </c>
      <c r="C774" s="2">
        <v>1686938</v>
      </c>
      <c r="D774" s="2">
        <v>1811120</v>
      </c>
      <c r="E774" s="2">
        <v>5987458</v>
      </c>
      <c r="F774" s="2"/>
      <c r="G774" s="2"/>
      <c r="H774" s="2"/>
      <c r="I774" s="2"/>
      <c r="J774" s="2">
        <v>38553</v>
      </c>
      <c r="K774" s="2">
        <v>7200549145</v>
      </c>
      <c r="L774" s="3">
        <f t="shared" si="24"/>
        <v>1.3226864796296034E-3</v>
      </c>
      <c r="M774" s="3">
        <f t="shared" si="25"/>
        <v>5.3541749696647613E-6</v>
      </c>
    </row>
    <row r="775" spans="1:13" x14ac:dyDescent="0.35">
      <c r="A775" t="s">
        <v>101</v>
      </c>
      <c r="B775" t="s">
        <v>83</v>
      </c>
      <c r="C775" s="2">
        <v>3010184</v>
      </c>
      <c r="D775" s="2">
        <v>715357</v>
      </c>
      <c r="E775" s="2">
        <v>4738496</v>
      </c>
      <c r="F775" s="2"/>
      <c r="G775" s="2">
        <v>446707</v>
      </c>
      <c r="H775" s="2"/>
      <c r="I775" s="2"/>
      <c r="J775" s="2">
        <v>98033</v>
      </c>
      <c r="K775" s="2">
        <v>6813821425</v>
      </c>
      <c r="L775" s="3">
        <f t="shared" si="24"/>
        <v>1.3221328294496652E-3</v>
      </c>
      <c r="M775" s="3">
        <f t="shared" si="25"/>
        <v>7.994632762187483E-5</v>
      </c>
    </row>
    <row r="776" spans="1:13" x14ac:dyDescent="0.35">
      <c r="A776" t="s">
        <v>101</v>
      </c>
      <c r="B776" t="s">
        <v>84</v>
      </c>
      <c r="C776" s="2">
        <v>1665430</v>
      </c>
      <c r="D776" s="2">
        <v>1890973</v>
      </c>
      <c r="E776" s="2">
        <v>7322670</v>
      </c>
      <c r="F776" s="2"/>
      <c r="G776" s="2"/>
      <c r="H776" s="2"/>
      <c r="I776" s="2"/>
      <c r="J776" s="2">
        <v>41402</v>
      </c>
      <c r="K776" s="2">
        <v>6679401848</v>
      </c>
      <c r="L776" s="3">
        <f t="shared" si="24"/>
        <v>1.6349480460244948E-3</v>
      </c>
      <c r="M776" s="3">
        <f t="shared" si="25"/>
        <v>6.1984592246679875E-6</v>
      </c>
    </row>
    <row r="777" spans="1:13" x14ac:dyDescent="0.35">
      <c r="A777" t="s">
        <v>101</v>
      </c>
      <c r="B777" t="s">
        <v>85</v>
      </c>
      <c r="C777" s="2">
        <v>858437</v>
      </c>
      <c r="D777" s="2">
        <v>2648307</v>
      </c>
      <c r="E777" s="2">
        <v>6811719</v>
      </c>
      <c r="F777" s="2"/>
      <c r="G777" s="2"/>
      <c r="H777" s="2"/>
      <c r="I777" s="2"/>
      <c r="J777" s="2">
        <v>45206</v>
      </c>
      <c r="K777" s="2">
        <v>5652557194</v>
      </c>
      <c r="L777" s="3">
        <f t="shared" si="24"/>
        <v>1.8334478793068537E-3</v>
      </c>
      <c r="M777" s="3">
        <f t="shared" si="25"/>
        <v>7.9974422988562857E-6</v>
      </c>
    </row>
    <row r="778" spans="1:13" x14ac:dyDescent="0.35">
      <c r="A778" t="s">
        <v>101</v>
      </c>
      <c r="B778" t="s">
        <v>86</v>
      </c>
      <c r="C778" s="2">
        <v>652134</v>
      </c>
      <c r="D778" s="2">
        <v>595087</v>
      </c>
      <c r="E778" s="2">
        <v>5772086</v>
      </c>
      <c r="F778" s="2"/>
      <c r="G778" s="2">
        <v>1824</v>
      </c>
      <c r="H778" s="2"/>
      <c r="I778" s="2"/>
      <c r="J778" s="2">
        <v>21888</v>
      </c>
      <c r="K778" s="2">
        <v>5965052953</v>
      </c>
      <c r="L778" s="3">
        <f t="shared" si="24"/>
        <v>1.1807135754692436E-3</v>
      </c>
      <c r="M778" s="3">
        <f t="shared" si="25"/>
        <v>3.9751533116021271E-6</v>
      </c>
    </row>
    <row r="779" spans="1:13" x14ac:dyDescent="0.35">
      <c r="A779" t="s">
        <v>101</v>
      </c>
      <c r="B779" t="s">
        <v>87</v>
      </c>
      <c r="C779" s="2">
        <v>3944968</v>
      </c>
      <c r="D779" s="2">
        <v>633384</v>
      </c>
      <c r="E779" s="2">
        <v>6652844</v>
      </c>
      <c r="F779" s="2"/>
      <c r="G779" s="2">
        <v>1442</v>
      </c>
      <c r="H779" s="2"/>
      <c r="I779" s="2"/>
      <c r="J779" s="2">
        <v>10413</v>
      </c>
      <c r="K779" s="2">
        <v>6113569195</v>
      </c>
      <c r="L779" s="3">
        <f t="shared" si="24"/>
        <v>1.8390322643596086E-3</v>
      </c>
      <c r="M779" s="3">
        <f t="shared" si="25"/>
        <v>1.9391291113046769E-6</v>
      </c>
    </row>
    <row r="780" spans="1:13" x14ac:dyDescent="0.35">
      <c r="A780" t="s">
        <v>101</v>
      </c>
      <c r="B780" t="s">
        <v>88</v>
      </c>
      <c r="C780" s="2">
        <v>3538273</v>
      </c>
      <c r="D780" s="2">
        <v>495061</v>
      </c>
      <c r="E780" s="2">
        <v>7228418</v>
      </c>
      <c r="F780" s="2"/>
      <c r="G780" s="2">
        <v>23964</v>
      </c>
      <c r="H780" s="2"/>
      <c r="I780" s="2"/>
      <c r="J780" s="2">
        <v>7932</v>
      </c>
      <c r="K780" s="2">
        <v>7459293150</v>
      </c>
      <c r="L780" s="3">
        <f t="shared" si="24"/>
        <v>1.5140372918578753E-3</v>
      </c>
      <c r="M780" s="3">
        <f t="shared" si="25"/>
        <v>4.2760083775498222E-6</v>
      </c>
    </row>
    <row r="781" spans="1:13" x14ac:dyDescent="0.35">
      <c r="A781" t="s">
        <v>101</v>
      </c>
      <c r="B781" t="s">
        <v>89</v>
      </c>
      <c r="C781" s="2">
        <v>2933429</v>
      </c>
      <c r="D781" s="2">
        <v>868307</v>
      </c>
      <c r="E781" s="2">
        <v>3354766</v>
      </c>
      <c r="F781" s="2"/>
      <c r="G781" s="2">
        <v>891</v>
      </c>
      <c r="H781" s="2"/>
      <c r="I781" s="2"/>
      <c r="J781" s="2">
        <v>13597</v>
      </c>
      <c r="K781" s="2">
        <v>7363221017</v>
      </c>
      <c r="L781" s="3">
        <f t="shared" si="24"/>
        <v>9.7389308068355108E-4</v>
      </c>
      <c r="M781" s="3">
        <f t="shared" si="25"/>
        <v>1.9676171564795498E-6</v>
      </c>
    </row>
    <row r="782" spans="1:13" x14ac:dyDescent="0.35">
      <c r="A782" t="s">
        <v>101</v>
      </c>
      <c r="B782" t="s">
        <v>90</v>
      </c>
      <c r="C782" s="2">
        <v>11333876</v>
      </c>
      <c r="D782" s="2">
        <v>284056</v>
      </c>
      <c r="E782" s="2">
        <v>3106706</v>
      </c>
      <c r="F782" s="2"/>
      <c r="G782" s="2">
        <v>597</v>
      </c>
      <c r="H782" s="2"/>
      <c r="I782" s="2"/>
      <c r="J782" s="2">
        <v>99452</v>
      </c>
      <c r="K782" s="2">
        <v>7288172348</v>
      </c>
      <c r="L782" s="3">
        <f t="shared" si="24"/>
        <v>2.0340747024277148E-3</v>
      </c>
      <c r="M782" s="3">
        <f t="shared" si="25"/>
        <v>1.3727584258823841E-5</v>
      </c>
    </row>
    <row r="783" spans="1:13" x14ac:dyDescent="0.35">
      <c r="A783" t="s">
        <v>101</v>
      </c>
      <c r="B783" t="s">
        <v>91</v>
      </c>
      <c r="C783" s="2">
        <v>2162152</v>
      </c>
      <c r="D783" s="2">
        <v>238764</v>
      </c>
      <c r="E783" s="2">
        <v>7397851</v>
      </c>
      <c r="F783" s="2"/>
      <c r="G783" s="2">
        <v>438</v>
      </c>
      <c r="H783" s="2"/>
      <c r="I783" s="2"/>
      <c r="J783" s="2">
        <v>6160</v>
      </c>
      <c r="K783" s="2">
        <v>7210298834</v>
      </c>
      <c r="L783" s="3">
        <f t="shared" si="24"/>
        <v>1.3599110419339382E-3</v>
      </c>
      <c r="M783" s="3">
        <f t="shared" si="25"/>
        <v>9.150799643542208E-7</v>
      </c>
    </row>
    <row r="784" spans="1:13" x14ac:dyDescent="0.35">
      <c r="A784" t="s">
        <v>101</v>
      </c>
      <c r="B784" t="s">
        <v>95</v>
      </c>
      <c r="C784" s="2">
        <v>2255294</v>
      </c>
      <c r="D784" s="2">
        <v>1680934</v>
      </c>
      <c r="E784" s="2">
        <v>3541612</v>
      </c>
      <c r="F784" s="2"/>
      <c r="G784" s="2">
        <v>697</v>
      </c>
      <c r="H784" s="2"/>
      <c r="I784" s="2"/>
      <c r="J784" s="2">
        <v>78321</v>
      </c>
      <c r="K784" s="2">
        <v>7402653150</v>
      </c>
      <c r="L784" s="3">
        <f t="shared" si="24"/>
        <v>1.0208310246171671E-3</v>
      </c>
      <c r="M784" s="3">
        <f t="shared" si="25"/>
        <v>1.0674281017745644E-5</v>
      </c>
    </row>
    <row r="785" spans="1:13" x14ac:dyDescent="0.35">
      <c r="A785" t="s">
        <v>102</v>
      </c>
      <c r="B785" t="s">
        <v>14</v>
      </c>
      <c r="C785" s="2">
        <f t="shared" ref="C785:K794" si="26">SUMIF($B$2:$B$784,$B785,C$2:C$784)</f>
        <v>760599978</v>
      </c>
      <c r="D785" s="2">
        <f t="shared" si="26"/>
        <v>391658985</v>
      </c>
      <c r="E785" s="2">
        <f t="shared" si="26"/>
        <v>847537079</v>
      </c>
      <c r="F785" s="2">
        <f t="shared" si="26"/>
        <v>29081252</v>
      </c>
      <c r="G785" s="2">
        <f t="shared" si="26"/>
        <v>505152971</v>
      </c>
      <c r="H785" s="2">
        <f t="shared" si="26"/>
        <v>3062699</v>
      </c>
      <c r="I785" s="2">
        <f t="shared" si="26"/>
        <v>91529214</v>
      </c>
      <c r="J785" s="2">
        <f t="shared" si="26"/>
        <v>408479790</v>
      </c>
      <c r="K785" s="2">
        <f t="shared" si="26"/>
        <v>331747909314</v>
      </c>
      <c r="L785" s="3">
        <f t="shared" si="24"/>
        <v>9.1548488558080929E-3</v>
      </c>
      <c r="M785" s="3">
        <f t="shared" si="25"/>
        <v>3.1267896401969125E-3</v>
      </c>
    </row>
    <row r="786" spans="1:13" x14ac:dyDescent="0.35">
      <c r="A786" t="s">
        <v>102</v>
      </c>
      <c r="B786" t="s">
        <v>15</v>
      </c>
      <c r="C786" s="2">
        <f t="shared" si="26"/>
        <v>713179096</v>
      </c>
      <c r="D786" s="2">
        <f t="shared" si="26"/>
        <v>333302212</v>
      </c>
      <c r="E786" s="2">
        <f t="shared" si="26"/>
        <v>724049741</v>
      </c>
      <c r="F786" s="2">
        <f t="shared" si="26"/>
        <v>18711629</v>
      </c>
      <c r="G786" s="2">
        <f t="shared" si="26"/>
        <v>775754220</v>
      </c>
      <c r="H786" s="2">
        <f t="shared" si="26"/>
        <v>1916020</v>
      </c>
      <c r="I786" s="2">
        <f t="shared" si="26"/>
        <v>32860120</v>
      </c>
      <c r="J786" s="2">
        <f t="shared" si="26"/>
        <v>332676465</v>
      </c>
      <c r="K786" s="2">
        <f t="shared" si="26"/>
        <v>332050356412</v>
      </c>
      <c r="L786" s="3">
        <f t="shared" si="24"/>
        <v>8.8313397241516229E-3</v>
      </c>
      <c r="M786" s="3">
        <f t="shared" si="25"/>
        <v>3.4992236314853398E-3</v>
      </c>
    </row>
    <row r="787" spans="1:13" x14ac:dyDescent="0.35">
      <c r="A787" t="s">
        <v>102</v>
      </c>
      <c r="B787" t="s">
        <v>16</v>
      </c>
      <c r="C787" s="2">
        <f t="shared" si="26"/>
        <v>741845248</v>
      </c>
      <c r="D787" s="2">
        <f t="shared" si="26"/>
        <v>323018961</v>
      </c>
      <c r="E787" s="2">
        <f t="shared" si="26"/>
        <v>772234554</v>
      </c>
      <c r="F787" s="2">
        <f t="shared" si="26"/>
        <v>16248229</v>
      </c>
      <c r="G787" s="2">
        <f t="shared" si="26"/>
        <v>1039605801</v>
      </c>
      <c r="H787" s="2">
        <f t="shared" si="26"/>
        <v>32617</v>
      </c>
      <c r="I787" s="2">
        <f t="shared" si="26"/>
        <v>26751036</v>
      </c>
      <c r="J787" s="2">
        <f t="shared" si="26"/>
        <v>317433300</v>
      </c>
      <c r="K787" s="2">
        <f t="shared" si="26"/>
        <v>333303151680</v>
      </c>
      <c r="L787" s="3">
        <f t="shared" si="24"/>
        <v>9.7123886458414417E-3</v>
      </c>
      <c r="M787" s="3">
        <f t="shared" si="25"/>
        <v>4.2005932915515597E-3</v>
      </c>
    </row>
    <row r="788" spans="1:13" x14ac:dyDescent="0.35">
      <c r="A788" t="s">
        <v>102</v>
      </c>
      <c r="B788" t="s">
        <v>17</v>
      </c>
      <c r="C788" s="2">
        <f t="shared" si="26"/>
        <v>652238650</v>
      </c>
      <c r="D788" s="2">
        <f t="shared" si="26"/>
        <v>300972604</v>
      </c>
      <c r="E788" s="2">
        <f t="shared" si="26"/>
        <v>704616211</v>
      </c>
      <c r="F788" s="2">
        <f t="shared" si="26"/>
        <v>19241051</v>
      </c>
      <c r="G788" s="2">
        <f t="shared" si="26"/>
        <v>687842605</v>
      </c>
      <c r="H788" s="2">
        <f t="shared" si="26"/>
        <v>5535855</v>
      </c>
      <c r="I788" s="2">
        <f t="shared" si="26"/>
        <v>21537423</v>
      </c>
      <c r="J788" s="2">
        <f t="shared" si="26"/>
        <v>336884593</v>
      </c>
      <c r="K788" s="2">
        <f t="shared" si="26"/>
        <v>233029469438</v>
      </c>
      <c r="L788" s="3">
        <f t="shared" si="24"/>
        <v>1.1710402974272938E-2</v>
      </c>
      <c r="M788" s="3">
        <f t="shared" si="25"/>
        <v>4.596163436251406E-3</v>
      </c>
    </row>
    <row r="789" spans="1:13" x14ac:dyDescent="0.35">
      <c r="A789" t="s">
        <v>102</v>
      </c>
      <c r="B789" t="s">
        <v>18</v>
      </c>
      <c r="C789" s="2">
        <f t="shared" si="26"/>
        <v>653020446</v>
      </c>
      <c r="D789" s="2">
        <f t="shared" si="26"/>
        <v>281595102</v>
      </c>
      <c r="E789" s="2">
        <f t="shared" si="26"/>
        <v>748491888</v>
      </c>
      <c r="F789" s="2">
        <f t="shared" si="26"/>
        <v>13181230</v>
      </c>
      <c r="G789" s="2">
        <f t="shared" si="26"/>
        <v>1028115451</v>
      </c>
      <c r="H789" s="2">
        <f t="shared" si="26"/>
        <v>3919512</v>
      </c>
      <c r="I789" s="2">
        <f t="shared" si="26"/>
        <v>44586193</v>
      </c>
      <c r="J789" s="2">
        <f t="shared" si="26"/>
        <v>322626394</v>
      </c>
      <c r="K789" s="2">
        <f t="shared" si="26"/>
        <v>253352108583</v>
      </c>
      <c r="L789" s="3">
        <f t="shared" si="24"/>
        <v>1.2218316371287985E-2</v>
      </c>
      <c r="M789" s="3">
        <f t="shared" si="25"/>
        <v>5.5749635868425308E-3</v>
      </c>
    </row>
    <row r="790" spans="1:13" x14ac:dyDescent="0.35">
      <c r="A790" t="s">
        <v>102</v>
      </c>
      <c r="B790" t="s">
        <v>19</v>
      </c>
      <c r="C790" s="2">
        <f t="shared" si="26"/>
        <v>694549969</v>
      </c>
      <c r="D790" s="2">
        <f t="shared" si="26"/>
        <v>392460982</v>
      </c>
      <c r="E790" s="2">
        <f t="shared" si="26"/>
        <v>757701141</v>
      </c>
      <c r="F790" s="2">
        <f t="shared" si="26"/>
        <v>41344217</v>
      </c>
      <c r="G790" s="2">
        <f t="shared" si="26"/>
        <v>1226410571</v>
      </c>
      <c r="H790" s="2">
        <f t="shared" si="26"/>
        <v>4733238</v>
      </c>
      <c r="I790" s="2">
        <f t="shared" si="26"/>
        <v>40823624</v>
      </c>
      <c r="J790" s="2">
        <f t="shared" si="26"/>
        <v>313019880</v>
      </c>
      <c r="K790" s="2">
        <f t="shared" si="26"/>
        <v>302436432571</v>
      </c>
      <c r="L790" s="3">
        <f t="shared" si="24"/>
        <v>1.1476936136604962E-2</v>
      </c>
      <c r="M790" s="3">
        <f t="shared" si="25"/>
        <v>5.3774325936019702E-3</v>
      </c>
    </row>
    <row r="791" spans="1:13" x14ac:dyDescent="0.35">
      <c r="A791" t="s">
        <v>102</v>
      </c>
      <c r="B791" t="s">
        <v>20</v>
      </c>
      <c r="C791" s="2">
        <f t="shared" si="26"/>
        <v>689183114</v>
      </c>
      <c r="D791" s="2">
        <f t="shared" si="26"/>
        <v>311895925</v>
      </c>
      <c r="E791" s="2">
        <f t="shared" si="26"/>
        <v>858135660</v>
      </c>
      <c r="F791" s="2">
        <f t="shared" si="26"/>
        <v>19939077</v>
      </c>
      <c r="G791" s="2">
        <f t="shared" si="26"/>
        <v>680596988</v>
      </c>
      <c r="H791" s="2">
        <f t="shared" si="26"/>
        <v>1938374</v>
      </c>
      <c r="I791" s="2">
        <f t="shared" si="26"/>
        <v>44478988</v>
      </c>
      <c r="J791" s="2">
        <f t="shared" si="26"/>
        <v>318911664</v>
      </c>
      <c r="K791" s="2">
        <f t="shared" si="26"/>
        <v>321552676674</v>
      </c>
      <c r="L791" s="3">
        <f t="shared" si="24"/>
        <v>9.0967359384339259E-3</v>
      </c>
      <c r="M791" s="3">
        <f t="shared" si="25"/>
        <v>3.3147448872913811E-3</v>
      </c>
    </row>
    <row r="792" spans="1:13" x14ac:dyDescent="0.35">
      <c r="A792" t="s">
        <v>102</v>
      </c>
      <c r="B792" t="s">
        <v>21</v>
      </c>
      <c r="C792" s="2">
        <f t="shared" si="26"/>
        <v>636945014</v>
      </c>
      <c r="D792" s="2">
        <f t="shared" si="26"/>
        <v>277547230</v>
      </c>
      <c r="E792" s="2">
        <f t="shared" si="26"/>
        <v>699411875</v>
      </c>
      <c r="F792" s="2">
        <f t="shared" si="26"/>
        <v>18891466</v>
      </c>
      <c r="G792" s="2">
        <f t="shared" si="26"/>
        <v>730618725</v>
      </c>
      <c r="H792" s="2">
        <f t="shared" si="26"/>
        <v>1120707</v>
      </c>
      <c r="I792" s="2">
        <f t="shared" si="26"/>
        <v>47139817</v>
      </c>
      <c r="J792" s="2">
        <f t="shared" si="26"/>
        <v>251519731</v>
      </c>
      <c r="K792" s="2">
        <f t="shared" si="26"/>
        <v>267372840421</v>
      </c>
      <c r="L792" s="3">
        <f t="shared" si="24"/>
        <v>9.9606024336899232E-3</v>
      </c>
      <c r="M792" s="3">
        <f t="shared" si="25"/>
        <v>3.9244466429268132E-3</v>
      </c>
    </row>
    <row r="793" spans="1:13" x14ac:dyDescent="0.35">
      <c r="A793" t="s">
        <v>102</v>
      </c>
      <c r="B793" t="s">
        <v>22</v>
      </c>
      <c r="C793" s="2">
        <f t="shared" si="26"/>
        <v>714063483</v>
      </c>
      <c r="D793" s="2">
        <f t="shared" si="26"/>
        <v>319335576</v>
      </c>
      <c r="E793" s="2">
        <f t="shared" si="26"/>
        <v>802581145</v>
      </c>
      <c r="F793" s="2">
        <f t="shared" si="26"/>
        <v>23927572</v>
      </c>
      <c r="G793" s="2">
        <f t="shared" si="26"/>
        <v>1416597485</v>
      </c>
      <c r="H793" s="2">
        <f t="shared" si="26"/>
        <v>1408888</v>
      </c>
      <c r="I793" s="2">
        <f t="shared" si="26"/>
        <v>25948313</v>
      </c>
      <c r="J793" s="2">
        <f t="shared" si="26"/>
        <v>312935778</v>
      </c>
      <c r="K793" s="2">
        <f t="shared" si="26"/>
        <v>334432977742</v>
      </c>
      <c r="L793" s="3">
        <f t="shared" si="24"/>
        <v>1.0814717688487638E-2</v>
      </c>
      <c r="M793" s="3">
        <f t="shared" si="25"/>
        <v>5.3248876591764256E-3</v>
      </c>
    </row>
    <row r="794" spans="1:13" x14ac:dyDescent="0.35">
      <c r="A794" t="s">
        <v>102</v>
      </c>
      <c r="B794" t="s">
        <v>23</v>
      </c>
      <c r="C794" s="2">
        <f t="shared" si="26"/>
        <v>697236895</v>
      </c>
      <c r="D794" s="2">
        <f t="shared" si="26"/>
        <v>389758874</v>
      </c>
      <c r="E794" s="2">
        <f t="shared" si="26"/>
        <v>861108093</v>
      </c>
      <c r="F794" s="2">
        <f t="shared" si="26"/>
        <v>25641839</v>
      </c>
      <c r="G794" s="2">
        <f t="shared" si="26"/>
        <v>811249882</v>
      </c>
      <c r="H794" s="2">
        <f t="shared" si="26"/>
        <v>109245</v>
      </c>
      <c r="I794" s="2">
        <f t="shared" si="26"/>
        <v>24507394</v>
      </c>
      <c r="J794" s="2">
        <f t="shared" si="26"/>
        <v>360876996</v>
      </c>
      <c r="K794" s="2">
        <f t="shared" si="26"/>
        <v>345208478445</v>
      </c>
      <c r="L794" s="3">
        <f t="shared" si="24"/>
        <v>9.1842738981427856E-3</v>
      </c>
      <c r="M794" s="3">
        <f t="shared" si="25"/>
        <v>3.5410061812683876E-3</v>
      </c>
    </row>
    <row r="795" spans="1:13" x14ac:dyDescent="0.35">
      <c r="A795" t="s">
        <v>102</v>
      </c>
      <c r="B795" t="s">
        <v>24</v>
      </c>
      <c r="C795" s="2">
        <f t="shared" ref="C795:K804" si="27">SUMIF($B$2:$B$784,$B795,C$2:C$784)</f>
        <v>781684683</v>
      </c>
      <c r="D795" s="2">
        <f t="shared" si="27"/>
        <v>372737021</v>
      </c>
      <c r="E795" s="2">
        <f t="shared" si="27"/>
        <v>906703101</v>
      </c>
      <c r="F795" s="2">
        <f t="shared" si="27"/>
        <v>45567121</v>
      </c>
      <c r="G795" s="2">
        <f t="shared" si="27"/>
        <v>1065527303</v>
      </c>
      <c r="H795" s="2">
        <f t="shared" si="27"/>
        <v>1118316</v>
      </c>
      <c r="I795" s="2">
        <f t="shared" si="27"/>
        <v>34859150</v>
      </c>
      <c r="J795" s="2">
        <f t="shared" si="27"/>
        <v>356910261</v>
      </c>
      <c r="K795" s="2">
        <f t="shared" si="27"/>
        <v>343352391773</v>
      </c>
      <c r="L795" s="3">
        <f t="shared" si="24"/>
        <v>1.0383230294655973E-2</v>
      </c>
      <c r="M795" s="3">
        <f t="shared" si="25"/>
        <v>4.3802873870595468E-3</v>
      </c>
    </row>
    <row r="796" spans="1:13" x14ac:dyDescent="0.35">
      <c r="A796" t="s">
        <v>102</v>
      </c>
      <c r="B796" t="s">
        <v>25</v>
      </c>
      <c r="C796" s="2">
        <f t="shared" si="27"/>
        <v>835902495</v>
      </c>
      <c r="D796" s="2">
        <f t="shared" si="27"/>
        <v>354768274</v>
      </c>
      <c r="E796" s="2">
        <f t="shared" si="27"/>
        <v>840081591</v>
      </c>
      <c r="F796" s="2">
        <f t="shared" si="27"/>
        <v>50951656</v>
      </c>
      <c r="G796" s="2">
        <f t="shared" si="27"/>
        <v>1774300666</v>
      </c>
      <c r="H796" s="2">
        <f t="shared" si="27"/>
        <v>1578752</v>
      </c>
      <c r="I796" s="2">
        <f t="shared" si="27"/>
        <v>45421449</v>
      </c>
      <c r="J796" s="2">
        <f t="shared" si="27"/>
        <v>377029619</v>
      </c>
      <c r="K796" s="2">
        <f t="shared" si="27"/>
        <v>322788853900</v>
      </c>
      <c r="L796" s="3">
        <f t="shared" si="24"/>
        <v>1.325954861912907E-2</v>
      </c>
      <c r="M796" s="3">
        <f t="shared" si="25"/>
        <v>6.9682769860970094E-3</v>
      </c>
    </row>
    <row r="797" spans="1:13" x14ac:dyDescent="0.35">
      <c r="A797" t="s">
        <v>102</v>
      </c>
      <c r="B797" t="s">
        <v>26</v>
      </c>
      <c r="C797" s="2">
        <f t="shared" si="27"/>
        <v>623633357</v>
      </c>
      <c r="D797" s="2">
        <f t="shared" si="27"/>
        <v>335567627</v>
      </c>
      <c r="E797" s="2">
        <f t="shared" si="27"/>
        <v>903751908</v>
      </c>
      <c r="F797" s="2">
        <f t="shared" si="27"/>
        <v>23120030</v>
      </c>
      <c r="G797" s="2">
        <f t="shared" si="27"/>
        <v>1058343482</v>
      </c>
      <c r="H797" s="2">
        <f t="shared" si="27"/>
        <v>2154956</v>
      </c>
      <c r="I797" s="2">
        <f t="shared" si="27"/>
        <v>37707916</v>
      </c>
      <c r="J797" s="2">
        <f t="shared" si="27"/>
        <v>310559772</v>
      </c>
      <c r="K797" s="2">
        <f t="shared" si="27"/>
        <v>304870411176</v>
      </c>
      <c r="L797" s="3">
        <f t="shared" si="24"/>
        <v>1.0807342815888773E-2</v>
      </c>
      <c r="M797" s="3">
        <f t="shared" si="25"/>
        <v>4.6967042504278316E-3</v>
      </c>
    </row>
    <row r="798" spans="1:13" x14ac:dyDescent="0.35">
      <c r="A798" t="s">
        <v>102</v>
      </c>
      <c r="B798" t="s">
        <v>27</v>
      </c>
      <c r="C798" s="2">
        <f t="shared" si="27"/>
        <v>718322120</v>
      </c>
      <c r="D798" s="2">
        <f t="shared" si="27"/>
        <v>282687830</v>
      </c>
      <c r="E798" s="2">
        <f t="shared" si="27"/>
        <v>779872855</v>
      </c>
      <c r="F798" s="2">
        <f t="shared" si="27"/>
        <v>11027152</v>
      </c>
      <c r="G798" s="2">
        <f t="shared" si="27"/>
        <v>1113326471</v>
      </c>
      <c r="H798" s="2">
        <f t="shared" si="27"/>
        <v>77654</v>
      </c>
      <c r="I798" s="2">
        <f t="shared" si="27"/>
        <v>27345451</v>
      </c>
      <c r="J798" s="2">
        <f t="shared" si="27"/>
        <v>317009855</v>
      </c>
      <c r="K798" s="2">
        <f t="shared" si="27"/>
        <v>326134636129</v>
      </c>
      <c r="L798" s="3">
        <f t="shared" si="24"/>
        <v>9.9641958504358887E-3</v>
      </c>
      <c r="M798" s="3">
        <f t="shared" si="25"/>
        <v>4.5036203465952419E-3</v>
      </c>
    </row>
    <row r="799" spans="1:13" x14ac:dyDescent="0.35">
      <c r="A799" t="s">
        <v>102</v>
      </c>
      <c r="B799" t="s">
        <v>28</v>
      </c>
      <c r="C799" s="2">
        <f t="shared" si="27"/>
        <v>790943245</v>
      </c>
      <c r="D799" s="2">
        <f t="shared" si="27"/>
        <v>382601384</v>
      </c>
      <c r="E799" s="2">
        <f t="shared" si="27"/>
        <v>965332733</v>
      </c>
      <c r="F799" s="2">
        <f t="shared" si="27"/>
        <v>26672043</v>
      </c>
      <c r="G799" s="2">
        <f t="shared" si="27"/>
        <v>1576034673</v>
      </c>
      <c r="H799" s="2">
        <f t="shared" si="27"/>
        <v>553454</v>
      </c>
      <c r="I799" s="2">
        <f t="shared" si="27"/>
        <v>47464558</v>
      </c>
      <c r="J799" s="2">
        <f t="shared" si="27"/>
        <v>390054876</v>
      </c>
      <c r="K799" s="2">
        <f t="shared" si="27"/>
        <v>392516646506</v>
      </c>
      <c r="L799" s="3">
        <f t="shared" si="24"/>
        <v>1.0648355944150027E-2</v>
      </c>
      <c r="M799" s="3">
        <f t="shared" si="25"/>
        <v>5.1992179749981758E-3</v>
      </c>
    </row>
    <row r="800" spans="1:13" x14ac:dyDescent="0.35">
      <c r="A800" t="s">
        <v>102</v>
      </c>
      <c r="B800" t="s">
        <v>29</v>
      </c>
      <c r="C800" s="2">
        <f t="shared" si="27"/>
        <v>693446376</v>
      </c>
      <c r="D800" s="2">
        <f t="shared" si="27"/>
        <v>310808818</v>
      </c>
      <c r="E800" s="2">
        <f t="shared" si="27"/>
        <v>837633744</v>
      </c>
      <c r="F800" s="2">
        <f t="shared" si="27"/>
        <v>28055508</v>
      </c>
      <c r="G800" s="2">
        <f t="shared" si="27"/>
        <v>1080889894</v>
      </c>
      <c r="H800" s="2">
        <f t="shared" si="27"/>
        <v>1487234</v>
      </c>
      <c r="I800" s="2">
        <f t="shared" si="27"/>
        <v>49844285</v>
      </c>
      <c r="J800" s="2">
        <f t="shared" si="27"/>
        <v>385016739</v>
      </c>
      <c r="K800" s="2">
        <f t="shared" si="27"/>
        <v>354127406814</v>
      </c>
      <c r="L800" s="3">
        <f t="shared" si="24"/>
        <v>9.56486996720665E-3</v>
      </c>
      <c r="M800" s="3">
        <f t="shared" si="25"/>
        <v>4.363665817064653E-3</v>
      </c>
    </row>
    <row r="801" spans="1:13" x14ac:dyDescent="0.35">
      <c r="A801" t="s">
        <v>102</v>
      </c>
      <c r="B801" t="s">
        <v>30</v>
      </c>
      <c r="C801" s="2">
        <f t="shared" si="27"/>
        <v>672635581</v>
      </c>
      <c r="D801" s="2">
        <f t="shared" si="27"/>
        <v>346406653</v>
      </c>
      <c r="E801" s="2">
        <f t="shared" si="27"/>
        <v>859677282</v>
      </c>
      <c r="F801" s="2">
        <f t="shared" si="27"/>
        <v>21319135</v>
      </c>
      <c r="G801" s="2">
        <f t="shared" si="27"/>
        <v>800897423</v>
      </c>
      <c r="H801" s="2">
        <f t="shared" si="27"/>
        <v>2825192</v>
      </c>
      <c r="I801" s="2">
        <f t="shared" si="27"/>
        <v>36556396</v>
      </c>
      <c r="J801" s="2">
        <f t="shared" si="27"/>
        <v>337661563</v>
      </c>
      <c r="K801" s="2">
        <f t="shared" si="27"/>
        <v>347739379418</v>
      </c>
      <c r="L801" s="3">
        <f t="shared" si="24"/>
        <v>8.8513967850046577E-3</v>
      </c>
      <c r="M801" s="3">
        <f t="shared" si="25"/>
        <v>3.4487313775252077E-3</v>
      </c>
    </row>
    <row r="802" spans="1:13" x14ac:dyDescent="0.35">
      <c r="A802" t="s">
        <v>102</v>
      </c>
      <c r="B802" t="s">
        <v>31</v>
      </c>
      <c r="C802" s="2">
        <f t="shared" si="27"/>
        <v>801174913</v>
      </c>
      <c r="D802" s="2">
        <f t="shared" si="27"/>
        <v>298644316</v>
      </c>
      <c r="E802" s="2">
        <f t="shared" si="27"/>
        <v>826559379</v>
      </c>
      <c r="F802" s="2">
        <f t="shared" si="27"/>
        <v>26755410</v>
      </c>
      <c r="G802" s="2">
        <f t="shared" si="27"/>
        <v>1533859883</v>
      </c>
      <c r="H802" s="2">
        <f t="shared" si="27"/>
        <v>2325181</v>
      </c>
      <c r="I802" s="2">
        <f t="shared" si="27"/>
        <v>50051381</v>
      </c>
      <c r="J802" s="2">
        <f t="shared" si="27"/>
        <v>442973658</v>
      </c>
      <c r="K802" s="2">
        <f t="shared" si="27"/>
        <v>379584166837</v>
      </c>
      <c r="L802" s="3">
        <f t="shared" si="24"/>
        <v>1.0491333593242542E-2</v>
      </c>
      <c r="M802" s="3">
        <f t="shared" si="25"/>
        <v>5.4163626742705188E-3</v>
      </c>
    </row>
    <row r="803" spans="1:13" x14ac:dyDescent="0.35">
      <c r="A803" t="s">
        <v>102</v>
      </c>
      <c r="B803" t="s">
        <v>32</v>
      </c>
      <c r="C803" s="2">
        <f t="shared" si="27"/>
        <v>669782095</v>
      </c>
      <c r="D803" s="2">
        <f t="shared" si="27"/>
        <v>317233703</v>
      </c>
      <c r="E803" s="2">
        <f t="shared" si="27"/>
        <v>841454883</v>
      </c>
      <c r="F803" s="2">
        <f t="shared" si="27"/>
        <v>22229895</v>
      </c>
      <c r="G803" s="2">
        <f t="shared" si="27"/>
        <v>1328860964</v>
      </c>
      <c r="H803" s="2">
        <f t="shared" si="27"/>
        <v>5009205</v>
      </c>
      <c r="I803" s="2">
        <f t="shared" si="27"/>
        <v>44210421</v>
      </c>
      <c r="J803" s="2">
        <f t="shared" si="27"/>
        <v>310314061</v>
      </c>
      <c r="K803" s="2">
        <f t="shared" si="27"/>
        <v>368108559553</v>
      </c>
      <c r="L803" s="3">
        <f t="shared" si="24"/>
        <v>9.6142703970197776E-3</v>
      </c>
      <c r="M803" s="3">
        <f t="shared" si="25"/>
        <v>4.6470653876596575E-3</v>
      </c>
    </row>
    <row r="804" spans="1:13" x14ac:dyDescent="0.35">
      <c r="A804" t="s">
        <v>102</v>
      </c>
      <c r="B804" t="s">
        <v>33</v>
      </c>
      <c r="C804" s="2">
        <f t="shared" si="27"/>
        <v>746567583</v>
      </c>
      <c r="D804" s="2">
        <f t="shared" si="27"/>
        <v>342615870</v>
      </c>
      <c r="E804" s="2">
        <f t="shared" si="27"/>
        <v>861564789</v>
      </c>
      <c r="F804" s="2">
        <f t="shared" si="27"/>
        <v>19993042</v>
      </c>
      <c r="G804" s="2">
        <f t="shared" si="27"/>
        <v>1454472028</v>
      </c>
      <c r="H804" s="2">
        <f t="shared" si="27"/>
        <v>2642334</v>
      </c>
      <c r="I804" s="2">
        <f t="shared" si="27"/>
        <v>67821331</v>
      </c>
      <c r="J804" s="2">
        <f t="shared" si="27"/>
        <v>253254190</v>
      </c>
      <c r="K804" s="2">
        <f t="shared" si="27"/>
        <v>322133265495</v>
      </c>
      <c r="L804" s="3">
        <f t="shared" si="24"/>
        <v>1.1637826851689084E-2</v>
      </c>
      <c r="M804" s="3">
        <f t="shared" si="25"/>
        <v>5.5821087655658786E-3</v>
      </c>
    </row>
    <row r="805" spans="1:13" x14ac:dyDescent="0.35">
      <c r="A805" t="s">
        <v>102</v>
      </c>
      <c r="B805" t="s">
        <v>34</v>
      </c>
      <c r="C805" s="2">
        <f t="shared" ref="C805:K814" si="28">SUMIF($B$2:$B$784,$B805,C$2:C$784)</f>
        <v>747858057</v>
      </c>
      <c r="D805" s="2">
        <f t="shared" si="28"/>
        <v>420933460</v>
      </c>
      <c r="E805" s="2">
        <f t="shared" si="28"/>
        <v>891761397</v>
      </c>
      <c r="F805" s="2">
        <f t="shared" si="28"/>
        <v>89985514</v>
      </c>
      <c r="G805" s="2">
        <f t="shared" si="28"/>
        <v>1554434387</v>
      </c>
      <c r="H805" s="2">
        <f t="shared" si="28"/>
        <v>2434999</v>
      </c>
      <c r="I805" s="2">
        <f t="shared" si="28"/>
        <v>44792427</v>
      </c>
      <c r="J805" s="2">
        <f t="shared" si="28"/>
        <v>505513104</v>
      </c>
      <c r="K805" s="2">
        <f t="shared" si="28"/>
        <v>380703044936</v>
      </c>
      <c r="L805" s="3">
        <f t="shared" si="24"/>
        <v>1.1183817417892638E-2</v>
      </c>
      <c r="M805" s="3">
        <f t="shared" si="25"/>
        <v>5.7713235032553116E-3</v>
      </c>
    </row>
    <row r="806" spans="1:13" x14ac:dyDescent="0.35">
      <c r="A806" t="s">
        <v>102</v>
      </c>
      <c r="B806" t="s">
        <v>35</v>
      </c>
      <c r="C806" s="2">
        <f t="shared" si="28"/>
        <v>733268374</v>
      </c>
      <c r="D806" s="2">
        <f t="shared" si="28"/>
        <v>320245812</v>
      </c>
      <c r="E806" s="2">
        <f t="shared" si="28"/>
        <v>891649417</v>
      </c>
      <c r="F806" s="2">
        <f t="shared" si="28"/>
        <v>41919050</v>
      </c>
      <c r="G806" s="2">
        <f t="shared" si="28"/>
        <v>999084392</v>
      </c>
      <c r="H806" s="2">
        <f t="shared" si="28"/>
        <v>3095145</v>
      </c>
      <c r="I806" s="2">
        <f t="shared" si="28"/>
        <v>67967411</v>
      </c>
      <c r="J806" s="2">
        <f t="shared" si="28"/>
        <v>355985676</v>
      </c>
      <c r="K806" s="2">
        <f t="shared" si="28"/>
        <v>386777995854</v>
      </c>
      <c r="L806" s="3">
        <f t="shared" si="24"/>
        <v>8.8247400668791196E-3</v>
      </c>
      <c r="M806" s="3">
        <f t="shared" si="25"/>
        <v>3.795592535605765E-3</v>
      </c>
    </row>
    <row r="807" spans="1:13" x14ac:dyDescent="0.35">
      <c r="A807" t="s">
        <v>102</v>
      </c>
      <c r="B807" t="s">
        <v>36</v>
      </c>
      <c r="C807" s="2">
        <f t="shared" si="28"/>
        <v>833616850</v>
      </c>
      <c r="D807" s="2">
        <f t="shared" si="28"/>
        <v>410188549</v>
      </c>
      <c r="E807" s="2">
        <f t="shared" si="28"/>
        <v>1055052407</v>
      </c>
      <c r="F807" s="2">
        <f t="shared" si="28"/>
        <v>49063388</v>
      </c>
      <c r="G807" s="2">
        <f t="shared" si="28"/>
        <v>1300994592</v>
      </c>
      <c r="H807" s="2">
        <f t="shared" si="28"/>
        <v>8382003</v>
      </c>
      <c r="I807" s="2">
        <f t="shared" si="28"/>
        <v>32542425</v>
      </c>
      <c r="J807" s="2">
        <f t="shared" si="28"/>
        <v>394460258</v>
      </c>
      <c r="K807" s="2">
        <f t="shared" si="28"/>
        <v>406033440704</v>
      </c>
      <c r="L807" s="3">
        <f t="shared" si="24"/>
        <v>1.0059024854993338E-2</v>
      </c>
      <c r="M807" s="3">
        <f t="shared" si="25"/>
        <v>4.397279846961164E-3</v>
      </c>
    </row>
    <row r="808" spans="1:13" x14ac:dyDescent="0.35">
      <c r="A808" t="s">
        <v>102</v>
      </c>
      <c r="B808" t="s">
        <v>37</v>
      </c>
      <c r="C808" s="2">
        <f t="shared" si="28"/>
        <v>767379253</v>
      </c>
      <c r="D808" s="2">
        <f t="shared" si="28"/>
        <v>381604585</v>
      </c>
      <c r="E808" s="2">
        <f t="shared" si="28"/>
        <v>1014162757</v>
      </c>
      <c r="F808" s="2">
        <f t="shared" si="28"/>
        <v>67131299</v>
      </c>
      <c r="G808" s="2">
        <f t="shared" si="28"/>
        <v>1833555553</v>
      </c>
      <c r="H808" s="2">
        <f t="shared" si="28"/>
        <v>5052208</v>
      </c>
      <c r="I808" s="2">
        <f t="shared" si="28"/>
        <v>67796884</v>
      </c>
      <c r="J808" s="2">
        <f t="shared" si="28"/>
        <v>399210076</v>
      </c>
      <c r="K808" s="2">
        <f t="shared" si="28"/>
        <v>388394691935</v>
      </c>
      <c r="L808" s="3">
        <f t="shared" si="24"/>
        <v>1.1678564895936083E-2</v>
      </c>
      <c r="M808" s="3">
        <f t="shared" si="25"/>
        <v>6.1091103181118971E-3</v>
      </c>
    </row>
    <row r="809" spans="1:13" x14ac:dyDescent="0.35">
      <c r="A809" t="s">
        <v>102</v>
      </c>
      <c r="B809" t="s">
        <v>38</v>
      </c>
      <c r="C809" s="2">
        <f t="shared" si="28"/>
        <v>819837616</v>
      </c>
      <c r="D809" s="2">
        <f t="shared" si="28"/>
        <v>443036654</v>
      </c>
      <c r="E809" s="2">
        <f t="shared" si="28"/>
        <v>1049492110</v>
      </c>
      <c r="F809" s="2">
        <f t="shared" si="28"/>
        <v>24900293</v>
      </c>
      <c r="G809" s="2">
        <f t="shared" si="28"/>
        <v>902408096</v>
      </c>
      <c r="H809" s="2">
        <f t="shared" si="28"/>
        <v>2848161</v>
      </c>
      <c r="I809" s="2">
        <f t="shared" si="28"/>
        <v>29384039</v>
      </c>
      <c r="J809" s="2">
        <f t="shared" si="28"/>
        <v>310523153</v>
      </c>
      <c r="K809" s="2">
        <f t="shared" si="28"/>
        <v>380888141318</v>
      </c>
      <c r="L809" s="3">
        <f t="shared" si="24"/>
        <v>9.4054651048037282E-3</v>
      </c>
      <c r="M809" s="3">
        <f t="shared" si="25"/>
        <v>3.3344796128468475E-3</v>
      </c>
    </row>
    <row r="810" spans="1:13" x14ac:dyDescent="0.35">
      <c r="A810" t="s">
        <v>102</v>
      </c>
      <c r="B810" t="s">
        <v>39</v>
      </c>
      <c r="C810" s="2">
        <f t="shared" si="28"/>
        <v>693594596</v>
      </c>
      <c r="D810" s="2">
        <f t="shared" si="28"/>
        <v>378680810</v>
      </c>
      <c r="E810" s="2">
        <f t="shared" si="28"/>
        <v>953384161</v>
      </c>
      <c r="F810" s="2">
        <f t="shared" si="28"/>
        <v>33020287</v>
      </c>
      <c r="G810" s="2">
        <f t="shared" si="28"/>
        <v>1185356410</v>
      </c>
      <c r="H810" s="2">
        <f t="shared" si="28"/>
        <v>3781040</v>
      </c>
      <c r="I810" s="2">
        <f t="shared" si="28"/>
        <v>36177263</v>
      </c>
      <c r="J810" s="2">
        <f t="shared" si="28"/>
        <v>434880905</v>
      </c>
      <c r="K810" s="2">
        <f t="shared" si="28"/>
        <v>398141155629</v>
      </c>
      <c r="L810" s="3">
        <f t="shared" si="24"/>
        <v>9.3405954632466096E-3</v>
      </c>
      <c r="M810" s="3">
        <f t="shared" si="25"/>
        <v>4.2528030098395305E-3</v>
      </c>
    </row>
    <row r="811" spans="1:13" x14ac:dyDescent="0.35">
      <c r="A811" t="s">
        <v>102</v>
      </c>
      <c r="B811" t="s">
        <v>40</v>
      </c>
      <c r="C811" s="2">
        <f t="shared" si="28"/>
        <v>829903706</v>
      </c>
      <c r="D811" s="2">
        <f t="shared" si="28"/>
        <v>363723463</v>
      </c>
      <c r="E811" s="2">
        <f t="shared" si="28"/>
        <v>982890792</v>
      </c>
      <c r="F811" s="2">
        <f t="shared" si="28"/>
        <v>48454870</v>
      </c>
      <c r="G811" s="2">
        <f t="shared" si="28"/>
        <v>1718225131</v>
      </c>
      <c r="H811" s="2">
        <f t="shared" si="28"/>
        <v>2838755</v>
      </c>
      <c r="I811" s="2">
        <f t="shared" si="28"/>
        <v>57804809</v>
      </c>
      <c r="J811" s="2">
        <f t="shared" si="28"/>
        <v>519384977</v>
      </c>
      <c r="K811" s="2">
        <f t="shared" si="28"/>
        <v>467989965930</v>
      </c>
      <c r="L811" s="3">
        <f t="shared" si="24"/>
        <v>9.6652211207378016E-3</v>
      </c>
      <c r="M811" s="3">
        <f t="shared" si="25"/>
        <v>5.0144420026967222E-3</v>
      </c>
    </row>
    <row r="812" spans="1:13" x14ac:dyDescent="0.35">
      <c r="A812" t="s">
        <v>102</v>
      </c>
      <c r="B812" t="s">
        <v>41</v>
      </c>
      <c r="C812" s="2">
        <f t="shared" si="28"/>
        <v>787567898</v>
      </c>
      <c r="D812" s="2">
        <f t="shared" si="28"/>
        <v>329423727</v>
      </c>
      <c r="E812" s="2">
        <f t="shared" si="28"/>
        <v>783526132</v>
      </c>
      <c r="F812" s="2">
        <f t="shared" si="28"/>
        <v>14894670</v>
      </c>
      <c r="G812" s="2">
        <f t="shared" si="28"/>
        <v>1074792730</v>
      </c>
      <c r="H812" s="2">
        <f t="shared" si="28"/>
        <v>3525160</v>
      </c>
      <c r="I812" s="2">
        <f t="shared" si="28"/>
        <v>75706367</v>
      </c>
      <c r="J812" s="2">
        <f t="shared" si="28"/>
        <v>401500214</v>
      </c>
      <c r="K812" s="2">
        <f t="shared" si="28"/>
        <v>415193726558</v>
      </c>
      <c r="L812" s="3">
        <f t="shared" si="24"/>
        <v>8.3598009217876069E-3</v>
      </c>
      <c r="M812" s="3">
        <f t="shared" si="25"/>
        <v>3.7823768533762326E-3</v>
      </c>
    </row>
    <row r="813" spans="1:13" x14ac:dyDescent="0.35">
      <c r="A813" t="s">
        <v>102</v>
      </c>
      <c r="B813" t="s">
        <v>42</v>
      </c>
      <c r="C813" s="2">
        <f t="shared" si="28"/>
        <v>854400495</v>
      </c>
      <c r="D813" s="2">
        <f t="shared" si="28"/>
        <v>331629311</v>
      </c>
      <c r="E813" s="2">
        <f t="shared" si="28"/>
        <v>986995808</v>
      </c>
      <c r="F813" s="2">
        <f t="shared" si="28"/>
        <v>45025239</v>
      </c>
      <c r="G813" s="2">
        <f t="shared" si="28"/>
        <v>1443589402</v>
      </c>
      <c r="H813" s="2">
        <f t="shared" si="28"/>
        <v>2774143</v>
      </c>
      <c r="I813" s="2">
        <f t="shared" si="28"/>
        <v>56222007</v>
      </c>
      <c r="J813" s="2">
        <f t="shared" si="28"/>
        <v>379781590</v>
      </c>
      <c r="K813" s="2">
        <f t="shared" si="28"/>
        <v>457861471750</v>
      </c>
      <c r="L813" s="3">
        <f t="shared" si="24"/>
        <v>8.9555864557192884E-3</v>
      </c>
      <c r="M813" s="3">
        <f t="shared" si="25"/>
        <v>4.2095535438552651E-3</v>
      </c>
    </row>
    <row r="814" spans="1:13" x14ac:dyDescent="0.35">
      <c r="A814" t="s">
        <v>102</v>
      </c>
      <c r="B814" t="s">
        <v>43</v>
      </c>
      <c r="C814" s="2">
        <f t="shared" si="28"/>
        <v>917053880</v>
      </c>
      <c r="D814" s="2">
        <f t="shared" si="28"/>
        <v>361095549</v>
      </c>
      <c r="E814" s="2">
        <f t="shared" si="28"/>
        <v>988711999</v>
      </c>
      <c r="F814" s="2">
        <f t="shared" si="28"/>
        <v>67242514</v>
      </c>
      <c r="G814" s="2">
        <f t="shared" si="28"/>
        <v>1997987980</v>
      </c>
      <c r="H814" s="2">
        <f t="shared" si="28"/>
        <v>2840057</v>
      </c>
      <c r="I814" s="2">
        <f t="shared" si="28"/>
        <v>153095510</v>
      </c>
      <c r="J814" s="2">
        <f t="shared" si="28"/>
        <v>493910353</v>
      </c>
      <c r="K814" s="2">
        <f t="shared" si="28"/>
        <v>461781278278</v>
      </c>
      <c r="L814" s="3">
        <f t="shared" si="24"/>
        <v>1.0788522784158414E-2</v>
      </c>
      <c r="M814" s="3">
        <f t="shared" si="25"/>
        <v>5.8795723034173741E-3</v>
      </c>
    </row>
    <row r="815" spans="1:13" x14ac:dyDescent="0.35">
      <c r="A815" t="s">
        <v>102</v>
      </c>
      <c r="B815" t="s">
        <v>44</v>
      </c>
      <c r="C815" s="2">
        <f t="shared" ref="C815:K824" si="29">SUMIF($B$2:$B$784,$B815,C$2:C$784)</f>
        <v>900298924</v>
      </c>
      <c r="D815" s="2">
        <f t="shared" si="29"/>
        <v>363466483</v>
      </c>
      <c r="E815" s="2">
        <f t="shared" si="29"/>
        <v>956184203</v>
      </c>
      <c r="F815" s="2">
        <f t="shared" si="29"/>
        <v>27401655</v>
      </c>
      <c r="G815" s="2">
        <f t="shared" si="29"/>
        <v>1104617084</v>
      </c>
      <c r="H815" s="2">
        <f t="shared" si="29"/>
        <v>5592465</v>
      </c>
      <c r="I815" s="2">
        <f t="shared" si="29"/>
        <v>63546862</v>
      </c>
      <c r="J815" s="2">
        <f t="shared" si="29"/>
        <v>439359982</v>
      </c>
      <c r="K815" s="2">
        <f t="shared" si="29"/>
        <v>436044625796</v>
      </c>
      <c r="L815" s="3">
        <f t="shared" si="24"/>
        <v>8.8533774517979939E-3</v>
      </c>
      <c r="M815" s="3">
        <f t="shared" si="25"/>
        <v>3.7622709946378364E-3</v>
      </c>
    </row>
    <row r="816" spans="1:13" x14ac:dyDescent="0.35">
      <c r="A816" t="s">
        <v>102</v>
      </c>
      <c r="B816" t="s">
        <v>45</v>
      </c>
      <c r="C816" s="2">
        <f t="shared" si="29"/>
        <v>898815746</v>
      </c>
      <c r="D816" s="2">
        <f t="shared" si="29"/>
        <v>448186129</v>
      </c>
      <c r="E816" s="2">
        <f t="shared" si="29"/>
        <v>1105316216</v>
      </c>
      <c r="F816" s="2">
        <f t="shared" si="29"/>
        <v>33086431</v>
      </c>
      <c r="G816" s="2">
        <f t="shared" si="29"/>
        <v>1685342502</v>
      </c>
      <c r="H816" s="2">
        <f t="shared" si="29"/>
        <v>4562652</v>
      </c>
      <c r="I816" s="2">
        <f t="shared" si="29"/>
        <v>112781903</v>
      </c>
      <c r="J816" s="2">
        <f t="shared" si="29"/>
        <v>435347807</v>
      </c>
      <c r="K816" s="2">
        <f t="shared" si="29"/>
        <v>418041267565</v>
      </c>
      <c r="L816" s="3">
        <f t="shared" si="24"/>
        <v>1.129897871928533E-2</v>
      </c>
      <c r="M816" s="3">
        <f t="shared" si="25"/>
        <v>5.4327681767610903E-3</v>
      </c>
    </row>
    <row r="817" spans="1:13" x14ac:dyDescent="0.35">
      <c r="A817" t="s">
        <v>102</v>
      </c>
      <c r="B817" t="s">
        <v>46</v>
      </c>
      <c r="C817" s="2">
        <f t="shared" si="29"/>
        <v>983481905</v>
      </c>
      <c r="D817" s="2">
        <f t="shared" si="29"/>
        <v>380891074</v>
      </c>
      <c r="E817" s="2">
        <f t="shared" si="29"/>
        <v>1069554758</v>
      </c>
      <c r="F817" s="2">
        <f t="shared" si="29"/>
        <v>42132120</v>
      </c>
      <c r="G817" s="2">
        <f t="shared" si="29"/>
        <v>1961555478</v>
      </c>
      <c r="H817" s="2">
        <f t="shared" si="29"/>
        <v>4285723</v>
      </c>
      <c r="I817" s="2">
        <f t="shared" si="29"/>
        <v>71377871</v>
      </c>
      <c r="J817" s="2">
        <f t="shared" si="29"/>
        <v>485604802</v>
      </c>
      <c r="K817" s="2">
        <f t="shared" si="29"/>
        <v>485637494903</v>
      </c>
      <c r="L817" s="3">
        <f t="shared" si="24"/>
        <v>1.0293446827038066E-2</v>
      </c>
      <c r="M817" s="3">
        <f t="shared" si="25"/>
        <v>5.2816267708330833E-3</v>
      </c>
    </row>
    <row r="818" spans="1:13" x14ac:dyDescent="0.35">
      <c r="A818" t="s">
        <v>102</v>
      </c>
      <c r="B818" t="s">
        <v>47</v>
      </c>
      <c r="C818" s="2">
        <f t="shared" si="29"/>
        <v>849406939</v>
      </c>
      <c r="D818" s="2">
        <f t="shared" si="29"/>
        <v>421452192</v>
      </c>
      <c r="E818" s="2">
        <f t="shared" si="29"/>
        <v>1036427902</v>
      </c>
      <c r="F818" s="2">
        <f t="shared" si="29"/>
        <v>40172205</v>
      </c>
      <c r="G818" s="2">
        <f t="shared" si="29"/>
        <v>1220641296</v>
      </c>
      <c r="H818" s="2">
        <f t="shared" si="29"/>
        <v>3808710</v>
      </c>
      <c r="I818" s="2">
        <f t="shared" si="29"/>
        <v>34081272</v>
      </c>
      <c r="J818" s="2">
        <f t="shared" si="29"/>
        <v>443740884</v>
      </c>
      <c r="K818" s="2">
        <f t="shared" si="29"/>
        <v>460936351278</v>
      </c>
      <c r="L818" s="3">
        <f t="shared" si="24"/>
        <v>8.7858798482082084E-3</v>
      </c>
      <c r="M818" s="3">
        <f t="shared" si="25"/>
        <v>3.7802277085954906E-3</v>
      </c>
    </row>
    <row r="819" spans="1:13" x14ac:dyDescent="0.35">
      <c r="A819" t="s">
        <v>102</v>
      </c>
      <c r="B819" t="s">
        <v>48</v>
      </c>
      <c r="C819" s="2">
        <f t="shared" si="29"/>
        <v>928995114</v>
      </c>
      <c r="D819" s="2">
        <f t="shared" si="29"/>
        <v>433952560</v>
      </c>
      <c r="E819" s="2">
        <f t="shared" si="29"/>
        <v>1082754441</v>
      </c>
      <c r="F819" s="2">
        <f t="shared" si="29"/>
        <v>37891872</v>
      </c>
      <c r="G819" s="2">
        <f t="shared" si="29"/>
        <v>1624800495</v>
      </c>
      <c r="H819" s="2">
        <f t="shared" si="29"/>
        <v>2912071</v>
      </c>
      <c r="I819" s="2">
        <f t="shared" si="29"/>
        <v>49988965</v>
      </c>
      <c r="J819" s="2">
        <f t="shared" si="29"/>
        <v>494076666</v>
      </c>
      <c r="K819" s="2">
        <f t="shared" si="29"/>
        <v>481839772840</v>
      </c>
      <c r="L819" s="3">
        <f t="shared" si="24"/>
        <v>9.6616602580581606E-3</v>
      </c>
      <c r="M819" s="3">
        <f t="shared" si="25"/>
        <v>4.5859021889704905E-3</v>
      </c>
    </row>
    <row r="820" spans="1:13" x14ac:dyDescent="0.35">
      <c r="A820" t="s">
        <v>102</v>
      </c>
      <c r="B820" t="s">
        <v>49</v>
      </c>
      <c r="C820" s="2">
        <f t="shared" si="29"/>
        <v>919345546</v>
      </c>
      <c r="D820" s="2">
        <f t="shared" si="29"/>
        <v>407812155</v>
      </c>
      <c r="E820" s="2">
        <f t="shared" si="29"/>
        <v>914467944</v>
      </c>
      <c r="F820" s="2">
        <f t="shared" si="29"/>
        <v>119198117</v>
      </c>
      <c r="G820" s="2">
        <f t="shared" si="29"/>
        <v>2917722507</v>
      </c>
      <c r="H820" s="2">
        <f t="shared" si="29"/>
        <v>10236436</v>
      </c>
      <c r="I820" s="2">
        <f t="shared" si="29"/>
        <v>53560872</v>
      </c>
      <c r="J820" s="2">
        <f t="shared" si="29"/>
        <v>457915843</v>
      </c>
      <c r="K820" s="2">
        <f t="shared" si="29"/>
        <v>429700791021</v>
      </c>
      <c r="L820" s="3">
        <f t="shared" si="24"/>
        <v>1.3498368030038219E-2</v>
      </c>
      <c r="M820" s="3">
        <f t="shared" si="25"/>
        <v>8.2816551641537121E-3</v>
      </c>
    </row>
    <row r="821" spans="1:13" x14ac:dyDescent="0.35">
      <c r="A821" t="s">
        <v>102</v>
      </c>
      <c r="B821" t="s">
        <v>50</v>
      </c>
      <c r="C821" s="2">
        <f t="shared" si="29"/>
        <v>796216546</v>
      </c>
      <c r="D821" s="2">
        <f t="shared" si="29"/>
        <v>515845398</v>
      </c>
      <c r="E821" s="2">
        <f t="shared" si="29"/>
        <v>929125203</v>
      </c>
      <c r="F821" s="2">
        <f t="shared" si="29"/>
        <v>31089703</v>
      </c>
      <c r="G821" s="2">
        <f t="shared" si="29"/>
        <v>778352281</v>
      </c>
      <c r="H821" s="2">
        <f t="shared" si="29"/>
        <v>3065511</v>
      </c>
      <c r="I821" s="2">
        <f t="shared" si="29"/>
        <v>27712088</v>
      </c>
      <c r="J821" s="2">
        <f t="shared" si="29"/>
        <v>446623408</v>
      </c>
      <c r="K821" s="2">
        <f t="shared" si="29"/>
        <v>423307082084</v>
      </c>
      <c r="L821" s="3">
        <f t="shared" si="24"/>
        <v>8.3344462857342563E-3</v>
      </c>
      <c r="M821" s="3">
        <f t="shared" si="25"/>
        <v>3.0399751042781802E-3</v>
      </c>
    </row>
    <row r="822" spans="1:13" x14ac:dyDescent="0.35">
      <c r="A822" t="s">
        <v>102</v>
      </c>
      <c r="B822" t="s">
        <v>51</v>
      </c>
      <c r="C822" s="2">
        <f t="shared" si="29"/>
        <v>667850809</v>
      </c>
      <c r="D822" s="2">
        <f t="shared" si="29"/>
        <v>817385737</v>
      </c>
      <c r="E822" s="2">
        <f t="shared" si="29"/>
        <v>881693583</v>
      </c>
      <c r="F822" s="2">
        <f t="shared" si="29"/>
        <v>41515066</v>
      </c>
      <c r="G822" s="2">
        <f t="shared" si="29"/>
        <v>1390314516</v>
      </c>
      <c r="H822" s="2">
        <f t="shared" si="29"/>
        <v>912453</v>
      </c>
      <c r="I822" s="2">
        <f t="shared" si="29"/>
        <v>48911233</v>
      </c>
      <c r="J822" s="2">
        <f t="shared" si="29"/>
        <v>481764826</v>
      </c>
      <c r="K822" s="2">
        <f t="shared" si="29"/>
        <v>430349433764</v>
      </c>
      <c r="L822" s="3">
        <f t="shared" si="24"/>
        <v>1.0062400187506058E-2</v>
      </c>
      <c r="M822" s="3">
        <f t="shared" si="25"/>
        <v>4.5623810326115635E-3</v>
      </c>
    </row>
    <row r="823" spans="1:13" x14ac:dyDescent="0.35">
      <c r="A823" t="s">
        <v>102</v>
      </c>
      <c r="B823" t="s">
        <v>52</v>
      </c>
      <c r="C823" s="2">
        <f t="shared" si="29"/>
        <v>958245031</v>
      </c>
      <c r="D823" s="2">
        <f t="shared" si="29"/>
        <v>656936363</v>
      </c>
      <c r="E823" s="2">
        <f t="shared" si="29"/>
        <v>1017489180</v>
      </c>
      <c r="F823" s="2">
        <f t="shared" si="29"/>
        <v>58387416</v>
      </c>
      <c r="G823" s="2">
        <f t="shared" si="29"/>
        <v>1707101356</v>
      </c>
      <c r="H823" s="2">
        <f t="shared" si="29"/>
        <v>8730233</v>
      </c>
      <c r="I823" s="2">
        <f t="shared" si="29"/>
        <v>255948793</v>
      </c>
      <c r="J823" s="2">
        <f t="shared" si="29"/>
        <v>696378687</v>
      </c>
      <c r="K823" s="2">
        <f t="shared" si="29"/>
        <v>493061533425</v>
      </c>
      <c r="L823" s="3">
        <f t="shared" si="24"/>
        <v>1.08692661984251E-2</v>
      </c>
      <c r="M823" s="3">
        <f t="shared" si="25"/>
        <v>5.5298300519619368E-3</v>
      </c>
    </row>
    <row r="824" spans="1:13" x14ac:dyDescent="0.35">
      <c r="A824" t="s">
        <v>102</v>
      </c>
      <c r="B824" t="s">
        <v>53</v>
      </c>
      <c r="C824" s="2">
        <f t="shared" si="29"/>
        <v>725554487</v>
      </c>
      <c r="D824" s="2">
        <f t="shared" si="29"/>
        <v>526642548</v>
      </c>
      <c r="E824" s="2">
        <f t="shared" si="29"/>
        <v>699104046</v>
      </c>
      <c r="F824" s="2">
        <f t="shared" si="29"/>
        <v>47789857</v>
      </c>
      <c r="G824" s="2">
        <f t="shared" si="29"/>
        <v>1264903356</v>
      </c>
      <c r="H824" s="2">
        <f t="shared" si="29"/>
        <v>4054528</v>
      </c>
      <c r="I824" s="2">
        <f t="shared" si="29"/>
        <v>37678982</v>
      </c>
      <c r="J824" s="2">
        <f t="shared" si="29"/>
        <v>432067370</v>
      </c>
      <c r="K824" s="2">
        <f t="shared" si="29"/>
        <v>396557873058</v>
      </c>
      <c r="L824" s="3">
        <f t="shared" si="24"/>
        <v>9.4255981987610548E-3</v>
      </c>
      <c r="M824" s="3">
        <f t="shared" si="25"/>
        <v>4.5050022061690603E-3</v>
      </c>
    </row>
    <row r="825" spans="1:13" x14ac:dyDescent="0.35">
      <c r="A825" t="s">
        <v>102</v>
      </c>
      <c r="B825" t="s">
        <v>54</v>
      </c>
      <c r="C825" s="2">
        <f t="shared" ref="C825:K834" si="30">SUMIF($B$2:$B$784,$B825,C$2:C$784)</f>
        <v>750914410</v>
      </c>
      <c r="D825" s="2">
        <f t="shared" si="30"/>
        <v>702303554</v>
      </c>
      <c r="E825" s="2">
        <f t="shared" si="30"/>
        <v>1151110690</v>
      </c>
      <c r="F825" s="2">
        <f t="shared" si="30"/>
        <v>48919821</v>
      </c>
      <c r="G825" s="2">
        <f t="shared" si="30"/>
        <v>1914424966</v>
      </c>
      <c r="H825" s="2">
        <f t="shared" si="30"/>
        <v>6206041</v>
      </c>
      <c r="I825" s="2">
        <f t="shared" si="30"/>
        <v>44052646</v>
      </c>
      <c r="J825" s="2">
        <f t="shared" si="30"/>
        <v>515150256</v>
      </c>
      <c r="K825" s="2">
        <f t="shared" si="30"/>
        <v>440698238951</v>
      </c>
      <c r="L825" s="3">
        <f t="shared" si="24"/>
        <v>1.1647612652635839E-2</v>
      </c>
      <c r="M825" s="3">
        <f t="shared" si="25"/>
        <v>5.7380617994281687E-3</v>
      </c>
    </row>
    <row r="826" spans="1:13" x14ac:dyDescent="0.35">
      <c r="A826" t="s">
        <v>102</v>
      </c>
      <c r="B826" t="s">
        <v>55</v>
      </c>
      <c r="C826" s="2">
        <f t="shared" si="30"/>
        <v>726391844</v>
      </c>
      <c r="D826" s="2">
        <f t="shared" si="30"/>
        <v>517430806</v>
      </c>
      <c r="E826" s="2">
        <f t="shared" si="30"/>
        <v>848603252</v>
      </c>
      <c r="F826" s="2">
        <f t="shared" si="30"/>
        <v>141849825</v>
      </c>
      <c r="G826" s="2">
        <f t="shared" si="30"/>
        <v>2112223421</v>
      </c>
      <c r="H826" s="2">
        <f t="shared" si="30"/>
        <v>4477463</v>
      </c>
      <c r="I826" s="2">
        <f t="shared" si="30"/>
        <v>73570982</v>
      </c>
      <c r="J826" s="2">
        <f t="shared" si="30"/>
        <v>645802192</v>
      </c>
      <c r="K826" s="2">
        <f t="shared" si="30"/>
        <v>455789027487</v>
      </c>
      <c r="L826" s="3">
        <f t="shared" si="24"/>
        <v>1.112433489887954E-2</v>
      </c>
      <c r="M826" s="3">
        <f t="shared" si="25"/>
        <v>6.5335576405137052E-3</v>
      </c>
    </row>
    <row r="827" spans="1:13" x14ac:dyDescent="0.35">
      <c r="A827" t="s">
        <v>102</v>
      </c>
      <c r="B827" t="s">
        <v>56</v>
      </c>
      <c r="C827" s="2">
        <f t="shared" si="30"/>
        <v>784416529</v>
      </c>
      <c r="D827" s="2">
        <f t="shared" si="30"/>
        <v>656911737</v>
      </c>
      <c r="E827" s="2">
        <f t="shared" si="30"/>
        <v>778589786</v>
      </c>
      <c r="F827" s="2">
        <f t="shared" si="30"/>
        <v>48742837</v>
      </c>
      <c r="G827" s="2">
        <f t="shared" si="30"/>
        <v>1385404293</v>
      </c>
      <c r="H827" s="2">
        <f t="shared" si="30"/>
        <v>3884848</v>
      </c>
      <c r="I827" s="2">
        <f t="shared" si="30"/>
        <v>62368233</v>
      </c>
      <c r="J827" s="2">
        <f t="shared" si="30"/>
        <v>426267154</v>
      </c>
      <c r="K827" s="2">
        <f t="shared" si="30"/>
        <v>414244990865</v>
      </c>
      <c r="L827" s="3">
        <f t="shared" si="24"/>
        <v>1.0009983242866413E-2</v>
      </c>
      <c r="M827" s="3">
        <f t="shared" si="25"/>
        <v>4.6510335851662468E-3</v>
      </c>
    </row>
    <row r="828" spans="1:13" x14ac:dyDescent="0.35">
      <c r="A828" t="s">
        <v>102</v>
      </c>
      <c r="B828" t="s">
        <v>57</v>
      </c>
      <c r="C828" s="2">
        <f t="shared" si="30"/>
        <v>981807117</v>
      </c>
      <c r="D828" s="2">
        <f t="shared" si="30"/>
        <v>1227885822</v>
      </c>
      <c r="E828" s="2">
        <f t="shared" si="30"/>
        <v>913963760</v>
      </c>
      <c r="F828" s="2">
        <f t="shared" si="30"/>
        <v>77318700</v>
      </c>
      <c r="G828" s="2">
        <f t="shared" si="30"/>
        <v>1965947298</v>
      </c>
      <c r="H828" s="2">
        <f t="shared" si="30"/>
        <v>2237965</v>
      </c>
      <c r="I828" s="2">
        <f t="shared" si="30"/>
        <v>55511831</v>
      </c>
      <c r="J828" s="2">
        <f t="shared" si="30"/>
        <v>511503409</v>
      </c>
      <c r="K828" s="2">
        <f t="shared" si="30"/>
        <v>387338363493</v>
      </c>
      <c r="L828" s="3">
        <f t="shared" si="24"/>
        <v>1.4809211900085039E-2</v>
      </c>
      <c r="M828" s="3">
        <f t="shared" si="25"/>
        <v>6.744798473976135E-3</v>
      </c>
    </row>
    <row r="829" spans="1:13" x14ac:dyDescent="0.35">
      <c r="A829" t="s">
        <v>102</v>
      </c>
      <c r="B829" t="s">
        <v>58</v>
      </c>
      <c r="C829" s="2">
        <f t="shared" si="30"/>
        <v>901985356</v>
      </c>
      <c r="D829" s="2">
        <f t="shared" si="30"/>
        <v>1201443965</v>
      </c>
      <c r="E829" s="2">
        <f t="shared" si="30"/>
        <v>876535834</v>
      </c>
      <c r="F829" s="2">
        <f t="shared" si="30"/>
        <v>80243962</v>
      </c>
      <c r="G829" s="2">
        <f t="shared" si="30"/>
        <v>2177103714</v>
      </c>
      <c r="H829" s="2">
        <f t="shared" si="30"/>
        <v>1973335</v>
      </c>
      <c r="I829" s="2">
        <f t="shared" si="30"/>
        <v>72614186</v>
      </c>
      <c r="J829" s="2">
        <f t="shared" si="30"/>
        <v>435544813</v>
      </c>
      <c r="K829" s="2">
        <f t="shared" si="30"/>
        <v>425081553356</v>
      </c>
      <c r="L829" s="3">
        <f t="shared" si="24"/>
        <v>1.3520805877423228E-2</v>
      </c>
      <c r="M829" s="3">
        <f t="shared" si="25"/>
        <v>6.510468375187933E-3</v>
      </c>
    </row>
    <row r="830" spans="1:13" x14ac:dyDescent="0.35">
      <c r="A830" t="s">
        <v>102</v>
      </c>
      <c r="B830" t="s">
        <v>59</v>
      </c>
      <c r="C830" s="2">
        <f t="shared" si="30"/>
        <v>869360026</v>
      </c>
      <c r="D830" s="2">
        <f t="shared" si="30"/>
        <v>1073735115</v>
      </c>
      <c r="E830" s="2">
        <f t="shared" si="30"/>
        <v>894022121</v>
      </c>
      <c r="F830" s="2">
        <f t="shared" si="30"/>
        <v>31954680</v>
      </c>
      <c r="G830" s="2">
        <f t="shared" si="30"/>
        <v>1324086908</v>
      </c>
      <c r="H830" s="2">
        <f t="shared" si="30"/>
        <v>2561780</v>
      </c>
      <c r="I830" s="2">
        <f t="shared" si="30"/>
        <v>73158413</v>
      </c>
      <c r="J830" s="2">
        <f t="shared" si="30"/>
        <v>495184219</v>
      </c>
      <c r="K830" s="2">
        <f t="shared" si="30"/>
        <v>443603881171</v>
      </c>
      <c r="L830" s="3">
        <f t="shared" si="24"/>
        <v>1.0739453517458189E-2</v>
      </c>
      <c r="M830" s="3">
        <f t="shared" si="25"/>
        <v>4.3438438701513581E-3</v>
      </c>
    </row>
    <row r="831" spans="1:13" x14ac:dyDescent="0.35">
      <c r="A831" t="s">
        <v>102</v>
      </c>
      <c r="B831" t="s">
        <v>60</v>
      </c>
      <c r="C831" s="2">
        <f t="shared" si="30"/>
        <v>1058178420</v>
      </c>
      <c r="D831" s="2">
        <f t="shared" si="30"/>
        <v>732242865</v>
      </c>
      <c r="E831" s="2">
        <f t="shared" si="30"/>
        <v>872532643</v>
      </c>
      <c r="F831" s="2">
        <f t="shared" si="30"/>
        <v>90656839</v>
      </c>
      <c r="G831" s="2">
        <f t="shared" si="30"/>
        <v>2058709195</v>
      </c>
      <c r="H831" s="2">
        <f t="shared" si="30"/>
        <v>5135187</v>
      </c>
      <c r="I831" s="2">
        <f t="shared" si="30"/>
        <v>69543152</v>
      </c>
      <c r="J831" s="2">
        <f t="shared" si="30"/>
        <v>572881185</v>
      </c>
      <c r="K831" s="2">
        <f t="shared" si="30"/>
        <v>452866009846</v>
      </c>
      <c r="L831" s="3">
        <f t="shared" si="24"/>
        <v>1.2056280151951936E-2</v>
      </c>
      <c r="M831" s="3">
        <f t="shared" si="25"/>
        <v>6.1760553832492585E-3</v>
      </c>
    </row>
    <row r="832" spans="1:13" x14ac:dyDescent="0.35">
      <c r="A832" t="s">
        <v>102</v>
      </c>
      <c r="B832" t="s">
        <v>61</v>
      </c>
      <c r="C832" s="2">
        <f t="shared" si="30"/>
        <v>912548449</v>
      </c>
      <c r="D832" s="2">
        <f t="shared" si="30"/>
        <v>739124331</v>
      </c>
      <c r="E832" s="2">
        <f t="shared" si="30"/>
        <v>819574616</v>
      </c>
      <c r="F832" s="2">
        <f t="shared" si="30"/>
        <v>119307712</v>
      </c>
      <c r="G832" s="2">
        <f t="shared" si="30"/>
        <v>2580783302</v>
      </c>
      <c r="H832" s="2">
        <f t="shared" si="30"/>
        <v>2424612</v>
      </c>
      <c r="I832" s="2">
        <f t="shared" si="30"/>
        <v>94579850</v>
      </c>
      <c r="J832" s="2">
        <f t="shared" si="30"/>
        <v>473173262</v>
      </c>
      <c r="K832" s="2">
        <f t="shared" si="30"/>
        <v>383267262831</v>
      </c>
      <c r="L832" s="3">
        <f t="shared" si="24"/>
        <v>1.498045017356908E-2</v>
      </c>
      <c r="M832" s="3">
        <f t="shared" si="25"/>
        <v>8.5326064998199717E-3</v>
      </c>
    </row>
    <row r="833" spans="1:13" x14ac:dyDescent="0.35">
      <c r="A833" t="s">
        <v>102</v>
      </c>
      <c r="B833" t="s">
        <v>62</v>
      </c>
      <c r="C833" s="2">
        <f t="shared" si="30"/>
        <v>875112718</v>
      </c>
      <c r="D833" s="2">
        <f t="shared" si="30"/>
        <v>583289405</v>
      </c>
      <c r="E833" s="2">
        <f t="shared" si="30"/>
        <v>737311390</v>
      </c>
      <c r="F833" s="2">
        <f t="shared" si="30"/>
        <v>30320572</v>
      </c>
      <c r="G833" s="2">
        <f t="shared" si="30"/>
        <v>1207596437</v>
      </c>
      <c r="H833" s="2">
        <f t="shared" si="30"/>
        <v>2900214</v>
      </c>
      <c r="I833" s="2">
        <f t="shared" si="30"/>
        <v>34982325</v>
      </c>
      <c r="J833" s="2">
        <f t="shared" si="30"/>
        <v>433314202</v>
      </c>
      <c r="K833" s="2">
        <f t="shared" si="30"/>
        <v>409769307726</v>
      </c>
      <c r="L833" s="3">
        <f t="shared" si="24"/>
        <v>9.5293307462916109E-3</v>
      </c>
      <c r="M833" s="3">
        <f t="shared" si="25"/>
        <v>4.170916947110229E-3</v>
      </c>
    </row>
    <row r="834" spans="1:13" x14ac:dyDescent="0.35">
      <c r="A834" t="s">
        <v>102</v>
      </c>
      <c r="B834" t="s">
        <v>63</v>
      </c>
      <c r="C834" s="2">
        <f t="shared" si="30"/>
        <v>869502597</v>
      </c>
      <c r="D834" s="2">
        <f t="shared" si="30"/>
        <v>573905769</v>
      </c>
      <c r="E834" s="2">
        <f t="shared" si="30"/>
        <v>830783926</v>
      </c>
      <c r="F834" s="2">
        <f t="shared" si="30"/>
        <v>35304878</v>
      </c>
      <c r="G834" s="2">
        <f t="shared" si="30"/>
        <v>1137190074</v>
      </c>
      <c r="H834" s="2">
        <f t="shared" si="30"/>
        <v>3080394</v>
      </c>
      <c r="I834" s="2">
        <f t="shared" si="30"/>
        <v>46390254</v>
      </c>
      <c r="J834" s="2">
        <f t="shared" si="30"/>
        <v>486098918</v>
      </c>
      <c r="K834" s="2">
        <f t="shared" si="30"/>
        <v>422032171846</v>
      </c>
      <c r="L834" s="3">
        <f t="shared" ref="L834:L897" si="31">SUM(C834:J834)/K834</f>
        <v>9.4359081502751636E-3</v>
      </c>
      <c r="M834" s="3">
        <f t="shared" ref="M834:M897" si="32">SUM(F834:J834)/K834</f>
        <v>4.0472377035352522E-3</v>
      </c>
    </row>
    <row r="835" spans="1:13" x14ac:dyDescent="0.35">
      <c r="A835" t="s">
        <v>102</v>
      </c>
      <c r="B835" t="s">
        <v>64</v>
      </c>
      <c r="C835" s="2">
        <f t="shared" ref="C835:K844" si="33">SUMIF($B$2:$B$784,$B835,C$2:C$784)</f>
        <v>968250070</v>
      </c>
      <c r="D835" s="2">
        <f t="shared" si="33"/>
        <v>815757163</v>
      </c>
      <c r="E835" s="2">
        <f t="shared" si="33"/>
        <v>791247641</v>
      </c>
      <c r="F835" s="2">
        <f t="shared" si="33"/>
        <v>69220270</v>
      </c>
      <c r="G835" s="2">
        <f t="shared" si="33"/>
        <v>2258199663</v>
      </c>
      <c r="H835" s="2">
        <f t="shared" si="33"/>
        <v>4271013</v>
      </c>
      <c r="I835" s="2">
        <f t="shared" si="33"/>
        <v>103416422</v>
      </c>
      <c r="J835" s="2">
        <f t="shared" si="33"/>
        <v>559615209</v>
      </c>
      <c r="K835" s="2">
        <f t="shared" si="33"/>
        <v>438598139765</v>
      </c>
      <c r="L835" s="3">
        <f t="shared" si="31"/>
        <v>1.2699500855120779E-2</v>
      </c>
      <c r="M835" s="3">
        <f t="shared" si="32"/>
        <v>6.8279418116195534E-3</v>
      </c>
    </row>
    <row r="836" spans="1:13" x14ac:dyDescent="0.35">
      <c r="A836" t="s">
        <v>102</v>
      </c>
      <c r="B836" t="s">
        <v>65</v>
      </c>
      <c r="C836" s="2">
        <f t="shared" si="33"/>
        <v>1153406557</v>
      </c>
      <c r="D836" s="2">
        <f t="shared" si="33"/>
        <v>536463806</v>
      </c>
      <c r="E836" s="2">
        <f t="shared" si="33"/>
        <v>871586600</v>
      </c>
      <c r="F836" s="2">
        <f t="shared" si="33"/>
        <v>64916888</v>
      </c>
      <c r="G836" s="2">
        <f t="shared" si="33"/>
        <v>1504174024</v>
      </c>
      <c r="H836" s="2">
        <f t="shared" si="33"/>
        <v>3796791</v>
      </c>
      <c r="I836" s="2">
        <f t="shared" si="33"/>
        <v>75086906</v>
      </c>
      <c r="J836" s="2">
        <f t="shared" si="33"/>
        <v>546045811</v>
      </c>
      <c r="K836" s="2">
        <f t="shared" si="33"/>
        <v>438728965889</v>
      </c>
      <c r="L836" s="3">
        <f t="shared" si="31"/>
        <v>1.0839214532744466E-2</v>
      </c>
      <c r="M836" s="3">
        <f t="shared" si="32"/>
        <v>5.0008560878907074E-3</v>
      </c>
    </row>
    <row r="837" spans="1:13" x14ac:dyDescent="0.35">
      <c r="A837" t="s">
        <v>102</v>
      </c>
      <c r="B837" t="s">
        <v>66</v>
      </c>
      <c r="C837" s="2">
        <f t="shared" si="33"/>
        <v>986558225</v>
      </c>
      <c r="D837" s="2">
        <f t="shared" si="33"/>
        <v>695339428</v>
      </c>
      <c r="E837" s="2">
        <f t="shared" si="33"/>
        <v>970185823</v>
      </c>
      <c r="F837" s="2">
        <f t="shared" si="33"/>
        <v>54218106</v>
      </c>
      <c r="G837" s="2">
        <f t="shared" si="33"/>
        <v>1652352016</v>
      </c>
      <c r="H837" s="2">
        <f t="shared" si="33"/>
        <v>2063766</v>
      </c>
      <c r="I837" s="2">
        <f t="shared" si="33"/>
        <v>60895435</v>
      </c>
      <c r="J837" s="2">
        <f t="shared" si="33"/>
        <v>528035859</v>
      </c>
      <c r="K837" s="2">
        <f t="shared" si="33"/>
        <v>427127352287</v>
      </c>
      <c r="L837" s="3">
        <f t="shared" si="31"/>
        <v>1.1588226863715764E-2</v>
      </c>
      <c r="M837" s="3">
        <f t="shared" si="32"/>
        <v>5.379110398100179E-3</v>
      </c>
    </row>
    <row r="838" spans="1:13" x14ac:dyDescent="0.35">
      <c r="A838" t="s">
        <v>102</v>
      </c>
      <c r="B838" t="s">
        <v>67</v>
      </c>
      <c r="C838" s="2">
        <f t="shared" si="33"/>
        <v>752838648</v>
      </c>
      <c r="D838" s="2">
        <f t="shared" si="33"/>
        <v>758777785</v>
      </c>
      <c r="E838" s="2">
        <f t="shared" si="33"/>
        <v>902789255</v>
      </c>
      <c r="F838" s="2">
        <f t="shared" si="33"/>
        <v>67182044</v>
      </c>
      <c r="G838" s="2">
        <f t="shared" si="33"/>
        <v>2195734832</v>
      </c>
      <c r="H838" s="2">
        <f t="shared" si="33"/>
        <v>6022661</v>
      </c>
      <c r="I838" s="2">
        <f t="shared" si="33"/>
        <v>69763271</v>
      </c>
      <c r="J838" s="2">
        <f t="shared" si="33"/>
        <v>459145145</v>
      </c>
      <c r="K838" s="2">
        <f t="shared" si="33"/>
        <v>423495369743</v>
      </c>
      <c r="L838" s="3">
        <f t="shared" si="31"/>
        <v>1.2307699241583394E-2</v>
      </c>
      <c r="M838" s="3">
        <f t="shared" si="32"/>
        <v>6.6065609045451576E-3</v>
      </c>
    </row>
    <row r="839" spans="1:13" x14ac:dyDescent="0.35">
      <c r="A839" t="s">
        <v>102</v>
      </c>
      <c r="B839" t="s">
        <v>68</v>
      </c>
      <c r="C839" s="2">
        <f t="shared" si="33"/>
        <v>1046007342</v>
      </c>
      <c r="D839" s="2">
        <f t="shared" si="33"/>
        <v>497948927</v>
      </c>
      <c r="E839" s="2">
        <f t="shared" si="33"/>
        <v>930134896</v>
      </c>
      <c r="F839" s="2">
        <f t="shared" si="33"/>
        <v>67387309</v>
      </c>
      <c r="G839" s="2">
        <f t="shared" si="33"/>
        <v>1475262355</v>
      </c>
      <c r="H839" s="2">
        <f t="shared" si="33"/>
        <v>4544681</v>
      </c>
      <c r="I839" s="2">
        <f t="shared" si="33"/>
        <v>69633287</v>
      </c>
      <c r="J839" s="2">
        <f t="shared" si="33"/>
        <v>450465299</v>
      </c>
      <c r="K839" s="2">
        <f t="shared" si="33"/>
        <v>445548887498</v>
      </c>
      <c r="L839" s="3">
        <f t="shared" si="31"/>
        <v>1.0192785176734137E-2</v>
      </c>
      <c r="M839" s="3">
        <f t="shared" si="32"/>
        <v>4.6398790099308231E-3</v>
      </c>
    </row>
    <row r="840" spans="1:13" x14ac:dyDescent="0.35">
      <c r="A840" t="s">
        <v>102</v>
      </c>
      <c r="B840" t="s">
        <v>69</v>
      </c>
      <c r="C840" s="2">
        <f t="shared" si="33"/>
        <v>1130444071</v>
      </c>
      <c r="D840" s="2">
        <f t="shared" si="33"/>
        <v>791533768</v>
      </c>
      <c r="E840" s="2">
        <f t="shared" si="33"/>
        <v>1111857494</v>
      </c>
      <c r="F840" s="2">
        <f t="shared" si="33"/>
        <v>67987444</v>
      </c>
      <c r="G840" s="2">
        <f t="shared" si="33"/>
        <v>1299774055</v>
      </c>
      <c r="H840" s="2">
        <f t="shared" si="33"/>
        <v>3327557</v>
      </c>
      <c r="I840" s="2">
        <f t="shared" si="33"/>
        <v>61524768</v>
      </c>
      <c r="J840" s="2">
        <f t="shared" si="33"/>
        <v>491875783</v>
      </c>
      <c r="K840" s="2">
        <f t="shared" si="33"/>
        <v>374283609936</v>
      </c>
      <c r="L840" s="3">
        <f t="shared" si="31"/>
        <v>1.3247507527374337E-2</v>
      </c>
      <c r="M840" s="3">
        <f t="shared" si="32"/>
        <v>5.1417950343299159E-3</v>
      </c>
    </row>
    <row r="841" spans="1:13" x14ac:dyDescent="0.35">
      <c r="A841" t="s">
        <v>102</v>
      </c>
      <c r="B841" t="s">
        <v>70</v>
      </c>
      <c r="C841" s="2">
        <f t="shared" si="33"/>
        <v>1256401920</v>
      </c>
      <c r="D841" s="2">
        <f t="shared" si="33"/>
        <v>752990212</v>
      </c>
      <c r="E841" s="2">
        <f t="shared" si="33"/>
        <v>840350226</v>
      </c>
      <c r="F841" s="2">
        <f t="shared" si="33"/>
        <v>75375322</v>
      </c>
      <c r="G841" s="2">
        <f t="shared" si="33"/>
        <v>2844598221</v>
      </c>
      <c r="H841" s="2">
        <f t="shared" si="33"/>
        <v>2564431</v>
      </c>
      <c r="I841" s="2">
        <f t="shared" si="33"/>
        <v>98465418</v>
      </c>
      <c r="J841" s="2">
        <f t="shared" si="33"/>
        <v>483659409</v>
      </c>
      <c r="K841" s="2">
        <f t="shared" si="33"/>
        <v>427359239071</v>
      </c>
      <c r="L841" s="3">
        <f t="shared" si="31"/>
        <v>1.4869001481782171E-2</v>
      </c>
      <c r="M841" s="3">
        <f t="shared" si="32"/>
        <v>8.2007418597489293E-3</v>
      </c>
    </row>
    <row r="842" spans="1:13" x14ac:dyDescent="0.35">
      <c r="A842" t="s">
        <v>102</v>
      </c>
      <c r="B842" t="s">
        <v>71</v>
      </c>
      <c r="C842" s="2">
        <f t="shared" si="33"/>
        <v>1253368559</v>
      </c>
      <c r="D842" s="2">
        <f t="shared" si="33"/>
        <v>1095353803</v>
      </c>
      <c r="E842" s="2">
        <f t="shared" si="33"/>
        <v>954613498</v>
      </c>
      <c r="F842" s="2">
        <f t="shared" si="33"/>
        <v>50259979</v>
      </c>
      <c r="G842" s="2">
        <f t="shared" si="33"/>
        <v>1720239789</v>
      </c>
      <c r="H842" s="2">
        <f t="shared" si="33"/>
        <v>4237142</v>
      </c>
      <c r="I842" s="2">
        <f t="shared" si="33"/>
        <v>67630364</v>
      </c>
      <c r="J842" s="2">
        <f t="shared" si="33"/>
        <v>518339334</v>
      </c>
      <c r="K842" s="2">
        <f t="shared" si="33"/>
        <v>458784739075</v>
      </c>
      <c r="L842" s="3">
        <f t="shared" si="31"/>
        <v>1.2345751690476497E-2</v>
      </c>
      <c r="M842" s="3">
        <f t="shared" si="32"/>
        <v>5.1455648083666592E-3</v>
      </c>
    </row>
    <row r="843" spans="1:13" x14ac:dyDescent="0.35">
      <c r="A843" t="s">
        <v>102</v>
      </c>
      <c r="B843" t="s">
        <v>72</v>
      </c>
      <c r="C843" s="2">
        <f t="shared" si="33"/>
        <v>1907963820</v>
      </c>
      <c r="D843" s="2">
        <f t="shared" si="33"/>
        <v>558811353</v>
      </c>
      <c r="E843" s="2">
        <f t="shared" si="33"/>
        <v>954033257</v>
      </c>
      <c r="F843" s="2">
        <f t="shared" si="33"/>
        <v>62055053</v>
      </c>
      <c r="G843" s="2">
        <f t="shared" si="33"/>
        <v>2467472635</v>
      </c>
      <c r="H843" s="2">
        <f t="shared" si="33"/>
        <v>3459273</v>
      </c>
      <c r="I843" s="2">
        <f t="shared" si="33"/>
        <v>87258683</v>
      </c>
      <c r="J843" s="2">
        <f t="shared" si="33"/>
        <v>449735076</v>
      </c>
      <c r="K843" s="2">
        <f t="shared" si="33"/>
        <v>438194631925</v>
      </c>
      <c r="L843" s="3">
        <f t="shared" si="31"/>
        <v>1.4812571120476306E-2</v>
      </c>
      <c r="M843" s="3">
        <f t="shared" si="32"/>
        <v>7.0059751907810865E-3</v>
      </c>
    </row>
    <row r="844" spans="1:13" x14ac:dyDescent="0.35">
      <c r="A844" t="s">
        <v>102</v>
      </c>
      <c r="B844" t="s">
        <v>73</v>
      </c>
      <c r="C844" s="2">
        <f t="shared" si="33"/>
        <v>1032329763</v>
      </c>
      <c r="D844" s="2">
        <f t="shared" si="33"/>
        <v>498020832</v>
      </c>
      <c r="E844" s="2">
        <f t="shared" si="33"/>
        <v>835107841</v>
      </c>
      <c r="F844" s="2">
        <f t="shared" si="33"/>
        <v>127466462</v>
      </c>
      <c r="G844" s="2">
        <f t="shared" si="33"/>
        <v>3678227066</v>
      </c>
      <c r="H844" s="2">
        <f t="shared" si="33"/>
        <v>4471002</v>
      </c>
      <c r="I844" s="2">
        <f t="shared" si="33"/>
        <v>129718221</v>
      </c>
      <c r="J844" s="2">
        <f t="shared" si="33"/>
        <v>423302148</v>
      </c>
      <c r="K844" s="2">
        <f t="shared" si="33"/>
        <v>390278162098</v>
      </c>
      <c r="L844" s="3">
        <f t="shared" si="31"/>
        <v>1.7240634984107613E-2</v>
      </c>
      <c r="M844" s="3">
        <f t="shared" si="32"/>
        <v>1.1179679835389793E-2</v>
      </c>
    </row>
    <row r="845" spans="1:13" x14ac:dyDescent="0.35">
      <c r="A845" t="s">
        <v>102</v>
      </c>
      <c r="B845" t="s">
        <v>74</v>
      </c>
      <c r="C845" s="2">
        <f t="shared" ref="C845:K854" si="34">SUMIF($B$2:$B$784,$B845,C$2:C$784)</f>
        <v>1355896742</v>
      </c>
      <c r="D845" s="2">
        <f t="shared" si="34"/>
        <v>829297097</v>
      </c>
      <c r="E845" s="2">
        <f t="shared" si="34"/>
        <v>1153107395</v>
      </c>
      <c r="F845" s="2">
        <f t="shared" si="34"/>
        <v>52265726</v>
      </c>
      <c r="G845" s="2">
        <f t="shared" si="34"/>
        <v>1028472993</v>
      </c>
      <c r="H845" s="2">
        <f t="shared" si="34"/>
        <v>4310640</v>
      </c>
      <c r="I845" s="2">
        <f t="shared" si="34"/>
        <v>53664229</v>
      </c>
      <c r="J845" s="2">
        <f t="shared" si="34"/>
        <v>412492361</v>
      </c>
      <c r="K845" s="2">
        <f t="shared" si="34"/>
        <v>420671862930</v>
      </c>
      <c r="L845" s="3">
        <f t="shared" si="31"/>
        <v>1.1623090617338523E-2</v>
      </c>
      <c r="M845" s="3">
        <f t="shared" si="32"/>
        <v>3.6874487829915105E-3</v>
      </c>
    </row>
    <row r="846" spans="1:13" x14ac:dyDescent="0.35">
      <c r="A846" t="s">
        <v>102</v>
      </c>
      <c r="B846" t="s">
        <v>75</v>
      </c>
      <c r="C846" s="2">
        <f t="shared" si="34"/>
        <v>1437112917</v>
      </c>
      <c r="D846" s="2">
        <f t="shared" si="34"/>
        <v>675656474</v>
      </c>
      <c r="E846" s="2">
        <f t="shared" si="34"/>
        <v>961076104</v>
      </c>
      <c r="F846" s="2">
        <f t="shared" si="34"/>
        <v>61288070</v>
      </c>
      <c r="G846" s="2">
        <f t="shared" si="34"/>
        <v>2025754830</v>
      </c>
      <c r="H846" s="2">
        <f t="shared" si="34"/>
        <v>6258370</v>
      </c>
      <c r="I846" s="2">
        <f t="shared" si="34"/>
        <v>102909470</v>
      </c>
      <c r="J846" s="2">
        <f t="shared" si="34"/>
        <v>489474632</v>
      </c>
      <c r="K846" s="2">
        <f t="shared" si="34"/>
        <v>431690212680</v>
      </c>
      <c r="L846" s="3">
        <f t="shared" si="31"/>
        <v>1.3341814796411382E-2</v>
      </c>
      <c r="M846" s="3">
        <f t="shared" si="32"/>
        <v>6.2213256013539144E-3</v>
      </c>
    </row>
    <row r="847" spans="1:13" x14ac:dyDescent="0.35">
      <c r="A847" t="s">
        <v>102</v>
      </c>
      <c r="B847" t="s">
        <v>76</v>
      </c>
      <c r="C847" s="2">
        <f t="shared" si="34"/>
        <v>1508003939</v>
      </c>
      <c r="D847" s="2">
        <f t="shared" si="34"/>
        <v>708513562</v>
      </c>
      <c r="E847" s="2">
        <f t="shared" si="34"/>
        <v>1004027097</v>
      </c>
      <c r="F847" s="2">
        <f t="shared" si="34"/>
        <v>72609244</v>
      </c>
      <c r="G847" s="2">
        <f t="shared" si="34"/>
        <v>2564344722</v>
      </c>
      <c r="H847" s="2">
        <f t="shared" si="34"/>
        <v>6570677</v>
      </c>
      <c r="I847" s="2">
        <f t="shared" si="34"/>
        <v>92431308</v>
      </c>
      <c r="J847" s="2">
        <f t="shared" si="34"/>
        <v>504604371</v>
      </c>
      <c r="K847" s="2">
        <f t="shared" si="34"/>
        <v>478440441810</v>
      </c>
      <c r="L847" s="3">
        <f t="shared" si="31"/>
        <v>1.3504512485518223E-2</v>
      </c>
      <c r="M847" s="3">
        <f t="shared" si="32"/>
        <v>6.7731739184516996E-3</v>
      </c>
    </row>
    <row r="848" spans="1:13" x14ac:dyDescent="0.35">
      <c r="A848" t="s">
        <v>102</v>
      </c>
      <c r="B848" t="s">
        <v>77</v>
      </c>
      <c r="C848" s="2">
        <f t="shared" si="34"/>
        <v>1570392741</v>
      </c>
      <c r="D848" s="2">
        <f t="shared" si="34"/>
        <v>586007155</v>
      </c>
      <c r="E848" s="2">
        <f t="shared" si="34"/>
        <v>992560845</v>
      </c>
      <c r="F848" s="2">
        <f t="shared" si="34"/>
        <v>60484214</v>
      </c>
      <c r="G848" s="2">
        <f t="shared" si="34"/>
        <v>1665250602</v>
      </c>
      <c r="H848" s="2">
        <f t="shared" si="34"/>
        <v>3544923</v>
      </c>
      <c r="I848" s="2">
        <f t="shared" si="34"/>
        <v>111334364</v>
      </c>
      <c r="J848" s="2">
        <f t="shared" si="34"/>
        <v>448695892</v>
      </c>
      <c r="K848" s="2">
        <f t="shared" si="34"/>
        <v>433519695719</v>
      </c>
      <c r="L848" s="3">
        <f t="shared" si="31"/>
        <v>1.2544460585534718E-2</v>
      </c>
      <c r="M848" s="3">
        <f t="shared" si="32"/>
        <v>5.2807519879878567E-3</v>
      </c>
    </row>
    <row r="849" spans="1:13" x14ac:dyDescent="0.35">
      <c r="A849" t="s">
        <v>102</v>
      </c>
      <c r="B849" t="s">
        <v>78</v>
      </c>
      <c r="C849" s="2">
        <f t="shared" si="34"/>
        <v>1728895211</v>
      </c>
      <c r="D849" s="2">
        <f t="shared" si="34"/>
        <v>495006841</v>
      </c>
      <c r="E849" s="2">
        <f t="shared" si="34"/>
        <v>999304350</v>
      </c>
      <c r="F849" s="2">
        <f t="shared" si="34"/>
        <v>55762230</v>
      </c>
      <c r="G849" s="2">
        <f t="shared" si="34"/>
        <v>1832113226</v>
      </c>
      <c r="H849" s="2">
        <f t="shared" si="34"/>
        <v>3875222</v>
      </c>
      <c r="I849" s="2">
        <f t="shared" si="34"/>
        <v>64937452</v>
      </c>
      <c r="J849" s="2">
        <f t="shared" si="34"/>
        <v>597380714</v>
      </c>
      <c r="K849" s="2">
        <f t="shared" si="34"/>
        <v>432433099749</v>
      </c>
      <c r="L849" s="3">
        <f t="shared" si="31"/>
        <v>1.3359928389740152E-2</v>
      </c>
      <c r="M849" s="3">
        <f t="shared" si="32"/>
        <v>5.9062750873660579E-3</v>
      </c>
    </row>
    <row r="850" spans="1:13" x14ac:dyDescent="0.35">
      <c r="A850" t="s">
        <v>102</v>
      </c>
      <c r="B850" t="s">
        <v>79</v>
      </c>
      <c r="C850" s="2">
        <f t="shared" si="34"/>
        <v>1532421196</v>
      </c>
      <c r="D850" s="2">
        <f t="shared" si="34"/>
        <v>447726064</v>
      </c>
      <c r="E850" s="2">
        <f t="shared" si="34"/>
        <v>958398378</v>
      </c>
      <c r="F850" s="2">
        <f t="shared" si="34"/>
        <v>70114065</v>
      </c>
      <c r="G850" s="2">
        <f t="shared" si="34"/>
        <v>2300987077</v>
      </c>
      <c r="H850" s="2">
        <f t="shared" si="34"/>
        <v>2884325</v>
      </c>
      <c r="I850" s="2">
        <f t="shared" si="34"/>
        <v>75977706</v>
      </c>
      <c r="J850" s="2">
        <f t="shared" si="34"/>
        <v>541489145</v>
      </c>
      <c r="K850" s="2">
        <f t="shared" si="34"/>
        <v>429937176898</v>
      </c>
      <c r="L850" s="3">
        <f t="shared" si="31"/>
        <v>1.3792708038846467E-2</v>
      </c>
      <c r="M850" s="3">
        <f t="shared" si="32"/>
        <v>6.9578824040836644E-3</v>
      </c>
    </row>
    <row r="851" spans="1:13" x14ac:dyDescent="0.35">
      <c r="A851" t="s">
        <v>102</v>
      </c>
      <c r="B851" t="s">
        <v>80</v>
      </c>
      <c r="C851" s="2">
        <f t="shared" si="34"/>
        <v>1499450927</v>
      </c>
      <c r="D851" s="2">
        <f t="shared" si="34"/>
        <v>580895510</v>
      </c>
      <c r="E851" s="2">
        <f t="shared" si="34"/>
        <v>1077841669</v>
      </c>
      <c r="F851" s="2">
        <f t="shared" si="34"/>
        <v>31356610</v>
      </c>
      <c r="G851" s="2">
        <f t="shared" si="34"/>
        <v>1527939418</v>
      </c>
      <c r="H851" s="2">
        <f t="shared" si="34"/>
        <v>4753713</v>
      </c>
      <c r="I851" s="2">
        <f t="shared" si="34"/>
        <v>86286577</v>
      </c>
      <c r="J851" s="2">
        <f t="shared" si="34"/>
        <v>627139279</v>
      </c>
      <c r="K851" s="2">
        <f t="shared" si="34"/>
        <v>450047808458</v>
      </c>
      <c r="L851" s="3">
        <f t="shared" si="31"/>
        <v>1.2077969497561224E-2</v>
      </c>
      <c r="M851" s="3">
        <f t="shared" si="32"/>
        <v>5.0605192475068833E-3</v>
      </c>
    </row>
    <row r="852" spans="1:13" x14ac:dyDescent="0.35">
      <c r="A852" t="s">
        <v>102</v>
      </c>
      <c r="B852" t="s">
        <v>81</v>
      </c>
      <c r="C852" s="2">
        <f t="shared" si="34"/>
        <v>1470968406</v>
      </c>
      <c r="D852" s="2">
        <f t="shared" si="34"/>
        <v>382143866</v>
      </c>
      <c r="E852" s="2">
        <f t="shared" si="34"/>
        <v>1165412396</v>
      </c>
      <c r="F852" s="2">
        <f t="shared" si="34"/>
        <v>45524836</v>
      </c>
      <c r="G852" s="2">
        <f t="shared" si="34"/>
        <v>1727275358</v>
      </c>
      <c r="H852" s="2">
        <f t="shared" si="34"/>
        <v>5453329</v>
      </c>
      <c r="I852" s="2">
        <f t="shared" si="34"/>
        <v>186488097</v>
      </c>
      <c r="J852" s="2">
        <f t="shared" si="34"/>
        <v>455536811</v>
      </c>
      <c r="K852" s="2">
        <f t="shared" si="34"/>
        <v>362232784792</v>
      </c>
      <c r="L852" s="3">
        <f t="shared" si="31"/>
        <v>1.5014662745458145E-2</v>
      </c>
      <c r="M852" s="3">
        <f t="shared" si="32"/>
        <v>6.6815554323437715E-3</v>
      </c>
    </row>
    <row r="853" spans="1:13" x14ac:dyDescent="0.35">
      <c r="A853" t="s">
        <v>102</v>
      </c>
      <c r="B853" t="s">
        <v>82</v>
      </c>
      <c r="C853" s="2">
        <f t="shared" si="34"/>
        <v>1790267967</v>
      </c>
      <c r="D853" s="2">
        <f t="shared" si="34"/>
        <v>497633433</v>
      </c>
      <c r="E853" s="2">
        <f t="shared" si="34"/>
        <v>1673879851</v>
      </c>
      <c r="F853" s="2">
        <f t="shared" si="34"/>
        <v>44894927</v>
      </c>
      <c r="G853" s="2">
        <f t="shared" si="34"/>
        <v>2775329894</v>
      </c>
      <c r="H853" s="2">
        <f t="shared" si="34"/>
        <v>3410374</v>
      </c>
      <c r="I853" s="2">
        <f t="shared" si="34"/>
        <v>72937889</v>
      </c>
      <c r="J853" s="2">
        <f t="shared" si="34"/>
        <v>593726832</v>
      </c>
      <c r="K853" s="2">
        <f t="shared" si="34"/>
        <v>456576236956</v>
      </c>
      <c r="L853" s="3">
        <f t="shared" si="31"/>
        <v>1.632165794848003E-2</v>
      </c>
      <c r="M853" s="3">
        <f t="shared" si="32"/>
        <v>7.6445062915886227E-3</v>
      </c>
    </row>
    <row r="854" spans="1:13" x14ac:dyDescent="0.35">
      <c r="A854" t="s">
        <v>102</v>
      </c>
      <c r="B854" t="s">
        <v>83</v>
      </c>
      <c r="C854" s="2">
        <f t="shared" si="34"/>
        <v>1340328643</v>
      </c>
      <c r="D854" s="2">
        <f t="shared" si="34"/>
        <v>478278522</v>
      </c>
      <c r="E854" s="2">
        <f t="shared" si="34"/>
        <v>1326109979</v>
      </c>
      <c r="F854" s="2">
        <f t="shared" si="34"/>
        <v>42437361</v>
      </c>
      <c r="G854" s="2">
        <f t="shared" si="34"/>
        <v>1745658616</v>
      </c>
      <c r="H854" s="2">
        <f t="shared" si="34"/>
        <v>6645432</v>
      </c>
      <c r="I854" s="2">
        <f t="shared" si="34"/>
        <v>50663493</v>
      </c>
      <c r="J854" s="2">
        <f t="shared" si="34"/>
        <v>688976384</v>
      </c>
      <c r="K854" s="2">
        <f t="shared" si="34"/>
        <v>460869813489</v>
      </c>
      <c r="L854" s="3">
        <f t="shared" si="31"/>
        <v>1.2322565426896956E-2</v>
      </c>
      <c r="M854" s="3">
        <f t="shared" si="32"/>
        <v>5.4991262430783838E-3</v>
      </c>
    </row>
    <row r="855" spans="1:13" x14ac:dyDescent="0.35">
      <c r="A855" t="s">
        <v>102</v>
      </c>
      <c r="B855" t="s">
        <v>84</v>
      </c>
      <c r="C855" s="2">
        <f t="shared" ref="C855:K863" si="35">SUMIF($B$2:$B$784,$B855,C$2:C$784)</f>
        <v>1936555830</v>
      </c>
      <c r="D855" s="2">
        <f t="shared" si="35"/>
        <v>502527397</v>
      </c>
      <c r="E855" s="2">
        <f t="shared" si="35"/>
        <v>1358652984</v>
      </c>
      <c r="F855" s="2">
        <f t="shared" si="35"/>
        <v>68045773</v>
      </c>
      <c r="G855" s="2">
        <f t="shared" si="35"/>
        <v>1764316057</v>
      </c>
      <c r="H855" s="2">
        <f t="shared" si="35"/>
        <v>6011363</v>
      </c>
      <c r="I855" s="2">
        <f t="shared" si="35"/>
        <v>75007216</v>
      </c>
      <c r="J855" s="2">
        <f t="shared" si="35"/>
        <v>575806686</v>
      </c>
      <c r="K855" s="2">
        <f t="shared" si="35"/>
        <v>431248430989</v>
      </c>
      <c r="L855" s="3">
        <f t="shared" si="31"/>
        <v>1.4578425923966696E-2</v>
      </c>
      <c r="M855" s="3">
        <f t="shared" si="32"/>
        <v>5.7720490467442244E-3</v>
      </c>
    </row>
    <row r="856" spans="1:13" x14ac:dyDescent="0.35">
      <c r="A856" t="s">
        <v>102</v>
      </c>
      <c r="B856" t="s">
        <v>85</v>
      </c>
      <c r="C856" s="2">
        <f t="shared" si="35"/>
        <v>2441994133</v>
      </c>
      <c r="D856" s="2">
        <f t="shared" si="35"/>
        <v>475030172</v>
      </c>
      <c r="E856" s="2">
        <f t="shared" si="35"/>
        <v>1637444343</v>
      </c>
      <c r="F856" s="2">
        <f t="shared" si="35"/>
        <v>92942469</v>
      </c>
      <c r="G856" s="2">
        <f t="shared" si="35"/>
        <v>3402027501</v>
      </c>
      <c r="H856" s="2">
        <f t="shared" si="35"/>
        <v>2452350</v>
      </c>
      <c r="I856" s="2">
        <f t="shared" si="35"/>
        <v>90819422</v>
      </c>
      <c r="J856" s="2">
        <f t="shared" si="35"/>
        <v>612505138</v>
      </c>
      <c r="K856" s="2">
        <f t="shared" si="35"/>
        <v>409069545806</v>
      </c>
      <c r="L856" s="3">
        <f t="shared" si="31"/>
        <v>2.1402755638407104E-2</v>
      </c>
      <c r="M856" s="3">
        <f t="shared" si="32"/>
        <v>1.0269028636006533E-2</v>
      </c>
    </row>
    <row r="857" spans="1:13" x14ac:dyDescent="0.35">
      <c r="A857" t="s">
        <v>102</v>
      </c>
      <c r="B857" t="s">
        <v>86</v>
      </c>
      <c r="C857" s="2">
        <f t="shared" si="35"/>
        <v>2337131049</v>
      </c>
      <c r="D857" s="2">
        <f t="shared" si="35"/>
        <v>465065126</v>
      </c>
      <c r="E857" s="2">
        <f t="shared" si="35"/>
        <v>1436864783</v>
      </c>
      <c r="F857" s="2">
        <f t="shared" si="35"/>
        <v>38222267</v>
      </c>
      <c r="G857" s="2">
        <f t="shared" si="35"/>
        <v>842077762</v>
      </c>
      <c r="H857" s="2">
        <f t="shared" si="35"/>
        <v>3979968</v>
      </c>
      <c r="I857" s="2">
        <f t="shared" si="35"/>
        <v>49594841</v>
      </c>
      <c r="J857" s="2">
        <f t="shared" si="35"/>
        <v>534693506</v>
      </c>
      <c r="K857" s="2">
        <f t="shared" si="35"/>
        <v>398825730065</v>
      </c>
      <c r="L857" s="3">
        <f t="shared" si="31"/>
        <v>1.4311085949920482E-2</v>
      </c>
      <c r="M857" s="3">
        <f t="shared" si="32"/>
        <v>3.6822306919883402E-3</v>
      </c>
    </row>
    <row r="858" spans="1:13" x14ac:dyDescent="0.35">
      <c r="A858" t="s">
        <v>102</v>
      </c>
      <c r="B858" t="s">
        <v>87</v>
      </c>
      <c r="C858" s="2">
        <f t="shared" si="35"/>
        <v>2043333884</v>
      </c>
      <c r="D858" s="2">
        <f t="shared" si="35"/>
        <v>425276213</v>
      </c>
      <c r="E858" s="2">
        <f t="shared" si="35"/>
        <v>1155053214</v>
      </c>
      <c r="F858" s="2">
        <f t="shared" si="35"/>
        <v>32231438</v>
      </c>
      <c r="G858" s="2">
        <f t="shared" si="35"/>
        <v>1524086400</v>
      </c>
      <c r="H858" s="2">
        <f t="shared" si="35"/>
        <v>7514776</v>
      </c>
      <c r="I858" s="2">
        <f t="shared" si="35"/>
        <v>34743131</v>
      </c>
      <c r="J858" s="2">
        <f t="shared" si="35"/>
        <v>521263237</v>
      </c>
      <c r="K858" s="2">
        <f t="shared" si="35"/>
        <v>420127299979</v>
      </c>
      <c r="L858" s="3">
        <f t="shared" si="31"/>
        <v>1.3670861887068725E-2</v>
      </c>
      <c r="M858" s="3">
        <f t="shared" si="32"/>
        <v>5.0457063421157347E-3</v>
      </c>
    </row>
    <row r="859" spans="1:13" x14ac:dyDescent="0.35">
      <c r="A859" t="s">
        <v>102</v>
      </c>
      <c r="B859" t="s">
        <v>88</v>
      </c>
      <c r="C859" s="2">
        <f t="shared" si="35"/>
        <v>2552704850</v>
      </c>
      <c r="D859" s="2">
        <f t="shared" si="35"/>
        <v>428110741</v>
      </c>
      <c r="E859" s="2">
        <f t="shared" si="35"/>
        <v>2267258920</v>
      </c>
      <c r="F859" s="2">
        <f t="shared" si="35"/>
        <v>20533697</v>
      </c>
      <c r="G859" s="2">
        <f t="shared" si="35"/>
        <v>1613708042</v>
      </c>
      <c r="H859" s="2">
        <f t="shared" si="35"/>
        <v>5540227</v>
      </c>
      <c r="I859" s="2">
        <f t="shared" si="35"/>
        <v>95603538</v>
      </c>
      <c r="J859" s="2">
        <f t="shared" si="35"/>
        <v>594521293</v>
      </c>
      <c r="K859" s="2">
        <f t="shared" si="35"/>
        <v>484407579699</v>
      </c>
      <c r="L859" s="3">
        <f t="shared" si="31"/>
        <v>1.5643812412491125E-2</v>
      </c>
      <c r="M859" s="3">
        <f t="shared" si="32"/>
        <v>4.8098066476328707E-3</v>
      </c>
    </row>
    <row r="860" spans="1:13" x14ac:dyDescent="0.35">
      <c r="A860" t="s">
        <v>102</v>
      </c>
      <c r="B860" t="s">
        <v>89</v>
      </c>
      <c r="C860" s="2">
        <f t="shared" si="35"/>
        <v>2946713188</v>
      </c>
      <c r="D860" s="2">
        <f t="shared" si="35"/>
        <v>388410008</v>
      </c>
      <c r="E860" s="2">
        <f t="shared" si="35"/>
        <v>2093091849</v>
      </c>
      <c r="F860" s="2">
        <f t="shared" si="35"/>
        <v>35583855</v>
      </c>
      <c r="G860" s="2">
        <f t="shared" si="35"/>
        <v>1288211256</v>
      </c>
      <c r="H860" s="2">
        <f t="shared" si="35"/>
        <v>6000594</v>
      </c>
      <c r="I860" s="2">
        <f t="shared" si="35"/>
        <v>72803757</v>
      </c>
      <c r="J860" s="2">
        <f t="shared" si="35"/>
        <v>562771413</v>
      </c>
      <c r="K860" s="2">
        <f t="shared" si="35"/>
        <v>457745879062</v>
      </c>
      <c r="L860" s="3">
        <f t="shared" si="31"/>
        <v>1.6152162713404934E-2</v>
      </c>
      <c r="M860" s="3">
        <f t="shared" si="32"/>
        <v>4.2935850761286649E-3</v>
      </c>
    </row>
    <row r="861" spans="1:13" x14ac:dyDescent="0.35">
      <c r="A861" t="s">
        <v>102</v>
      </c>
      <c r="B861" t="s">
        <v>90</v>
      </c>
      <c r="C861" s="2">
        <f t="shared" si="35"/>
        <v>3204322060</v>
      </c>
      <c r="D861" s="2">
        <f t="shared" si="35"/>
        <v>394469061</v>
      </c>
      <c r="E861" s="2">
        <f t="shared" si="35"/>
        <v>1748492484</v>
      </c>
      <c r="F861" s="2">
        <f t="shared" si="35"/>
        <v>37015909</v>
      </c>
      <c r="G861" s="2">
        <f t="shared" si="35"/>
        <v>778413496</v>
      </c>
      <c r="H861" s="2">
        <f t="shared" si="35"/>
        <v>9507222</v>
      </c>
      <c r="I861" s="2">
        <f t="shared" si="35"/>
        <v>56386862</v>
      </c>
      <c r="J861" s="2">
        <f t="shared" si="35"/>
        <v>575771647</v>
      </c>
      <c r="K861" s="2">
        <f t="shared" si="35"/>
        <v>437336466639</v>
      </c>
      <c r="L861" s="3">
        <f t="shared" si="31"/>
        <v>1.5558681381620719E-2</v>
      </c>
      <c r="M861" s="3">
        <f t="shared" si="32"/>
        <v>3.3317485440855343E-3</v>
      </c>
    </row>
    <row r="862" spans="1:13" x14ac:dyDescent="0.35">
      <c r="A862" t="s">
        <v>102</v>
      </c>
      <c r="B862" t="s">
        <v>91</v>
      </c>
      <c r="C862" s="2">
        <f t="shared" si="35"/>
        <v>3023169974</v>
      </c>
      <c r="D862" s="2">
        <f t="shared" si="35"/>
        <v>509895056</v>
      </c>
      <c r="E862" s="2">
        <f t="shared" si="35"/>
        <v>3055701810</v>
      </c>
      <c r="F862" s="2">
        <f t="shared" si="35"/>
        <v>67595545</v>
      </c>
      <c r="G862" s="2">
        <f t="shared" si="35"/>
        <v>2703122045</v>
      </c>
      <c r="H862" s="2">
        <f t="shared" si="35"/>
        <v>7111566</v>
      </c>
      <c r="I862" s="2">
        <f t="shared" si="35"/>
        <v>77947882</v>
      </c>
      <c r="J862" s="2">
        <f t="shared" si="35"/>
        <v>618151515</v>
      </c>
      <c r="K862" s="2">
        <f t="shared" si="35"/>
        <v>485676787560</v>
      </c>
      <c r="L862" s="3">
        <f t="shared" si="31"/>
        <v>2.0718913587684823E-2</v>
      </c>
      <c r="M862" s="3">
        <f t="shared" si="32"/>
        <v>7.1527580522279637E-3</v>
      </c>
    </row>
    <row r="863" spans="1:13" x14ac:dyDescent="0.35">
      <c r="A863" t="s">
        <v>102</v>
      </c>
      <c r="B863" t="s">
        <v>95</v>
      </c>
      <c r="C863" s="2">
        <f t="shared" si="35"/>
        <v>654147638</v>
      </c>
      <c r="D863" s="2">
        <f t="shared" si="35"/>
        <v>17753584</v>
      </c>
      <c r="E863" s="2">
        <f t="shared" si="35"/>
        <v>549029967</v>
      </c>
      <c r="F863" s="2">
        <f t="shared" si="35"/>
        <v>11196</v>
      </c>
      <c r="G863" s="2">
        <f t="shared" si="35"/>
        <v>6930628</v>
      </c>
      <c r="H863" s="2">
        <f t="shared" si="35"/>
        <v>6806</v>
      </c>
      <c r="I863" s="2">
        <f t="shared" si="35"/>
        <v>260277</v>
      </c>
      <c r="J863" s="2">
        <f t="shared" si="35"/>
        <v>9478232</v>
      </c>
      <c r="K863" s="2">
        <f t="shared" si="35"/>
        <v>62096157029</v>
      </c>
      <c r="L863" s="3">
        <f t="shared" si="31"/>
        <v>1.9930675056461393E-2</v>
      </c>
      <c r="M863" s="3">
        <f t="shared" si="32"/>
        <v>2.687306235747699E-4</v>
      </c>
    </row>
    <row r="864" spans="1:13" x14ac:dyDescent="0.35">
      <c r="A864" t="s">
        <v>103</v>
      </c>
      <c r="B864" t="s">
        <v>14</v>
      </c>
      <c r="C864" s="2">
        <f t="shared" ref="C864:K873" si="36">SUMIFS(C$2:C$784,$B$2:$B$784,$B864,$A$2:$A$784,"&lt;&gt;NL")</f>
        <v>383440363</v>
      </c>
      <c r="D864" s="2">
        <f t="shared" si="36"/>
        <v>105743025</v>
      </c>
      <c r="E864" s="2">
        <f t="shared" si="36"/>
        <v>464446567</v>
      </c>
      <c r="F864" s="2">
        <f t="shared" si="36"/>
        <v>26207629</v>
      </c>
      <c r="G864" s="2">
        <f t="shared" si="36"/>
        <v>105375465</v>
      </c>
      <c r="H864" s="2">
        <f t="shared" si="36"/>
        <v>3062699</v>
      </c>
      <c r="I864" s="2">
        <f t="shared" si="36"/>
        <v>88370476</v>
      </c>
      <c r="J864" s="2">
        <f t="shared" si="36"/>
        <v>101931719</v>
      </c>
      <c r="K864" s="2">
        <f t="shared" si="36"/>
        <v>278312427053</v>
      </c>
      <c r="L864" s="3">
        <f t="shared" si="31"/>
        <v>4.594038277552428E-3</v>
      </c>
      <c r="M864" s="3">
        <f t="shared" si="32"/>
        <v>1.1675654998262763E-3</v>
      </c>
    </row>
    <row r="865" spans="1:13" x14ac:dyDescent="0.35">
      <c r="A865" t="s">
        <v>103</v>
      </c>
      <c r="B865" t="s">
        <v>15</v>
      </c>
      <c r="C865" s="2">
        <f t="shared" si="36"/>
        <v>390223680</v>
      </c>
      <c r="D865" s="2">
        <f t="shared" si="36"/>
        <v>105944357</v>
      </c>
      <c r="E865" s="2">
        <f t="shared" si="36"/>
        <v>400295913</v>
      </c>
      <c r="F865" s="2">
        <f t="shared" si="36"/>
        <v>17444664</v>
      </c>
      <c r="G865" s="2">
        <f t="shared" si="36"/>
        <v>80423821</v>
      </c>
      <c r="H865" s="2">
        <f t="shared" si="36"/>
        <v>1916020</v>
      </c>
      <c r="I865" s="2">
        <f t="shared" si="36"/>
        <v>30063833</v>
      </c>
      <c r="J865" s="2">
        <f t="shared" si="36"/>
        <v>96918156</v>
      </c>
      <c r="K865" s="2">
        <f t="shared" si="36"/>
        <v>281508522080</v>
      </c>
      <c r="L865" s="3">
        <f t="shared" si="31"/>
        <v>3.9900406414012457E-3</v>
      </c>
      <c r="M865" s="3">
        <f t="shared" si="32"/>
        <v>8.0554042316188486E-4</v>
      </c>
    </row>
    <row r="866" spans="1:13" x14ac:dyDescent="0.35">
      <c r="A866" t="s">
        <v>103</v>
      </c>
      <c r="B866" t="s">
        <v>16</v>
      </c>
      <c r="C866" s="2">
        <f t="shared" si="36"/>
        <v>389564591</v>
      </c>
      <c r="D866" s="2">
        <f t="shared" si="36"/>
        <v>103782236</v>
      </c>
      <c r="E866" s="2">
        <f t="shared" si="36"/>
        <v>441209046</v>
      </c>
      <c r="F866" s="2">
        <f t="shared" si="36"/>
        <v>14289534</v>
      </c>
      <c r="G866" s="2">
        <f t="shared" si="36"/>
        <v>134499294</v>
      </c>
      <c r="H866" s="2">
        <f t="shared" si="36"/>
        <v>32567</v>
      </c>
      <c r="I866" s="2">
        <f t="shared" si="36"/>
        <v>24381580</v>
      </c>
      <c r="J866" s="2">
        <f t="shared" si="36"/>
        <v>95860894</v>
      </c>
      <c r="K866" s="2">
        <f t="shared" si="36"/>
        <v>281017652120</v>
      </c>
      <c r="L866" s="3">
        <f t="shared" si="31"/>
        <v>4.2830752193674685E-3</v>
      </c>
      <c r="M866" s="3">
        <f t="shared" si="32"/>
        <v>9.5746251870720389E-4</v>
      </c>
    </row>
    <row r="867" spans="1:13" x14ac:dyDescent="0.35">
      <c r="A867" t="s">
        <v>103</v>
      </c>
      <c r="B867" t="s">
        <v>17</v>
      </c>
      <c r="C867" s="2">
        <f t="shared" si="36"/>
        <v>322715054</v>
      </c>
      <c r="D867" s="2">
        <f t="shared" si="36"/>
        <v>98042408</v>
      </c>
      <c r="E867" s="2">
        <f t="shared" si="36"/>
        <v>429121720</v>
      </c>
      <c r="F867" s="2">
        <f t="shared" si="36"/>
        <v>16946040</v>
      </c>
      <c r="G867" s="2">
        <f t="shared" si="36"/>
        <v>108197812</v>
      </c>
      <c r="H867" s="2">
        <f t="shared" si="36"/>
        <v>5535855</v>
      </c>
      <c r="I867" s="2">
        <f t="shared" si="36"/>
        <v>18183311</v>
      </c>
      <c r="J867" s="2">
        <f t="shared" si="36"/>
        <v>86232549</v>
      </c>
      <c r="K867" s="2">
        <f t="shared" si="36"/>
        <v>191576899803</v>
      </c>
      <c r="L867" s="3">
        <f t="shared" si="31"/>
        <v>5.6633902632086015E-3</v>
      </c>
      <c r="M867" s="3">
        <f t="shared" si="32"/>
        <v>1.2271603060794417E-3</v>
      </c>
    </row>
    <row r="868" spans="1:13" x14ac:dyDescent="0.35">
      <c r="A868" t="s">
        <v>103</v>
      </c>
      <c r="B868" t="s">
        <v>18</v>
      </c>
      <c r="C868" s="2">
        <f t="shared" si="36"/>
        <v>329872793</v>
      </c>
      <c r="D868" s="2">
        <f t="shared" si="36"/>
        <v>99990085</v>
      </c>
      <c r="E868" s="2">
        <f t="shared" si="36"/>
        <v>461002494</v>
      </c>
      <c r="F868" s="2">
        <f t="shared" si="36"/>
        <v>11274291</v>
      </c>
      <c r="G868" s="2">
        <f t="shared" si="36"/>
        <v>137644941</v>
      </c>
      <c r="H868" s="2">
        <f t="shared" si="36"/>
        <v>3919512</v>
      </c>
      <c r="I868" s="2">
        <f t="shared" si="36"/>
        <v>40923970</v>
      </c>
      <c r="J868" s="2">
        <f t="shared" si="36"/>
        <v>91819579</v>
      </c>
      <c r="K868" s="2">
        <f t="shared" si="36"/>
        <v>211525527433</v>
      </c>
      <c r="L868" s="3">
        <f t="shared" si="31"/>
        <v>5.561729022860543E-3</v>
      </c>
      <c r="M868" s="3">
        <f t="shared" si="32"/>
        <v>1.3501079347997714E-3</v>
      </c>
    </row>
    <row r="869" spans="1:13" x14ac:dyDescent="0.35">
      <c r="A869" t="s">
        <v>103</v>
      </c>
      <c r="B869" t="s">
        <v>19</v>
      </c>
      <c r="C869" s="2">
        <f t="shared" si="36"/>
        <v>396157926</v>
      </c>
      <c r="D869" s="2">
        <f t="shared" si="36"/>
        <v>103643104</v>
      </c>
      <c r="E869" s="2">
        <f t="shared" si="36"/>
        <v>428649965</v>
      </c>
      <c r="F869" s="2">
        <f t="shared" si="36"/>
        <v>39769164</v>
      </c>
      <c r="G869" s="2">
        <f t="shared" si="36"/>
        <v>124593834</v>
      </c>
      <c r="H869" s="2">
        <f t="shared" si="36"/>
        <v>4733238</v>
      </c>
      <c r="I869" s="2">
        <f t="shared" si="36"/>
        <v>39114424</v>
      </c>
      <c r="J869" s="2">
        <f t="shared" si="36"/>
        <v>95654614</v>
      </c>
      <c r="K869" s="2">
        <f t="shared" si="36"/>
        <v>255014210121</v>
      </c>
      <c r="L869" s="3">
        <f t="shared" si="31"/>
        <v>4.8323435326026983E-3</v>
      </c>
      <c r="M869" s="3">
        <f t="shared" si="32"/>
        <v>1.1915621245412991E-3</v>
      </c>
    </row>
    <row r="870" spans="1:13" x14ac:dyDescent="0.35">
      <c r="A870" t="s">
        <v>103</v>
      </c>
      <c r="B870" t="s">
        <v>20</v>
      </c>
      <c r="C870" s="2">
        <f t="shared" si="36"/>
        <v>361658069</v>
      </c>
      <c r="D870" s="2">
        <f t="shared" si="36"/>
        <v>104506654</v>
      </c>
      <c r="E870" s="2">
        <f t="shared" si="36"/>
        <v>442931391</v>
      </c>
      <c r="F870" s="2">
        <f t="shared" si="36"/>
        <v>17122052</v>
      </c>
      <c r="G870" s="2">
        <f t="shared" si="36"/>
        <v>106292838</v>
      </c>
      <c r="H870" s="2">
        <f t="shared" si="36"/>
        <v>1938374</v>
      </c>
      <c r="I870" s="2">
        <f t="shared" si="36"/>
        <v>39898557</v>
      </c>
      <c r="J870" s="2">
        <f t="shared" si="36"/>
        <v>114620318</v>
      </c>
      <c r="K870" s="2">
        <f t="shared" si="36"/>
        <v>272848543274</v>
      </c>
      <c r="L870" s="3">
        <f t="shared" si="31"/>
        <v>4.3576126107663111E-3</v>
      </c>
      <c r="M870" s="3">
        <f t="shared" si="32"/>
        <v>1.0257417380416312E-3</v>
      </c>
    </row>
    <row r="871" spans="1:13" x14ac:dyDescent="0.35">
      <c r="A871" t="s">
        <v>103</v>
      </c>
      <c r="B871" t="s">
        <v>21</v>
      </c>
      <c r="C871" s="2">
        <f t="shared" si="36"/>
        <v>332746684</v>
      </c>
      <c r="D871" s="2">
        <f t="shared" si="36"/>
        <v>94156631</v>
      </c>
      <c r="E871" s="2">
        <f t="shared" si="36"/>
        <v>377936421</v>
      </c>
      <c r="F871" s="2">
        <f t="shared" si="36"/>
        <v>18799866</v>
      </c>
      <c r="G871" s="2">
        <f t="shared" si="36"/>
        <v>97791025</v>
      </c>
      <c r="H871" s="2">
        <f t="shared" si="36"/>
        <v>1118253</v>
      </c>
      <c r="I871" s="2">
        <f t="shared" si="36"/>
        <v>43239489</v>
      </c>
      <c r="J871" s="2">
        <f t="shared" si="36"/>
        <v>95048488</v>
      </c>
      <c r="K871" s="2">
        <f t="shared" si="36"/>
        <v>224031735956</v>
      </c>
      <c r="L871" s="3">
        <f t="shared" si="31"/>
        <v>4.7352079493253093E-3</v>
      </c>
      <c r="M871" s="3">
        <f t="shared" si="32"/>
        <v>1.1426823967934526E-3</v>
      </c>
    </row>
    <row r="872" spans="1:13" x14ac:dyDescent="0.35">
      <c r="A872" t="s">
        <v>103</v>
      </c>
      <c r="B872" t="s">
        <v>22</v>
      </c>
      <c r="C872" s="2">
        <f t="shared" si="36"/>
        <v>356487063</v>
      </c>
      <c r="D872" s="2">
        <f t="shared" si="36"/>
        <v>135502539</v>
      </c>
      <c r="E872" s="2">
        <f t="shared" si="36"/>
        <v>447821874</v>
      </c>
      <c r="F872" s="2">
        <f t="shared" si="36"/>
        <v>20550707</v>
      </c>
      <c r="G872" s="2">
        <f t="shared" si="36"/>
        <v>135772578</v>
      </c>
      <c r="H872" s="2">
        <f t="shared" si="36"/>
        <v>1304099</v>
      </c>
      <c r="I872" s="2">
        <f t="shared" si="36"/>
        <v>22547745</v>
      </c>
      <c r="J872" s="2">
        <f t="shared" si="36"/>
        <v>89443458</v>
      </c>
      <c r="K872" s="2">
        <f t="shared" si="36"/>
        <v>283695196518</v>
      </c>
      <c r="L872" s="3">
        <f t="shared" si="31"/>
        <v>4.263131973485013E-3</v>
      </c>
      <c r="M872" s="3">
        <f t="shared" si="32"/>
        <v>9.5038122008841671E-4</v>
      </c>
    </row>
    <row r="873" spans="1:13" x14ac:dyDescent="0.35">
      <c r="A873" t="s">
        <v>103</v>
      </c>
      <c r="B873" t="s">
        <v>23</v>
      </c>
      <c r="C873" s="2">
        <f t="shared" si="36"/>
        <v>324510100</v>
      </c>
      <c r="D873" s="2">
        <f t="shared" si="36"/>
        <v>143778020</v>
      </c>
      <c r="E873" s="2">
        <f t="shared" si="36"/>
        <v>473542796</v>
      </c>
      <c r="F873" s="2">
        <f t="shared" si="36"/>
        <v>24559431</v>
      </c>
      <c r="G873" s="2">
        <f t="shared" si="36"/>
        <v>154531560</v>
      </c>
      <c r="H873" s="2">
        <f t="shared" si="36"/>
        <v>109245</v>
      </c>
      <c r="I873" s="2">
        <f t="shared" si="36"/>
        <v>19595490</v>
      </c>
      <c r="J873" s="2">
        <f t="shared" si="36"/>
        <v>90814092</v>
      </c>
      <c r="K873" s="2">
        <f t="shared" si="36"/>
        <v>292069317534</v>
      </c>
      <c r="L873" s="3">
        <f t="shared" si="31"/>
        <v>4.2162618942561368E-3</v>
      </c>
      <c r="M873" s="3">
        <f t="shared" si="32"/>
        <v>9.9157905542846458E-4</v>
      </c>
    </row>
    <row r="874" spans="1:13" x14ac:dyDescent="0.35">
      <c r="A874" t="s">
        <v>103</v>
      </c>
      <c r="B874" t="s">
        <v>24</v>
      </c>
      <c r="C874" s="2">
        <f t="shared" ref="C874:K883" si="37">SUMIFS(C$2:C$784,$B$2:$B$784,$B874,$A$2:$A$784,"&lt;&gt;NL")</f>
        <v>431802389</v>
      </c>
      <c r="D874" s="2">
        <f t="shared" si="37"/>
        <v>143443740</v>
      </c>
      <c r="E874" s="2">
        <f t="shared" si="37"/>
        <v>498136564</v>
      </c>
      <c r="F874" s="2">
        <f t="shared" si="37"/>
        <v>41852459</v>
      </c>
      <c r="G874" s="2">
        <f t="shared" si="37"/>
        <v>135765883</v>
      </c>
      <c r="H874" s="2">
        <f t="shared" si="37"/>
        <v>1118316</v>
      </c>
      <c r="I874" s="2">
        <f t="shared" si="37"/>
        <v>28289253</v>
      </c>
      <c r="J874" s="2">
        <f t="shared" si="37"/>
        <v>92446176</v>
      </c>
      <c r="K874" s="2">
        <f t="shared" si="37"/>
        <v>288975587406</v>
      </c>
      <c r="L874" s="3">
        <f t="shared" si="31"/>
        <v>4.7507638701368565E-3</v>
      </c>
      <c r="M874" s="3">
        <f t="shared" si="32"/>
        <v>1.0363231361106391E-3</v>
      </c>
    </row>
    <row r="875" spans="1:13" x14ac:dyDescent="0.35">
      <c r="A875" t="s">
        <v>103</v>
      </c>
      <c r="B875" t="s">
        <v>25</v>
      </c>
      <c r="C875" s="2">
        <f t="shared" si="37"/>
        <v>473482755</v>
      </c>
      <c r="D875" s="2">
        <f t="shared" si="37"/>
        <v>129748125</v>
      </c>
      <c r="E875" s="2">
        <f t="shared" si="37"/>
        <v>449659327</v>
      </c>
      <c r="F875" s="2">
        <f t="shared" si="37"/>
        <v>42935445</v>
      </c>
      <c r="G875" s="2">
        <f t="shared" si="37"/>
        <v>163491274</v>
      </c>
      <c r="H875" s="2">
        <f t="shared" si="37"/>
        <v>1550472</v>
      </c>
      <c r="I875" s="2">
        <f t="shared" si="37"/>
        <v>36678244</v>
      </c>
      <c r="J875" s="2">
        <f t="shared" si="37"/>
        <v>97459913</v>
      </c>
      <c r="K875" s="2">
        <f t="shared" si="37"/>
        <v>269818873719</v>
      </c>
      <c r="L875" s="3">
        <f t="shared" si="31"/>
        <v>5.1701555779704788E-3</v>
      </c>
      <c r="M875" s="3">
        <f t="shared" si="32"/>
        <v>1.2679444669103925E-3</v>
      </c>
    </row>
    <row r="876" spans="1:13" x14ac:dyDescent="0.35">
      <c r="A876" t="s">
        <v>103</v>
      </c>
      <c r="B876" t="s">
        <v>26</v>
      </c>
      <c r="C876" s="2">
        <f t="shared" si="37"/>
        <v>290529156</v>
      </c>
      <c r="D876" s="2">
        <f t="shared" si="37"/>
        <v>104558832</v>
      </c>
      <c r="E876" s="2">
        <f t="shared" si="37"/>
        <v>524309989</v>
      </c>
      <c r="F876" s="2">
        <f t="shared" si="37"/>
        <v>21733575</v>
      </c>
      <c r="G876" s="2">
        <f t="shared" si="37"/>
        <v>218535771</v>
      </c>
      <c r="H876" s="2">
        <f t="shared" si="37"/>
        <v>2154956</v>
      </c>
      <c r="I876" s="2">
        <f t="shared" si="37"/>
        <v>34379825</v>
      </c>
      <c r="J876" s="2">
        <f t="shared" si="37"/>
        <v>74779921</v>
      </c>
      <c r="K876" s="2">
        <f t="shared" si="37"/>
        <v>254943996095</v>
      </c>
      <c r="L876" s="3">
        <f t="shared" si="31"/>
        <v>4.9853381309924744E-3</v>
      </c>
      <c r="M876" s="3">
        <f t="shared" si="32"/>
        <v>1.3790638469045921E-3</v>
      </c>
    </row>
    <row r="877" spans="1:13" x14ac:dyDescent="0.35">
      <c r="A877" t="s">
        <v>103</v>
      </c>
      <c r="B877" t="s">
        <v>27</v>
      </c>
      <c r="C877" s="2">
        <f t="shared" si="37"/>
        <v>358318041</v>
      </c>
      <c r="D877" s="2">
        <f t="shared" si="37"/>
        <v>115099342</v>
      </c>
      <c r="E877" s="2">
        <f t="shared" si="37"/>
        <v>439893639</v>
      </c>
      <c r="F877" s="2">
        <f t="shared" si="37"/>
        <v>9568222</v>
      </c>
      <c r="G877" s="2">
        <f t="shared" si="37"/>
        <v>135564072</v>
      </c>
      <c r="H877" s="2">
        <f t="shared" si="37"/>
        <v>74274</v>
      </c>
      <c r="I877" s="2">
        <f t="shared" si="37"/>
        <v>22060358</v>
      </c>
      <c r="J877" s="2">
        <f t="shared" si="37"/>
        <v>87578986</v>
      </c>
      <c r="K877" s="2">
        <f t="shared" si="37"/>
        <v>274859111919</v>
      </c>
      <c r="L877" s="3">
        <f t="shared" si="31"/>
        <v>4.2500207682554534E-3</v>
      </c>
      <c r="M877" s="3">
        <f t="shared" si="32"/>
        <v>9.2718742420699581E-4</v>
      </c>
    </row>
    <row r="878" spans="1:13" x14ac:dyDescent="0.35">
      <c r="A878" t="s">
        <v>103</v>
      </c>
      <c r="B878" t="s">
        <v>28</v>
      </c>
      <c r="C878" s="2">
        <f t="shared" si="37"/>
        <v>403962386</v>
      </c>
      <c r="D878" s="2">
        <f t="shared" si="37"/>
        <v>123421392</v>
      </c>
      <c r="E878" s="2">
        <f t="shared" si="37"/>
        <v>551423924</v>
      </c>
      <c r="F878" s="2">
        <f t="shared" si="37"/>
        <v>26260927</v>
      </c>
      <c r="G878" s="2">
        <f t="shared" si="37"/>
        <v>155021980</v>
      </c>
      <c r="H878" s="2">
        <f t="shared" si="37"/>
        <v>543907</v>
      </c>
      <c r="I878" s="2">
        <f t="shared" si="37"/>
        <v>42380787</v>
      </c>
      <c r="J878" s="2">
        <f t="shared" si="37"/>
        <v>116900693</v>
      </c>
      <c r="K878" s="2">
        <f t="shared" si="37"/>
        <v>330000074308</v>
      </c>
      <c r="L878" s="3">
        <f t="shared" si="31"/>
        <v>4.3027747765739758E-3</v>
      </c>
      <c r="M878" s="3">
        <f t="shared" si="32"/>
        <v>1.0336612642142388E-3</v>
      </c>
    </row>
    <row r="879" spans="1:13" x14ac:dyDescent="0.35">
      <c r="A879" t="s">
        <v>103</v>
      </c>
      <c r="B879" t="s">
        <v>29</v>
      </c>
      <c r="C879" s="2">
        <f t="shared" si="37"/>
        <v>382531730</v>
      </c>
      <c r="D879" s="2">
        <f t="shared" si="37"/>
        <v>114363143</v>
      </c>
      <c r="E879" s="2">
        <f t="shared" si="37"/>
        <v>492666952</v>
      </c>
      <c r="F879" s="2">
        <f t="shared" si="37"/>
        <v>25363029</v>
      </c>
      <c r="G879" s="2">
        <f t="shared" si="37"/>
        <v>107847617</v>
      </c>
      <c r="H879" s="2">
        <f t="shared" si="37"/>
        <v>1487138</v>
      </c>
      <c r="I879" s="2">
        <f t="shared" si="37"/>
        <v>44266325</v>
      </c>
      <c r="J879" s="2">
        <f t="shared" si="37"/>
        <v>113182956</v>
      </c>
      <c r="K879" s="2">
        <f t="shared" si="37"/>
        <v>298378585208</v>
      </c>
      <c r="L879" s="3">
        <f t="shared" si="31"/>
        <v>4.2955793530106041E-3</v>
      </c>
      <c r="M879" s="3">
        <f t="shared" si="32"/>
        <v>9.7911539059126508E-4</v>
      </c>
    </row>
    <row r="880" spans="1:13" x14ac:dyDescent="0.35">
      <c r="A880" t="s">
        <v>103</v>
      </c>
      <c r="B880" t="s">
        <v>30</v>
      </c>
      <c r="C880" s="2">
        <f t="shared" si="37"/>
        <v>333878075</v>
      </c>
      <c r="D880" s="2">
        <f t="shared" si="37"/>
        <v>114904743</v>
      </c>
      <c r="E880" s="2">
        <f t="shared" si="37"/>
        <v>517961985</v>
      </c>
      <c r="F880" s="2">
        <f t="shared" si="37"/>
        <v>19233771</v>
      </c>
      <c r="G880" s="2">
        <f t="shared" si="37"/>
        <v>156697927</v>
      </c>
      <c r="H880" s="2">
        <f t="shared" si="37"/>
        <v>2824116</v>
      </c>
      <c r="I880" s="2">
        <f t="shared" si="37"/>
        <v>31175821</v>
      </c>
      <c r="J880" s="2">
        <f t="shared" si="37"/>
        <v>105133274</v>
      </c>
      <c r="K880" s="2">
        <f t="shared" si="37"/>
        <v>292517903468</v>
      </c>
      <c r="L880" s="3">
        <f t="shared" si="31"/>
        <v>4.3819872110502237E-3</v>
      </c>
      <c r="M880" s="3">
        <f t="shared" si="32"/>
        <v>1.0770790617076419E-3</v>
      </c>
    </row>
    <row r="881" spans="1:13" x14ac:dyDescent="0.35">
      <c r="A881" t="s">
        <v>103</v>
      </c>
      <c r="B881" t="s">
        <v>31</v>
      </c>
      <c r="C881" s="2">
        <f t="shared" si="37"/>
        <v>439209926</v>
      </c>
      <c r="D881" s="2">
        <f t="shared" si="37"/>
        <v>121240155</v>
      </c>
      <c r="E881" s="2">
        <f t="shared" si="37"/>
        <v>500758967</v>
      </c>
      <c r="F881" s="2">
        <f t="shared" si="37"/>
        <v>25810167</v>
      </c>
      <c r="G881" s="2">
        <f t="shared" si="37"/>
        <v>158352735</v>
      </c>
      <c r="H881" s="2">
        <f t="shared" si="37"/>
        <v>2324488</v>
      </c>
      <c r="I881" s="2">
        <f t="shared" si="37"/>
        <v>44774434</v>
      </c>
      <c r="J881" s="2">
        <f t="shared" si="37"/>
        <v>119065443</v>
      </c>
      <c r="K881" s="2">
        <f t="shared" si="37"/>
        <v>318869001937</v>
      </c>
      <c r="L881" s="3">
        <f t="shared" si="31"/>
        <v>4.426696563245373E-3</v>
      </c>
      <c r="M881" s="3">
        <f t="shared" si="32"/>
        <v>1.0986557641912628E-3</v>
      </c>
    </row>
    <row r="882" spans="1:13" x14ac:dyDescent="0.35">
      <c r="A882" t="s">
        <v>103</v>
      </c>
      <c r="B882" t="s">
        <v>32</v>
      </c>
      <c r="C882" s="2">
        <f t="shared" si="37"/>
        <v>383750804</v>
      </c>
      <c r="D882" s="2">
        <f t="shared" si="37"/>
        <v>123088157</v>
      </c>
      <c r="E882" s="2">
        <f t="shared" si="37"/>
        <v>530820325</v>
      </c>
      <c r="F882" s="2">
        <f t="shared" si="37"/>
        <v>22048494</v>
      </c>
      <c r="G882" s="2">
        <f t="shared" si="37"/>
        <v>139853006</v>
      </c>
      <c r="H882" s="2">
        <f t="shared" si="37"/>
        <v>5009205</v>
      </c>
      <c r="I882" s="2">
        <f t="shared" si="37"/>
        <v>34621844</v>
      </c>
      <c r="J882" s="2">
        <f t="shared" si="37"/>
        <v>116810061</v>
      </c>
      <c r="K882" s="2">
        <f t="shared" si="37"/>
        <v>309235586431</v>
      </c>
      <c r="L882" s="3">
        <f t="shared" si="31"/>
        <v>4.3850124484381293E-3</v>
      </c>
      <c r="M882" s="3">
        <f t="shared" si="32"/>
        <v>1.0294501149563913E-3</v>
      </c>
    </row>
    <row r="883" spans="1:13" x14ac:dyDescent="0.35">
      <c r="A883" t="s">
        <v>103</v>
      </c>
      <c r="B883" t="s">
        <v>33</v>
      </c>
      <c r="C883" s="2">
        <f t="shared" si="37"/>
        <v>375481626</v>
      </c>
      <c r="D883" s="2">
        <f t="shared" si="37"/>
        <v>130405368</v>
      </c>
      <c r="E883" s="2">
        <f t="shared" si="37"/>
        <v>524292636</v>
      </c>
      <c r="F883" s="2">
        <f t="shared" si="37"/>
        <v>19816579</v>
      </c>
      <c r="G883" s="2">
        <f t="shared" si="37"/>
        <v>144470145</v>
      </c>
      <c r="H883" s="2">
        <f t="shared" si="37"/>
        <v>2642334</v>
      </c>
      <c r="I883" s="2">
        <f t="shared" si="37"/>
        <v>63386534</v>
      </c>
      <c r="J883" s="2">
        <f t="shared" si="37"/>
        <v>100062273</v>
      </c>
      <c r="K883" s="2">
        <f t="shared" si="37"/>
        <v>265869893750</v>
      </c>
      <c r="L883" s="3">
        <f t="shared" si="31"/>
        <v>5.1173808204073874E-3</v>
      </c>
      <c r="M883" s="3">
        <f t="shared" si="32"/>
        <v>1.2426298455238316E-3</v>
      </c>
    </row>
    <row r="884" spans="1:13" x14ac:dyDescent="0.35">
      <c r="A884" t="s">
        <v>103</v>
      </c>
      <c r="B884" t="s">
        <v>34</v>
      </c>
      <c r="C884" s="2">
        <f t="shared" ref="C884:K893" si="38">SUMIFS(C$2:C$784,$B$2:$B$784,$B884,$A$2:$A$784,"&lt;&gt;NL")</f>
        <v>369252243</v>
      </c>
      <c r="D884" s="2">
        <f t="shared" si="38"/>
        <v>149649035</v>
      </c>
      <c r="E884" s="2">
        <f t="shared" si="38"/>
        <v>529649148</v>
      </c>
      <c r="F884" s="2">
        <f t="shared" si="38"/>
        <v>89836489</v>
      </c>
      <c r="G884" s="2">
        <f t="shared" si="38"/>
        <v>146378475</v>
      </c>
      <c r="H884" s="2">
        <f t="shared" si="38"/>
        <v>2433389</v>
      </c>
      <c r="I884" s="2">
        <f t="shared" si="38"/>
        <v>38160130</v>
      </c>
      <c r="J884" s="2">
        <f t="shared" si="38"/>
        <v>125195056</v>
      </c>
      <c r="K884" s="2">
        <f t="shared" si="38"/>
        <v>318150355886</v>
      </c>
      <c r="L884" s="3">
        <f t="shared" si="31"/>
        <v>4.5593347238617084E-3</v>
      </c>
      <c r="M884" s="3">
        <f t="shared" si="32"/>
        <v>1.2635646371681143E-3</v>
      </c>
    </row>
    <row r="885" spans="1:13" x14ac:dyDescent="0.35">
      <c r="A885" t="s">
        <v>103</v>
      </c>
      <c r="B885" t="s">
        <v>35</v>
      </c>
      <c r="C885" s="2">
        <f t="shared" si="38"/>
        <v>376681531</v>
      </c>
      <c r="D885" s="2">
        <f t="shared" si="38"/>
        <v>124703413</v>
      </c>
      <c r="E885" s="2">
        <f t="shared" si="38"/>
        <v>516647834</v>
      </c>
      <c r="F885" s="2">
        <f t="shared" si="38"/>
        <v>41543446</v>
      </c>
      <c r="G885" s="2">
        <f t="shared" si="38"/>
        <v>143627926</v>
      </c>
      <c r="H885" s="2">
        <f t="shared" si="38"/>
        <v>3095145</v>
      </c>
      <c r="I885" s="2">
        <f t="shared" si="38"/>
        <v>62830421</v>
      </c>
      <c r="J885" s="2">
        <f t="shared" si="38"/>
        <v>113631469</v>
      </c>
      <c r="K885" s="2">
        <f t="shared" si="38"/>
        <v>324780976746</v>
      </c>
      <c r="L885" s="3">
        <f t="shared" si="31"/>
        <v>4.2575190174435921E-3</v>
      </c>
      <c r="M885" s="3">
        <f t="shared" si="32"/>
        <v>1.1229980605829679E-3</v>
      </c>
    </row>
    <row r="886" spans="1:13" x14ac:dyDescent="0.35">
      <c r="A886" t="s">
        <v>103</v>
      </c>
      <c r="B886" t="s">
        <v>36</v>
      </c>
      <c r="C886" s="2">
        <f t="shared" si="38"/>
        <v>402339768</v>
      </c>
      <c r="D886" s="2">
        <f t="shared" si="38"/>
        <v>151501011</v>
      </c>
      <c r="E886" s="2">
        <f t="shared" si="38"/>
        <v>648590548</v>
      </c>
      <c r="F886" s="2">
        <f t="shared" si="38"/>
        <v>48603447</v>
      </c>
      <c r="G886" s="2">
        <f t="shared" si="38"/>
        <v>162770595</v>
      </c>
      <c r="H886" s="2">
        <f t="shared" si="38"/>
        <v>8381953</v>
      </c>
      <c r="I886" s="2">
        <f t="shared" si="38"/>
        <v>26684679</v>
      </c>
      <c r="J886" s="2">
        <f t="shared" si="38"/>
        <v>107493715</v>
      </c>
      <c r="K886" s="2">
        <f t="shared" si="38"/>
        <v>337334355407</v>
      </c>
      <c r="L886" s="3">
        <f t="shared" si="31"/>
        <v>4.6137183807508034E-3</v>
      </c>
      <c r="M886" s="3">
        <f t="shared" si="32"/>
        <v>1.049209436652166E-3</v>
      </c>
    </row>
    <row r="887" spans="1:13" x14ac:dyDescent="0.35">
      <c r="A887" t="s">
        <v>103</v>
      </c>
      <c r="B887" t="s">
        <v>37</v>
      </c>
      <c r="C887" s="2">
        <f t="shared" si="38"/>
        <v>387611148</v>
      </c>
      <c r="D887" s="2">
        <f t="shared" si="38"/>
        <v>135689348</v>
      </c>
      <c r="E887" s="2">
        <f t="shared" si="38"/>
        <v>601978195</v>
      </c>
      <c r="F887" s="2">
        <f t="shared" si="38"/>
        <v>66799148</v>
      </c>
      <c r="G887" s="2">
        <f t="shared" si="38"/>
        <v>152051321</v>
      </c>
      <c r="H887" s="2">
        <f t="shared" si="38"/>
        <v>5001055</v>
      </c>
      <c r="I887" s="2">
        <f t="shared" si="38"/>
        <v>57281032</v>
      </c>
      <c r="J887" s="2">
        <f t="shared" si="38"/>
        <v>132946383</v>
      </c>
      <c r="K887" s="2">
        <f t="shared" si="38"/>
        <v>321113956677</v>
      </c>
      <c r="L887" s="3">
        <f t="shared" si="31"/>
        <v>4.7938048097622829E-3</v>
      </c>
      <c r="M887" s="3">
        <f t="shared" si="32"/>
        <v>1.2895077600644778E-3</v>
      </c>
    </row>
    <row r="888" spans="1:13" x14ac:dyDescent="0.35">
      <c r="A888" t="s">
        <v>103</v>
      </c>
      <c r="B888" t="s">
        <v>38</v>
      </c>
      <c r="C888" s="2">
        <f t="shared" si="38"/>
        <v>453130420</v>
      </c>
      <c r="D888" s="2">
        <f t="shared" si="38"/>
        <v>149570218</v>
      </c>
      <c r="E888" s="2">
        <f t="shared" si="38"/>
        <v>657566366</v>
      </c>
      <c r="F888" s="2">
        <f t="shared" si="38"/>
        <v>24835189</v>
      </c>
      <c r="G888" s="2">
        <f t="shared" si="38"/>
        <v>165112796</v>
      </c>
      <c r="H888" s="2">
        <f t="shared" si="38"/>
        <v>2848022</v>
      </c>
      <c r="I888" s="2">
        <f t="shared" si="38"/>
        <v>20214977</v>
      </c>
      <c r="J888" s="2">
        <f t="shared" si="38"/>
        <v>99372530</v>
      </c>
      <c r="K888" s="2">
        <f t="shared" si="38"/>
        <v>316870823416</v>
      </c>
      <c r="L888" s="3">
        <f t="shared" si="31"/>
        <v>4.9630650782112717E-3</v>
      </c>
      <c r="M888" s="3">
        <f t="shared" si="32"/>
        <v>9.8583867909444946E-4</v>
      </c>
    </row>
    <row r="889" spans="1:13" x14ac:dyDescent="0.35">
      <c r="A889" t="s">
        <v>103</v>
      </c>
      <c r="B889" t="s">
        <v>39</v>
      </c>
      <c r="C889" s="2">
        <f t="shared" si="38"/>
        <v>356075548</v>
      </c>
      <c r="D889" s="2">
        <f t="shared" si="38"/>
        <v>139162846</v>
      </c>
      <c r="E889" s="2">
        <f t="shared" si="38"/>
        <v>540199536</v>
      </c>
      <c r="F889" s="2">
        <f t="shared" si="38"/>
        <v>32751889</v>
      </c>
      <c r="G889" s="2">
        <f t="shared" si="38"/>
        <v>170256085</v>
      </c>
      <c r="H889" s="2">
        <f t="shared" si="38"/>
        <v>3778335</v>
      </c>
      <c r="I889" s="2">
        <f t="shared" si="38"/>
        <v>33167994</v>
      </c>
      <c r="J889" s="2">
        <f t="shared" si="38"/>
        <v>116701198</v>
      </c>
      <c r="K889" s="2">
        <f t="shared" si="38"/>
        <v>334474762422</v>
      </c>
      <c r="L889" s="3">
        <f t="shared" si="31"/>
        <v>4.1620283124489494E-3</v>
      </c>
      <c r="M889" s="3">
        <f t="shared" si="32"/>
        <v>1.0663151336662436E-3</v>
      </c>
    </row>
    <row r="890" spans="1:13" x14ac:dyDescent="0.35">
      <c r="A890" t="s">
        <v>103</v>
      </c>
      <c r="B890" t="s">
        <v>40</v>
      </c>
      <c r="C890" s="2">
        <f t="shared" si="38"/>
        <v>421454196</v>
      </c>
      <c r="D890" s="2">
        <f t="shared" si="38"/>
        <v>151517948</v>
      </c>
      <c r="E890" s="2">
        <f t="shared" si="38"/>
        <v>568814027</v>
      </c>
      <c r="F890" s="2">
        <f t="shared" si="38"/>
        <v>48123748</v>
      </c>
      <c r="G890" s="2">
        <f t="shared" si="38"/>
        <v>197430498</v>
      </c>
      <c r="H890" s="2">
        <f t="shared" si="38"/>
        <v>2837437</v>
      </c>
      <c r="I890" s="2">
        <f t="shared" si="38"/>
        <v>49135613</v>
      </c>
      <c r="J890" s="2">
        <f t="shared" si="38"/>
        <v>122776951</v>
      </c>
      <c r="K890" s="2">
        <f t="shared" si="38"/>
        <v>390899666082</v>
      </c>
      <c r="L890" s="3">
        <f t="shared" si="31"/>
        <v>3.9961416024139459E-3</v>
      </c>
      <c r="M890" s="3">
        <f t="shared" si="32"/>
        <v>1.0752228345772793E-3</v>
      </c>
    </row>
    <row r="891" spans="1:13" x14ac:dyDescent="0.35">
      <c r="A891" t="s">
        <v>103</v>
      </c>
      <c r="B891" t="s">
        <v>41</v>
      </c>
      <c r="C891" s="2">
        <f t="shared" si="38"/>
        <v>387311408</v>
      </c>
      <c r="D891" s="2">
        <f t="shared" si="38"/>
        <v>130767959</v>
      </c>
      <c r="E891" s="2">
        <f t="shared" si="38"/>
        <v>422658564</v>
      </c>
      <c r="F891" s="2">
        <f t="shared" si="38"/>
        <v>14128337</v>
      </c>
      <c r="G891" s="2">
        <f t="shared" si="38"/>
        <v>159334062</v>
      </c>
      <c r="H891" s="2">
        <f t="shared" si="38"/>
        <v>3512617</v>
      </c>
      <c r="I891" s="2">
        <f t="shared" si="38"/>
        <v>72465525</v>
      </c>
      <c r="J891" s="2">
        <f t="shared" si="38"/>
        <v>145442939</v>
      </c>
      <c r="K891" s="2">
        <f t="shared" si="38"/>
        <v>343713461426</v>
      </c>
      <c r="L891" s="3">
        <f t="shared" si="31"/>
        <v>3.8858571481569784E-3</v>
      </c>
      <c r="M891" s="3">
        <f t="shared" si="32"/>
        <v>1.1488740602759798E-3</v>
      </c>
    </row>
    <row r="892" spans="1:13" x14ac:dyDescent="0.35">
      <c r="A892" t="s">
        <v>103</v>
      </c>
      <c r="B892" t="s">
        <v>42</v>
      </c>
      <c r="C892" s="2">
        <f t="shared" si="38"/>
        <v>385246421</v>
      </c>
      <c r="D892" s="2">
        <f t="shared" si="38"/>
        <v>132971942</v>
      </c>
      <c r="E892" s="2">
        <f t="shared" si="38"/>
        <v>561590013</v>
      </c>
      <c r="F892" s="2">
        <f t="shared" si="38"/>
        <v>44760051</v>
      </c>
      <c r="G892" s="2">
        <f t="shared" si="38"/>
        <v>185742912</v>
      </c>
      <c r="H892" s="2">
        <f t="shared" si="38"/>
        <v>2774077</v>
      </c>
      <c r="I892" s="2">
        <f t="shared" si="38"/>
        <v>50424719</v>
      </c>
      <c r="J892" s="2">
        <f t="shared" si="38"/>
        <v>140844614</v>
      </c>
      <c r="K892" s="2">
        <f t="shared" si="38"/>
        <v>380138707733</v>
      </c>
      <c r="L892" s="3">
        <f t="shared" si="31"/>
        <v>3.9573837612364941E-3</v>
      </c>
      <c r="M892" s="3">
        <f t="shared" si="32"/>
        <v>1.1168196354741935E-3</v>
      </c>
    </row>
    <row r="893" spans="1:13" x14ac:dyDescent="0.35">
      <c r="A893" t="s">
        <v>103</v>
      </c>
      <c r="B893" t="s">
        <v>43</v>
      </c>
      <c r="C893" s="2">
        <f t="shared" si="38"/>
        <v>419877209</v>
      </c>
      <c r="D893" s="2">
        <f t="shared" si="38"/>
        <v>133904354</v>
      </c>
      <c r="E893" s="2">
        <f t="shared" si="38"/>
        <v>560647655</v>
      </c>
      <c r="F893" s="2">
        <f t="shared" si="38"/>
        <v>66804771</v>
      </c>
      <c r="G893" s="2">
        <f t="shared" si="38"/>
        <v>190303328</v>
      </c>
      <c r="H893" s="2">
        <f t="shared" si="38"/>
        <v>2840057</v>
      </c>
      <c r="I893" s="2">
        <f t="shared" si="38"/>
        <v>147979078</v>
      </c>
      <c r="J893" s="2">
        <f t="shared" si="38"/>
        <v>136942283</v>
      </c>
      <c r="K893" s="2">
        <f t="shared" si="38"/>
        <v>380911295663</v>
      </c>
      <c r="L893" s="3">
        <f t="shared" si="31"/>
        <v>4.3561289830271023E-3</v>
      </c>
      <c r="M893" s="3">
        <f t="shared" si="32"/>
        <v>1.4304367531333521E-3</v>
      </c>
    </row>
    <row r="894" spans="1:13" x14ac:dyDescent="0.35">
      <c r="A894" t="s">
        <v>103</v>
      </c>
      <c r="B894" t="s">
        <v>44</v>
      </c>
      <c r="C894" s="2">
        <f t="shared" ref="C894:K903" si="39">SUMIFS(C$2:C$784,$B$2:$B$784,$B894,$A$2:$A$784,"&lt;&gt;NL")</f>
        <v>401020661</v>
      </c>
      <c r="D894" s="2">
        <f t="shared" si="39"/>
        <v>123538631</v>
      </c>
      <c r="E894" s="2">
        <f t="shared" si="39"/>
        <v>567678293</v>
      </c>
      <c r="F894" s="2">
        <f t="shared" si="39"/>
        <v>26401099</v>
      </c>
      <c r="G894" s="2">
        <f t="shared" si="39"/>
        <v>179880167</v>
      </c>
      <c r="H894" s="2">
        <f t="shared" si="39"/>
        <v>5592465</v>
      </c>
      <c r="I894" s="2">
        <f t="shared" si="39"/>
        <v>59253089</v>
      </c>
      <c r="J894" s="2">
        <f t="shared" si="39"/>
        <v>138799529</v>
      </c>
      <c r="K894" s="2">
        <f t="shared" si="39"/>
        <v>360784800343</v>
      </c>
      <c r="L894" s="3">
        <f t="shared" si="31"/>
        <v>4.1636009404273262E-3</v>
      </c>
      <c r="M894" s="3">
        <f t="shared" si="32"/>
        <v>1.1362073696294325E-3</v>
      </c>
    </row>
    <row r="895" spans="1:13" x14ac:dyDescent="0.35">
      <c r="A895" t="s">
        <v>103</v>
      </c>
      <c r="B895" t="s">
        <v>45</v>
      </c>
      <c r="C895" s="2">
        <f t="shared" si="39"/>
        <v>381323229</v>
      </c>
      <c r="D895" s="2">
        <f t="shared" si="39"/>
        <v>129536529</v>
      </c>
      <c r="E895" s="2">
        <f t="shared" si="39"/>
        <v>552120547</v>
      </c>
      <c r="F895" s="2">
        <f t="shared" si="39"/>
        <v>32465100</v>
      </c>
      <c r="G895" s="2">
        <f t="shared" si="39"/>
        <v>163840254</v>
      </c>
      <c r="H895" s="2">
        <f t="shared" si="39"/>
        <v>4558677</v>
      </c>
      <c r="I895" s="2">
        <f t="shared" si="39"/>
        <v>108360729</v>
      </c>
      <c r="J895" s="2">
        <f t="shared" si="39"/>
        <v>132010770</v>
      </c>
      <c r="K895" s="2">
        <f t="shared" si="39"/>
        <v>341052720554</v>
      </c>
      <c r="L895" s="3">
        <f t="shared" si="31"/>
        <v>4.4105082421174602E-3</v>
      </c>
      <c r="M895" s="3">
        <f t="shared" si="32"/>
        <v>1.2937458152606576E-3</v>
      </c>
    </row>
    <row r="896" spans="1:13" x14ac:dyDescent="0.35">
      <c r="A896" t="s">
        <v>103</v>
      </c>
      <c r="B896" t="s">
        <v>46</v>
      </c>
      <c r="C896" s="2">
        <f t="shared" si="39"/>
        <v>501564952</v>
      </c>
      <c r="D896" s="2">
        <f t="shared" si="39"/>
        <v>132187968</v>
      </c>
      <c r="E896" s="2">
        <f t="shared" si="39"/>
        <v>473435906</v>
      </c>
      <c r="F896" s="2">
        <f t="shared" si="39"/>
        <v>41283122</v>
      </c>
      <c r="G896" s="2">
        <f t="shared" si="39"/>
        <v>191073898</v>
      </c>
      <c r="H896" s="2">
        <f t="shared" si="39"/>
        <v>4284715</v>
      </c>
      <c r="I896" s="2">
        <f t="shared" si="39"/>
        <v>66915923</v>
      </c>
      <c r="J896" s="2">
        <f t="shared" si="39"/>
        <v>148928396</v>
      </c>
      <c r="K896" s="2">
        <f t="shared" si="39"/>
        <v>399612958906</v>
      </c>
      <c r="L896" s="3">
        <f t="shared" si="31"/>
        <v>3.902963718368499E-3</v>
      </c>
      <c r="M896" s="3">
        <f t="shared" si="32"/>
        <v>1.1323107619901716E-3</v>
      </c>
    </row>
    <row r="897" spans="1:13" x14ac:dyDescent="0.35">
      <c r="A897" t="s">
        <v>103</v>
      </c>
      <c r="B897" t="s">
        <v>47</v>
      </c>
      <c r="C897" s="2">
        <f t="shared" si="39"/>
        <v>426036360</v>
      </c>
      <c r="D897" s="2">
        <f t="shared" si="39"/>
        <v>134601161</v>
      </c>
      <c r="E897" s="2">
        <f t="shared" si="39"/>
        <v>508097231</v>
      </c>
      <c r="F897" s="2">
        <f t="shared" si="39"/>
        <v>39937520</v>
      </c>
      <c r="G897" s="2">
        <f t="shared" si="39"/>
        <v>182526044</v>
      </c>
      <c r="H897" s="2">
        <f t="shared" si="39"/>
        <v>3808710</v>
      </c>
      <c r="I897" s="2">
        <f t="shared" si="39"/>
        <v>30851141</v>
      </c>
      <c r="J897" s="2">
        <f t="shared" si="39"/>
        <v>139196180</v>
      </c>
      <c r="K897" s="2">
        <f t="shared" si="39"/>
        <v>376811028087</v>
      </c>
      <c r="L897" s="3">
        <f t="shared" si="31"/>
        <v>3.888034685284585E-3</v>
      </c>
      <c r="M897" s="3">
        <f t="shared" si="32"/>
        <v>1.0517728130517872E-3</v>
      </c>
    </row>
    <row r="898" spans="1:13" x14ac:dyDescent="0.35">
      <c r="A898" t="s">
        <v>103</v>
      </c>
      <c r="B898" t="s">
        <v>48</v>
      </c>
      <c r="C898" s="2">
        <f t="shared" si="39"/>
        <v>471116079</v>
      </c>
      <c r="D898" s="2">
        <f t="shared" si="39"/>
        <v>157739036</v>
      </c>
      <c r="E898" s="2">
        <f t="shared" si="39"/>
        <v>531200397</v>
      </c>
      <c r="F898" s="2">
        <f t="shared" si="39"/>
        <v>37614844</v>
      </c>
      <c r="G898" s="2">
        <f t="shared" si="39"/>
        <v>224427607</v>
      </c>
      <c r="H898" s="2">
        <f t="shared" si="39"/>
        <v>2912063</v>
      </c>
      <c r="I898" s="2">
        <f t="shared" si="39"/>
        <v>46594786</v>
      </c>
      <c r="J898" s="2">
        <f t="shared" si="39"/>
        <v>154624967</v>
      </c>
      <c r="K898" s="2">
        <f t="shared" si="39"/>
        <v>397422372509</v>
      </c>
      <c r="L898" s="3">
        <f t="shared" ref="L898:L961" si="40">SUM(C898:J898)/K898</f>
        <v>4.0919432107792888E-3</v>
      </c>
      <c r="M898" s="3">
        <f t="shared" ref="M898:M942" si="41">SUM(F898:J898)/K898</f>
        <v>1.172994524835018E-3</v>
      </c>
    </row>
    <row r="899" spans="1:13" x14ac:dyDescent="0.35">
      <c r="A899" t="s">
        <v>103</v>
      </c>
      <c r="B899" t="s">
        <v>49</v>
      </c>
      <c r="C899" s="2">
        <f t="shared" si="39"/>
        <v>498865911</v>
      </c>
      <c r="D899" s="2">
        <f t="shared" si="39"/>
        <v>141332108</v>
      </c>
      <c r="E899" s="2">
        <f t="shared" si="39"/>
        <v>451610290</v>
      </c>
      <c r="F899" s="2">
        <f t="shared" si="39"/>
        <v>119013942</v>
      </c>
      <c r="G899" s="2">
        <f t="shared" si="39"/>
        <v>260408934</v>
      </c>
      <c r="H899" s="2">
        <f t="shared" si="39"/>
        <v>10230365</v>
      </c>
      <c r="I899" s="2">
        <f t="shared" si="39"/>
        <v>46565706</v>
      </c>
      <c r="J899" s="2">
        <f t="shared" si="39"/>
        <v>148706051</v>
      </c>
      <c r="K899" s="2">
        <f t="shared" si="39"/>
        <v>353823515535</v>
      </c>
      <c r="L899" s="3">
        <f t="shared" si="40"/>
        <v>4.7388973128727465E-3</v>
      </c>
      <c r="M899" s="3">
        <f t="shared" si="41"/>
        <v>1.6531546726496181E-3</v>
      </c>
    </row>
    <row r="900" spans="1:13" x14ac:dyDescent="0.35">
      <c r="A900" t="s">
        <v>103</v>
      </c>
      <c r="B900" t="s">
        <v>50</v>
      </c>
      <c r="C900" s="2">
        <f t="shared" si="39"/>
        <v>401313457</v>
      </c>
      <c r="D900" s="2">
        <f t="shared" si="39"/>
        <v>141459130</v>
      </c>
      <c r="E900" s="2">
        <f t="shared" si="39"/>
        <v>460521559</v>
      </c>
      <c r="F900" s="2">
        <f t="shared" si="39"/>
        <v>30809593</v>
      </c>
      <c r="G900" s="2">
        <f t="shared" si="39"/>
        <v>164581927</v>
      </c>
      <c r="H900" s="2">
        <f t="shared" si="39"/>
        <v>3065511</v>
      </c>
      <c r="I900" s="2">
        <f t="shared" si="39"/>
        <v>22951481</v>
      </c>
      <c r="J900" s="2">
        <f t="shared" si="39"/>
        <v>150960102</v>
      </c>
      <c r="K900" s="2">
        <f t="shared" si="39"/>
        <v>347397213131</v>
      </c>
      <c r="L900" s="3">
        <f t="shared" si="40"/>
        <v>3.9599130563009195E-3</v>
      </c>
      <c r="M900" s="3">
        <f t="shared" si="41"/>
        <v>1.0718814081550605E-3</v>
      </c>
    </row>
    <row r="901" spans="1:13" x14ac:dyDescent="0.35">
      <c r="A901" t="s">
        <v>103</v>
      </c>
      <c r="B901" t="s">
        <v>51</v>
      </c>
      <c r="C901" s="2">
        <f t="shared" si="39"/>
        <v>367873660</v>
      </c>
      <c r="D901" s="2">
        <f t="shared" si="39"/>
        <v>122774179</v>
      </c>
      <c r="E901" s="2">
        <f t="shared" si="39"/>
        <v>417035416</v>
      </c>
      <c r="F901" s="2">
        <f t="shared" si="39"/>
        <v>41427980</v>
      </c>
      <c r="G901" s="2">
        <f t="shared" si="39"/>
        <v>171986014</v>
      </c>
      <c r="H901" s="2">
        <f t="shared" si="39"/>
        <v>911700</v>
      </c>
      <c r="I901" s="2">
        <f t="shared" si="39"/>
        <v>42307791</v>
      </c>
      <c r="J901" s="2">
        <f t="shared" si="39"/>
        <v>146975745</v>
      </c>
      <c r="K901" s="2">
        <f t="shared" si="39"/>
        <v>357791773264</v>
      </c>
      <c r="L901" s="3">
        <f t="shared" si="40"/>
        <v>3.6649598537092428E-3</v>
      </c>
      <c r="M901" s="3">
        <f t="shared" si="41"/>
        <v>1.1280562052000931E-3</v>
      </c>
    </row>
    <row r="902" spans="1:13" x14ac:dyDescent="0.35">
      <c r="A902" t="s">
        <v>103</v>
      </c>
      <c r="B902" t="s">
        <v>52</v>
      </c>
      <c r="C902" s="2">
        <f t="shared" si="39"/>
        <v>558325703</v>
      </c>
      <c r="D902" s="2">
        <f t="shared" si="39"/>
        <v>156791084</v>
      </c>
      <c r="E902" s="2">
        <f t="shared" si="39"/>
        <v>530259109</v>
      </c>
      <c r="F902" s="2">
        <f t="shared" si="39"/>
        <v>57995952</v>
      </c>
      <c r="G902" s="2">
        <f t="shared" si="39"/>
        <v>264122475</v>
      </c>
      <c r="H902" s="2">
        <f t="shared" si="39"/>
        <v>8724316</v>
      </c>
      <c r="I902" s="2">
        <f t="shared" si="39"/>
        <v>247412133</v>
      </c>
      <c r="J902" s="2">
        <f t="shared" si="39"/>
        <v>171548327</v>
      </c>
      <c r="K902" s="2">
        <f t="shared" si="39"/>
        <v>412540637116</v>
      </c>
      <c r="L902" s="3">
        <f t="shared" si="40"/>
        <v>4.8363213693272764E-3</v>
      </c>
      <c r="M902" s="3">
        <f t="shared" si="41"/>
        <v>1.8175256824194195E-3</v>
      </c>
    </row>
    <row r="903" spans="1:13" x14ac:dyDescent="0.35">
      <c r="A903" t="s">
        <v>103</v>
      </c>
      <c r="B903" t="s">
        <v>53</v>
      </c>
      <c r="C903" s="2">
        <f t="shared" si="39"/>
        <v>422712798</v>
      </c>
      <c r="D903" s="2">
        <f t="shared" si="39"/>
        <v>123979697</v>
      </c>
      <c r="E903" s="2">
        <f t="shared" si="39"/>
        <v>340727396</v>
      </c>
      <c r="F903" s="2">
        <f t="shared" si="39"/>
        <v>47490660</v>
      </c>
      <c r="G903" s="2">
        <f t="shared" si="39"/>
        <v>203422913</v>
      </c>
      <c r="H903" s="2">
        <f t="shared" si="39"/>
        <v>4054528</v>
      </c>
      <c r="I903" s="2">
        <f t="shared" si="39"/>
        <v>30098595</v>
      </c>
      <c r="J903" s="2">
        <f t="shared" si="39"/>
        <v>155956071</v>
      </c>
      <c r="K903" s="2">
        <f t="shared" si="39"/>
        <v>331329449878</v>
      </c>
      <c r="L903" s="3">
        <f t="shared" si="40"/>
        <v>4.0094312729796596E-3</v>
      </c>
      <c r="M903" s="3">
        <f t="shared" si="41"/>
        <v>1.3310702298343555E-3</v>
      </c>
    </row>
    <row r="904" spans="1:13" x14ac:dyDescent="0.35">
      <c r="A904" t="s">
        <v>103</v>
      </c>
      <c r="B904" t="s">
        <v>54</v>
      </c>
      <c r="C904" s="2">
        <f t="shared" ref="C904:K913" si="42">SUMIFS(C$2:C$784,$B$2:$B$784,$B904,$A$2:$A$784,"&lt;&gt;NL")</f>
        <v>412201461</v>
      </c>
      <c r="D904" s="2">
        <f t="shared" si="42"/>
        <v>129881043</v>
      </c>
      <c r="E904" s="2">
        <f t="shared" si="42"/>
        <v>418943274</v>
      </c>
      <c r="F904" s="2">
        <f t="shared" si="42"/>
        <v>48304970</v>
      </c>
      <c r="G904" s="2">
        <f t="shared" si="42"/>
        <v>137073198</v>
      </c>
      <c r="H904" s="2">
        <f t="shared" si="42"/>
        <v>6204461</v>
      </c>
      <c r="I904" s="2">
        <f t="shared" si="42"/>
        <v>36410294</v>
      </c>
      <c r="J904" s="2">
        <f t="shared" si="42"/>
        <v>157601619</v>
      </c>
      <c r="K904" s="2">
        <f t="shared" si="42"/>
        <v>367032046387</v>
      </c>
      <c r="L904" s="3">
        <f t="shared" si="40"/>
        <v>3.6689448053811584E-3</v>
      </c>
      <c r="M904" s="3">
        <f t="shared" si="41"/>
        <v>1.0505745909539126E-3</v>
      </c>
    </row>
    <row r="905" spans="1:13" x14ac:dyDescent="0.35">
      <c r="A905" t="s">
        <v>103</v>
      </c>
      <c r="B905" t="s">
        <v>55</v>
      </c>
      <c r="C905" s="2">
        <f t="shared" si="42"/>
        <v>381633284</v>
      </c>
      <c r="D905" s="2">
        <f t="shared" si="42"/>
        <v>135878408</v>
      </c>
      <c r="E905" s="2">
        <f t="shared" si="42"/>
        <v>430781097</v>
      </c>
      <c r="F905" s="2">
        <f t="shared" si="42"/>
        <v>141791775</v>
      </c>
      <c r="G905" s="2">
        <f t="shared" si="42"/>
        <v>197682109</v>
      </c>
      <c r="H905" s="2">
        <f t="shared" si="42"/>
        <v>4477463</v>
      </c>
      <c r="I905" s="2">
        <f t="shared" si="42"/>
        <v>66476079</v>
      </c>
      <c r="J905" s="2">
        <f t="shared" si="42"/>
        <v>179306581</v>
      </c>
      <c r="K905" s="2">
        <f t="shared" si="42"/>
        <v>381643462507</v>
      </c>
      <c r="L905" s="3">
        <f t="shared" si="40"/>
        <v>4.0300095431918736E-3</v>
      </c>
      <c r="M905" s="3">
        <f t="shared" si="41"/>
        <v>1.5452485498534728E-3</v>
      </c>
    </row>
    <row r="906" spans="1:13" x14ac:dyDescent="0.35">
      <c r="A906" t="s">
        <v>103</v>
      </c>
      <c r="B906" t="s">
        <v>56</v>
      </c>
      <c r="C906" s="2">
        <f t="shared" si="42"/>
        <v>408208388</v>
      </c>
      <c r="D906" s="2">
        <f t="shared" si="42"/>
        <v>133966936</v>
      </c>
      <c r="E906" s="2">
        <f t="shared" si="42"/>
        <v>332575570</v>
      </c>
      <c r="F906" s="2">
        <f t="shared" si="42"/>
        <v>48194104</v>
      </c>
      <c r="G906" s="2">
        <f t="shared" si="42"/>
        <v>214510401</v>
      </c>
      <c r="H906" s="2">
        <f t="shared" si="42"/>
        <v>3884786</v>
      </c>
      <c r="I906" s="2">
        <f t="shared" si="42"/>
        <v>54756306</v>
      </c>
      <c r="J906" s="2">
        <f t="shared" si="42"/>
        <v>180261238</v>
      </c>
      <c r="K906" s="2">
        <f t="shared" si="42"/>
        <v>346916413824</v>
      </c>
      <c r="L906" s="3">
        <f t="shared" si="40"/>
        <v>3.9674044644606044E-3</v>
      </c>
      <c r="M906" s="3">
        <f t="shared" si="41"/>
        <v>1.4459011306812326E-3</v>
      </c>
    </row>
    <row r="907" spans="1:13" x14ac:dyDescent="0.35">
      <c r="A907" t="s">
        <v>103</v>
      </c>
      <c r="B907" t="s">
        <v>57</v>
      </c>
      <c r="C907" s="2">
        <f t="shared" si="42"/>
        <v>476856210</v>
      </c>
      <c r="D907" s="2">
        <f t="shared" si="42"/>
        <v>134376952</v>
      </c>
      <c r="E907" s="2">
        <f t="shared" si="42"/>
        <v>327732686</v>
      </c>
      <c r="F907" s="2">
        <f t="shared" si="42"/>
        <v>77123307</v>
      </c>
      <c r="G907" s="2">
        <f t="shared" si="42"/>
        <v>210376969</v>
      </c>
      <c r="H907" s="2">
        <f t="shared" si="42"/>
        <v>2237895</v>
      </c>
      <c r="I907" s="2">
        <f t="shared" si="42"/>
        <v>45411849</v>
      </c>
      <c r="J907" s="2">
        <f t="shared" si="42"/>
        <v>173426326</v>
      </c>
      <c r="K907" s="2">
        <f t="shared" si="42"/>
        <v>318299752953</v>
      </c>
      <c r="L907" s="3">
        <f t="shared" si="40"/>
        <v>4.5477326971527475E-3</v>
      </c>
      <c r="M907" s="3">
        <f t="shared" si="41"/>
        <v>1.5977905772207625E-3</v>
      </c>
    </row>
    <row r="908" spans="1:13" x14ac:dyDescent="0.35">
      <c r="A908" t="s">
        <v>103</v>
      </c>
      <c r="B908" t="s">
        <v>58</v>
      </c>
      <c r="C908" s="2">
        <f t="shared" si="42"/>
        <v>449350398</v>
      </c>
      <c r="D908" s="2">
        <f t="shared" si="42"/>
        <v>132718494</v>
      </c>
      <c r="E908" s="2">
        <f t="shared" si="42"/>
        <v>511880715</v>
      </c>
      <c r="F908" s="2">
        <f t="shared" si="42"/>
        <v>80090974</v>
      </c>
      <c r="G908" s="2">
        <f t="shared" si="42"/>
        <v>278671052</v>
      </c>
      <c r="H908" s="2">
        <f t="shared" si="42"/>
        <v>1973335</v>
      </c>
      <c r="I908" s="2">
        <f t="shared" si="42"/>
        <v>65804466</v>
      </c>
      <c r="J908" s="2">
        <f t="shared" si="42"/>
        <v>155269594</v>
      </c>
      <c r="K908" s="2">
        <f t="shared" si="42"/>
        <v>352992781284</v>
      </c>
      <c r="L908" s="3">
        <f t="shared" si="40"/>
        <v>4.7472897941552234E-3</v>
      </c>
      <c r="M908" s="3">
        <f t="shared" si="41"/>
        <v>1.6482190340654751E-3</v>
      </c>
    </row>
    <row r="909" spans="1:13" x14ac:dyDescent="0.35">
      <c r="A909" t="s">
        <v>103</v>
      </c>
      <c r="B909" t="s">
        <v>59</v>
      </c>
      <c r="C909" s="2">
        <f t="shared" si="42"/>
        <v>463080070</v>
      </c>
      <c r="D909" s="2">
        <f t="shared" si="42"/>
        <v>135206827</v>
      </c>
      <c r="E909" s="2">
        <f t="shared" si="42"/>
        <v>494501763</v>
      </c>
      <c r="F909" s="2">
        <f t="shared" si="42"/>
        <v>31760462</v>
      </c>
      <c r="G909" s="2">
        <f t="shared" si="42"/>
        <v>208056174</v>
      </c>
      <c r="H909" s="2">
        <f t="shared" si="42"/>
        <v>2561780</v>
      </c>
      <c r="I909" s="2">
        <f t="shared" si="42"/>
        <v>65934992</v>
      </c>
      <c r="J909" s="2">
        <f t="shared" si="42"/>
        <v>179043150</v>
      </c>
      <c r="K909" s="2">
        <f t="shared" si="42"/>
        <v>369760578058</v>
      </c>
      <c r="L909" s="3">
        <f t="shared" si="40"/>
        <v>4.2734280282094896E-3</v>
      </c>
      <c r="M909" s="3">
        <f t="shared" si="41"/>
        <v>1.3180327674724537E-3</v>
      </c>
    </row>
    <row r="910" spans="1:13" x14ac:dyDescent="0.35">
      <c r="A910" t="s">
        <v>103</v>
      </c>
      <c r="B910" t="s">
        <v>60</v>
      </c>
      <c r="C910" s="2">
        <f t="shared" si="42"/>
        <v>499631686</v>
      </c>
      <c r="D910" s="2">
        <f t="shared" si="42"/>
        <v>158753973</v>
      </c>
      <c r="E910" s="2">
        <f t="shared" si="42"/>
        <v>465900132</v>
      </c>
      <c r="F910" s="2">
        <f t="shared" si="42"/>
        <v>90529846</v>
      </c>
      <c r="G910" s="2">
        <f t="shared" si="42"/>
        <v>225416436</v>
      </c>
      <c r="H910" s="2">
        <f t="shared" si="42"/>
        <v>5135187</v>
      </c>
      <c r="I910" s="2">
        <f t="shared" si="42"/>
        <v>59810574</v>
      </c>
      <c r="J910" s="2">
        <f t="shared" si="42"/>
        <v>187046185</v>
      </c>
      <c r="K910" s="2">
        <f t="shared" si="42"/>
        <v>377926160858</v>
      </c>
      <c r="L910" s="3">
        <f t="shared" si="40"/>
        <v>4.4776577920887231E-3</v>
      </c>
      <c r="M910" s="3">
        <f t="shared" si="41"/>
        <v>1.5027756393222911E-3</v>
      </c>
    </row>
    <row r="911" spans="1:13" x14ac:dyDescent="0.35">
      <c r="A911" t="s">
        <v>103</v>
      </c>
      <c r="B911" t="s">
        <v>61</v>
      </c>
      <c r="C911" s="2">
        <f t="shared" si="42"/>
        <v>413175706</v>
      </c>
      <c r="D911" s="2">
        <f t="shared" si="42"/>
        <v>131283612</v>
      </c>
      <c r="E911" s="2">
        <f t="shared" si="42"/>
        <v>464542639</v>
      </c>
      <c r="F911" s="2">
        <f t="shared" si="42"/>
        <v>118915126</v>
      </c>
      <c r="G911" s="2">
        <f t="shared" si="42"/>
        <v>295762602</v>
      </c>
      <c r="H911" s="2">
        <f t="shared" si="42"/>
        <v>2421313</v>
      </c>
      <c r="I911" s="2">
        <f t="shared" si="42"/>
        <v>84222990</v>
      </c>
      <c r="J911" s="2">
        <f t="shared" si="42"/>
        <v>178608949</v>
      </c>
      <c r="K911" s="2">
        <f t="shared" si="42"/>
        <v>317606113429</v>
      </c>
      <c r="L911" s="3">
        <f t="shared" si="40"/>
        <v>5.3176965605781909E-3</v>
      </c>
      <c r="M911" s="3">
        <f t="shared" si="41"/>
        <v>2.1407994092405803E-3</v>
      </c>
    </row>
    <row r="912" spans="1:13" x14ac:dyDescent="0.35">
      <c r="A912" t="s">
        <v>103</v>
      </c>
      <c r="B912" t="s">
        <v>62</v>
      </c>
      <c r="C912" s="2">
        <f t="shared" si="42"/>
        <v>421674360</v>
      </c>
      <c r="D912" s="2">
        <f t="shared" si="42"/>
        <v>137381079</v>
      </c>
      <c r="E912" s="2">
        <f t="shared" si="42"/>
        <v>367581681</v>
      </c>
      <c r="F912" s="2">
        <f t="shared" si="42"/>
        <v>30219913</v>
      </c>
      <c r="G912" s="2">
        <f t="shared" si="42"/>
        <v>214868052</v>
      </c>
      <c r="H912" s="2">
        <f t="shared" si="42"/>
        <v>2900214</v>
      </c>
      <c r="I912" s="2">
        <f t="shared" si="42"/>
        <v>26788421</v>
      </c>
      <c r="J912" s="2">
        <f t="shared" si="42"/>
        <v>147991723</v>
      </c>
      <c r="K912" s="2">
        <f t="shared" si="42"/>
        <v>342292318735</v>
      </c>
      <c r="L912" s="3">
        <f t="shared" si="40"/>
        <v>3.9422603696950007E-3</v>
      </c>
      <c r="M912" s="3">
        <f t="shared" si="41"/>
        <v>1.2351089985378956E-3</v>
      </c>
    </row>
    <row r="913" spans="1:13" x14ac:dyDescent="0.35">
      <c r="A913" t="s">
        <v>103</v>
      </c>
      <c r="B913" t="s">
        <v>63</v>
      </c>
      <c r="C913" s="2">
        <f t="shared" si="42"/>
        <v>440808522</v>
      </c>
      <c r="D913" s="2">
        <f t="shared" si="42"/>
        <v>138973822</v>
      </c>
      <c r="E913" s="2">
        <f t="shared" si="42"/>
        <v>433671887</v>
      </c>
      <c r="F913" s="2">
        <f t="shared" si="42"/>
        <v>34381098</v>
      </c>
      <c r="G913" s="2">
        <f t="shared" si="42"/>
        <v>206577726</v>
      </c>
      <c r="H913" s="2">
        <f t="shared" si="42"/>
        <v>3080394</v>
      </c>
      <c r="I913" s="2">
        <f t="shared" si="42"/>
        <v>39545354</v>
      </c>
      <c r="J913" s="2">
        <f t="shared" si="42"/>
        <v>175458398</v>
      </c>
      <c r="K913" s="2">
        <f t="shared" si="42"/>
        <v>355369331595</v>
      </c>
      <c r="L913" s="3">
        <f t="shared" si="40"/>
        <v>4.1435685921207893E-3</v>
      </c>
      <c r="M913" s="3">
        <f t="shared" si="41"/>
        <v>1.2917349055971792E-3</v>
      </c>
    </row>
    <row r="914" spans="1:13" x14ac:dyDescent="0.35">
      <c r="A914" t="s">
        <v>103</v>
      </c>
      <c r="B914" t="s">
        <v>64</v>
      </c>
      <c r="C914" s="2">
        <f t="shared" ref="C914:K923" si="43">SUMIFS(C$2:C$784,$B$2:$B$784,$B914,$A$2:$A$784,"&lt;&gt;NL")</f>
        <v>448770282</v>
      </c>
      <c r="D914" s="2">
        <f t="shared" si="43"/>
        <v>141210472</v>
      </c>
      <c r="E914" s="2">
        <f t="shared" si="43"/>
        <v>427217558</v>
      </c>
      <c r="F914" s="2">
        <f t="shared" si="43"/>
        <v>68924167</v>
      </c>
      <c r="G914" s="2">
        <f t="shared" si="43"/>
        <v>318245490</v>
      </c>
      <c r="H914" s="2">
        <f t="shared" si="43"/>
        <v>4271013</v>
      </c>
      <c r="I914" s="2">
        <f t="shared" si="43"/>
        <v>93081367</v>
      </c>
      <c r="J914" s="2">
        <f t="shared" si="43"/>
        <v>158721915</v>
      </c>
      <c r="K914" s="2">
        <f t="shared" si="43"/>
        <v>365506777882</v>
      </c>
      <c r="L914" s="3">
        <f t="shared" si="40"/>
        <v>4.5428494476128598E-3</v>
      </c>
      <c r="M914" s="3">
        <f t="shared" si="41"/>
        <v>1.7598687382143828E-3</v>
      </c>
    </row>
    <row r="915" spans="1:13" x14ac:dyDescent="0.35">
      <c r="A915" t="s">
        <v>103</v>
      </c>
      <c r="B915" t="s">
        <v>65</v>
      </c>
      <c r="C915" s="2">
        <f t="shared" si="43"/>
        <v>466360095</v>
      </c>
      <c r="D915" s="2">
        <f t="shared" si="43"/>
        <v>134079007</v>
      </c>
      <c r="E915" s="2">
        <f t="shared" si="43"/>
        <v>365899954</v>
      </c>
      <c r="F915" s="2">
        <f t="shared" si="43"/>
        <v>64863920</v>
      </c>
      <c r="G915" s="2">
        <f t="shared" si="43"/>
        <v>262035464</v>
      </c>
      <c r="H915" s="2">
        <f t="shared" si="43"/>
        <v>3796791</v>
      </c>
      <c r="I915" s="2">
        <f t="shared" si="43"/>
        <v>53882659</v>
      </c>
      <c r="J915" s="2">
        <f t="shared" si="43"/>
        <v>179323743</v>
      </c>
      <c r="K915" s="2">
        <f t="shared" si="43"/>
        <v>368627715029</v>
      </c>
      <c r="L915" s="3">
        <f t="shared" si="40"/>
        <v>4.1511844351681901E-3</v>
      </c>
      <c r="M915" s="3">
        <f t="shared" si="41"/>
        <v>1.5297346184500471E-3</v>
      </c>
    </row>
    <row r="916" spans="1:13" x14ac:dyDescent="0.35">
      <c r="A916" t="s">
        <v>103</v>
      </c>
      <c r="B916" t="s">
        <v>66</v>
      </c>
      <c r="C916" s="2">
        <f t="shared" si="43"/>
        <v>449445888</v>
      </c>
      <c r="D916" s="2">
        <f t="shared" si="43"/>
        <v>122393310</v>
      </c>
      <c r="E916" s="2">
        <f t="shared" si="43"/>
        <v>407633932</v>
      </c>
      <c r="F916" s="2">
        <f t="shared" si="43"/>
        <v>54168471</v>
      </c>
      <c r="G916" s="2">
        <f t="shared" si="43"/>
        <v>303828650</v>
      </c>
      <c r="H916" s="2">
        <f t="shared" si="43"/>
        <v>2063766</v>
      </c>
      <c r="I916" s="2">
        <f t="shared" si="43"/>
        <v>51058171</v>
      </c>
      <c r="J916" s="2">
        <f t="shared" si="43"/>
        <v>180687055</v>
      </c>
      <c r="K916" s="2">
        <f t="shared" si="43"/>
        <v>356688481688</v>
      </c>
      <c r="L916" s="3">
        <f t="shared" si="40"/>
        <v>4.4051863843879834E-3</v>
      </c>
      <c r="M916" s="3">
        <f t="shared" si="41"/>
        <v>1.6591679949947485E-3</v>
      </c>
    </row>
    <row r="917" spans="1:13" x14ac:dyDescent="0.35">
      <c r="A917" t="s">
        <v>103</v>
      </c>
      <c r="B917" t="s">
        <v>67</v>
      </c>
      <c r="C917" s="2">
        <f t="shared" si="43"/>
        <v>423771600</v>
      </c>
      <c r="D917" s="2">
        <f t="shared" si="43"/>
        <v>132989472</v>
      </c>
      <c r="E917" s="2">
        <f t="shared" si="43"/>
        <v>443142978</v>
      </c>
      <c r="F917" s="2">
        <f t="shared" si="43"/>
        <v>67169310</v>
      </c>
      <c r="G917" s="2">
        <f t="shared" si="43"/>
        <v>288115162</v>
      </c>
      <c r="H917" s="2">
        <f t="shared" si="43"/>
        <v>6022661</v>
      </c>
      <c r="I917" s="2">
        <f t="shared" si="43"/>
        <v>64289228</v>
      </c>
      <c r="J917" s="2">
        <f t="shared" si="43"/>
        <v>176711072</v>
      </c>
      <c r="K917" s="2">
        <f t="shared" si="43"/>
        <v>353627196613</v>
      </c>
      <c r="L917" s="3">
        <f t="shared" si="40"/>
        <v>4.5307925927241871E-3</v>
      </c>
      <c r="M917" s="3">
        <f t="shared" si="41"/>
        <v>1.7032271238435004E-3</v>
      </c>
    </row>
    <row r="918" spans="1:13" x14ac:dyDescent="0.35">
      <c r="A918" t="s">
        <v>103</v>
      </c>
      <c r="B918" t="s">
        <v>68</v>
      </c>
      <c r="C918" s="2">
        <f t="shared" si="43"/>
        <v>596210500</v>
      </c>
      <c r="D918" s="2">
        <f t="shared" si="43"/>
        <v>164846427</v>
      </c>
      <c r="E918" s="2">
        <f t="shared" si="43"/>
        <v>431113256</v>
      </c>
      <c r="F918" s="2">
        <f t="shared" si="43"/>
        <v>67333304</v>
      </c>
      <c r="G918" s="2">
        <f t="shared" si="43"/>
        <v>234198575</v>
      </c>
      <c r="H918" s="2">
        <f t="shared" si="43"/>
        <v>4544681</v>
      </c>
      <c r="I918" s="2">
        <f t="shared" si="43"/>
        <v>60942616</v>
      </c>
      <c r="J918" s="2">
        <f t="shared" si="43"/>
        <v>192025992</v>
      </c>
      <c r="K918" s="2">
        <f t="shared" si="43"/>
        <v>372743656600</v>
      </c>
      <c r="L918" s="3">
        <f t="shared" si="40"/>
        <v>4.6981761325566177E-3</v>
      </c>
      <c r="M918" s="3">
        <f t="shared" si="41"/>
        <v>1.499811353194736E-3</v>
      </c>
    </row>
    <row r="919" spans="1:13" x14ac:dyDescent="0.35">
      <c r="A919" t="s">
        <v>103</v>
      </c>
      <c r="B919" t="s">
        <v>69</v>
      </c>
      <c r="C919" s="2">
        <f t="shared" si="43"/>
        <v>502411810</v>
      </c>
      <c r="D919" s="2">
        <f t="shared" si="43"/>
        <v>125801154</v>
      </c>
      <c r="E919" s="2">
        <f t="shared" si="43"/>
        <v>427196866</v>
      </c>
      <c r="F919" s="2">
        <f t="shared" si="43"/>
        <v>67963270</v>
      </c>
      <c r="G919" s="2">
        <f t="shared" si="43"/>
        <v>245555914</v>
      </c>
      <c r="H919" s="2">
        <f t="shared" si="43"/>
        <v>3325437</v>
      </c>
      <c r="I919" s="2">
        <f t="shared" si="43"/>
        <v>48319228</v>
      </c>
      <c r="J919" s="2">
        <f t="shared" si="43"/>
        <v>148451462</v>
      </c>
      <c r="K919" s="2">
        <f t="shared" si="43"/>
        <v>307282488009</v>
      </c>
      <c r="L919" s="3">
        <f t="shared" si="40"/>
        <v>5.1061326376465842E-3</v>
      </c>
      <c r="M919" s="3">
        <f t="shared" si="41"/>
        <v>1.6714760230168298E-3</v>
      </c>
    </row>
    <row r="920" spans="1:13" x14ac:dyDescent="0.35">
      <c r="A920" t="s">
        <v>103</v>
      </c>
      <c r="B920" t="s">
        <v>70</v>
      </c>
      <c r="C920" s="2">
        <f t="shared" si="43"/>
        <v>711956747</v>
      </c>
      <c r="D920" s="2">
        <f t="shared" si="43"/>
        <v>128346644</v>
      </c>
      <c r="E920" s="2">
        <f t="shared" si="43"/>
        <v>409139588</v>
      </c>
      <c r="F920" s="2">
        <f t="shared" si="43"/>
        <v>75263283</v>
      </c>
      <c r="G920" s="2">
        <f t="shared" si="43"/>
        <v>292398535</v>
      </c>
      <c r="H920" s="2">
        <f t="shared" si="43"/>
        <v>2564431</v>
      </c>
      <c r="I920" s="2">
        <f t="shared" si="43"/>
        <v>88497111</v>
      </c>
      <c r="J920" s="2">
        <f t="shared" si="43"/>
        <v>184038396</v>
      </c>
      <c r="K920" s="2">
        <f t="shared" si="43"/>
        <v>354932765757</v>
      </c>
      <c r="L920" s="3">
        <f t="shared" si="40"/>
        <v>5.3311638641315882E-3</v>
      </c>
      <c r="M920" s="3">
        <f t="shared" si="41"/>
        <v>1.8109394736468437E-3</v>
      </c>
    </row>
    <row r="921" spans="1:13" x14ac:dyDescent="0.35">
      <c r="A921" t="s">
        <v>103</v>
      </c>
      <c r="B921" t="s">
        <v>71</v>
      </c>
      <c r="C921" s="2">
        <f t="shared" si="43"/>
        <v>589331827</v>
      </c>
      <c r="D921" s="2">
        <f t="shared" si="43"/>
        <v>146941567</v>
      </c>
      <c r="E921" s="2">
        <f t="shared" si="43"/>
        <v>448993030</v>
      </c>
      <c r="F921" s="2">
        <f t="shared" si="43"/>
        <v>50249589</v>
      </c>
      <c r="G921" s="2">
        <f t="shared" si="43"/>
        <v>247926425</v>
      </c>
      <c r="H921" s="2">
        <f t="shared" si="43"/>
        <v>4237142</v>
      </c>
      <c r="I921" s="2">
        <f t="shared" si="43"/>
        <v>63141374</v>
      </c>
      <c r="J921" s="2">
        <f t="shared" si="43"/>
        <v>179307331</v>
      </c>
      <c r="K921" s="2">
        <f t="shared" si="43"/>
        <v>381344097977</v>
      </c>
      <c r="L921" s="3">
        <f t="shared" si="40"/>
        <v>4.5369216258444606E-3</v>
      </c>
      <c r="M921" s="3">
        <f t="shared" si="41"/>
        <v>1.4287932182258719E-3</v>
      </c>
    </row>
    <row r="922" spans="1:13" x14ac:dyDescent="0.35">
      <c r="A922" t="s">
        <v>103</v>
      </c>
      <c r="B922" t="s">
        <v>72</v>
      </c>
      <c r="C922" s="2">
        <f t="shared" si="43"/>
        <v>858221566</v>
      </c>
      <c r="D922" s="2">
        <f t="shared" si="43"/>
        <v>171021705</v>
      </c>
      <c r="E922" s="2">
        <f t="shared" si="43"/>
        <v>471167615</v>
      </c>
      <c r="F922" s="2">
        <f t="shared" si="43"/>
        <v>61619678</v>
      </c>
      <c r="G922" s="2">
        <f t="shared" si="43"/>
        <v>236714289</v>
      </c>
      <c r="H922" s="2">
        <f t="shared" si="43"/>
        <v>3458691</v>
      </c>
      <c r="I922" s="2">
        <f t="shared" si="43"/>
        <v>72924749</v>
      </c>
      <c r="J922" s="2">
        <f t="shared" si="43"/>
        <v>195466615</v>
      </c>
      <c r="K922" s="2">
        <f t="shared" si="43"/>
        <v>363151696810</v>
      </c>
      <c r="L922" s="3">
        <f t="shared" si="40"/>
        <v>5.7017354625863957E-3</v>
      </c>
      <c r="M922" s="3">
        <f t="shared" si="41"/>
        <v>1.5700987411283356E-3</v>
      </c>
    </row>
    <row r="923" spans="1:13" x14ac:dyDescent="0.35">
      <c r="A923" t="s">
        <v>103</v>
      </c>
      <c r="B923" t="s">
        <v>73</v>
      </c>
      <c r="C923" s="2">
        <f t="shared" si="43"/>
        <v>497357760</v>
      </c>
      <c r="D923" s="2">
        <f t="shared" si="43"/>
        <v>141495394</v>
      </c>
      <c r="E923" s="2">
        <f t="shared" si="43"/>
        <v>382514002</v>
      </c>
      <c r="F923" s="2">
        <f t="shared" si="43"/>
        <v>127457871</v>
      </c>
      <c r="G923" s="2">
        <f t="shared" si="43"/>
        <v>305851741</v>
      </c>
      <c r="H923" s="2">
        <f t="shared" si="43"/>
        <v>4471002</v>
      </c>
      <c r="I923" s="2">
        <f t="shared" si="43"/>
        <v>115466343</v>
      </c>
      <c r="J923" s="2">
        <f t="shared" si="43"/>
        <v>175507139</v>
      </c>
      <c r="K923" s="2">
        <f t="shared" si="43"/>
        <v>321937269239</v>
      </c>
      <c r="L923" s="3">
        <f t="shared" si="40"/>
        <v>5.4362182301445315E-3</v>
      </c>
      <c r="M923" s="3">
        <f t="shared" si="41"/>
        <v>2.2636524740445229E-3</v>
      </c>
    </row>
    <row r="924" spans="1:13" x14ac:dyDescent="0.35">
      <c r="A924" t="s">
        <v>103</v>
      </c>
      <c r="B924" t="s">
        <v>74</v>
      </c>
      <c r="C924" s="2">
        <f t="shared" ref="C924:K933" si="44">SUMIFS(C$2:C$784,$B$2:$B$784,$B924,$A$2:$A$784,"&lt;&gt;NL")</f>
        <v>646895392</v>
      </c>
      <c r="D924" s="2">
        <f t="shared" si="44"/>
        <v>155961679</v>
      </c>
      <c r="E924" s="2">
        <f t="shared" si="44"/>
        <v>539825384</v>
      </c>
      <c r="F924" s="2">
        <f t="shared" si="44"/>
        <v>52070297</v>
      </c>
      <c r="G924" s="2">
        <f t="shared" si="44"/>
        <v>175258901</v>
      </c>
      <c r="H924" s="2">
        <f t="shared" si="44"/>
        <v>4310640</v>
      </c>
      <c r="I924" s="2">
        <f t="shared" si="44"/>
        <v>48494473</v>
      </c>
      <c r="J924" s="2">
        <f t="shared" si="44"/>
        <v>168554877</v>
      </c>
      <c r="K924" s="2">
        <f t="shared" si="44"/>
        <v>348879291288</v>
      </c>
      <c r="L924" s="3">
        <f t="shared" si="40"/>
        <v>5.1346459584533551E-3</v>
      </c>
      <c r="M924" s="3">
        <f t="shared" si="41"/>
        <v>1.2860871917720301E-3</v>
      </c>
    </row>
    <row r="925" spans="1:13" x14ac:dyDescent="0.35">
      <c r="A925" t="s">
        <v>103</v>
      </c>
      <c r="B925" t="s">
        <v>75</v>
      </c>
      <c r="C925" s="2">
        <f t="shared" si="44"/>
        <v>926631738</v>
      </c>
      <c r="D925" s="2">
        <f t="shared" si="44"/>
        <v>144073731</v>
      </c>
      <c r="E925" s="2">
        <f t="shared" si="44"/>
        <v>398730874</v>
      </c>
      <c r="F925" s="2">
        <f t="shared" si="44"/>
        <v>61163745</v>
      </c>
      <c r="G925" s="2">
        <f t="shared" si="44"/>
        <v>380369557</v>
      </c>
      <c r="H925" s="2">
        <f t="shared" si="44"/>
        <v>6258370</v>
      </c>
      <c r="I925" s="2">
        <f t="shared" si="44"/>
        <v>69631746</v>
      </c>
      <c r="J925" s="2">
        <f t="shared" si="44"/>
        <v>163064424</v>
      </c>
      <c r="K925" s="2">
        <f t="shared" si="44"/>
        <v>361223944066</v>
      </c>
      <c r="L925" s="3">
        <f t="shared" si="40"/>
        <v>5.9517765096080751E-3</v>
      </c>
      <c r="M925" s="3">
        <f t="shared" si="41"/>
        <v>1.8838392448194592E-3</v>
      </c>
    </row>
    <row r="926" spans="1:13" x14ac:dyDescent="0.35">
      <c r="A926" t="s">
        <v>103</v>
      </c>
      <c r="B926" t="s">
        <v>76</v>
      </c>
      <c r="C926" s="2">
        <f t="shared" si="44"/>
        <v>814647884</v>
      </c>
      <c r="D926" s="2">
        <f t="shared" si="44"/>
        <v>157101120</v>
      </c>
      <c r="E926" s="2">
        <f t="shared" si="44"/>
        <v>444164644</v>
      </c>
      <c r="F926" s="2">
        <f t="shared" si="44"/>
        <v>72594086</v>
      </c>
      <c r="G926" s="2">
        <f t="shared" si="44"/>
        <v>284974153</v>
      </c>
      <c r="H926" s="2">
        <f t="shared" si="44"/>
        <v>6570677</v>
      </c>
      <c r="I926" s="2">
        <f t="shared" si="44"/>
        <v>78171752</v>
      </c>
      <c r="J926" s="2">
        <f t="shared" si="44"/>
        <v>201437434</v>
      </c>
      <c r="K926" s="2">
        <f t="shared" si="44"/>
        <v>401104228505</v>
      </c>
      <c r="L926" s="3">
        <f t="shared" si="40"/>
        <v>5.1349788998156249E-3</v>
      </c>
      <c r="M926" s="3">
        <f t="shared" si="41"/>
        <v>1.6049397045735092E-3</v>
      </c>
    </row>
    <row r="927" spans="1:13" x14ac:dyDescent="0.35">
      <c r="A927" t="s">
        <v>103</v>
      </c>
      <c r="B927" t="s">
        <v>77</v>
      </c>
      <c r="C927" s="2">
        <f t="shared" si="44"/>
        <v>756403552</v>
      </c>
      <c r="D927" s="2">
        <f t="shared" si="44"/>
        <v>155770890</v>
      </c>
      <c r="E927" s="2">
        <f t="shared" si="44"/>
        <v>405308423</v>
      </c>
      <c r="F927" s="2">
        <f t="shared" si="44"/>
        <v>60477509</v>
      </c>
      <c r="G927" s="2">
        <f t="shared" si="44"/>
        <v>298134056</v>
      </c>
      <c r="H927" s="2">
        <f t="shared" si="44"/>
        <v>3540796</v>
      </c>
      <c r="I927" s="2">
        <f t="shared" si="44"/>
        <v>51914865</v>
      </c>
      <c r="J927" s="2">
        <f t="shared" si="44"/>
        <v>160458578</v>
      </c>
      <c r="K927" s="2">
        <f t="shared" si="44"/>
        <v>361645785080</v>
      </c>
      <c r="L927" s="3">
        <f t="shared" si="40"/>
        <v>5.2316624361637924E-3</v>
      </c>
      <c r="M927" s="3">
        <f t="shared" si="41"/>
        <v>1.5886423337490539E-3</v>
      </c>
    </row>
    <row r="928" spans="1:13" x14ac:dyDescent="0.35">
      <c r="A928" t="s">
        <v>103</v>
      </c>
      <c r="B928" t="s">
        <v>78</v>
      </c>
      <c r="C928" s="2">
        <f t="shared" si="44"/>
        <v>895989910</v>
      </c>
      <c r="D928" s="2">
        <f t="shared" si="44"/>
        <v>154350103</v>
      </c>
      <c r="E928" s="2">
        <f t="shared" si="44"/>
        <v>420963437</v>
      </c>
      <c r="F928" s="2">
        <f t="shared" si="44"/>
        <v>55752754</v>
      </c>
      <c r="G928" s="2">
        <f t="shared" si="44"/>
        <v>277714097</v>
      </c>
      <c r="H928" s="2">
        <f t="shared" si="44"/>
        <v>3725222</v>
      </c>
      <c r="I928" s="2">
        <f t="shared" si="44"/>
        <v>60841211</v>
      </c>
      <c r="J928" s="2">
        <f t="shared" si="44"/>
        <v>163723879</v>
      </c>
      <c r="K928" s="2">
        <f t="shared" si="44"/>
        <v>360843110758</v>
      </c>
      <c r="L928" s="3">
        <f t="shared" si="40"/>
        <v>5.6341954505637641E-3</v>
      </c>
      <c r="M928" s="3">
        <f t="shared" si="41"/>
        <v>1.5567906002693325E-3</v>
      </c>
    </row>
    <row r="929" spans="1:13" x14ac:dyDescent="0.35">
      <c r="A929" t="s">
        <v>103</v>
      </c>
      <c r="B929" t="s">
        <v>79</v>
      </c>
      <c r="C929" s="2">
        <f t="shared" si="44"/>
        <v>715928940</v>
      </c>
      <c r="D929" s="2">
        <f t="shared" si="44"/>
        <v>219789484</v>
      </c>
      <c r="E929" s="2">
        <f t="shared" si="44"/>
        <v>477270956</v>
      </c>
      <c r="F929" s="2">
        <f t="shared" si="44"/>
        <v>70107241</v>
      </c>
      <c r="G929" s="2">
        <f t="shared" si="44"/>
        <v>210833254</v>
      </c>
      <c r="H929" s="2">
        <f t="shared" si="44"/>
        <v>2884325</v>
      </c>
      <c r="I929" s="2">
        <f t="shared" si="44"/>
        <v>71617904</v>
      </c>
      <c r="J929" s="2">
        <f t="shared" si="44"/>
        <v>163678322</v>
      </c>
      <c r="K929" s="2">
        <f t="shared" si="44"/>
        <v>357763951423</v>
      </c>
      <c r="L929" s="3">
        <f t="shared" si="40"/>
        <v>5.4005173475836898E-3</v>
      </c>
      <c r="M929" s="3">
        <f t="shared" si="41"/>
        <v>1.4510155199684174E-3</v>
      </c>
    </row>
    <row r="930" spans="1:13" x14ac:dyDescent="0.35">
      <c r="A930" t="s">
        <v>103</v>
      </c>
      <c r="B930" t="s">
        <v>80</v>
      </c>
      <c r="C930" s="2">
        <f t="shared" si="44"/>
        <v>683511751</v>
      </c>
      <c r="D930" s="2">
        <f t="shared" si="44"/>
        <v>176928053</v>
      </c>
      <c r="E930" s="2">
        <f t="shared" si="44"/>
        <v>454772468</v>
      </c>
      <c r="F930" s="2">
        <f t="shared" si="44"/>
        <v>31324207</v>
      </c>
      <c r="G930" s="2">
        <f t="shared" si="44"/>
        <v>224293681</v>
      </c>
      <c r="H930" s="2">
        <f t="shared" si="44"/>
        <v>4753713</v>
      </c>
      <c r="I930" s="2">
        <f t="shared" si="44"/>
        <v>76820333</v>
      </c>
      <c r="J930" s="2">
        <f t="shared" si="44"/>
        <v>179897368</v>
      </c>
      <c r="K930" s="2">
        <f t="shared" si="44"/>
        <v>377143222602</v>
      </c>
      <c r="L930" s="3">
        <f t="shared" si="40"/>
        <v>4.8583706777454985E-3</v>
      </c>
      <c r="M930" s="3">
        <f t="shared" si="41"/>
        <v>1.3710687903456915E-3</v>
      </c>
    </row>
    <row r="931" spans="1:13" x14ac:dyDescent="0.35">
      <c r="A931" t="s">
        <v>103</v>
      </c>
      <c r="B931" t="s">
        <v>81</v>
      </c>
      <c r="C931" s="2">
        <f t="shared" si="44"/>
        <v>547539893</v>
      </c>
      <c r="D931" s="2">
        <f t="shared" si="44"/>
        <v>152382451</v>
      </c>
      <c r="E931" s="2">
        <f t="shared" si="44"/>
        <v>469801825</v>
      </c>
      <c r="F931" s="2">
        <f t="shared" si="44"/>
        <v>45519434</v>
      </c>
      <c r="G931" s="2">
        <f t="shared" si="44"/>
        <v>257679377</v>
      </c>
      <c r="H931" s="2">
        <f t="shared" si="44"/>
        <v>5453329</v>
      </c>
      <c r="I931" s="2">
        <f t="shared" si="44"/>
        <v>65447431</v>
      </c>
      <c r="J931" s="2">
        <f t="shared" si="44"/>
        <v>146870762</v>
      </c>
      <c r="K931" s="2">
        <f t="shared" si="44"/>
        <v>296499874259</v>
      </c>
      <c r="L931" s="3">
        <f t="shared" si="40"/>
        <v>5.7021761180348308E-3</v>
      </c>
      <c r="M931" s="3">
        <f t="shared" si="41"/>
        <v>1.7570676355326866E-3</v>
      </c>
    </row>
    <row r="932" spans="1:13" x14ac:dyDescent="0.35">
      <c r="A932" t="s">
        <v>103</v>
      </c>
      <c r="B932" t="s">
        <v>82</v>
      </c>
      <c r="C932" s="2">
        <f t="shared" si="44"/>
        <v>732754470</v>
      </c>
      <c r="D932" s="2">
        <f t="shared" si="44"/>
        <v>187821586</v>
      </c>
      <c r="E932" s="2">
        <f t="shared" si="44"/>
        <v>714270348</v>
      </c>
      <c r="F932" s="2">
        <f t="shared" si="44"/>
        <v>44887704</v>
      </c>
      <c r="G932" s="2">
        <f t="shared" si="44"/>
        <v>218572533</v>
      </c>
      <c r="H932" s="2">
        <f t="shared" si="44"/>
        <v>3410374</v>
      </c>
      <c r="I932" s="2">
        <f t="shared" si="44"/>
        <v>39060155</v>
      </c>
      <c r="J932" s="2">
        <f t="shared" si="44"/>
        <v>166591789</v>
      </c>
      <c r="K932" s="2">
        <f t="shared" si="44"/>
        <v>381260979921</v>
      </c>
      <c r="L932" s="3">
        <f t="shared" si="40"/>
        <v>5.5273659513665994E-3</v>
      </c>
      <c r="M932" s="3">
        <f t="shared" si="41"/>
        <v>1.2393677294170258E-3</v>
      </c>
    </row>
    <row r="933" spans="1:13" x14ac:dyDescent="0.35">
      <c r="A933" t="s">
        <v>103</v>
      </c>
      <c r="B933" t="s">
        <v>83</v>
      </c>
      <c r="C933" s="2">
        <f t="shared" si="44"/>
        <v>679555679</v>
      </c>
      <c r="D933" s="2">
        <f t="shared" si="44"/>
        <v>178153750</v>
      </c>
      <c r="E933" s="2">
        <f t="shared" si="44"/>
        <v>612438948</v>
      </c>
      <c r="F933" s="2">
        <f t="shared" si="44"/>
        <v>42408238</v>
      </c>
      <c r="G933" s="2">
        <f t="shared" si="44"/>
        <v>328893021</v>
      </c>
      <c r="H933" s="2">
        <f t="shared" si="44"/>
        <v>6645432</v>
      </c>
      <c r="I933" s="2">
        <f t="shared" si="44"/>
        <v>44856083</v>
      </c>
      <c r="J933" s="2">
        <f t="shared" si="44"/>
        <v>180648528</v>
      </c>
      <c r="K933" s="2">
        <f t="shared" si="44"/>
        <v>383381626392</v>
      </c>
      <c r="L933" s="3">
        <f t="shared" si="40"/>
        <v>5.4087090675539731E-3</v>
      </c>
      <c r="M933" s="3">
        <f t="shared" si="41"/>
        <v>1.5740224894945361E-3</v>
      </c>
    </row>
    <row r="934" spans="1:13" x14ac:dyDescent="0.35">
      <c r="A934" t="s">
        <v>103</v>
      </c>
      <c r="B934" t="s">
        <v>84</v>
      </c>
      <c r="C934" s="2">
        <f t="shared" ref="C934:K942" si="45">SUMIFS(C$2:C$784,$B$2:$B$784,$B934,$A$2:$A$784,"&lt;&gt;NL")</f>
        <v>642777921</v>
      </c>
      <c r="D934" s="2">
        <f t="shared" si="45"/>
        <v>215331002</v>
      </c>
      <c r="E934" s="2">
        <f t="shared" si="45"/>
        <v>569266256</v>
      </c>
      <c r="F934" s="2">
        <f t="shared" si="45"/>
        <v>68035905</v>
      </c>
      <c r="G934" s="2">
        <f t="shared" si="45"/>
        <v>339907311</v>
      </c>
      <c r="H934" s="2">
        <f t="shared" si="45"/>
        <v>6011363</v>
      </c>
      <c r="I934" s="2">
        <f t="shared" si="45"/>
        <v>68278620</v>
      </c>
      <c r="J934" s="2">
        <f t="shared" si="45"/>
        <v>171250557</v>
      </c>
      <c r="K934" s="2">
        <f t="shared" si="45"/>
        <v>355370461781</v>
      </c>
      <c r="L934" s="3">
        <f t="shared" si="40"/>
        <v>5.8554639701100045E-3</v>
      </c>
      <c r="M934" s="3">
        <f t="shared" si="41"/>
        <v>1.8388803411655379E-3</v>
      </c>
    </row>
    <row r="935" spans="1:13" x14ac:dyDescent="0.35">
      <c r="A935" t="s">
        <v>103</v>
      </c>
      <c r="B935" t="s">
        <v>85</v>
      </c>
      <c r="C935" s="2">
        <f t="shared" si="45"/>
        <v>939232046</v>
      </c>
      <c r="D935" s="2">
        <f t="shared" si="45"/>
        <v>187636158</v>
      </c>
      <c r="E935" s="2">
        <f t="shared" si="45"/>
        <v>550153608</v>
      </c>
      <c r="F935" s="2">
        <f t="shared" si="45"/>
        <v>92123866</v>
      </c>
      <c r="G935" s="2">
        <f t="shared" si="45"/>
        <v>277990138</v>
      </c>
      <c r="H935" s="2">
        <f t="shared" si="45"/>
        <v>2451792</v>
      </c>
      <c r="I935" s="2">
        <f t="shared" si="45"/>
        <v>82216056</v>
      </c>
      <c r="J935" s="2">
        <f t="shared" si="45"/>
        <v>154882086</v>
      </c>
      <c r="K935" s="2">
        <f t="shared" si="45"/>
        <v>335979569459</v>
      </c>
      <c r="L935" s="3">
        <f t="shared" si="40"/>
        <v>6.8060261928487506E-3</v>
      </c>
      <c r="M935" s="3">
        <f t="shared" si="41"/>
        <v>1.8145863422043525E-3</v>
      </c>
    </row>
    <row r="936" spans="1:13" x14ac:dyDescent="0.35">
      <c r="A936" t="s">
        <v>103</v>
      </c>
      <c r="B936" t="s">
        <v>86</v>
      </c>
      <c r="C936" s="2">
        <f t="shared" si="45"/>
        <v>1417838362</v>
      </c>
      <c r="D936" s="2">
        <f t="shared" si="45"/>
        <v>194333256</v>
      </c>
      <c r="E936" s="2">
        <f t="shared" si="45"/>
        <v>662291961</v>
      </c>
      <c r="F936" s="2">
        <f t="shared" si="45"/>
        <v>38214764</v>
      </c>
      <c r="G936" s="2">
        <f t="shared" si="45"/>
        <v>182147797</v>
      </c>
      <c r="H936" s="2">
        <f t="shared" si="45"/>
        <v>3979968</v>
      </c>
      <c r="I936" s="2">
        <f t="shared" si="45"/>
        <v>37504773</v>
      </c>
      <c r="J936" s="2">
        <f t="shared" si="45"/>
        <v>160428036</v>
      </c>
      <c r="K936" s="2">
        <f t="shared" si="45"/>
        <v>329894978381</v>
      </c>
      <c r="L936" s="3">
        <f t="shared" si="40"/>
        <v>8.1745376369006181E-3</v>
      </c>
      <c r="M936" s="3">
        <f t="shared" si="41"/>
        <v>1.2800296023672986E-3</v>
      </c>
    </row>
    <row r="937" spans="1:13" x14ac:dyDescent="0.35">
      <c r="A937" t="s">
        <v>103</v>
      </c>
      <c r="B937" t="s">
        <v>87</v>
      </c>
      <c r="C937" s="2">
        <f t="shared" si="45"/>
        <v>994229279</v>
      </c>
      <c r="D937" s="2">
        <f t="shared" si="45"/>
        <v>174705564</v>
      </c>
      <c r="E937" s="2">
        <f t="shared" si="45"/>
        <v>605435901</v>
      </c>
      <c r="F937" s="2">
        <f t="shared" si="45"/>
        <v>32225144</v>
      </c>
      <c r="G937" s="2">
        <f t="shared" si="45"/>
        <v>191864053</v>
      </c>
      <c r="H937" s="2">
        <f t="shared" si="45"/>
        <v>7514695</v>
      </c>
      <c r="I937" s="2">
        <f t="shared" si="45"/>
        <v>30966583</v>
      </c>
      <c r="J937" s="2">
        <f t="shared" si="45"/>
        <v>181676700</v>
      </c>
      <c r="K937" s="2">
        <f t="shared" si="45"/>
        <v>353052990429</v>
      </c>
      <c r="L937" s="3">
        <f t="shared" si="40"/>
        <v>6.2840932640285075E-3</v>
      </c>
      <c r="M937" s="3">
        <f t="shared" si="41"/>
        <v>1.2583016913698666E-3</v>
      </c>
    </row>
    <row r="938" spans="1:13" x14ac:dyDescent="0.35">
      <c r="A938" t="s">
        <v>103</v>
      </c>
      <c r="B938" t="s">
        <v>88</v>
      </c>
      <c r="C938" s="2">
        <f t="shared" si="45"/>
        <v>1327331785</v>
      </c>
      <c r="D938" s="2">
        <f t="shared" si="45"/>
        <v>189732372</v>
      </c>
      <c r="E938" s="2">
        <f t="shared" si="45"/>
        <v>933272407</v>
      </c>
      <c r="F938" s="2">
        <f t="shared" si="45"/>
        <v>20523884</v>
      </c>
      <c r="G938" s="2">
        <f t="shared" si="45"/>
        <v>265462550</v>
      </c>
      <c r="H938" s="2">
        <f t="shared" si="45"/>
        <v>5540227</v>
      </c>
      <c r="I938" s="2">
        <f t="shared" si="45"/>
        <v>70517517</v>
      </c>
      <c r="J938" s="2">
        <f t="shared" si="45"/>
        <v>215980457</v>
      </c>
      <c r="K938" s="2">
        <f t="shared" si="45"/>
        <v>403496721301</v>
      </c>
      <c r="L938" s="3">
        <f t="shared" si="40"/>
        <v>7.5052932009846661E-3</v>
      </c>
      <c r="M938" s="3">
        <f t="shared" si="41"/>
        <v>1.4325386167606698E-3</v>
      </c>
    </row>
    <row r="939" spans="1:13" x14ac:dyDescent="0.35">
      <c r="A939" t="s">
        <v>103</v>
      </c>
      <c r="B939" t="s">
        <v>89</v>
      </c>
      <c r="C939" s="2">
        <f t="shared" si="45"/>
        <v>1473507046</v>
      </c>
      <c r="D939" s="2">
        <f t="shared" si="45"/>
        <v>178160574</v>
      </c>
      <c r="E939" s="2">
        <f t="shared" si="45"/>
        <v>1212746587</v>
      </c>
      <c r="F939" s="2">
        <f t="shared" si="45"/>
        <v>35565982</v>
      </c>
      <c r="G939" s="2">
        <f t="shared" si="45"/>
        <v>147284830</v>
      </c>
      <c r="H939" s="2">
        <f t="shared" si="45"/>
        <v>6000428</v>
      </c>
      <c r="I939" s="2">
        <f t="shared" si="45"/>
        <v>55686006</v>
      </c>
      <c r="J939" s="2">
        <f t="shared" si="45"/>
        <v>207444943</v>
      </c>
      <c r="K939" s="2">
        <f t="shared" si="45"/>
        <v>380198899565</v>
      </c>
      <c r="L939" s="3">
        <f t="shared" si="40"/>
        <v>8.7227932532009302E-3</v>
      </c>
      <c r="M939" s="3">
        <f t="shared" si="41"/>
        <v>1.1888045691797898E-3</v>
      </c>
    </row>
    <row r="940" spans="1:13" x14ac:dyDescent="0.35">
      <c r="A940" t="s">
        <v>103</v>
      </c>
      <c r="B940" t="s">
        <v>90</v>
      </c>
      <c r="C940" s="2">
        <f t="shared" si="45"/>
        <v>1379408715</v>
      </c>
      <c r="D940" s="2">
        <f t="shared" si="45"/>
        <v>173979917</v>
      </c>
      <c r="E940" s="2">
        <f t="shared" si="45"/>
        <v>1014604809</v>
      </c>
      <c r="F940" s="2">
        <f t="shared" si="45"/>
        <v>36981927</v>
      </c>
      <c r="G940" s="2">
        <f t="shared" si="45"/>
        <v>197410016</v>
      </c>
      <c r="H940" s="2">
        <f t="shared" si="45"/>
        <v>9507222</v>
      </c>
      <c r="I940" s="2">
        <f t="shared" si="45"/>
        <v>31695326</v>
      </c>
      <c r="J940" s="2">
        <f t="shared" si="45"/>
        <v>180581097</v>
      </c>
      <c r="K940" s="2">
        <f t="shared" si="45"/>
        <v>360443485149</v>
      </c>
      <c r="L940" s="3">
        <f t="shared" si="40"/>
        <v>8.390133692525668E-3</v>
      </c>
      <c r="M940" s="3">
        <f t="shared" si="41"/>
        <v>1.2655953201968022E-3</v>
      </c>
    </row>
    <row r="941" spans="1:13" x14ac:dyDescent="0.35">
      <c r="A941" t="s">
        <v>103</v>
      </c>
      <c r="B941" t="s">
        <v>91</v>
      </c>
      <c r="C941" s="2">
        <f t="shared" si="45"/>
        <v>1171362727</v>
      </c>
      <c r="D941" s="2">
        <f t="shared" si="45"/>
        <v>242124891</v>
      </c>
      <c r="E941" s="2">
        <f t="shared" si="45"/>
        <v>894773557</v>
      </c>
      <c r="F941" s="2">
        <f t="shared" si="45"/>
        <v>67493939</v>
      </c>
      <c r="G941" s="2">
        <f t="shared" si="45"/>
        <v>230561748</v>
      </c>
      <c r="H941" s="2">
        <f t="shared" si="45"/>
        <v>7111566</v>
      </c>
      <c r="I941" s="2">
        <f t="shared" si="45"/>
        <v>64396425</v>
      </c>
      <c r="J941" s="2">
        <f t="shared" si="45"/>
        <v>242003093</v>
      </c>
      <c r="K941" s="2">
        <f t="shared" si="45"/>
        <v>400362715422</v>
      </c>
      <c r="L941" s="3">
        <f t="shared" si="40"/>
        <v>7.292956695336558E-3</v>
      </c>
      <c r="M941" s="3">
        <f t="shared" si="41"/>
        <v>1.5275317791652542E-3</v>
      </c>
    </row>
    <row r="942" spans="1:13" x14ac:dyDescent="0.35">
      <c r="A942" t="s">
        <v>103</v>
      </c>
      <c r="B942" t="s">
        <v>95</v>
      </c>
      <c r="C942" s="2">
        <f t="shared" si="45"/>
        <v>654147638</v>
      </c>
      <c r="D942" s="2">
        <f t="shared" si="45"/>
        <v>17753584</v>
      </c>
      <c r="E942" s="2">
        <f t="shared" si="45"/>
        <v>549029967</v>
      </c>
      <c r="F942" s="2">
        <f t="shared" si="45"/>
        <v>11196</v>
      </c>
      <c r="G942" s="2">
        <f t="shared" si="45"/>
        <v>6930628</v>
      </c>
      <c r="H942" s="2">
        <f t="shared" si="45"/>
        <v>6806</v>
      </c>
      <c r="I942" s="2">
        <f t="shared" si="45"/>
        <v>260277</v>
      </c>
      <c r="J942" s="2">
        <f t="shared" si="45"/>
        <v>9478232</v>
      </c>
      <c r="K942" s="2">
        <f t="shared" si="45"/>
        <v>62096157029</v>
      </c>
      <c r="L942" s="3">
        <f t="shared" si="40"/>
        <v>1.9930675056461393E-2</v>
      </c>
      <c r="M942" s="3">
        <f t="shared" si="41"/>
        <v>2.687306235747699E-4</v>
      </c>
    </row>
    <row r="943" spans="1:13" x14ac:dyDescent="0.35">
      <c r="A943" t="s">
        <v>104</v>
      </c>
      <c r="B943" t="s">
        <v>14</v>
      </c>
      <c r="C943" s="2"/>
      <c r="D943" s="2"/>
      <c r="E943" s="2"/>
      <c r="F943" s="2"/>
      <c r="G943" s="2"/>
      <c r="H943" s="2"/>
      <c r="I943" s="2"/>
      <c r="J943" s="2"/>
      <c r="K943" s="2"/>
      <c r="L943" s="3">
        <f t="shared" ref="L943:M962" si="46">L628</f>
        <v>3.2909294547220032E-2</v>
      </c>
      <c r="M943" s="3">
        <f t="shared" si="46"/>
        <v>1.3331178233230169E-2</v>
      </c>
    </row>
    <row r="944" spans="1:13" x14ac:dyDescent="0.35">
      <c r="A944" t="s">
        <v>104</v>
      </c>
      <c r="B944" t="s">
        <v>15</v>
      </c>
      <c r="C944" s="2"/>
      <c r="D944" s="2"/>
      <c r="E944" s="2"/>
      <c r="F944" s="2"/>
      <c r="G944" s="2"/>
      <c r="H944" s="2"/>
      <c r="I944" s="2"/>
      <c r="J944" s="2"/>
      <c r="K944" s="2"/>
      <c r="L944" s="3">
        <f t="shared" si="46"/>
        <v>3.5796466094118649E-2</v>
      </c>
      <c r="M944" s="3">
        <f t="shared" si="46"/>
        <v>1.8502533047319948E-2</v>
      </c>
    </row>
    <row r="945" spans="1:13" x14ac:dyDescent="0.35">
      <c r="A945" t="s">
        <v>104</v>
      </c>
      <c r="B945" t="s">
        <v>16</v>
      </c>
      <c r="C945" s="2"/>
      <c r="D945" s="2"/>
      <c r="E945" s="2"/>
      <c r="F945" s="2"/>
      <c r="G945" s="2"/>
      <c r="H945" s="2"/>
      <c r="I945" s="2"/>
      <c r="J945" s="2"/>
      <c r="K945" s="2"/>
      <c r="L945" s="3">
        <f t="shared" si="46"/>
        <v>3.8893192589016169E-2</v>
      </c>
      <c r="M945" s="3">
        <f t="shared" si="46"/>
        <v>2.1631372436293119E-2</v>
      </c>
    </row>
    <row r="946" spans="1:13" x14ac:dyDescent="0.35">
      <c r="A946" t="s">
        <v>104</v>
      </c>
      <c r="B946" t="s">
        <v>17</v>
      </c>
      <c r="C946" s="2"/>
      <c r="D946" s="2"/>
      <c r="E946" s="2"/>
      <c r="F946" s="2"/>
      <c r="G946" s="2"/>
      <c r="H946" s="2"/>
      <c r="I946" s="2"/>
      <c r="J946" s="2"/>
      <c r="K946" s="2"/>
      <c r="L946" s="3">
        <f t="shared" si="46"/>
        <v>3.9657233736651074E-2</v>
      </c>
      <c r="M946" s="3">
        <f t="shared" si="46"/>
        <v>2.0166324243845637E-2</v>
      </c>
    </row>
    <row r="947" spans="1:13" x14ac:dyDescent="0.35">
      <c r="A947" t="s">
        <v>104</v>
      </c>
      <c r="B947" t="s">
        <v>18</v>
      </c>
      <c r="C947" s="2"/>
      <c r="D947" s="2"/>
      <c r="E947" s="2"/>
      <c r="F947" s="2"/>
      <c r="G947" s="2"/>
      <c r="H947" s="2"/>
      <c r="I947" s="2"/>
      <c r="J947" s="2"/>
      <c r="K947" s="2"/>
      <c r="L947" s="3">
        <f t="shared" si="46"/>
        <v>4.5882032387913683E-2</v>
      </c>
      <c r="M947" s="3">
        <f t="shared" si="46"/>
        <v>2.694091785696905E-2</v>
      </c>
    </row>
    <row r="948" spans="1:13" x14ac:dyDescent="0.35">
      <c r="A948" t="s">
        <v>104</v>
      </c>
      <c r="B948" t="s">
        <v>19</v>
      </c>
      <c r="C948" s="2"/>
      <c r="D948" s="2"/>
      <c r="E948" s="2"/>
      <c r="F948" s="2"/>
      <c r="G948" s="2"/>
      <c r="H948" s="2"/>
      <c r="I948" s="2"/>
      <c r="J948" s="2"/>
      <c r="K948" s="2"/>
      <c r="L948" s="3">
        <f t="shared" si="46"/>
        <v>4.7208402249819065E-2</v>
      </c>
      <c r="M948" s="3">
        <f t="shared" si="46"/>
        <v>2.7887057747965162E-2</v>
      </c>
    </row>
    <row r="949" spans="1:13" x14ac:dyDescent="0.35">
      <c r="A949" t="s">
        <v>104</v>
      </c>
      <c r="B949" t="s">
        <v>20</v>
      </c>
      <c r="C949" s="2"/>
      <c r="D949" s="2"/>
      <c r="E949" s="2"/>
      <c r="F949" s="2"/>
      <c r="G949" s="2"/>
      <c r="H949" s="2"/>
      <c r="I949" s="2"/>
      <c r="J949" s="2"/>
      <c r="K949" s="2"/>
      <c r="L949" s="3">
        <f t="shared" si="46"/>
        <v>3.5646082083866826E-2</v>
      </c>
      <c r="M949" s="3">
        <f t="shared" si="46"/>
        <v>1.6138115948902194E-2</v>
      </c>
    </row>
    <row r="950" spans="1:13" x14ac:dyDescent="0.35">
      <c r="A950" t="s">
        <v>104</v>
      </c>
      <c r="B950" t="s">
        <v>21</v>
      </c>
      <c r="C950" s="2"/>
      <c r="D950" s="2"/>
      <c r="E950" s="2"/>
      <c r="F950" s="2"/>
      <c r="G950" s="2"/>
      <c r="H950" s="2"/>
      <c r="I950" s="2"/>
      <c r="J950" s="2"/>
      <c r="K950" s="2"/>
      <c r="L950" s="3">
        <f t="shared" si="46"/>
        <v>3.6970855444950185E-2</v>
      </c>
      <c r="M950" s="3">
        <f t="shared" si="46"/>
        <v>1.8303486604514706E-2</v>
      </c>
    </row>
    <row r="951" spans="1:13" x14ac:dyDescent="0.35">
      <c r="A951" t="s">
        <v>104</v>
      </c>
      <c r="B951" t="s">
        <v>22</v>
      </c>
      <c r="C951" s="2"/>
      <c r="D951" s="2"/>
      <c r="E951" s="2"/>
      <c r="F951" s="2"/>
      <c r="G951" s="2"/>
      <c r="H951" s="2"/>
      <c r="I951" s="2"/>
      <c r="J951" s="2"/>
      <c r="K951" s="2"/>
      <c r="L951" s="3">
        <f t="shared" si="46"/>
        <v>4.7447249740224469E-2</v>
      </c>
      <c r="M951" s="3">
        <f t="shared" si="46"/>
        <v>2.978450008147325E-2</v>
      </c>
    </row>
    <row r="952" spans="1:13" x14ac:dyDescent="0.35">
      <c r="A952" t="s">
        <v>104</v>
      </c>
      <c r="B952" t="s">
        <v>23</v>
      </c>
      <c r="C952" s="2"/>
      <c r="D952" s="2"/>
      <c r="E952" s="2"/>
      <c r="F952" s="2"/>
      <c r="G952" s="2"/>
      <c r="H952" s="2"/>
      <c r="I952" s="2"/>
      <c r="J952" s="2"/>
      <c r="K952" s="2"/>
      <c r="L952" s="3">
        <f t="shared" si="46"/>
        <v>3.6490009453623302E-2</v>
      </c>
      <c r="M952" s="3">
        <f t="shared" si="46"/>
        <v>1.7553448756224378E-2</v>
      </c>
    </row>
    <row r="953" spans="1:13" x14ac:dyDescent="0.35">
      <c r="A953" t="s">
        <v>104</v>
      </c>
      <c r="B953" t="s">
        <v>24</v>
      </c>
      <c r="C953" s="2"/>
      <c r="D953" s="2"/>
      <c r="E953" s="2"/>
      <c r="F953" s="2"/>
      <c r="G953" s="2"/>
      <c r="H953" s="2"/>
      <c r="I953" s="2"/>
      <c r="J953" s="2"/>
      <c r="K953" s="2"/>
      <c r="L953" s="3">
        <f t="shared" si="46"/>
        <v>4.031594356306871E-2</v>
      </c>
      <c r="M953" s="3">
        <f t="shared" si="46"/>
        <v>2.215117416372097E-2</v>
      </c>
    </row>
    <row r="954" spans="1:13" x14ac:dyDescent="0.35">
      <c r="A954" t="s">
        <v>104</v>
      </c>
      <c r="B954" t="s">
        <v>25</v>
      </c>
      <c r="C954" s="2"/>
      <c r="D954" s="2"/>
      <c r="E954" s="2"/>
      <c r="F954" s="2"/>
      <c r="G954" s="2"/>
      <c r="H954" s="2"/>
      <c r="I954" s="2"/>
      <c r="J954" s="2"/>
      <c r="K954" s="2"/>
      <c r="L954" s="3">
        <f t="shared" si="46"/>
        <v>5.4465358248988772E-2</v>
      </c>
      <c r="M954" s="3">
        <f t="shared" si="46"/>
        <v>3.6004672599143028E-2</v>
      </c>
    </row>
    <row r="955" spans="1:13" x14ac:dyDescent="0.35">
      <c r="A955" t="s">
        <v>104</v>
      </c>
      <c r="B955" t="s">
        <v>26</v>
      </c>
      <c r="C955" s="2"/>
      <c r="D955" s="2"/>
      <c r="E955" s="2"/>
      <c r="F955" s="2"/>
      <c r="G955" s="2"/>
      <c r="H955" s="2"/>
      <c r="I955" s="2"/>
      <c r="J955" s="2"/>
      <c r="K955" s="2"/>
      <c r="L955" s="3">
        <f t="shared" si="46"/>
        <v>4.0536798400536457E-2</v>
      </c>
      <c r="M955" s="3">
        <f t="shared" si="46"/>
        <v>2.1637886602659757E-2</v>
      </c>
    </row>
    <row r="956" spans="1:13" x14ac:dyDescent="0.35">
      <c r="A956" t="s">
        <v>104</v>
      </c>
      <c r="B956" t="s">
        <v>27</v>
      </c>
      <c r="C956" s="2"/>
      <c r="D956" s="2"/>
      <c r="E956" s="2"/>
      <c r="F956" s="2"/>
      <c r="G956" s="2"/>
      <c r="H956" s="2"/>
      <c r="I956" s="2"/>
      <c r="J956" s="2"/>
      <c r="K956" s="2"/>
      <c r="L956" s="3">
        <f t="shared" si="46"/>
        <v>4.0594659656235231E-2</v>
      </c>
      <c r="M956" s="3">
        <f t="shared" si="46"/>
        <v>2.3674856370620029E-2</v>
      </c>
    </row>
    <row r="957" spans="1:13" x14ac:dyDescent="0.35">
      <c r="A957" t="s">
        <v>104</v>
      </c>
      <c r="B957" t="s">
        <v>28</v>
      </c>
      <c r="C957" s="2"/>
      <c r="D957" s="2"/>
      <c r="E957" s="2"/>
      <c r="F957" s="2"/>
      <c r="G957" s="2"/>
      <c r="H957" s="2"/>
      <c r="I957" s="2"/>
      <c r="J957" s="2"/>
      <c r="K957" s="2"/>
      <c r="L957" s="3">
        <f t="shared" si="46"/>
        <v>4.4144150470365816E-2</v>
      </c>
      <c r="M957" s="3">
        <f t="shared" si="46"/>
        <v>2.7187532045373004E-2</v>
      </c>
    </row>
    <row r="958" spans="1:13" x14ac:dyDescent="0.35">
      <c r="A958" t="s">
        <v>104</v>
      </c>
      <c r="B958" t="s">
        <v>29</v>
      </c>
      <c r="C958" s="2"/>
      <c r="D958" s="2"/>
      <c r="E958" s="2"/>
      <c r="F958" s="2"/>
      <c r="G958" s="2"/>
      <c r="H958" s="2"/>
      <c r="I958" s="2"/>
      <c r="J958" s="2"/>
      <c r="K958" s="2"/>
      <c r="L958" s="3">
        <f t="shared" si="46"/>
        <v>3.7767142826448497E-2</v>
      </c>
      <c r="M958" s="3">
        <f t="shared" si="46"/>
        <v>2.2478440958922964E-2</v>
      </c>
    </row>
    <row r="959" spans="1:13" x14ac:dyDescent="0.35">
      <c r="A959" t="s">
        <v>104</v>
      </c>
      <c r="B959" t="s">
        <v>30</v>
      </c>
      <c r="C959" s="2"/>
      <c r="D959" s="2"/>
      <c r="E959" s="2"/>
      <c r="F959" s="2"/>
      <c r="G959" s="2"/>
      <c r="H959" s="2"/>
      <c r="I959" s="2"/>
      <c r="J959" s="2"/>
      <c r="K959" s="2"/>
      <c r="L959" s="3">
        <f t="shared" si="46"/>
        <v>3.2526648049507632E-2</v>
      </c>
      <c r="M959" s="3">
        <f t="shared" si="46"/>
        <v>1.6011792238233357E-2</v>
      </c>
    </row>
    <row r="960" spans="1:13" x14ac:dyDescent="0.35">
      <c r="A960" t="s">
        <v>104</v>
      </c>
      <c r="B960" t="s">
        <v>31</v>
      </c>
      <c r="C960" s="2"/>
      <c r="D960" s="2"/>
      <c r="E960" s="2"/>
      <c r="F960" s="2"/>
      <c r="G960" s="2"/>
      <c r="H960" s="2"/>
      <c r="I960" s="2"/>
      <c r="J960" s="2"/>
      <c r="K960" s="2"/>
      <c r="L960" s="3">
        <f t="shared" si="46"/>
        <v>4.2342103661156323E-2</v>
      </c>
      <c r="M960" s="3">
        <f t="shared" si="46"/>
        <v>2.8092458429607264E-2</v>
      </c>
    </row>
    <row r="961" spans="1:13" x14ac:dyDescent="0.35">
      <c r="A961" t="s">
        <v>104</v>
      </c>
      <c r="B961" t="s">
        <v>32</v>
      </c>
      <c r="C961" s="2"/>
      <c r="D961" s="2"/>
      <c r="E961" s="2"/>
      <c r="F961" s="2"/>
      <c r="G961" s="2"/>
      <c r="H961" s="2"/>
      <c r="I961" s="2"/>
      <c r="J961" s="2"/>
      <c r="K961" s="2"/>
      <c r="L961" s="3">
        <f t="shared" si="46"/>
        <v>3.7081418097843759E-2</v>
      </c>
      <c r="M961" s="3">
        <f t="shared" si="46"/>
        <v>2.3648914980305691E-2</v>
      </c>
    </row>
    <row r="962" spans="1:13" x14ac:dyDescent="0.35">
      <c r="A962" t="s">
        <v>104</v>
      </c>
      <c r="B962" t="s">
        <v>33</v>
      </c>
      <c r="C962" s="2"/>
      <c r="D962" s="2"/>
      <c r="E962" s="2"/>
      <c r="F962" s="2"/>
      <c r="G962" s="2"/>
      <c r="H962" s="2"/>
      <c r="I962" s="2"/>
      <c r="J962" s="2"/>
      <c r="K962" s="2"/>
      <c r="L962" s="3">
        <f t="shared" si="46"/>
        <v>4.244988520817275E-2</v>
      </c>
      <c r="M962" s="3">
        <f t="shared" si="46"/>
        <v>2.6088110514465222E-2</v>
      </c>
    </row>
    <row r="963" spans="1:13" x14ac:dyDescent="0.35">
      <c r="A963" t="s">
        <v>104</v>
      </c>
      <c r="B963" t="s">
        <v>34</v>
      </c>
      <c r="C963" s="2"/>
      <c r="D963" s="2"/>
      <c r="E963" s="2"/>
      <c r="F963" s="2"/>
      <c r="G963" s="2"/>
      <c r="H963" s="2"/>
      <c r="I963" s="2"/>
      <c r="J963" s="2"/>
      <c r="K963" s="2"/>
      <c r="L963" s="3">
        <f t="shared" ref="L963:M982" si="47">L648</f>
        <v>4.4876717893872861E-2</v>
      </c>
      <c r="M963" s="3">
        <f t="shared" si="47"/>
        <v>2.8698316879152617E-2</v>
      </c>
    </row>
    <row r="964" spans="1:13" x14ac:dyDescent="0.35">
      <c r="A964" t="s">
        <v>104</v>
      </c>
      <c r="B964" t="s">
        <v>35</v>
      </c>
      <c r="C964" s="2"/>
      <c r="D964" s="2"/>
      <c r="E964" s="2"/>
      <c r="F964" s="2"/>
      <c r="G964" s="2"/>
      <c r="H964" s="2"/>
      <c r="I964" s="2"/>
      <c r="J964" s="2"/>
      <c r="K964" s="2"/>
      <c r="L964" s="3">
        <f t="shared" si="47"/>
        <v>3.2750834172573844E-2</v>
      </c>
      <c r="M964" s="3">
        <f t="shared" si="47"/>
        <v>1.7796392195534267E-2</v>
      </c>
    </row>
    <row r="965" spans="1:13" x14ac:dyDescent="0.35">
      <c r="A965" t="s">
        <v>104</v>
      </c>
      <c r="B965" t="s">
        <v>36</v>
      </c>
      <c r="C965" s="2"/>
      <c r="D965" s="2"/>
      <c r="E965" s="2"/>
      <c r="F965" s="2"/>
      <c r="G965" s="2"/>
      <c r="H965" s="2"/>
      <c r="I965" s="2"/>
      <c r="J965" s="2"/>
      <c r="K965" s="2"/>
      <c r="L965" s="3">
        <f t="shared" si="47"/>
        <v>3.6797211273938049E-2</v>
      </c>
      <c r="M965" s="3">
        <f t="shared" si="47"/>
        <v>2.0837370262082835E-2</v>
      </c>
    </row>
    <row r="966" spans="1:13" x14ac:dyDescent="0.35">
      <c r="A966" t="s">
        <v>104</v>
      </c>
      <c r="B966" t="s">
        <v>37</v>
      </c>
      <c r="C966" s="2"/>
      <c r="D966" s="2"/>
      <c r="E966" s="2"/>
      <c r="F966" s="2"/>
      <c r="G966" s="2"/>
      <c r="H966" s="2"/>
      <c r="I966" s="2"/>
      <c r="J966" s="2"/>
      <c r="K966" s="2"/>
      <c r="L966" s="3">
        <f t="shared" si="47"/>
        <v>4.4537785942874303E-2</v>
      </c>
      <c r="M966" s="3">
        <f t="shared" si="47"/>
        <v>2.9111856068295645E-2</v>
      </c>
    </row>
    <row r="967" spans="1:13" x14ac:dyDescent="0.35">
      <c r="A967" t="s">
        <v>104</v>
      </c>
      <c r="B967" t="s">
        <v>38</v>
      </c>
      <c r="C967" s="2"/>
      <c r="D967" s="2"/>
      <c r="E967" s="2"/>
      <c r="F967" s="2"/>
      <c r="G967" s="2"/>
      <c r="H967" s="2"/>
      <c r="I967" s="2"/>
      <c r="J967" s="2"/>
      <c r="K967" s="2"/>
      <c r="L967" s="3">
        <f t="shared" si="47"/>
        <v>3.1394311256161066E-2</v>
      </c>
      <c r="M967" s="3">
        <f t="shared" si="47"/>
        <v>1.4959705582574565E-2</v>
      </c>
    </row>
    <row r="968" spans="1:13" x14ac:dyDescent="0.35">
      <c r="A968" t="s">
        <v>104</v>
      </c>
      <c r="B968" t="s">
        <v>39</v>
      </c>
      <c r="C968" s="2"/>
      <c r="D968" s="2"/>
      <c r="E968" s="2"/>
      <c r="F968" s="2"/>
      <c r="G968" s="2"/>
      <c r="H968" s="2"/>
      <c r="I968" s="2"/>
      <c r="J968" s="2"/>
      <c r="K968" s="2"/>
      <c r="L968" s="3">
        <f t="shared" si="47"/>
        <v>3.6546471753706546E-2</v>
      </c>
      <c r="M968" s="3">
        <f t="shared" si="47"/>
        <v>2.0993185520254157E-2</v>
      </c>
    </row>
    <row r="969" spans="1:13" x14ac:dyDescent="0.35">
      <c r="A969" t="s">
        <v>104</v>
      </c>
      <c r="B969" t="s">
        <v>40</v>
      </c>
      <c r="C969" s="2"/>
      <c r="D969" s="2"/>
      <c r="E969" s="2"/>
      <c r="F969" s="2"/>
      <c r="G969" s="2"/>
      <c r="H969" s="2"/>
      <c r="I969" s="2"/>
      <c r="J969" s="2"/>
      <c r="K969" s="2"/>
      <c r="L969" s="3">
        <f t="shared" si="47"/>
        <v>3.8411266927726478E-2</v>
      </c>
      <c r="M969" s="3">
        <f t="shared" si="47"/>
        <v>2.4988932444137819E-2</v>
      </c>
    </row>
    <row r="970" spans="1:13" x14ac:dyDescent="0.35">
      <c r="A970" t="s">
        <v>104</v>
      </c>
      <c r="B970" t="s">
        <v>41</v>
      </c>
      <c r="C970" s="2"/>
      <c r="D970" s="2"/>
      <c r="E970" s="2"/>
      <c r="F970" s="2"/>
      <c r="G970" s="2"/>
      <c r="H970" s="2"/>
      <c r="I970" s="2"/>
      <c r="J970" s="2"/>
      <c r="K970" s="2"/>
      <c r="L970" s="3">
        <f t="shared" si="47"/>
        <v>2.9872797520501509E-2</v>
      </c>
      <c r="M970" s="3">
        <f t="shared" si="47"/>
        <v>1.6445597380328417E-2</v>
      </c>
    </row>
    <row r="971" spans="1:13" x14ac:dyDescent="0.35">
      <c r="A971" t="s">
        <v>104</v>
      </c>
      <c r="B971" t="s">
        <v>42</v>
      </c>
      <c r="C971" s="2"/>
      <c r="D971" s="2"/>
      <c r="E971" s="2"/>
      <c r="F971" s="2"/>
      <c r="G971" s="2"/>
      <c r="H971" s="2"/>
      <c r="I971" s="2"/>
      <c r="J971" s="2"/>
      <c r="K971" s="2"/>
      <c r="L971" s="3">
        <f t="shared" si="47"/>
        <v>3.3401581619410411E-2</v>
      </c>
      <c r="M971" s="3">
        <f t="shared" si="47"/>
        <v>1.9335982540086817E-2</v>
      </c>
    </row>
    <row r="972" spans="1:13" x14ac:dyDescent="0.35">
      <c r="A972" t="s">
        <v>104</v>
      </c>
      <c r="B972" t="s">
        <v>43</v>
      </c>
      <c r="C972" s="2"/>
      <c r="D972" s="2"/>
      <c r="E972" s="2"/>
      <c r="F972" s="2"/>
      <c r="G972" s="2"/>
      <c r="H972" s="2"/>
      <c r="I972" s="2"/>
      <c r="J972" s="2"/>
      <c r="K972" s="2"/>
      <c r="L972" s="3">
        <f t="shared" si="47"/>
        <v>4.1086185498742857E-2</v>
      </c>
      <c r="M972" s="3">
        <f t="shared" si="47"/>
        <v>2.6835753227891307E-2</v>
      </c>
    </row>
    <row r="973" spans="1:13" x14ac:dyDescent="0.35">
      <c r="A973" t="s">
        <v>104</v>
      </c>
      <c r="B973" t="s">
        <v>44</v>
      </c>
      <c r="C973" s="2"/>
      <c r="D973" s="2"/>
      <c r="E973" s="2"/>
      <c r="F973" s="2"/>
      <c r="G973" s="2"/>
      <c r="H973" s="2"/>
      <c r="I973" s="2"/>
      <c r="J973" s="2"/>
      <c r="K973" s="2"/>
      <c r="L973" s="3">
        <f t="shared" si="47"/>
        <v>3.1335492871595462E-2</v>
      </c>
      <c r="M973" s="3">
        <f t="shared" si="47"/>
        <v>1.6351243064847504E-2</v>
      </c>
    </row>
    <row r="974" spans="1:13" x14ac:dyDescent="0.35">
      <c r="A974" t="s">
        <v>104</v>
      </c>
      <c r="B974" t="s">
        <v>45</v>
      </c>
      <c r="C974" s="2"/>
      <c r="D974" s="2"/>
      <c r="E974" s="2"/>
      <c r="F974" s="2"/>
      <c r="G974" s="2"/>
      <c r="H974" s="2"/>
      <c r="I974" s="2"/>
      <c r="J974" s="2"/>
      <c r="K974" s="2"/>
      <c r="L974" s="3">
        <f t="shared" si="47"/>
        <v>4.1814317531412078E-2</v>
      </c>
      <c r="M974" s="3">
        <f t="shared" si="47"/>
        <v>2.3768285492367442E-2</v>
      </c>
    </row>
    <row r="975" spans="1:13" x14ac:dyDescent="0.35">
      <c r="A975" t="s">
        <v>104</v>
      </c>
      <c r="B975" t="s">
        <v>46</v>
      </c>
      <c r="C975" s="2"/>
      <c r="D975" s="2"/>
      <c r="E975" s="2"/>
      <c r="F975" s="2"/>
      <c r="G975" s="2"/>
      <c r="H975" s="2"/>
      <c r="I975" s="2"/>
      <c r="J975" s="2"/>
      <c r="K975" s="2"/>
      <c r="L975" s="3">
        <f t="shared" si="47"/>
        <v>3.9979394380225873E-2</v>
      </c>
      <c r="M975" s="3">
        <f t="shared" si="47"/>
        <v>2.45565978998558E-2</v>
      </c>
    </row>
    <row r="976" spans="1:13" x14ac:dyDescent="0.35">
      <c r="A976" t="s">
        <v>104</v>
      </c>
      <c r="B976" t="s">
        <v>47</v>
      </c>
      <c r="C976" s="2"/>
      <c r="D976" s="2"/>
      <c r="E976" s="2"/>
      <c r="F976" s="2"/>
      <c r="G976" s="2"/>
      <c r="H976" s="2"/>
      <c r="I976" s="2"/>
      <c r="J976" s="2"/>
      <c r="K976" s="2"/>
      <c r="L976" s="3">
        <f t="shared" si="47"/>
        <v>3.0724126279214309E-2</v>
      </c>
      <c r="M976" s="3">
        <f t="shared" si="47"/>
        <v>1.6001421699667392E-2</v>
      </c>
    </row>
    <row r="977" spans="1:13" x14ac:dyDescent="0.35">
      <c r="A977" t="s">
        <v>104</v>
      </c>
      <c r="B977" t="s">
        <v>48</v>
      </c>
      <c r="C977" s="2"/>
      <c r="D977" s="2"/>
      <c r="E977" s="2"/>
      <c r="F977" s="2"/>
      <c r="G977" s="2"/>
      <c r="H977" s="2"/>
      <c r="I977" s="2"/>
      <c r="J977" s="2"/>
      <c r="K977" s="2"/>
      <c r="L977" s="3">
        <f t="shared" si="47"/>
        <v>3.588291505214275E-2</v>
      </c>
      <c r="M977" s="3">
        <f t="shared" si="47"/>
        <v>2.0653275215343825E-2</v>
      </c>
    </row>
    <row r="978" spans="1:13" x14ac:dyDescent="0.35">
      <c r="A978" t="s">
        <v>104</v>
      </c>
      <c r="B978" t="s">
        <v>49</v>
      </c>
      <c r="C978" s="2"/>
      <c r="D978" s="2"/>
      <c r="E978" s="2"/>
      <c r="F978" s="2"/>
      <c r="G978" s="2"/>
      <c r="H978" s="2"/>
      <c r="I978" s="2"/>
      <c r="J978" s="2"/>
      <c r="K978" s="2"/>
      <c r="L978" s="3">
        <f t="shared" si="47"/>
        <v>5.4344678121196185E-2</v>
      </c>
      <c r="M978" s="3">
        <f t="shared" si="47"/>
        <v>3.919103259774627E-2</v>
      </c>
    </row>
    <row r="979" spans="1:13" x14ac:dyDescent="0.35">
      <c r="A979" t="s">
        <v>104</v>
      </c>
      <c r="B979" t="s">
        <v>50</v>
      </c>
      <c r="C979" s="2"/>
      <c r="D979" s="2"/>
      <c r="E979" s="2"/>
      <c r="F979" s="2"/>
      <c r="G979" s="2"/>
      <c r="H979" s="2"/>
      <c r="I979" s="2"/>
      <c r="J979" s="2"/>
      <c r="K979" s="2"/>
      <c r="L979" s="3">
        <f t="shared" si="47"/>
        <v>2.8354249686989314E-2</v>
      </c>
      <c r="M979" s="3">
        <f t="shared" si="47"/>
        <v>1.2046844364415932E-2</v>
      </c>
    </row>
    <row r="980" spans="1:13" x14ac:dyDescent="0.35">
      <c r="A980" t="s">
        <v>104</v>
      </c>
      <c r="B980" t="s">
        <v>51</v>
      </c>
      <c r="C980" s="2"/>
      <c r="D980" s="2"/>
      <c r="E980" s="2"/>
      <c r="F980" s="2"/>
      <c r="G980" s="2"/>
      <c r="H980" s="2"/>
      <c r="I980" s="2"/>
      <c r="J980" s="2"/>
      <c r="K980" s="2"/>
      <c r="L980" s="3">
        <f t="shared" si="47"/>
        <v>4.1609055710940403E-2</v>
      </c>
      <c r="M980" s="3">
        <f t="shared" si="47"/>
        <v>2.149750768218333E-2</v>
      </c>
    </row>
    <row r="981" spans="1:13" x14ac:dyDescent="0.35">
      <c r="A981" t="s">
        <v>104</v>
      </c>
      <c r="B981" t="s">
        <v>52</v>
      </c>
      <c r="C981" s="2"/>
      <c r="D981" s="2"/>
      <c r="E981" s="2"/>
      <c r="F981" s="2"/>
      <c r="G981" s="2"/>
      <c r="H981" s="2"/>
      <c r="I981" s="2"/>
      <c r="J981" s="2"/>
      <c r="K981" s="2"/>
      <c r="L981" s="3">
        <f t="shared" si="47"/>
        <v>4.1778446517664929E-2</v>
      </c>
      <c r="M981" s="3">
        <f t="shared" si="47"/>
        <v>2.4549444586585593E-2</v>
      </c>
    </row>
    <row r="982" spans="1:13" x14ac:dyDescent="0.35">
      <c r="A982" t="s">
        <v>104</v>
      </c>
      <c r="B982" t="s">
        <v>53</v>
      </c>
      <c r="C982" s="2"/>
      <c r="D982" s="2"/>
      <c r="E982" s="2"/>
      <c r="F982" s="2"/>
      <c r="G982" s="2"/>
      <c r="H982" s="2"/>
      <c r="I982" s="2"/>
      <c r="J982" s="2"/>
      <c r="K982" s="2"/>
      <c r="L982" s="3">
        <f t="shared" si="47"/>
        <v>3.6937157124760041E-2</v>
      </c>
      <c r="M982" s="3">
        <f t="shared" si="47"/>
        <v>2.0627071150978574E-2</v>
      </c>
    </row>
    <row r="983" spans="1:13" x14ac:dyDescent="0.35">
      <c r="A983" t="s">
        <v>104</v>
      </c>
      <c r="B983" t="s">
        <v>54</v>
      </c>
      <c r="C983" s="2"/>
      <c r="D983" s="2"/>
      <c r="E983" s="2"/>
      <c r="F983" s="2"/>
      <c r="G983" s="2"/>
      <c r="H983" s="2"/>
      <c r="I983" s="2"/>
      <c r="J983" s="2"/>
      <c r="K983" s="2"/>
      <c r="L983" s="3">
        <f t="shared" ref="L983:M1002" si="48">L668</f>
        <v>5.1400268321325049E-2</v>
      </c>
      <c r="M983" s="3">
        <f t="shared" si="48"/>
        <v>2.9092845895870863E-2</v>
      </c>
    </row>
    <row r="984" spans="1:13" x14ac:dyDescent="0.35">
      <c r="A984" t="s">
        <v>104</v>
      </c>
      <c r="B984" t="s">
        <v>55</v>
      </c>
      <c r="C984" s="2"/>
      <c r="D984" s="2"/>
      <c r="E984" s="2"/>
      <c r="F984" s="2"/>
      <c r="G984" s="2"/>
      <c r="H984" s="2"/>
      <c r="I984" s="2"/>
      <c r="J984" s="2"/>
      <c r="K984" s="2"/>
      <c r="L984" s="3">
        <f t="shared" si="48"/>
        <v>4.7640381322238322E-2</v>
      </c>
      <c r="M984" s="3">
        <f t="shared" si="48"/>
        <v>3.2209477082603521E-2</v>
      </c>
    </row>
    <row r="985" spans="1:13" x14ac:dyDescent="0.35">
      <c r="A985" t="s">
        <v>104</v>
      </c>
      <c r="B985" t="s">
        <v>56</v>
      </c>
      <c r="C985" s="2"/>
      <c r="D985" s="2"/>
      <c r="E985" s="2"/>
      <c r="F985" s="2"/>
      <c r="G985" s="2"/>
      <c r="H985" s="2"/>
      <c r="I985" s="2"/>
      <c r="J985" s="2"/>
      <c r="K985" s="2"/>
      <c r="L985" s="3">
        <f t="shared" si="48"/>
        <v>4.1144901760110854E-2</v>
      </c>
      <c r="M985" s="3">
        <f t="shared" si="48"/>
        <v>2.1165760404117911E-2</v>
      </c>
    </row>
    <row r="986" spans="1:13" x14ac:dyDescent="0.35">
      <c r="A986" t="s">
        <v>104</v>
      </c>
      <c r="B986" t="s">
        <v>57</v>
      </c>
      <c r="C986" s="2"/>
      <c r="D986" s="2"/>
      <c r="E986" s="2"/>
      <c r="F986" s="2"/>
      <c r="G986" s="2"/>
      <c r="H986" s="2"/>
      <c r="I986" s="2"/>
      <c r="J986" s="2"/>
      <c r="K986" s="2"/>
      <c r="L986" s="3">
        <f t="shared" si="48"/>
        <v>6.2119351395625584E-2</v>
      </c>
      <c r="M986" s="3">
        <f t="shared" si="48"/>
        <v>3.0474872546587609E-2</v>
      </c>
    </row>
    <row r="987" spans="1:13" x14ac:dyDescent="0.35">
      <c r="A987" t="s">
        <v>104</v>
      </c>
      <c r="B987" t="s">
        <v>58</v>
      </c>
      <c r="C987" s="2"/>
      <c r="D987" s="2"/>
      <c r="E987" s="2"/>
      <c r="F987" s="2"/>
      <c r="G987" s="2"/>
      <c r="H987" s="2"/>
      <c r="I987" s="2"/>
      <c r="J987" s="2"/>
      <c r="K987" s="2"/>
      <c r="L987" s="3">
        <f t="shared" si="48"/>
        <v>5.6481557668000337E-2</v>
      </c>
      <c r="M987" s="3">
        <f t="shared" si="48"/>
        <v>3.0319154095411985E-2</v>
      </c>
    </row>
    <row r="988" spans="1:13" x14ac:dyDescent="0.35">
      <c r="A988" t="s">
        <v>104</v>
      </c>
      <c r="B988" t="s">
        <v>59</v>
      </c>
      <c r="C988" s="2"/>
      <c r="D988" s="2"/>
      <c r="E988" s="2"/>
      <c r="F988" s="2"/>
      <c r="G988" s="2"/>
      <c r="H988" s="2"/>
      <c r="I988" s="2"/>
      <c r="J988" s="2"/>
      <c r="K988" s="2"/>
      <c r="L988" s="3">
        <f t="shared" si="48"/>
        <v>4.311722132916717E-2</v>
      </c>
      <c r="M988" s="3">
        <f t="shared" si="48"/>
        <v>1.9495192946570161E-2</v>
      </c>
    </row>
    <row r="989" spans="1:13" x14ac:dyDescent="0.35">
      <c r="A989" t="s">
        <v>104</v>
      </c>
      <c r="B989" t="s">
        <v>60</v>
      </c>
      <c r="C989" s="2"/>
      <c r="D989" s="2"/>
      <c r="E989" s="2"/>
      <c r="F989" s="2"/>
      <c r="G989" s="2"/>
      <c r="H989" s="2"/>
      <c r="I989" s="2"/>
      <c r="J989" s="2"/>
      <c r="K989" s="2"/>
      <c r="L989" s="3">
        <f t="shared" si="48"/>
        <v>5.0275728038941057E-2</v>
      </c>
      <c r="M989" s="3">
        <f t="shared" si="48"/>
        <v>2.9743685904103225E-2</v>
      </c>
    </row>
    <row r="990" spans="1:13" x14ac:dyDescent="0.35">
      <c r="A990" t="s">
        <v>104</v>
      </c>
      <c r="B990" t="s">
        <v>61</v>
      </c>
      <c r="C990" s="2"/>
      <c r="D990" s="2"/>
      <c r="E990" s="2"/>
      <c r="F990" s="2"/>
      <c r="G990" s="2"/>
      <c r="H990" s="2"/>
      <c r="I990" s="2"/>
      <c r="J990" s="2"/>
      <c r="K990" s="2"/>
      <c r="L990" s="3">
        <f t="shared" si="48"/>
        <v>6.1719650568233288E-2</v>
      </c>
      <c r="M990" s="3">
        <f t="shared" si="48"/>
        <v>3.9450082455015627E-2</v>
      </c>
    </row>
    <row r="991" spans="1:13" x14ac:dyDescent="0.35">
      <c r="A991" t="s">
        <v>104</v>
      </c>
      <c r="B991" t="s">
        <v>62</v>
      </c>
      <c r="C991" s="2"/>
      <c r="D991" s="2"/>
      <c r="E991" s="2"/>
      <c r="F991" s="2"/>
      <c r="G991" s="2"/>
      <c r="H991" s="2"/>
      <c r="I991" s="2"/>
      <c r="J991" s="2"/>
      <c r="K991" s="2"/>
      <c r="L991" s="3">
        <f t="shared" si="48"/>
        <v>3.7871011410139224E-2</v>
      </c>
      <c r="M991" s="3">
        <f t="shared" si="48"/>
        <v>1.9063468098310835E-2</v>
      </c>
    </row>
    <row r="992" spans="1:13" x14ac:dyDescent="0.35">
      <c r="A992" t="s">
        <v>104</v>
      </c>
      <c r="B992" t="s">
        <v>63</v>
      </c>
      <c r="C992" s="2"/>
      <c r="D992" s="2"/>
      <c r="E992" s="2"/>
      <c r="F992" s="2"/>
      <c r="G992" s="2"/>
      <c r="H992" s="2"/>
      <c r="I992" s="2"/>
      <c r="J992" s="2"/>
      <c r="K992" s="2"/>
      <c r="L992" s="3">
        <f t="shared" si="48"/>
        <v>3.7648555020311357E-2</v>
      </c>
      <c r="M992" s="3">
        <f t="shared" si="48"/>
        <v>1.8736398618738173E-2</v>
      </c>
    </row>
    <row r="993" spans="1:13" x14ac:dyDescent="0.35">
      <c r="A993" t="s">
        <v>104</v>
      </c>
      <c r="B993" t="s">
        <v>64</v>
      </c>
      <c r="C993" s="2"/>
      <c r="D993" s="2"/>
      <c r="E993" s="2"/>
      <c r="F993" s="2"/>
      <c r="G993" s="2"/>
      <c r="H993" s="2"/>
      <c r="I993" s="2"/>
      <c r="J993" s="2"/>
      <c r="K993" s="2"/>
      <c r="L993" s="3">
        <f t="shared" si="48"/>
        <v>5.3488334138008471E-2</v>
      </c>
      <c r="M993" s="3">
        <f t="shared" si="48"/>
        <v>3.2171771936116027E-2</v>
      </c>
    </row>
    <row r="994" spans="1:13" x14ac:dyDescent="0.35">
      <c r="A994" t="s">
        <v>104</v>
      </c>
      <c r="B994" t="s">
        <v>65</v>
      </c>
      <c r="C994" s="2"/>
      <c r="D994" s="2"/>
      <c r="E994" s="2"/>
      <c r="F994" s="2"/>
      <c r="G994" s="2"/>
      <c r="H994" s="2"/>
      <c r="I994" s="2"/>
      <c r="J994" s="2"/>
      <c r="K994" s="2"/>
      <c r="L994" s="3">
        <f t="shared" si="48"/>
        <v>4.6008248218582501E-2</v>
      </c>
      <c r="M994" s="3">
        <f t="shared" si="48"/>
        <v>2.3253762564886708E-2</v>
      </c>
    </row>
    <row r="995" spans="1:13" x14ac:dyDescent="0.35">
      <c r="A995" t="s">
        <v>104</v>
      </c>
      <c r="B995" t="s">
        <v>66</v>
      </c>
      <c r="C995" s="2"/>
      <c r="D995" s="2"/>
      <c r="E995" s="2"/>
      <c r="F995" s="2"/>
      <c r="G995" s="2"/>
      <c r="H995" s="2"/>
      <c r="I995" s="2"/>
      <c r="J995" s="2"/>
      <c r="K995" s="2"/>
      <c r="L995" s="3">
        <f t="shared" si="48"/>
        <v>4.7961720372159997E-2</v>
      </c>
      <c r="M995" s="3">
        <f t="shared" si="48"/>
        <v>2.4216161538288723E-2</v>
      </c>
    </row>
    <row r="996" spans="1:13" x14ac:dyDescent="0.35">
      <c r="A996" t="s">
        <v>104</v>
      </c>
      <c r="B996" t="s">
        <v>67</v>
      </c>
      <c r="C996" s="2"/>
      <c r="D996" s="2"/>
      <c r="E996" s="2"/>
      <c r="F996" s="2"/>
      <c r="G996" s="2"/>
      <c r="H996" s="2"/>
      <c r="I996" s="2"/>
      <c r="J996" s="2"/>
      <c r="K996" s="2"/>
      <c r="L996" s="3">
        <f t="shared" si="48"/>
        <v>5.166933664177803E-2</v>
      </c>
      <c r="M996" s="3">
        <f t="shared" si="48"/>
        <v>3.1424043618757204E-2</v>
      </c>
    </row>
    <row r="997" spans="1:13" x14ac:dyDescent="0.35">
      <c r="A997" t="s">
        <v>104</v>
      </c>
      <c r="B997" t="s">
        <v>68</v>
      </c>
      <c r="C997" s="2"/>
      <c r="D997" s="2"/>
      <c r="E997" s="2"/>
      <c r="F997" s="2"/>
      <c r="G997" s="2"/>
      <c r="H997" s="2"/>
      <c r="I997" s="2"/>
      <c r="J997" s="2"/>
      <c r="K997" s="2"/>
      <c r="L997" s="3">
        <f t="shared" si="48"/>
        <v>3.8323740074514993E-2</v>
      </c>
      <c r="M997" s="3">
        <f t="shared" si="48"/>
        <v>2.0716200531154864E-2</v>
      </c>
    </row>
    <row r="998" spans="1:13" x14ac:dyDescent="0.35">
      <c r="A998" t="s">
        <v>104</v>
      </c>
      <c r="B998" t="s">
        <v>69</v>
      </c>
      <c r="C998" s="2"/>
      <c r="D998" s="2"/>
      <c r="E998" s="2"/>
      <c r="F998" s="2"/>
      <c r="G998" s="2"/>
      <c r="H998" s="2"/>
      <c r="I998" s="2"/>
      <c r="J998" s="2"/>
      <c r="K998" s="2"/>
      <c r="L998" s="3">
        <f t="shared" si="48"/>
        <v>5.0585717097286181E-2</v>
      </c>
      <c r="M998" s="3">
        <f t="shared" si="48"/>
        <v>2.1057472702280949E-2</v>
      </c>
    </row>
    <row r="999" spans="1:13" x14ac:dyDescent="0.35">
      <c r="A999" t="s">
        <v>104</v>
      </c>
      <c r="B999" t="s">
        <v>70</v>
      </c>
      <c r="C999" s="2"/>
      <c r="D999" s="2"/>
      <c r="E999" s="2"/>
      <c r="F999" s="2"/>
      <c r="G999" s="2"/>
      <c r="H999" s="2"/>
      <c r="I999" s="2"/>
      <c r="J999" s="2"/>
      <c r="K999" s="2"/>
      <c r="L999" s="3">
        <f t="shared" si="48"/>
        <v>6.1610074601512577E-2</v>
      </c>
      <c r="M999" s="3">
        <f t="shared" si="48"/>
        <v>3.9514571316933034E-2</v>
      </c>
    </row>
    <row r="1000" spans="1:13" x14ac:dyDescent="0.35">
      <c r="A1000" t="s">
        <v>104</v>
      </c>
      <c r="B1000" t="s">
        <v>71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3">
        <f t="shared" si="48"/>
        <v>5.0799091113175175E-2</v>
      </c>
      <c r="M1000" s="3">
        <f t="shared" si="48"/>
        <v>2.3448214287147686E-2</v>
      </c>
    </row>
    <row r="1001" spans="1:13" x14ac:dyDescent="0.35">
      <c r="A1001" t="s">
        <v>104</v>
      </c>
      <c r="B1001" t="s">
        <v>72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3">
        <f t="shared" si="48"/>
        <v>5.8902203588202494E-2</v>
      </c>
      <c r="M1001" s="3">
        <f t="shared" si="48"/>
        <v>3.3311552835309163E-2</v>
      </c>
    </row>
    <row r="1002" spans="1:13" x14ac:dyDescent="0.35">
      <c r="A1002" t="s">
        <v>104</v>
      </c>
      <c r="B1002" t="s">
        <v>73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3">
        <f t="shared" si="48"/>
        <v>7.2848361716192661E-2</v>
      </c>
      <c r="M1002" s="3">
        <f t="shared" si="48"/>
        <v>5.3180908983710647E-2</v>
      </c>
    </row>
    <row r="1003" spans="1:13" x14ac:dyDescent="0.35">
      <c r="A1003" t="s">
        <v>104</v>
      </c>
      <c r="B1003" t="s">
        <v>74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3">
        <f t="shared" ref="L1003:M1022" si="49">L688</f>
        <v>4.3153984724897815E-2</v>
      </c>
      <c r="M1003" s="3">
        <f t="shared" si="49"/>
        <v>1.5356975461163269E-2</v>
      </c>
    </row>
    <row r="1004" spans="1:13" x14ac:dyDescent="0.35">
      <c r="A1004" t="s">
        <v>104</v>
      </c>
      <c r="B1004" t="s">
        <v>75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3">
        <f t="shared" si="49"/>
        <v>5.1224603672044802E-2</v>
      </c>
      <c r="M1004" s="3">
        <f t="shared" si="49"/>
        <v>2.8456133259787991E-2</v>
      </c>
    </row>
    <row r="1005" spans="1:13" x14ac:dyDescent="0.35">
      <c r="A1005" t="s">
        <v>104</v>
      </c>
      <c r="B1005" t="s">
        <v>76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3">
        <f t="shared" si="49"/>
        <v>5.6913093903906392E-2</v>
      </c>
      <c r="M1005" s="3">
        <f t="shared" si="49"/>
        <v>3.3578217875222874E-2</v>
      </c>
    </row>
    <row r="1006" spans="1:13" x14ac:dyDescent="0.35">
      <c r="A1006" t="s">
        <v>104</v>
      </c>
      <c r="B1006" t="s">
        <v>77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3">
        <f t="shared" si="49"/>
        <v>4.9340046137349568E-2</v>
      </c>
      <c r="M1006" s="3">
        <f t="shared" si="49"/>
        <v>2.3858228608330784E-2</v>
      </c>
    </row>
    <row r="1007" spans="1:13" x14ac:dyDescent="0.35">
      <c r="A1007" t="s">
        <v>104</v>
      </c>
      <c r="B1007" t="s">
        <v>78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3">
        <f t="shared" si="49"/>
        <v>5.2300813085342242E-2</v>
      </c>
      <c r="M1007" s="3">
        <f t="shared" si="49"/>
        <v>2.7829473213782242E-2</v>
      </c>
    </row>
    <row r="1008" spans="1:13" x14ac:dyDescent="0.35">
      <c r="A1008" t="s">
        <v>104</v>
      </c>
      <c r="B1008" t="s">
        <v>79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3">
        <f t="shared" si="49"/>
        <v>5.5392945288067021E-2</v>
      </c>
      <c r="M1008" s="3">
        <f t="shared" si="49"/>
        <v>3.4255518659844129E-2</v>
      </c>
    </row>
    <row r="1009" spans="1:13" x14ac:dyDescent="0.35">
      <c r="A1009" t="s">
        <v>104</v>
      </c>
      <c r="B1009" t="s">
        <v>80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3">
        <f t="shared" si="49"/>
        <v>4.9425726608162961E-2</v>
      </c>
      <c r="M1009" s="3">
        <f t="shared" si="49"/>
        <v>2.4146441192013455E-2</v>
      </c>
    </row>
    <row r="1010" spans="1:13" x14ac:dyDescent="0.35">
      <c r="A1010" t="s">
        <v>104</v>
      </c>
      <c r="B1010" t="s">
        <v>81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3">
        <f t="shared" si="49"/>
        <v>5.7020274419741855E-2</v>
      </c>
      <c r="M1010" s="3">
        <f t="shared" si="49"/>
        <v>2.8894325271759985E-2</v>
      </c>
    </row>
    <row r="1011" spans="1:13" x14ac:dyDescent="0.35">
      <c r="A1011" t="s">
        <v>104</v>
      </c>
      <c r="B1011" t="s">
        <v>82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3">
        <f t="shared" si="49"/>
        <v>7.096453518728936E-2</v>
      </c>
      <c r="M1011" s="3">
        <f t="shared" si="49"/>
        <v>4.0068606014284712E-2</v>
      </c>
    </row>
    <row r="1012" spans="1:13" x14ac:dyDescent="0.35">
      <c r="A1012" t="s">
        <v>104</v>
      </c>
      <c r="B1012" t="s">
        <v>83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3">
        <f t="shared" si="49"/>
        <v>4.6529656791255466E-2</v>
      </c>
      <c r="M1012" s="3">
        <f t="shared" si="49"/>
        <v>2.491902387112057E-2</v>
      </c>
    </row>
    <row r="1013" spans="1:13" x14ac:dyDescent="0.35">
      <c r="A1013" t="s">
        <v>104</v>
      </c>
      <c r="B1013" t="s">
        <v>84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3">
        <f t="shared" si="49"/>
        <v>5.5431957587981209E-2</v>
      </c>
      <c r="M1013" s="3">
        <f t="shared" si="49"/>
        <v>2.4192836974430483E-2</v>
      </c>
    </row>
    <row r="1014" spans="1:13" x14ac:dyDescent="0.35">
      <c r="A1014" t="s">
        <v>104</v>
      </c>
      <c r="B1014" t="s">
        <v>85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3">
        <f t="shared" si="49"/>
        <v>8.8500914917391441E-2</v>
      </c>
      <c r="M1014" s="3">
        <f t="shared" si="49"/>
        <v>4.9132358792279139E-2</v>
      </c>
    </row>
    <row r="1015" spans="1:13" x14ac:dyDescent="0.35">
      <c r="A1015" t="s">
        <v>104</v>
      </c>
      <c r="B1015" t="s">
        <v>86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3">
        <f t="shared" si="49"/>
        <v>4.3679929660463558E-2</v>
      </c>
      <c r="M1015" s="3">
        <f t="shared" si="49"/>
        <v>1.5178900279464998E-2</v>
      </c>
    </row>
    <row r="1016" spans="1:13" x14ac:dyDescent="0.35">
      <c r="A1016" t="s">
        <v>104</v>
      </c>
      <c r="B1016" t="s">
        <v>87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3">
        <f t="shared" si="49"/>
        <v>5.2551929310169096E-2</v>
      </c>
      <c r="M1016" s="3">
        <f t="shared" si="49"/>
        <v>2.4981126428904106E-2</v>
      </c>
    </row>
    <row r="1017" spans="1:13" x14ac:dyDescent="0.35">
      <c r="A1017" t="s">
        <v>104</v>
      </c>
      <c r="B1017" t="s">
        <v>88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3">
        <f t="shared" si="49"/>
        <v>5.6230031408398211E-2</v>
      </c>
      <c r="M1017" s="3">
        <f t="shared" si="49"/>
        <v>2.1652003163561841E-2</v>
      </c>
    </row>
    <row r="1018" spans="1:13" x14ac:dyDescent="0.35">
      <c r="A1018" t="s">
        <v>104</v>
      </c>
      <c r="B1018" t="s">
        <v>89</v>
      </c>
      <c r="C1018" s="2"/>
      <c r="D1018" s="2"/>
      <c r="E1018" s="2"/>
      <c r="F1018" s="2"/>
      <c r="G1018" s="2"/>
      <c r="H1018" s="2"/>
      <c r="I1018" s="2"/>
      <c r="J1018" s="2"/>
      <c r="K1018" s="2"/>
      <c r="L1018" s="3">
        <f t="shared" si="49"/>
        <v>5.2577025571418044E-2</v>
      </c>
      <c r="M1018" s="3">
        <f t="shared" si="49"/>
        <v>1.9515765743765009E-2</v>
      </c>
    </row>
    <row r="1019" spans="1:13" x14ac:dyDescent="0.35">
      <c r="A1019" t="s">
        <v>104</v>
      </c>
      <c r="B1019" t="s">
        <v>90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3">
        <f t="shared" si="49"/>
        <v>4.9161960412363766E-2</v>
      </c>
      <c r="M1019" s="3">
        <f t="shared" si="49"/>
        <v>1.3017046921638362E-2</v>
      </c>
    </row>
    <row r="1020" spans="1:13" x14ac:dyDescent="0.35">
      <c r="A1020" t="s">
        <v>104</v>
      </c>
      <c r="B1020" t="s">
        <v>91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3">
        <f t="shared" si="49"/>
        <v>8.3724375920610564E-2</v>
      </c>
      <c r="M1020" s="3">
        <f t="shared" si="49"/>
        <v>3.3550875140152488E-2</v>
      </c>
    </row>
    <row r="1021" spans="1:13" x14ac:dyDescent="0.35">
      <c r="A1021" t="s">
        <v>104</v>
      </c>
      <c r="B1021" t="s">
        <v>95</v>
      </c>
      <c r="C1021" s="2"/>
      <c r="D1021" s="2"/>
      <c r="E1021" s="2"/>
      <c r="F1021" s="2"/>
      <c r="G1021" s="2"/>
      <c r="H1021" s="2"/>
      <c r="I1021" s="2"/>
      <c r="J1021" s="2"/>
      <c r="K1021" s="2"/>
      <c r="L1021" s="3" t="e">
        <f>NA()</f>
        <v>#N/A</v>
      </c>
      <c r="M1021" s="3" t="e">
        <f>NA()</f>
        <v>#N/A</v>
      </c>
    </row>
    <row r="1022" spans="1:13" x14ac:dyDescent="0.35">
      <c r="A1022" t="s">
        <v>105</v>
      </c>
      <c r="B1022" t="s">
        <v>14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3">
        <f t="shared" ref="L1022:M1041" si="50">L785</f>
        <v>9.1548488558080929E-3</v>
      </c>
      <c r="M1022" s="3">
        <f t="shared" si="50"/>
        <v>3.1267896401969125E-3</v>
      </c>
    </row>
    <row r="1023" spans="1:13" x14ac:dyDescent="0.35">
      <c r="A1023" t="s">
        <v>105</v>
      </c>
      <c r="B1023" t="s">
        <v>15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3">
        <f t="shared" si="50"/>
        <v>8.8313397241516229E-3</v>
      </c>
      <c r="M1023" s="3">
        <f t="shared" si="50"/>
        <v>3.4992236314853398E-3</v>
      </c>
    </row>
    <row r="1024" spans="1:13" x14ac:dyDescent="0.35">
      <c r="A1024" t="s">
        <v>105</v>
      </c>
      <c r="B1024" t="s">
        <v>16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3">
        <f t="shared" si="50"/>
        <v>9.7123886458414417E-3</v>
      </c>
      <c r="M1024" s="3">
        <f t="shared" si="50"/>
        <v>4.2005932915515597E-3</v>
      </c>
    </row>
    <row r="1025" spans="1:13" x14ac:dyDescent="0.35">
      <c r="A1025" t="s">
        <v>105</v>
      </c>
      <c r="B1025" t="s">
        <v>17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3">
        <f t="shared" si="50"/>
        <v>1.1710402974272938E-2</v>
      </c>
      <c r="M1025" s="3">
        <f t="shared" si="50"/>
        <v>4.596163436251406E-3</v>
      </c>
    </row>
    <row r="1026" spans="1:13" x14ac:dyDescent="0.35">
      <c r="A1026" t="s">
        <v>105</v>
      </c>
      <c r="B1026" t="s">
        <v>18</v>
      </c>
      <c r="C1026" s="2"/>
      <c r="D1026" s="2"/>
      <c r="E1026" s="2"/>
      <c r="F1026" s="2"/>
      <c r="G1026" s="2"/>
      <c r="H1026" s="2"/>
      <c r="I1026" s="2"/>
      <c r="J1026" s="2"/>
      <c r="K1026" s="2"/>
      <c r="L1026" s="3">
        <f t="shared" si="50"/>
        <v>1.2218316371287985E-2</v>
      </c>
      <c r="M1026" s="3">
        <f t="shared" si="50"/>
        <v>5.5749635868425308E-3</v>
      </c>
    </row>
    <row r="1027" spans="1:13" x14ac:dyDescent="0.35">
      <c r="A1027" t="s">
        <v>105</v>
      </c>
      <c r="B1027" t="s">
        <v>19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3">
        <f t="shared" si="50"/>
        <v>1.1476936136604962E-2</v>
      </c>
      <c r="M1027" s="3">
        <f t="shared" si="50"/>
        <v>5.3774325936019702E-3</v>
      </c>
    </row>
    <row r="1028" spans="1:13" x14ac:dyDescent="0.35">
      <c r="A1028" t="s">
        <v>105</v>
      </c>
      <c r="B1028" t="s">
        <v>20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3">
        <f t="shared" si="50"/>
        <v>9.0967359384339259E-3</v>
      </c>
      <c r="M1028" s="3">
        <f t="shared" si="50"/>
        <v>3.3147448872913811E-3</v>
      </c>
    </row>
    <row r="1029" spans="1:13" x14ac:dyDescent="0.35">
      <c r="A1029" t="s">
        <v>105</v>
      </c>
      <c r="B1029" t="s">
        <v>21</v>
      </c>
      <c r="C1029" s="2"/>
      <c r="D1029" s="2"/>
      <c r="E1029" s="2"/>
      <c r="F1029" s="2"/>
      <c r="G1029" s="2"/>
      <c r="H1029" s="2"/>
      <c r="I1029" s="2"/>
      <c r="J1029" s="2"/>
      <c r="K1029" s="2"/>
      <c r="L1029" s="3">
        <f t="shared" si="50"/>
        <v>9.9606024336899232E-3</v>
      </c>
      <c r="M1029" s="3">
        <f t="shared" si="50"/>
        <v>3.9244466429268132E-3</v>
      </c>
    </row>
    <row r="1030" spans="1:13" x14ac:dyDescent="0.35">
      <c r="A1030" t="s">
        <v>105</v>
      </c>
      <c r="B1030" t="s">
        <v>22</v>
      </c>
      <c r="C1030" s="2"/>
      <c r="D1030" s="2"/>
      <c r="E1030" s="2"/>
      <c r="F1030" s="2"/>
      <c r="G1030" s="2"/>
      <c r="H1030" s="2"/>
      <c r="I1030" s="2"/>
      <c r="J1030" s="2"/>
      <c r="K1030" s="2"/>
      <c r="L1030" s="3">
        <f t="shared" si="50"/>
        <v>1.0814717688487638E-2</v>
      </c>
      <c r="M1030" s="3">
        <f t="shared" si="50"/>
        <v>5.3248876591764256E-3</v>
      </c>
    </row>
    <row r="1031" spans="1:13" x14ac:dyDescent="0.35">
      <c r="A1031" t="s">
        <v>105</v>
      </c>
      <c r="B1031" t="s">
        <v>23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3">
        <f t="shared" si="50"/>
        <v>9.1842738981427856E-3</v>
      </c>
      <c r="M1031" s="3">
        <f t="shared" si="50"/>
        <v>3.5410061812683876E-3</v>
      </c>
    </row>
    <row r="1032" spans="1:13" x14ac:dyDescent="0.35">
      <c r="A1032" t="s">
        <v>105</v>
      </c>
      <c r="B1032" t="s">
        <v>24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3">
        <f t="shared" si="50"/>
        <v>1.0383230294655973E-2</v>
      </c>
      <c r="M1032" s="3">
        <f t="shared" si="50"/>
        <v>4.3802873870595468E-3</v>
      </c>
    </row>
    <row r="1033" spans="1:13" x14ac:dyDescent="0.35">
      <c r="A1033" t="s">
        <v>105</v>
      </c>
      <c r="B1033" t="s">
        <v>25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3">
        <f t="shared" si="50"/>
        <v>1.325954861912907E-2</v>
      </c>
      <c r="M1033" s="3">
        <f t="shared" si="50"/>
        <v>6.9682769860970094E-3</v>
      </c>
    </row>
    <row r="1034" spans="1:13" x14ac:dyDescent="0.35">
      <c r="A1034" t="s">
        <v>105</v>
      </c>
      <c r="B1034" t="s">
        <v>26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3">
        <f t="shared" si="50"/>
        <v>1.0807342815888773E-2</v>
      </c>
      <c r="M1034" s="3">
        <f t="shared" si="50"/>
        <v>4.6967042504278316E-3</v>
      </c>
    </row>
    <row r="1035" spans="1:13" x14ac:dyDescent="0.35">
      <c r="A1035" t="s">
        <v>105</v>
      </c>
      <c r="B1035" t="s">
        <v>27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3">
        <f t="shared" si="50"/>
        <v>9.9641958504358887E-3</v>
      </c>
      <c r="M1035" s="3">
        <f t="shared" si="50"/>
        <v>4.5036203465952419E-3</v>
      </c>
    </row>
    <row r="1036" spans="1:13" x14ac:dyDescent="0.35">
      <c r="A1036" t="s">
        <v>105</v>
      </c>
      <c r="B1036" t="s">
        <v>28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3">
        <f t="shared" si="50"/>
        <v>1.0648355944150027E-2</v>
      </c>
      <c r="M1036" s="3">
        <f t="shared" si="50"/>
        <v>5.1992179749981758E-3</v>
      </c>
    </row>
    <row r="1037" spans="1:13" x14ac:dyDescent="0.35">
      <c r="A1037" t="s">
        <v>105</v>
      </c>
      <c r="B1037" t="s">
        <v>29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3">
        <f t="shared" si="50"/>
        <v>9.56486996720665E-3</v>
      </c>
      <c r="M1037" s="3">
        <f t="shared" si="50"/>
        <v>4.363665817064653E-3</v>
      </c>
    </row>
    <row r="1038" spans="1:13" x14ac:dyDescent="0.35">
      <c r="A1038" t="s">
        <v>105</v>
      </c>
      <c r="B1038" t="s">
        <v>30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3">
        <f t="shared" si="50"/>
        <v>8.8513967850046577E-3</v>
      </c>
      <c r="M1038" s="3">
        <f t="shared" si="50"/>
        <v>3.4487313775252077E-3</v>
      </c>
    </row>
    <row r="1039" spans="1:13" x14ac:dyDescent="0.35">
      <c r="A1039" t="s">
        <v>105</v>
      </c>
      <c r="B1039" t="s">
        <v>31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3">
        <f t="shared" si="50"/>
        <v>1.0491333593242542E-2</v>
      </c>
      <c r="M1039" s="3">
        <f t="shared" si="50"/>
        <v>5.4163626742705188E-3</v>
      </c>
    </row>
    <row r="1040" spans="1:13" x14ac:dyDescent="0.35">
      <c r="A1040" t="s">
        <v>105</v>
      </c>
      <c r="B1040" t="s">
        <v>32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3">
        <f t="shared" si="50"/>
        <v>9.6142703970197776E-3</v>
      </c>
      <c r="M1040" s="3">
        <f t="shared" si="50"/>
        <v>4.6470653876596575E-3</v>
      </c>
    </row>
    <row r="1041" spans="1:13" x14ac:dyDescent="0.35">
      <c r="A1041" t="s">
        <v>105</v>
      </c>
      <c r="B1041" t="s">
        <v>33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3">
        <f t="shared" si="50"/>
        <v>1.1637826851689084E-2</v>
      </c>
      <c r="M1041" s="3">
        <f t="shared" si="50"/>
        <v>5.5821087655658786E-3</v>
      </c>
    </row>
    <row r="1042" spans="1:13" x14ac:dyDescent="0.35">
      <c r="A1042" t="s">
        <v>105</v>
      </c>
      <c r="B1042" t="s">
        <v>34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3">
        <f t="shared" ref="L1042:M1061" si="51">L805</f>
        <v>1.1183817417892638E-2</v>
      </c>
      <c r="M1042" s="3">
        <f t="shared" si="51"/>
        <v>5.7713235032553116E-3</v>
      </c>
    </row>
    <row r="1043" spans="1:13" x14ac:dyDescent="0.35">
      <c r="A1043" t="s">
        <v>105</v>
      </c>
      <c r="B1043" t="s">
        <v>35</v>
      </c>
      <c r="C1043" s="2"/>
      <c r="D1043" s="2"/>
      <c r="E1043" s="2"/>
      <c r="F1043" s="2"/>
      <c r="G1043" s="2"/>
      <c r="H1043" s="2"/>
      <c r="I1043" s="2"/>
      <c r="J1043" s="2"/>
      <c r="K1043" s="2"/>
      <c r="L1043" s="3">
        <f t="shared" si="51"/>
        <v>8.8247400668791196E-3</v>
      </c>
      <c r="M1043" s="3">
        <f t="shared" si="51"/>
        <v>3.795592535605765E-3</v>
      </c>
    </row>
    <row r="1044" spans="1:13" x14ac:dyDescent="0.35">
      <c r="A1044" t="s">
        <v>105</v>
      </c>
      <c r="B1044" t="s">
        <v>36</v>
      </c>
      <c r="C1044" s="2"/>
      <c r="D1044" s="2"/>
      <c r="E1044" s="2"/>
      <c r="F1044" s="2"/>
      <c r="G1044" s="2"/>
      <c r="H1044" s="2"/>
      <c r="I1044" s="2"/>
      <c r="J1044" s="2"/>
      <c r="K1044" s="2"/>
      <c r="L1044" s="3">
        <f t="shared" si="51"/>
        <v>1.0059024854993338E-2</v>
      </c>
      <c r="M1044" s="3">
        <f t="shared" si="51"/>
        <v>4.397279846961164E-3</v>
      </c>
    </row>
    <row r="1045" spans="1:13" x14ac:dyDescent="0.35">
      <c r="A1045" t="s">
        <v>105</v>
      </c>
      <c r="B1045" t="s">
        <v>37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3">
        <f t="shared" si="51"/>
        <v>1.1678564895936083E-2</v>
      </c>
      <c r="M1045" s="3">
        <f t="shared" si="51"/>
        <v>6.1091103181118971E-3</v>
      </c>
    </row>
    <row r="1046" spans="1:13" x14ac:dyDescent="0.35">
      <c r="A1046" t="s">
        <v>105</v>
      </c>
      <c r="B1046" t="s">
        <v>38</v>
      </c>
      <c r="C1046" s="2"/>
      <c r="D1046" s="2"/>
      <c r="E1046" s="2"/>
      <c r="F1046" s="2"/>
      <c r="G1046" s="2"/>
      <c r="H1046" s="2"/>
      <c r="I1046" s="2"/>
      <c r="J1046" s="2"/>
      <c r="K1046" s="2"/>
      <c r="L1046" s="3">
        <f t="shared" si="51"/>
        <v>9.4054651048037282E-3</v>
      </c>
      <c r="M1046" s="3">
        <f t="shared" si="51"/>
        <v>3.3344796128468475E-3</v>
      </c>
    </row>
    <row r="1047" spans="1:13" x14ac:dyDescent="0.35">
      <c r="A1047" t="s">
        <v>105</v>
      </c>
      <c r="B1047" t="s">
        <v>39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3">
        <f t="shared" si="51"/>
        <v>9.3405954632466096E-3</v>
      </c>
      <c r="M1047" s="3">
        <f t="shared" si="51"/>
        <v>4.2528030098395305E-3</v>
      </c>
    </row>
    <row r="1048" spans="1:13" x14ac:dyDescent="0.35">
      <c r="A1048" t="s">
        <v>105</v>
      </c>
      <c r="B1048" t="s">
        <v>40</v>
      </c>
      <c r="C1048" s="2"/>
      <c r="D1048" s="2"/>
      <c r="E1048" s="2"/>
      <c r="F1048" s="2"/>
      <c r="G1048" s="2"/>
      <c r="H1048" s="2"/>
      <c r="I1048" s="2"/>
      <c r="J1048" s="2"/>
      <c r="K1048" s="2"/>
      <c r="L1048" s="3">
        <f t="shared" si="51"/>
        <v>9.6652211207378016E-3</v>
      </c>
      <c r="M1048" s="3">
        <f t="shared" si="51"/>
        <v>5.0144420026967222E-3</v>
      </c>
    </row>
    <row r="1049" spans="1:13" x14ac:dyDescent="0.35">
      <c r="A1049" t="s">
        <v>105</v>
      </c>
      <c r="B1049" t="s">
        <v>41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3">
        <f t="shared" si="51"/>
        <v>8.3598009217876069E-3</v>
      </c>
      <c r="M1049" s="3">
        <f t="shared" si="51"/>
        <v>3.7823768533762326E-3</v>
      </c>
    </row>
    <row r="1050" spans="1:13" x14ac:dyDescent="0.35">
      <c r="A1050" t="s">
        <v>105</v>
      </c>
      <c r="B1050" t="s">
        <v>42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3">
        <f t="shared" si="51"/>
        <v>8.9555864557192884E-3</v>
      </c>
      <c r="M1050" s="3">
        <f t="shared" si="51"/>
        <v>4.2095535438552651E-3</v>
      </c>
    </row>
    <row r="1051" spans="1:13" x14ac:dyDescent="0.35">
      <c r="A1051" t="s">
        <v>105</v>
      </c>
      <c r="B1051" t="s">
        <v>43</v>
      </c>
      <c r="C1051" s="2"/>
      <c r="D1051" s="2"/>
      <c r="E1051" s="2"/>
      <c r="F1051" s="2"/>
      <c r="G1051" s="2"/>
      <c r="H1051" s="2"/>
      <c r="I1051" s="2"/>
      <c r="J1051" s="2"/>
      <c r="K1051" s="2"/>
      <c r="L1051" s="3">
        <f t="shared" si="51"/>
        <v>1.0788522784158414E-2</v>
      </c>
      <c r="M1051" s="3">
        <f t="shared" si="51"/>
        <v>5.8795723034173741E-3</v>
      </c>
    </row>
    <row r="1052" spans="1:13" x14ac:dyDescent="0.35">
      <c r="A1052" t="s">
        <v>105</v>
      </c>
      <c r="B1052" t="s">
        <v>44</v>
      </c>
      <c r="C1052" s="2"/>
      <c r="D1052" s="2"/>
      <c r="E1052" s="2"/>
      <c r="F1052" s="2"/>
      <c r="G1052" s="2"/>
      <c r="H1052" s="2"/>
      <c r="I1052" s="2"/>
      <c r="J1052" s="2"/>
      <c r="K1052" s="2"/>
      <c r="L1052" s="3">
        <f t="shared" si="51"/>
        <v>8.8533774517979939E-3</v>
      </c>
      <c r="M1052" s="3">
        <f t="shared" si="51"/>
        <v>3.7622709946378364E-3</v>
      </c>
    </row>
    <row r="1053" spans="1:13" x14ac:dyDescent="0.35">
      <c r="A1053" t="s">
        <v>105</v>
      </c>
      <c r="B1053" t="s">
        <v>45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3">
        <f t="shared" si="51"/>
        <v>1.129897871928533E-2</v>
      </c>
      <c r="M1053" s="3">
        <f t="shared" si="51"/>
        <v>5.4327681767610903E-3</v>
      </c>
    </row>
    <row r="1054" spans="1:13" x14ac:dyDescent="0.35">
      <c r="A1054" t="s">
        <v>105</v>
      </c>
      <c r="B1054" t="s">
        <v>46</v>
      </c>
      <c r="C1054" s="2"/>
      <c r="D1054" s="2"/>
      <c r="E1054" s="2"/>
      <c r="F1054" s="2"/>
      <c r="G1054" s="2"/>
      <c r="H1054" s="2"/>
      <c r="I1054" s="2"/>
      <c r="J1054" s="2"/>
      <c r="K1054" s="2"/>
      <c r="L1054" s="3">
        <f t="shared" si="51"/>
        <v>1.0293446827038066E-2</v>
      </c>
      <c r="M1054" s="3">
        <f t="shared" si="51"/>
        <v>5.2816267708330833E-3</v>
      </c>
    </row>
    <row r="1055" spans="1:13" x14ac:dyDescent="0.35">
      <c r="A1055" t="s">
        <v>105</v>
      </c>
      <c r="B1055" t="s">
        <v>47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3">
        <f t="shared" si="51"/>
        <v>8.7858798482082084E-3</v>
      </c>
      <c r="M1055" s="3">
        <f t="shared" si="51"/>
        <v>3.7802277085954906E-3</v>
      </c>
    </row>
    <row r="1056" spans="1:13" x14ac:dyDescent="0.35">
      <c r="A1056" t="s">
        <v>105</v>
      </c>
      <c r="B1056" t="s">
        <v>48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3">
        <f t="shared" si="51"/>
        <v>9.6616602580581606E-3</v>
      </c>
      <c r="M1056" s="3">
        <f t="shared" si="51"/>
        <v>4.5859021889704905E-3</v>
      </c>
    </row>
    <row r="1057" spans="1:13" x14ac:dyDescent="0.35">
      <c r="A1057" t="s">
        <v>105</v>
      </c>
      <c r="B1057" t="s">
        <v>49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3">
        <f t="shared" si="51"/>
        <v>1.3498368030038219E-2</v>
      </c>
      <c r="M1057" s="3">
        <f t="shared" si="51"/>
        <v>8.2816551641537121E-3</v>
      </c>
    </row>
    <row r="1058" spans="1:13" x14ac:dyDescent="0.35">
      <c r="A1058" t="s">
        <v>105</v>
      </c>
      <c r="B1058" t="s">
        <v>50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3">
        <f t="shared" si="51"/>
        <v>8.3344462857342563E-3</v>
      </c>
      <c r="M1058" s="3">
        <f t="shared" si="51"/>
        <v>3.0399751042781802E-3</v>
      </c>
    </row>
    <row r="1059" spans="1:13" x14ac:dyDescent="0.35">
      <c r="A1059" t="s">
        <v>105</v>
      </c>
      <c r="B1059" t="s">
        <v>51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3">
        <f t="shared" si="51"/>
        <v>1.0062400187506058E-2</v>
      </c>
      <c r="M1059" s="3">
        <f t="shared" si="51"/>
        <v>4.5623810326115635E-3</v>
      </c>
    </row>
    <row r="1060" spans="1:13" x14ac:dyDescent="0.35">
      <c r="A1060" t="s">
        <v>105</v>
      </c>
      <c r="B1060" t="s">
        <v>52</v>
      </c>
      <c r="C1060" s="2"/>
      <c r="D1060" s="2"/>
      <c r="E1060" s="2"/>
      <c r="F1060" s="2"/>
      <c r="G1060" s="2"/>
      <c r="H1060" s="2"/>
      <c r="I1060" s="2"/>
      <c r="J1060" s="2"/>
      <c r="K1060" s="2"/>
      <c r="L1060" s="3">
        <f t="shared" si="51"/>
        <v>1.08692661984251E-2</v>
      </c>
      <c r="M1060" s="3">
        <f t="shared" si="51"/>
        <v>5.5298300519619368E-3</v>
      </c>
    </row>
    <row r="1061" spans="1:13" x14ac:dyDescent="0.35">
      <c r="A1061" t="s">
        <v>105</v>
      </c>
      <c r="B1061" t="s">
        <v>53</v>
      </c>
      <c r="C1061" s="2"/>
      <c r="D1061" s="2"/>
      <c r="E1061" s="2"/>
      <c r="F1061" s="2"/>
      <c r="G1061" s="2"/>
      <c r="H1061" s="2"/>
      <c r="I1061" s="2"/>
      <c r="J1061" s="2"/>
      <c r="K1061" s="2"/>
      <c r="L1061" s="3">
        <f t="shared" si="51"/>
        <v>9.4255981987610548E-3</v>
      </c>
      <c r="M1061" s="3">
        <f t="shared" si="51"/>
        <v>4.5050022061690603E-3</v>
      </c>
    </row>
    <row r="1062" spans="1:13" x14ac:dyDescent="0.35">
      <c r="A1062" t="s">
        <v>105</v>
      </c>
      <c r="B1062" t="s">
        <v>54</v>
      </c>
      <c r="C1062" s="2"/>
      <c r="D1062" s="2"/>
      <c r="E1062" s="2"/>
      <c r="F1062" s="2"/>
      <c r="G1062" s="2"/>
      <c r="H1062" s="2"/>
      <c r="I1062" s="2"/>
      <c r="J1062" s="2"/>
      <c r="K1062" s="2"/>
      <c r="L1062" s="3">
        <f t="shared" ref="L1062:M1081" si="52">L825</f>
        <v>1.1647612652635839E-2</v>
      </c>
      <c r="M1062" s="3">
        <f t="shared" si="52"/>
        <v>5.7380617994281687E-3</v>
      </c>
    </row>
    <row r="1063" spans="1:13" x14ac:dyDescent="0.35">
      <c r="A1063" t="s">
        <v>105</v>
      </c>
      <c r="B1063" t="s">
        <v>55</v>
      </c>
      <c r="C1063" s="2"/>
      <c r="D1063" s="2"/>
      <c r="E1063" s="2"/>
      <c r="F1063" s="2"/>
      <c r="G1063" s="2"/>
      <c r="H1063" s="2"/>
      <c r="I1063" s="2"/>
      <c r="J1063" s="2"/>
      <c r="K1063" s="2"/>
      <c r="L1063" s="3">
        <f t="shared" si="52"/>
        <v>1.112433489887954E-2</v>
      </c>
      <c r="M1063" s="3">
        <f t="shared" si="52"/>
        <v>6.5335576405137052E-3</v>
      </c>
    </row>
    <row r="1064" spans="1:13" x14ac:dyDescent="0.35">
      <c r="A1064" t="s">
        <v>105</v>
      </c>
      <c r="B1064" t="s">
        <v>56</v>
      </c>
      <c r="C1064" s="2"/>
      <c r="D1064" s="2"/>
      <c r="E1064" s="2"/>
      <c r="F1064" s="2"/>
      <c r="G1064" s="2"/>
      <c r="H1064" s="2"/>
      <c r="I1064" s="2"/>
      <c r="J1064" s="2"/>
      <c r="K1064" s="2"/>
      <c r="L1064" s="3">
        <f t="shared" si="52"/>
        <v>1.0009983242866413E-2</v>
      </c>
      <c r="M1064" s="3">
        <f t="shared" si="52"/>
        <v>4.6510335851662468E-3</v>
      </c>
    </row>
    <row r="1065" spans="1:13" x14ac:dyDescent="0.35">
      <c r="A1065" t="s">
        <v>105</v>
      </c>
      <c r="B1065" t="s">
        <v>57</v>
      </c>
      <c r="C1065" s="2"/>
      <c r="D1065" s="2"/>
      <c r="E1065" s="2"/>
      <c r="F1065" s="2"/>
      <c r="G1065" s="2"/>
      <c r="H1065" s="2"/>
      <c r="I1065" s="2"/>
      <c r="J1065" s="2"/>
      <c r="K1065" s="2"/>
      <c r="L1065" s="3">
        <f t="shared" si="52"/>
        <v>1.4809211900085039E-2</v>
      </c>
      <c r="M1065" s="3">
        <f t="shared" si="52"/>
        <v>6.744798473976135E-3</v>
      </c>
    </row>
    <row r="1066" spans="1:13" x14ac:dyDescent="0.35">
      <c r="A1066" t="s">
        <v>105</v>
      </c>
      <c r="B1066" t="s">
        <v>58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3">
        <f t="shared" si="52"/>
        <v>1.3520805877423228E-2</v>
      </c>
      <c r="M1066" s="3">
        <f t="shared" si="52"/>
        <v>6.510468375187933E-3</v>
      </c>
    </row>
    <row r="1067" spans="1:13" x14ac:dyDescent="0.35">
      <c r="A1067" t="s">
        <v>105</v>
      </c>
      <c r="B1067" t="s">
        <v>59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3">
        <f t="shared" si="52"/>
        <v>1.0739453517458189E-2</v>
      </c>
      <c r="M1067" s="3">
        <f t="shared" si="52"/>
        <v>4.3438438701513581E-3</v>
      </c>
    </row>
    <row r="1068" spans="1:13" x14ac:dyDescent="0.35">
      <c r="A1068" t="s">
        <v>105</v>
      </c>
      <c r="B1068" t="s">
        <v>60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3">
        <f t="shared" si="52"/>
        <v>1.2056280151951936E-2</v>
      </c>
      <c r="M1068" s="3">
        <f t="shared" si="52"/>
        <v>6.1760553832492585E-3</v>
      </c>
    </row>
    <row r="1069" spans="1:13" x14ac:dyDescent="0.35">
      <c r="A1069" t="s">
        <v>105</v>
      </c>
      <c r="B1069" t="s">
        <v>61</v>
      </c>
      <c r="C1069" s="2"/>
      <c r="D1069" s="2"/>
      <c r="E1069" s="2"/>
      <c r="F1069" s="2"/>
      <c r="G1069" s="2"/>
      <c r="H1069" s="2"/>
      <c r="I1069" s="2"/>
      <c r="J1069" s="2"/>
      <c r="K1069" s="2"/>
      <c r="L1069" s="3">
        <f t="shared" si="52"/>
        <v>1.498045017356908E-2</v>
      </c>
      <c r="M1069" s="3">
        <f t="shared" si="52"/>
        <v>8.5326064998199717E-3</v>
      </c>
    </row>
    <row r="1070" spans="1:13" x14ac:dyDescent="0.35">
      <c r="A1070" t="s">
        <v>105</v>
      </c>
      <c r="B1070" t="s">
        <v>62</v>
      </c>
      <c r="C1070" s="2"/>
      <c r="D1070" s="2"/>
      <c r="E1070" s="2"/>
      <c r="F1070" s="2"/>
      <c r="G1070" s="2"/>
      <c r="H1070" s="2"/>
      <c r="I1070" s="2"/>
      <c r="J1070" s="2"/>
      <c r="K1070" s="2"/>
      <c r="L1070" s="3">
        <f t="shared" si="52"/>
        <v>9.5293307462916109E-3</v>
      </c>
      <c r="M1070" s="3">
        <f t="shared" si="52"/>
        <v>4.170916947110229E-3</v>
      </c>
    </row>
    <row r="1071" spans="1:13" x14ac:dyDescent="0.35">
      <c r="A1071" t="s">
        <v>105</v>
      </c>
      <c r="B1071" t="s">
        <v>63</v>
      </c>
      <c r="C1071" s="2"/>
      <c r="D1071" s="2"/>
      <c r="E1071" s="2"/>
      <c r="F1071" s="2"/>
      <c r="G1071" s="2"/>
      <c r="H1071" s="2"/>
      <c r="I1071" s="2"/>
      <c r="J1071" s="2"/>
      <c r="K1071" s="2"/>
      <c r="L1071" s="3">
        <f t="shared" si="52"/>
        <v>9.4359081502751636E-3</v>
      </c>
      <c r="M1071" s="3">
        <f t="shared" si="52"/>
        <v>4.0472377035352522E-3</v>
      </c>
    </row>
    <row r="1072" spans="1:13" x14ac:dyDescent="0.35">
      <c r="A1072" t="s">
        <v>105</v>
      </c>
      <c r="B1072" t="s">
        <v>64</v>
      </c>
      <c r="C1072" s="2"/>
      <c r="D1072" s="2"/>
      <c r="E1072" s="2"/>
      <c r="F1072" s="2"/>
      <c r="G1072" s="2"/>
      <c r="H1072" s="2"/>
      <c r="I1072" s="2"/>
      <c r="J1072" s="2"/>
      <c r="K1072" s="2"/>
      <c r="L1072" s="3">
        <f t="shared" si="52"/>
        <v>1.2699500855120779E-2</v>
      </c>
      <c r="M1072" s="3">
        <f t="shared" si="52"/>
        <v>6.8279418116195534E-3</v>
      </c>
    </row>
    <row r="1073" spans="1:13" x14ac:dyDescent="0.35">
      <c r="A1073" t="s">
        <v>105</v>
      </c>
      <c r="B1073" t="s">
        <v>65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3">
        <f t="shared" si="52"/>
        <v>1.0839214532744466E-2</v>
      </c>
      <c r="M1073" s="3">
        <f t="shared" si="52"/>
        <v>5.0008560878907074E-3</v>
      </c>
    </row>
    <row r="1074" spans="1:13" x14ac:dyDescent="0.35">
      <c r="A1074" t="s">
        <v>105</v>
      </c>
      <c r="B1074" t="s">
        <v>66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3">
        <f t="shared" si="52"/>
        <v>1.1588226863715764E-2</v>
      </c>
      <c r="M1074" s="3">
        <f t="shared" si="52"/>
        <v>5.379110398100179E-3</v>
      </c>
    </row>
    <row r="1075" spans="1:13" x14ac:dyDescent="0.35">
      <c r="A1075" t="s">
        <v>105</v>
      </c>
      <c r="B1075" t="s">
        <v>67</v>
      </c>
      <c r="C1075" s="2"/>
      <c r="D1075" s="2"/>
      <c r="E1075" s="2"/>
      <c r="F1075" s="2"/>
      <c r="G1075" s="2"/>
      <c r="H1075" s="2"/>
      <c r="I1075" s="2"/>
      <c r="J1075" s="2"/>
      <c r="K1075" s="2"/>
      <c r="L1075" s="3">
        <f t="shared" si="52"/>
        <v>1.2307699241583394E-2</v>
      </c>
      <c r="M1075" s="3">
        <f t="shared" si="52"/>
        <v>6.6065609045451576E-3</v>
      </c>
    </row>
    <row r="1076" spans="1:13" x14ac:dyDescent="0.35">
      <c r="A1076" t="s">
        <v>105</v>
      </c>
      <c r="B1076" t="s">
        <v>68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3">
        <f t="shared" si="52"/>
        <v>1.0192785176734137E-2</v>
      </c>
      <c r="M1076" s="3">
        <f t="shared" si="52"/>
        <v>4.6398790099308231E-3</v>
      </c>
    </row>
    <row r="1077" spans="1:13" x14ac:dyDescent="0.35">
      <c r="A1077" t="s">
        <v>105</v>
      </c>
      <c r="B1077" t="s">
        <v>69</v>
      </c>
      <c r="C1077" s="2"/>
      <c r="D1077" s="2"/>
      <c r="E1077" s="2"/>
      <c r="F1077" s="2"/>
      <c r="G1077" s="2"/>
      <c r="H1077" s="2"/>
      <c r="I1077" s="2"/>
      <c r="J1077" s="2"/>
      <c r="K1077" s="2"/>
      <c r="L1077" s="3">
        <f t="shared" si="52"/>
        <v>1.3247507527374337E-2</v>
      </c>
      <c r="M1077" s="3">
        <f t="shared" si="52"/>
        <v>5.1417950343299159E-3</v>
      </c>
    </row>
    <row r="1078" spans="1:13" x14ac:dyDescent="0.35">
      <c r="A1078" t="s">
        <v>105</v>
      </c>
      <c r="B1078" t="s">
        <v>70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3">
        <f t="shared" si="52"/>
        <v>1.4869001481782171E-2</v>
      </c>
      <c r="M1078" s="3">
        <f t="shared" si="52"/>
        <v>8.2007418597489293E-3</v>
      </c>
    </row>
    <row r="1079" spans="1:13" x14ac:dyDescent="0.35">
      <c r="A1079" t="s">
        <v>105</v>
      </c>
      <c r="B1079" t="s">
        <v>71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3">
        <f t="shared" si="52"/>
        <v>1.2345751690476497E-2</v>
      </c>
      <c r="M1079" s="3">
        <f t="shared" si="52"/>
        <v>5.1455648083666592E-3</v>
      </c>
    </row>
    <row r="1080" spans="1:13" x14ac:dyDescent="0.35">
      <c r="A1080" t="s">
        <v>105</v>
      </c>
      <c r="B1080" t="s">
        <v>72</v>
      </c>
      <c r="C1080" s="2"/>
      <c r="D1080" s="2"/>
      <c r="E1080" s="2"/>
      <c r="F1080" s="2"/>
      <c r="G1080" s="2"/>
      <c r="H1080" s="2"/>
      <c r="I1080" s="2"/>
      <c r="J1080" s="2"/>
      <c r="K1080" s="2"/>
      <c r="L1080" s="3">
        <f t="shared" si="52"/>
        <v>1.4812571120476306E-2</v>
      </c>
      <c r="M1080" s="3">
        <f t="shared" si="52"/>
        <v>7.0059751907810865E-3</v>
      </c>
    </row>
    <row r="1081" spans="1:13" x14ac:dyDescent="0.35">
      <c r="A1081" t="s">
        <v>105</v>
      </c>
      <c r="B1081" t="s">
        <v>73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3">
        <f t="shared" si="52"/>
        <v>1.7240634984107613E-2</v>
      </c>
      <c r="M1081" s="3">
        <f t="shared" si="52"/>
        <v>1.1179679835389793E-2</v>
      </c>
    </row>
    <row r="1082" spans="1:13" x14ac:dyDescent="0.35">
      <c r="A1082" t="s">
        <v>105</v>
      </c>
      <c r="B1082" t="s">
        <v>74</v>
      </c>
      <c r="C1082" s="2"/>
      <c r="D1082" s="2"/>
      <c r="E1082" s="2"/>
      <c r="F1082" s="2"/>
      <c r="G1082" s="2"/>
      <c r="H1082" s="2"/>
      <c r="I1082" s="2"/>
      <c r="J1082" s="2"/>
      <c r="K1082" s="2"/>
      <c r="L1082" s="3">
        <f t="shared" ref="L1082:M1101" si="53">L845</f>
        <v>1.1623090617338523E-2</v>
      </c>
      <c r="M1082" s="3">
        <f t="shared" si="53"/>
        <v>3.6874487829915105E-3</v>
      </c>
    </row>
    <row r="1083" spans="1:13" x14ac:dyDescent="0.35">
      <c r="A1083" t="s">
        <v>105</v>
      </c>
      <c r="B1083" t="s">
        <v>75</v>
      </c>
      <c r="C1083" s="2"/>
      <c r="D1083" s="2"/>
      <c r="E1083" s="2"/>
      <c r="F1083" s="2"/>
      <c r="G1083" s="2"/>
      <c r="H1083" s="2"/>
      <c r="I1083" s="2"/>
      <c r="J1083" s="2"/>
      <c r="K1083" s="2"/>
      <c r="L1083" s="3">
        <f t="shared" si="53"/>
        <v>1.3341814796411382E-2</v>
      </c>
      <c r="M1083" s="3">
        <f t="shared" si="53"/>
        <v>6.2213256013539144E-3</v>
      </c>
    </row>
    <row r="1084" spans="1:13" x14ac:dyDescent="0.35">
      <c r="A1084" t="s">
        <v>105</v>
      </c>
      <c r="B1084" t="s">
        <v>76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3">
        <f t="shared" si="53"/>
        <v>1.3504512485518223E-2</v>
      </c>
      <c r="M1084" s="3">
        <f t="shared" si="53"/>
        <v>6.7731739184516996E-3</v>
      </c>
    </row>
    <row r="1085" spans="1:13" x14ac:dyDescent="0.35">
      <c r="A1085" t="s">
        <v>105</v>
      </c>
      <c r="B1085" t="s">
        <v>77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3">
        <f t="shared" si="53"/>
        <v>1.2544460585534718E-2</v>
      </c>
      <c r="M1085" s="3">
        <f t="shared" si="53"/>
        <v>5.2807519879878567E-3</v>
      </c>
    </row>
    <row r="1086" spans="1:13" x14ac:dyDescent="0.35">
      <c r="A1086" t="s">
        <v>105</v>
      </c>
      <c r="B1086" t="s">
        <v>78</v>
      </c>
      <c r="C1086" s="2"/>
      <c r="D1086" s="2"/>
      <c r="E1086" s="2"/>
      <c r="F1086" s="2"/>
      <c r="G1086" s="2"/>
      <c r="H1086" s="2"/>
      <c r="I1086" s="2"/>
      <c r="J1086" s="2"/>
      <c r="K1086" s="2"/>
      <c r="L1086" s="3">
        <f t="shared" si="53"/>
        <v>1.3359928389740152E-2</v>
      </c>
      <c r="M1086" s="3">
        <f t="shared" si="53"/>
        <v>5.9062750873660579E-3</v>
      </c>
    </row>
    <row r="1087" spans="1:13" x14ac:dyDescent="0.35">
      <c r="A1087" t="s">
        <v>105</v>
      </c>
      <c r="B1087" t="s">
        <v>79</v>
      </c>
      <c r="C1087" s="2"/>
      <c r="D1087" s="2"/>
      <c r="E1087" s="2"/>
      <c r="F1087" s="2"/>
      <c r="G1087" s="2"/>
      <c r="H1087" s="2"/>
      <c r="I1087" s="2"/>
      <c r="J1087" s="2"/>
      <c r="K1087" s="2"/>
      <c r="L1087" s="3">
        <f t="shared" si="53"/>
        <v>1.3792708038846467E-2</v>
      </c>
      <c r="M1087" s="3">
        <f t="shared" si="53"/>
        <v>6.9578824040836644E-3</v>
      </c>
    </row>
    <row r="1088" spans="1:13" x14ac:dyDescent="0.35">
      <c r="A1088" t="s">
        <v>105</v>
      </c>
      <c r="B1088" t="s">
        <v>80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3">
        <f t="shared" si="53"/>
        <v>1.2077969497561224E-2</v>
      </c>
      <c r="M1088" s="3">
        <f t="shared" si="53"/>
        <v>5.0605192475068833E-3</v>
      </c>
    </row>
    <row r="1089" spans="1:13" x14ac:dyDescent="0.35">
      <c r="A1089" t="s">
        <v>105</v>
      </c>
      <c r="B1089" t="s">
        <v>81</v>
      </c>
      <c r="C1089" s="2"/>
      <c r="D1089" s="2"/>
      <c r="E1089" s="2"/>
      <c r="F1089" s="2"/>
      <c r="G1089" s="2"/>
      <c r="H1089" s="2"/>
      <c r="I1089" s="2"/>
      <c r="J1089" s="2"/>
      <c r="K1089" s="2"/>
      <c r="L1089" s="3">
        <f t="shared" si="53"/>
        <v>1.5014662745458145E-2</v>
      </c>
      <c r="M1089" s="3">
        <f t="shared" si="53"/>
        <v>6.6815554323437715E-3</v>
      </c>
    </row>
    <row r="1090" spans="1:13" x14ac:dyDescent="0.35">
      <c r="A1090" t="s">
        <v>105</v>
      </c>
      <c r="B1090" t="s">
        <v>82</v>
      </c>
      <c r="C1090" s="2"/>
      <c r="D1090" s="2"/>
      <c r="E1090" s="2"/>
      <c r="F1090" s="2"/>
      <c r="G1090" s="2"/>
      <c r="H1090" s="2"/>
      <c r="I1090" s="2"/>
      <c r="J1090" s="2"/>
      <c r="K1090" s="2"/>
      <c r="L1090" s="3">
        <f t="shared" si="53"/>
        <v>1.632165794848003E-2</v>
      </c>
      <c r="M1090" s="3">
        <f t="shared" si="53"/>
        <v>7.6445062915886227E-3</v>
      </c>
    </row>
    <row r="1091" spans="1:13" x14ac:dyDescent="0.35">
      <c r="A1091" t="s">
        <v>105</v>
      </c>
      <c r="B1091" t="s">
        <v>83</v>
      </c>
      <c r="C1091" s="2"/>
      <c r="D1091" s="2"/>
      <c r="E1091" s="2"/>
      <c r="F1091" s="2"/>
      <c r="G1091" s="2"/>
      <c r="H1091" s="2"/>
      <c r="I1091" s="2"/>
      <c r="J1091" s="2"/>
      <c r="K1091" s="2"/>
      <c r="L1091" s="3">
        <f t="shared" si="53"/>
        <v>1.2322565426896956E-2</v>
      </c>
      <c r="M1091" s="3">
        <f t="shared" si="53"/>
        <v>5.4991262430783838E-3</v>
      </c>
    </row>
    <row r="1092" spans="1:13" x14ac:dyDescent="0.35">
      <c r="A1092" t="s">
        <v>105</v>
      </c>
      <c r="B1092" t="s">
        <v>84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3">
        <f t="shared" si="53"/>
        <v>1.4578425923966696E-2</v>
      </c>
      <c r="M1092" s="3">
        <f t="shared" si="53"/>
        <v>5.7720490467442244E-3</v>
      </c>
    </row>
    <row r="1093" spans="1:13" x14ac:dyDescent="0.35">
      <c r="A1093" t="s">
        <v>105</v>
      </c>
      <c r="B1093" t="s">
        <v>85</v>
      </c>
      <c r="C1093" s="2"/>
      <c r="D1093" s="2"/>
      <c r="E1093" s="2"/>
      <c r="F1093" s="2"/>
      <c r="G1093" s="2"/>
      <c r="H1093" s="2"/>
      <c r="I1093" s="2"/>
      <c r="J1093" s="2"/>
      <c r="K1093" s="2"/>
      <c r="L1093" s="3">
        <f t="shared" si="53"/>
        <v>2.1402755638407104E-2</v>
      </c>
      <c r="M1093" s="3">
        <f t="shared" si="53"/>
        <v>1.0269028636006533E-2</v>
      </c>
    </row>
    <row r="1094" spans="1:13" x14ac:dyDescent="0.35">
      <c r="A1094" t="s">
        <v>105</v>
      </c>
      <c r="B1094" t="s">
        <v>86</v>
      </c>
      <c r="C1094" s="2"/>
      <c r="D1094" s="2"/>
      <c r="E1094" s="2"/>
      <c r="F1094" s="2"/>
      <c r="G1094" s="2"/>
      <c r="H1094" s="2"/>
      <c r="I1094" s="2"/>
      <c r="J1094" s="2"/>
      <c r="K1094" s="2"/>
      <c r="L1094" s="3">
        <f t="shared" si="53"/>
        <v>1.4311085949920482E-2</v>
      </c>
      <c r="M1094" s="3">
        <f t="shared" si="53"/>
        <v>3.6822306919883402E-3</v>
      </c>
    </row>
    <row r="1095" spans="1:13" x14ac:dyDescent="0.35">
      <c r="A1095" t="s">
        <v>105</v>
      </c>
      <c r="B1095" t="s">
        <v>87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3">
        <f t="shared" si="53"/>
        <v>1.3670861887068725E-2</v>
      </c>
      <c r="M1095" s="3">
        <f t="shared" si="53"/>
        <v>5.0457063421157347E-3</v>
      </c>
    </row>
    <row r="1096" spans="1:13" x14ac:dyDescent="0.35">
      <c r="A1096" t="s">
        <v>105</v>
      </c>
      <c r="B1096" t="s">
        <v>88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3">
        <f t="shared" si="53"/>
        <v>1.5643812412491125E-2</v>
      </c>
      <c r="M1096" s="3">
        <f t="shared" si="53"/>
        <v>4.8098066476328707E-3</v>
      </c>
    </row>
    <row r="1097" spans="1:13" x14ac:dyDescent="0.35">
      <c r="A1097" t="s">
        <v>105</v>
      </c>
      <c r="B1097" t="s">
        <v>89</v>
      </c>
      <c r="C1097" s="2"/>
      <c r="D1097" s="2"/>
      <c r="E1097" s="2"/>
      <c r="F1097" s="2"/>
      <c r="G1097" s="2"/>
      <c r="H1097" s="2"/>
      <c r="I1097" s="2"/>
      <c r="J1097" s="2"/>
      <c r="K1097" s="2"/>
      <c r="L1097" s="3">
        <f t="shared" si="53"/>
        <v>1.6152162713404934E-2</v>
      </c>
      <c r="M1097" s="3">
        <f t="shared" si="53"/>
        <v>4.2935850761286649E-3</v>
      </c>
    </row>
    <row r="1098" spans="1:13" x14ac:dyDescent="0.35">
      <c r="A1098" t="s">
        <v>105</v>
      </c>
      <c r="B1098" t="s">
        <v>90</v>
      </c>
      <c r="C1098" s="2"/>
      <c r="D1098" s="2"/>
      <c r="E1098" s="2"/>
      <c r="F1098" s="2"/>
      <c r="G1098" s="2"/>
      <c r="H1098" s="2"/>
      <c r="I1098" s="2"/>
      <c r="J1098" s="2"/>
      <c r="K1098" s="2"/>
      <c r="L1098" s="3">
        <f t="shared" si="53"/>
        <v>1.5558681381620719E-2</v>
      </c>
      <c r="M1098" s="3">
        <f t="shared" si="53"/>
        <v>3.3317485440855343E-3</v>
      </c>
    </row>
    <row r="1099" spans="1:13" x14ac:dyDescent="0.35">
      <c r="A1099" t="s">
        <v>105</v>
      </c>
      <c r="B1099" t="s">
        <v>91</v>
      </c>
      <c r="C1099" s="2"/>
      <c r="D1099" s="2"/>
      <c r="E1099" s="2"/>
      <c r="F1099" s="2"/>
      <c r="G1099" s="2"/>
      <c r="H1099" s="2"/>
      <c r="I1099" s="2"/>
      <c r="J1099" s="2"/>
      <c r="K1099" s="2"/>
      <c r="L1099" s="3">
        <f t="shared" si="53"/>
        <v>2.0718913587684823E-2</v>
      </c>
      <c r="M1099" s="3">
        <f t="shared" si="53"/>
        <v>7.1527580522279637E-3</v>
      </c>
    </row>
    <row r="1100" spans="1:13" x14ac:dyDescent="0.35">
      <c r="A1100" t="s">
        <v>105</v>
      </c>
      <c r="B1100" t="s">
        <v>95</v>
      </c>
      <c r="C1100" s="2"/>
      <c r="D1100" s="2"/>
      <c r="E1100" s="2"/>
      <c r="F1100" s="2"/>
      <c r="G1100" s="2"/>
      <c r="H1100" s="2"/>
      <c r="I1100" s="2"/>
      <c r="J1100" s="2"/>
      <c r="K1100" s="2"/>
      <c r="L1100" s="3">
        <f t="shared" si="53"/>
        <v>1.9930675056461393E-2</v>
      </c>
      <c r="M1100" s="3">
        <f t="shared" si="53"/>
        <v>2.687306235747699E-4</v>
      </c>
    </row>
    <row r="1101" spans="1:13" x14ac:dyDescent="0.35">
      <c r="A1101" t="s">
        <v>106</v>
      </c>
      <c r="B1101" t="s">
        <v>14</v>
      </c>
      <c r="C1101" s="2"/>
      <c r="D1101" s="2"/>
      <c r="E1101" s="2"/>
      <c r="F1101" s="2"/>
      <c r="G1101" s="2"/>
      <c r="H1101" s="2"/>
      <c r="I1101" s="2"/>
      <c r="J1101" s="2"/>
      <c r="K1101" s="2"/>
      <c r="L1101" s="3">
        <f t="shared" si="53"/>
        <v>4.594038277552428E-3</v>
      </c>
      <c r="M1101" s="3">
        <f t="shared" si="53"/>
        <v>1.1675654998262763E-3</v>
      </c>
    </row>
    <row r="1102" spans="1:13" x14ac:dyDescent="0.35">
      <c r="A1102" t="s">
        <v>106</v>
      </c>
      <c r="B1102" t="s">
        <v>15</v>
      </c>
      <c r="C1102" s="2"/>
      <c r="D1102" s="2"/>
      <c r="E1102" s="2"/>
      <c r="F1102" s="2"/>
      <c r="G1102" s="2"/>
      <c r="H1102" s="2"/>
      <c r="I1102" s="2"/>
      <c r="J1102" s="2"/>
      <c r="K1102" s="2"/>
      <c r="L1102" s="3">
        <f t="shared" ref="L1102:M1121" si="54">L865</f>
        <v>3.9900406414012457E-3</v>
      </c>
      <c r="M1102" s="3">
        <f t="shared" si="54"/>
        <v>8.0554042316188486E-4</v>
      </c>
    </row>
    <row r="1103" spans="1:13" x14ac:dyDescent="0.35">
      <c r="A1103" t="s">
        <v>106</v>
      </c>
      <c r="B1103" t="s">
        <v>16</v>
      </c>
      <c r="C1103" s="2"/>
      <c r="D1103" s="2"/>
      <c r="E1103" s="2"/>
      <c r="F1103" s="2"/>
      <c r="G1103" s="2"/>
      <c r="H1103" s="2"/>
      <c r="I1103" s="2"/>
      <c r="J1103" s="2"/>
      <c r="K1103" s="2"/>
      <c r="L1103" s="3">
        <f t="shared" si="54"/>
        <v>4.2830752193674685E-3</v>
      </c>
      <c r="M1103" s="3">
        <f t="shared" si="54"/>
        <v>9.5746251870720389E-4</v>
      </c>
    </row>
    <row r="1104" spans="1:13" x14ac:dyDescent="0.35">
      <c r="A1104" t="s">
        <v>106</v>
      </c>
      <c r="B1104" t="s">
        <v>17</v>
      </c>
      <c r="C1104" s="2"/>
      <c r="D1104" s="2"/>
      <c r="E1104" s="2"/>
      <c r="F1104" s="2"/>
      <c r="G1104" s="2"/>
      <c r="H1104" s="2"/>
      <c r="I1104" s="2"/>
      <c r="J1104" s="2"/>
      <c r="K1104" s="2"/>
      <c r="L1104" s="3">
        <f t="shared" si="54"/>
        <v>5.6633902632086015E-3</v>
      </c>
      <c r="M1104" s="3">
        <f t="shared" si="54"/>
        <v>1.2271603060794417E-3</v>
      </c>
    </row>
    <row r="1105" spans="1:13" x14ac:dyDescent="0.35">
      <c r="A1105" t="s">
        <v>106</v>
      </c>
      <c r="B1105" t="s">
        <v>18</v>
      </c>
      <c r="C1105" s="2"/>
      <c r="D1105" s="2"/>
      <c r="E1105" s="2"/>
      <c r="F1105" s="2"/>
      <c r="G1105" s="2"/>
      <c r="H1105" s="2"/>
      <c r="I1105" s="2"/>
      <c r="J1105" s="2"/>
      <c r="K1105" s="2"/>
      <c r="L1105" s="3">
        <f t="shared" si="54"/>
        <v>5.561729022860543E-3</v>
      </c>
      <c r="M1105" s="3">
        <f t="shared" si="54"/>
        <v>1.3501079347997714E-3</v>
      </c>
    </row>
    <row r="1106" spans="1:13" x14ac:dyDescent="0.35">
      <c r="A1106" t="s">
        <v>106</v>
      </c>
      <c r="B1106" t="s">
        <v>19</v>
      </c>
      <c r="C1106" s="2"/>
      <c r="D1106" s="2"/>
      <c r="E1106" s="2"/>
      <c r="F1106" s="2"/>
      <c r="G1106" s="2"/>
      <c r="H1106" s="2"/>
      <c r="I1106" s="2"/>
      <c r="J1106" s="2"/>
      <c r="K1106" s="2"/>
      <c r="L1106" s="3">
        <f t="shared" si="54"/>
        <v>4.8323435326026983E-3</v>
      </c>
      <c r="M1106" s="3">
        <f t="shared" si="54"/>
        <v>1.1915621245412991E-3</v>
      </c>
    </row>
    <row r="1107" spans="1:13" x14ac:dyDescent="0.35">
      <c r="A1107" t="s">
        <v>106</v>
      </c>
      <c r="B1107" t="s">
        <v>20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3">
        <f t="shared" si="54"/>
        <v>4.3576126107663111E-3</v>
      </c>
      <c r="M1107" s="3">
        <f t="shared" si="54"/>
        <v>1.0257417380416312E-3</v>
      </c>
    </row>
    <row r="1108" spans="1:13" x14ac:dyDescent="0.35">
      <c r="A1108" t="s">
        <v>106</v>
      </c>
      <c r="B1108" t="s">
        <v>21</v>
      </c>
      <c r="C1108" s="2"/>
      <c r="D1108" s="2"/>
      <c r="E1108" s="2"/>
      <c r="F1108" s="2"/>
      <c r="G1108" s="2"/>
      <c r="H1108" s="2"/>
      <c r="I1108" s="2"/>
      <c r="J1108" s="2"/>
      <c r="K1108" s="2"/>
      <c r="L1108" s="3">
        <f t="shared" si="54"/>
        <v>4.7352079493253093E-3</v>
      </c>
      <c r="M1108" s="3">
        <f t="shared" si="54"/>
        <v>1.1426823967934526E-3</v>
      </c>
    </row>
    <row r="1109" spans="1:13" x14ac:dyDescent="0.35">
      <c r="A1109" t="s">
        <v>106</v>
      </c>
      <c r="B1109" t="s">
        <v>22</v>
      </c>
      <c r="C1109" s="2"/>
      <c r="D1109" s="2"/>
      <c r="E1109" s="2"/>
      <c r="F1109" s="2"/>
      <c r="G1109" s="2"/>
      <c r="H1109" s="2"/>
      <c r="I1109" s="2"/>
      <c r="J1109" s="2"/>
      <c r="K1109" s="2"/>
      <c r="L1109" s="3">
        <f t="shared" si="54"/>
        <v>4.263131973485013E-3</v>
      </c>
      <c r="M1109" s="3">
        <f t="shared" si="54"/>
        <v>9.5038122008841671E-4</v>
      </c>
    </row>
    <row r="1110" spans="1:13" x14ac:dyDescent="0.35">
      <c r="A1110" t="s">
        <v>106</v>
      </c>
      <c r="B1110" t="s">
        <v>23</v>
      </c>
      <c r="C1110" s="2"/>
      <c r="D1110" s="2"/>
      <c r="E1110" s="2"/>
      <c r="F1110" s="2"/>
      <c r="G1110" s="2"/>
      <c r="H1110" s="2"/>
      <c r="I1110" s="2"/>
      <c r="J1110" s="2"/>
      <c r="K1110" s="2"/>
      <c r="L1110" s="3">
        <f t="shared" si="54"/>
        <v>4.2162618942561368E-3</v>
      </c>
      <c r="M1110" s="3">
        <f t="shared" si="54"/>
        <v>9.9157905542846458E-4</v>
      </c>
    </row>
    <row r="1111" spans="1:13" x14ac:dyDescent="0.35">
      <c r="A1111" t="s">
        <v>106</v>
      </c>
      <c r="B1111" t="s">
        <v>24</v>
      </c>
      <c r="C1111" s="2"/>
      <c r="D1111" s="2"/>
      <c r="E1111" s="2"/>
      <c r="F1111" s="2"/>
      <c r="G1111" s="2"/>
      <c r="H1111" s="2"/>
      <c r="I1111" s="2"/>
      <c r="J1111" s="2"/>
      <c r="K1111" s="2"/>
      <c r="L1111" s="3">
        <f t="shared" si="54"/>
        <v>4.7507638701368565E-3</v>
      </c>
      <c r="M1111" s="3">
        <f t="shared" si="54"/>
        <v>1.0363231361106391E-3</v>
      </c>
    </row>
    <row r="1112" spans="1:13" x14ac:dyDescent="0.35">
      <c r="A1112" t="s">
        <v>106</v>
      </c>
      <c r="B1112" t="s">
        <v>25</v>
      </c>
      <c r="C1112" s="2"/>
      <c r="D1112" s="2"/>
      <c r="E1112" s="2"/>
      <c r="F1112" s="2"/>
      <c r="G1112" s="2"/>
      <c r="H1112" s="2"/>
      <c r="I1112" s="2"/>
      <c r="J1112" s="2"/>
      <c r="K1112" s="2"/>
      <c r="L1112" s="3">
        <f t="shared" si="54"/>
        <v>5.1701555779704788E-3</v>
      </c>
      <c r="M1112" s="3">
        <f t="shared" si="54"/>
        <v>1.2679444669103925E-3</v>
      </c>
    </row>
    <row r="1113" spans="1:13" x14ac:dyDescent="0.35">
      <c r="A1113" t="s">
        <v>106</v>
      </c>
      <c r="B1113" t="s">
        <v>26</v>
      </c>
      <c r="C1113" s="2"/>
      <c r="D1113" s="2"/>
      <c r="E1113" s="2"/>
      <c r="F1113" s="2"/>
      <c r="G1113" s="2"/>
      <c r="H1113" s="2"/>
      <c r="I1113" s="2"/>
      <c r="J1113" s="2"/>
      <c r="K1113" s="2"/>
      <c r="L1113" s="3">
        <f t="shared" si="54"/>
        <v>4.9853381309924744E-3</v>
      </c>
      <c r="M1113" s="3">
        <f t="shared" si="54"/>
        <v>1.3790638469045921E-3</v>
      </c>
    </row>
    <row r="1114" spans="1:13" x14ac:dyDescent="0.35">
      <c r="A1114" t="s">
        <v>106</v>
      </c>
      <c r="B1114" t="s">
        <v>27</v>
      </c>
      <c r="C1114" s="2"/>
      <c r="D1114" s="2"/>
      <c r="E1114" s="2"/>
      <c r="F1114" s="2"/>
      <c r="G1114" s="2"/>
      <c r="H1114" s="2"/>
      <c r="I1114" s="2"/>
      <c r="J1114" s="2"/>
      <c r="K1114" s="2"/>
      <c r="L1114" s="3">
        <f t="shared" si="54"/>
        <v>4.2500207682554534E-3</v>
      </c>
      <c r="M1114" s="3">
        <f t="shared" si="54"/>
        <v>9.2718742420699581E-4</v>
      </c>
    </row>
    <row r="1115" spans="1:13" x14ac:dyDescent="0.35">
      <c r="A1115" t="s">
        <v>106</v>
      </c>
      <c r="B1115" t="s">
        <v>28</v>
      </c>
      <c r="C1115" s="2"/>
      <c r="D1115" s="2"/>
      <c r="E1115" s="2"/>
      <c r="F1115" s="2"/>
      <c r="G1115" s="2"/>
      <c r="H1115" s="2"/>
      <c r="I1115" s="2"/>
      <c r="J1115" s="2"/>
      <c r="K1115" s="2"/>
      <c r="L1115" s="3">
        <f t="shared" si="54"/>
        <v>4.3027747765739758E-3</v>
      </c>
      <c r="M1115" s="3">
        <f t="shared" si="54"/>
        <v>1.0336612642142388E-3</v>
      </c>
    </row>
    <row r="1116" spans="1:13" x14ac:dyDescent="0.35">
      <c r="A1116" t="s">
        <v>106</v>
      </c>
      <c r="B1116" t="s">
        <v>29</v>
      </c>
      <c r="C1116" s="2"/>
      <c r="D1116" s="2"/>
      <c r="E1116" s="2"/>
      <c r="F1116" s="2"/>
      <c r="G1116" s="2"/>
      <c r="H1116" s="2"/>
      <c r="I1116" s="2"/>
      <c r="J1116" s="2"/>
      <c r="K1116" s="2"/>
      <c r="L1116" s="3">
        <f t="shared" si="54"/>
        <v>4.2955793530106041E-3</v>
      </c>
      <c r="M1116" s="3">
        <f t="shared" si="54"/>
        <v>9.7911539059126508E-4</v>
      </c>
    </row>
    <row r="1117" spans="1:13" x14ac:dyDescent="0.35">
      <c r="A1117" t="s">
        <v>106</v>
      </c>
      <c r="B1117" t="s">
        <v>30</v>
      </c>
      <c r="C1117" s="2"/>
      <c r="D1117" s="2"/>
      <c r="E1117" s="2"/>
      <c r="F1117" s="2"/>
      <c r="G1117" s="2"/>
      <c r="H1117" s="2"/>
      <c r="I1117" s="2"/>
      <c r="J1117" s="2"/>
      <c r="K1117" s="2"/>
      <c r="L1117" s="3">
        <f t="shared" si="54"/>
        <v>4.3819872110502237E-3</v>
      </c>
      <c r="M1117" s="3">
        <f t="shared" si="54"/>
        <v>1.0770790617076419E-3</v>
      </c>
    </row>
    <row r="1118" spans="1:13" x14ac:dyDescent="0.35">
      <c r="A1118" t="s">
        <v>106</v>
      </c>
      <c r="B1118" t="s">
        <v>31</v>
      </c>
      <c r="C1118" s="2"/>
      <c r="D1118" s="2"/>
      <c r="E1118" s="2"/>
      <c r="F1118" s="2"/>
      <c r="G1118" s="2"/>
      <c r="H1118" s="2"/>
      <c r="I1118" s="2"/>
      <c r="J1118" s="2"/>
      <c r="K1118" s="2"/>
      <c r="L1118" s="3">
        <f t="shared" si="54"/>
        <v>4.426696563245373E-3</v>
      </c>
      <c r="M1118" s="3">
        <f t="shared" si="54"/>
        <v>1.0986557641912628E-3</v>
      </c>
    </row>
    <row r="1119" spans="1:13" x14ac:dyDescent="0.35">
      <c r="A1119" t="s">
        <v>106</v>
      </c>
      <c r="B1119" t="s">
        <v>32</v>
      </c>
      <c r="C1119" s="2"/>
      <c r="D1119" s="2"/>
      <c r="E1119" s="2"/>
      <c r="F1119" s="2"/>
      <c r="G1119" s="2"/>
      <c r="H1119" s="2"/>
      <c r="I1119" s="2"/>
      <c r="J1119" s="2"/>
      <c r="K1119" s="2"/>
      <c r="L1119" s="3">
        <f t="shared" si="54"/>
        <v>4.3850124484381293E-3</v>
      </c>
      <c r="M1119" s="3">
        <f t="shared" si="54"/>
        <v>1.0294501149563913E-3</v>
      </c>
    </row>
    <row r="1120" spans="1:13" x14ac:dyDescent="0.35">
      <c r="A1120" t="s">
        <v>106</v>
      </c>
      <c r="B1120" t="s">
        <v>33</v>
      </c>
      <c r="C1120" s="2"/>
      <c r="D1120" s="2"/>
      <c r="E1120" s="2"/>
      <c r="F1120" s="2"/>
      <c r="G1120" s="2"/>
      <c r="H1120" s="2"/>
      <c r="I1120" s="2"/>
      <c r="J1120" s="2"/>
      <c r="K1120" s="2"/>
      <c r="L1120" s="3">
        <f t="shared" si="54"/>
        <v>5.1173808204073874E-3</v>
      </c>
      <c r="M1120" s="3">
        <f t="shared" si="54"/>
        <v>1.2426298455238316E-3</v>
      </c>
    </row>
    <row r="1121" spans="1:13" x14ac:dyDescent="0.35">
      <c r="A1121" t="s">
        <v>106</v>
      </c>
      <c r="B1121" t="s">
        <v>34</v>
      </c>
      <c r="C1121" s="2"/>
      <c r="D1121" s="2"/>
      <c r="E1121" s="2"/>
      <c r="F1121" s="2"/>
      <c r="G1121" s="2"/>
      <c r="H1121" s="2"/>
      <c r="I1121" s="2"/>
      <c r="J1121" s="2"/>
      <c r="K1121" s="2"/>
      <c r="L1121" s="3">
        <f t="shared" si="54"/>
        <v>4.5593347238617084E-3</v>
      </c>
      <c r="M1121" s="3">
        <f t="shared" si="54"/>
        <v>1.2635646371681143E-3</v>
      </c>
    </row>
    <row r="1122" spans="1:13" x14ac:dyDescent="0.35">
      <c r="A1122" t="s">
        <v>106</v>
      </c>
      <c r="B1122" t="s">
        <v>35</v>
      </c>
      <c r="C1122" s="2"/>
      <c r="D1122" s="2"/>
      <c r="E1122" s="2"/>
      <c r="F1122" s="2"/>
      <c r="G1122" s="2"/>
      <c r="H1122" s="2"/>
      <c r="I1122" s="2"/>
      <c r="J1122" s="2"/>
      <c r="K1122" s="2"/>
      <c r="L1122" s="3">
        <f t="shared" ref="L1122:M1141" si="55">L885</f>
        <v>4.2575190174435921E-3</v>
      </c>
      <c r="M1122" s="3">
        <f t="shared" si="55"/>
        <v>1.1229980605829679E-3</v>
      </c>
    </row>
    <row r="1123" spans="1:13" x14ac:dyDescent="0.35">
      <c r="A1123" t="s">
        <v>106</v>
      </c>
      <c r="B1123" t="s">
        <v>36</v>
      </c>
      <c r="C1123" s="2"/>
      <c r="D1123" s="2"/>
      <c r="E1123" s="2"/>
      <c r="F1123" s="2"/>
      <c r="G1123" s="2"/>
      <c r="H1123" s="2"/>
      <c r="I1123" s="2"/>
      <c r="J1123" s="2"/>
      <c r="K1123" s="2"/>
      <c r="L1123" s="3">
        <f t="shared" si="55"/>
        <v>4.6137183807508034E-3</v>
      </c>
      <c r="M1123" s="3">
        <f t="shared" si="55"/>
        <v>1.049209436652166E-3</v>
      </c>
    </row>
    <row r="1124" spans="1:13" x14ac:dyDescent="0.35">
      <c r="A1124" t="s">
        <v>106</v>
      </c>
      <c r="B1124" t="s">
        <v>37</v>
      </c>
      <c r="C1124" s="2"/>
      <c r="D1124" s="2"/>
      <c r="E1124" s="2"/>
      <c r="F1124" s="2"/>
      <c r="G1124" s="2"/>
      <c r="H1124" s="2"/>
      <c r="I1124" s="2"/>
      <c r="J1124" s="2"/>
      <c r="K1124" s="2"/>
      <c r="L1124" s="3">
        <f t="shared" si="55"/>
        <v>4.7938048097622829E-3</v>
      </c>
      <c r="M1124" s="3">
        <f t="shared" si="55"/>
        <v>1.2895077600644778E-3</v>
      </c>
    </row>
    <row r="1125" spans="1:13" x14ac:dyDescent="0.35">
      <c r="A1125" t="s">
        <v>106</v>
      </c>
      <c r="B1125" t="s">
        <v>38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3">
        <f t="shared" si="55"/>
        <v>4.9630650782112717E-3</v>
      </c>
      <c r="M1125" s="3">
        <f t="shared" si="55"/>
        <v>9.8583867909444946E-4</v>
      </c>
    </row>
    <row r="1126" spans="1:13" x14ac:dyDescent="0.35">
      <c r="A1126" t="s">
        <v>106</v>
      </c>
      <c r="B1126" t="s">
        <v>39</v>
      </c>
      <c r="C1126" s="2"/>
      <c r="D1126" s="2"/>
      <c r="E1126" s="2"/>
      <c r="F1126" s="2"/>
      <c r="G1126" s="2"/>
      <c r="H1126" s="2"/>
      <c r="I1126" s="2"/>
      <c r="J1126" s="2"/>
      <c r="K1126" s="2"/>
      <c r="L1126" s="3">
        <f t="shared" si="55"/>
        <v>4.1620283124489494E-3</v>
      </c>
      <c r="M1126" s="3">
        <f t="shared" si="55"/>
        <v>1.0663151336662436E-3</v>
      </c>
    </row>
    <row r="1127" spans="1:13" x14ac:dyDescent="0.35">
      <c r="A1127" t="s">
        <v>106</v>
      </c>
      <c r="B1127" t="s">
        <v>40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3">
        <f t="shared" si="55"/>
        <v>3.9961416024139459E-3</v>
      </c>
      <c r="M1127" s="3">
        <f t="shared" si="55"/>
        <v>1.0752228345772793E-3</v>
      </c>
    </row>
    <row r="1128" spans="1:13" x14ac:dyDescent="0.35">
      <c r="A1128" t="s">
        <v>106</v>
      </c>
      <c r="B1128" t="s">
        <v>41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3">
        <f t="shared" si="55"/>
        <v>3.8858571481569784E-3</v>
      </c>
      <c r="M1128" s="3">
        <f t="shared" si="55"/>
        <v>1.1488740602759798E-3</v>
      </c>
    </row>
    <row r="1129" spans="1:13" x14ac:dyDescent="0.35">
      <c r="A1129" t="s">
        <v>106</v>
      </c>
      <c r="B1129" t="s">
        <v>42</v>
      </c>
      <c r="C1129" s="2"/>
      <c r="D1129" s="2"/>
      <c r="E1129" s="2"/>
      <c r="F1129" s="2"/>
      <c r="G1129" s="2"/>
      <c r="H1129" s="2"/>
      <c r="I1129" s="2"/>
      <c r="J1129" s="2"/>
      <c r="K1129" s="2"/>
      <c r="L1129" s="3">
        <f t="shared" si="55"/>
        <v>3.9573837612364941E-3</v>
      </c>
      <c r="M1129" s="3">
        <f t="shared" si="55"/>
        <v>1.1168196354741935E-3</v>
      </c>
    </row>
    <row r="1130" spans="1:13" x14ac:dyDescent="0.35">
      <c r="A1130" t="s">
        <v>106</v>
      </c>
      <c r="B1130" t="s">
        <v>43</v>
      </c>
      <c r="C1130" s="2"/>
      <c r="D1130" s="2"/>
      <c r="E1130" s="2"/>
      <c r="F1130" s="2"/>
      <c r="G1130" s="2"/>
      <c r="H1130" s="2"/>
      <c r="I1130" s="2"/>
      <c r="J1130" s="2"/>
      <c r="K1130" s="2"/>
      <c r="L1130" s="3">
        <f t="shared" si="55"/>
        <v>4.3561289830271023E-3</v>
      </c>
      <c r="M1130" s="3">
        <f t="shared" si="55"/>
        <v>1.4304367531333521E-3</v>
      </c>
    </row>
    <row r="1131" spans="1:13" x14ac:dyDescent="0.35">
      <c r="A1131" t="s">
        <v>106</v>
      </c>
      <c r="B1131" t="s">
        <v>44</v>
      </c>
      <c r="C1131" s="2"/>
      <c r="D1131" s="2"/>
      <c r="E1131" s="2"/>
      <c r="F1131" s="2"/>
      <c r="G1131" s="2"/>
      <c r="H1131" s="2"/>
      <c r="I1131" s="2"/>
      <c r="J1131" s="2"/>
      <c r="K1131" s="2"/>
      <c r="L1131" s="3">
        <f t="shared" si="55"/>
        <v>4.1636009404273262E-3</v>
      </c>
      <c r="M1131" s="3">
        <f t="shared" si="55"/>
        <v>1.1362073696294325E-3</v>
      </c>
    </row>
    <row r="1132" spans="1:13" x14ac:dyDescent="0.35">
      <c r="A1132" t="s">
        <v>106</v>
      </c>
      <c r="B1132" t="s">
        <v>45</v>
      </c>
      <c r="C1132" s="2"/>
      <c r="D1132" s="2"/>
      <c r="E1132" s="2"/>
      <c r="F1132" s="2"/>
      <c r="G1132" s="2"/>
      <c r="H1132" s="2"/>
      <c r="I1132" s="2"/>
      <c r="J1132" s="2"/>
      <c r="K1132" s="2"/>
      <c r="L1132" s="3">
        <f t="shared" si="55"/>
        <v>4.4105082421174602E-3</v>
      </c>
      <c r="M1132" s="3">
        <f t="shared" si="55"/>
        <v>1.2937458152606576E-3</v>
      </c>
    </row>
    <row r="1133" spans="1:13" x14ac:dyDescent="0.35">
      <c r="A1133" t="s">
        <v>106</v>
      </c>
      <c r="B1133" t="s">
        <v>46</v>
      </c>
      <c r="C1133" s="2"/>
      <c r="D1133" s="2"/>
      <c r="E1133" s="2"/>
      <c r="F1133" s="2"/>
      <c r="G1133" s="2"/>
      <c r="H1133" s="2"/>
      <c r="I1133" s="2"/>
      <c r="J1133" s="2"/>
      <c r="K1133" s="2"/>
      <c r="L1133" s="3">
        <f t="shared" si="55"/>
        <v>3.902963718368499E-3</v>
      </c>
      <c r="M1133" s="3">
        <f t="shared" si="55"/>
        <v>1.1323107619901716E-3</v>
      </c>
    </row>
    <row r="1134" spans="1:13" x14ac:dyDescent="0.35">
      <c r="A1134" t="s">
        <v>106</v>
      </c>
      <c r="B1134" t="s">
        <v>47</v>
      </c>
      <c r="C1134" s="2"/>
      <c r="D1134" s="2"/>
      <c r="E1134" s="2"/>
      <c r="F1134" s="2"/>
      <c r="G1134" s="2"/>
      <c r="H1134" s="2"/>
      <c r="I1134" s="2"/>
      <c r="J1134" s="2"/>
      <c r="K1134" s="2"/>
      <c r="L1134" s="3">
        <f t="shared" si="55"/>
        <v>3.888034685284585E-3</v>
      </c>
      <c r="M1134" s="3">
        <f t="shared" si="55"/>
        <v>1.0517728130517872E-3</v>
      </c>
    </row>
    <row r="1135" spans="1:13" x14ac:dyDescent="0.35">
      <c r="A1135" t="s">
        <v>106</v>
      </c>
      <c r="B1135" t="s">
        <v>48</v>
      </c>
      <c r="C1135" s="2"/>
      <c r="D1135" s="2"/>
      <c r="E1135" s="2"/>
      <c r="F1135" s="2"/>
      <c r="G1135" s="2"/>
      <c r="H1135" s="2"/>
      <c r="I1135" s="2"/>
      <c r="J1135" s="2"/>
      <c r="K1135" s="2"/>
      <c r="L1135" s="3">
        <f t="shared" si="55"/>
        <v>4.0919432107792888E-3</v>
      </c>
      <c r="M1135" s="3">
        <f t="shared" si="55"/>
        <v>1.172994524835018E-3</v>
      </c>
    </row>
    <row r="1136" spans="1:13" x14ac:dyDescent="0.35">
      <c r="A1136" t="s">
        <v>106</v>
      </c>
      <c r="B1136" t="s">
        <v>49</v>
      </c>
      <c r="C1136" s="2"/>
      <c r="D1136" s="2"/>
      <c r="E1136" s="2"/>
      <c r="F1136" s="2"/>
      <c r="G1136" s="2"/>
      <c r="H1136" s="2"/>
      <c r="I1136" s="2"/>
      <c r="J1136" s="2"/>
      <c r="K1136" s="2"/>
      <c r="L1136" s="3">
        <f t="shared" si="55"/>
        <v>4.7388973128727465E-3</v>
      </c>
      <c r="M1136" s="3">
        <f t="shared" si="55"/>
        <v>1.6531546726496181E-3</v>
      </c>
    </row>
    <row r="1137" spans="1:13" x14ac:dyDescent="0.35">
      <c r="A1137" t="s">
        <v>106</v>
      </c>
      <c r="B1137" t="s">
        <v>50</v>
      </c>
      <c r="C1137" s="2"/>
      <c r="D1137" s="2"/>
      <c r="E1137" s="2"/>
      <c r="F1137" s="2"/>
      <c r="G1137" s="2"/>
      <c r="H1137" s="2"/>
      <c r="I1137" s="2"/>
      <c r="J1137" s="2"/>
      <c r="K1137" s="2"/>
      <c r="L1137" s="3">
        <f t="shared" si="55"/>
        <v>3.9599130563009195E-3</v>
      </c>
      <c r="M1137" s="3">
        <f t="shared" si="55"/>
        <v>1.0718814081550605E-3</v>
      </c>
    </row>
    <row r="1138" spans="1:13" x14ac:dyDescent="0.35">
      <c r="A1138" t="s">
        <v>106</v>
      </c>
      <c r="B1138" t="s">
        <v>51</v>
      </c>
      <c r="C1138" s="2"/>
      <c r="D1138" s="2"/>
      <c r="E1138" s="2"/>
      <c r="F1138" s="2"/>
      <c r="G1138" s="2"/>
      <c r="H1138" s="2"/>
      <c r="I1138" s="2"/>
      <c r="J1138" s="2"/>
      <c r="K1138" s="2"/>
      <c r="L1138" s="3">
        <f t="shared" si="55"/>
        <v>3.6649598537092428E-3</v>
      </c>
      <c r="M1138" s="3">
        <f t="shared" si="55"/>
        <v>1.1280562052000931E-3</v>
      </c>
    </row>
    <row r="1139" spans="1:13" x14ac:dyDescent="0.35">
      <c r="A1139" t="s">
        <v>106</v>
      </c>
      <c r="B1139" t="s">
        <v>52</v>
      </c>
      <c r="C1139" s="2"/>
      <c r="D1139" s="2"/>
      <c r="E1139" s="2"/>
      <c r="F1139" s="2"/>
      <c r="G1139" s="2"/>
      <c r="H1139" s="2"/>
      <c r="I1139" s="2"/>
      <c r="J1139" s="2"/>
      <c r="K1139" s="2"/>
      <c r="L1139" s="3">
        <f t="shared" si="55"/>
        <v>4.8363213693272764E-3</v>
      </c>
      <c r="M1139" s="3">
        <f t="shared" si="55"/>
        <v>1.8175256824194195E-3</v>
      </c>
    </row>
    <row r="1140" spans="1:13" x14ac:dyDescent="0.35">
      <c r="A1140" t="s">
        <v>106</v>
      </c>
      <c r="B1140" t="s">
        <v>53</v>
      </c>
      <c r="C1140" s="2"/>
      <c r="D1140" s="2"/>
      <c r="E1140" s="2"/>
      <c r="F1140" s="2"/>
      <c r="G1140" s="2"/>
      <c r="H1140" s="2"/>
      <c r="I1140" s="2"/>
      <c r="J1140" s="2"/>
      <c r="K1140" s="2"/>
      <c r="L1140" s="3">
        <f t="shared" si="55"/>
        <v>4.0094312729796596E-3</v>
      </c>
      <c r="M1140" s="3">
        <f t="shared" si="55"/>
        <v>1.3310702298343555E-3</v>
      </c>
    </row>
    <row r="1141" spans="1:13" x14ac:dyDescent="0.35">
      <c r="A1141" t="s">
        <v>106</v>
      </c>
      <c r="B1141" t="s">
        <v>54</v>
      </c>
      <c r="C1141" s="2"/>
      <c r="D1141" s="2"/>
      <c r="E1141" s="2"/>
      <c r="F1141" s="2"/>
      <c r="G1141" s="2"/>
      <c r="H1141" s="2"/>
      <c r="I1141" s="2"/>
      <c r="J1141" s="2"/>
      <c r="K1141" s="2"/>
      <c r="L1141" s="3">
        <f t="shared" si="55"/>
        <v>3.6689448053811584E-3</v>
      </c>
      <c r="M1141" s="3">
        <f t="shared" si="55"/>
        <v>1.0505745909539126E-3</v>
      </c>
    </row>
    <row r="1142" spans="1:13" x14ac:dyDescent="0.35">
      <c r="A1142" t="s">
        <v>106</v>
      </c>
      <c r="B1142" t="s">
        <v>55</v>
      </c>
      <c r="C1142" s="2"/>
      <c r="D1142" s="2"/>
      <c r="E1142" s="2"/>
      <c r="F1142" s="2"/>
      <c r="G1142" s="2"/>
      <c r="H1142" s="2"/>
      <c r="I1142" s="2"/>
      <c r="J1142" s="2"/>
      <c r="K1142" s="2"/>
      <c r="L1142" s="3">
        <f t="shared" ref="L1142:M1161" si="56">L905</f>
        <v>4.0300095431918736E-3</v>
      </c>
      <c r="M1142" s="3">
        <f t="shared" si="56"/>
        <v>1.5452485498534728E-3</v>
      </c>
    </row>
    <row r="1143" spans="1:13" x14ac:dyDescent="0.35">
      <c r="A1143" t="s">
        <v>106</v>
      </c>
      <c r="B1143" t="s">
        <v>56</v>
      </c>
      <c r="C1143" s="2"/>
      <c r="D1143" s="2"/>
      <c r="E1143" s="2"/>
      <c r="F1143" s="2"/>
      <c r="G1143" s="2"/>
      <c r="H1143" s="2"/>
      <c r="I1143" s="2"/>
      <c r="J1143" s="2"/>
      <c r="K1143" s="2"/>
      <c r="L1143" s="3">
        <f t="shared" si="56"/>
        <v>3.9674044644606044E-3</v>
      </c>
      <c r="M1143" s="3">
        <f t="shared" si="56"/>
        <v>1.4459011306812326E-3</v>
      </c>
    </row>
    <row r="1144" spans="1:13" x14ac:dyDescent="0.35">
      <c r="A1144" t="s">
        <v>106</v>
      </c>
      <c r="B1144" t="s">
        <v>57</v>
      </c>
      <c r="C1144" s="2"/>
      <c r="D1144" s="2"/>
      <c r="E1144" s="2"/>
      <c r="F1144" s="2"/>
      <c r="G1144" s="2"/>
      <c r="H1144" s="2"/>
      <c r="I1144" s="2"/>
      <c r="J1144" s="2"/>
      <c r="K1144" s="2"/>
      <c r="L1144" s="3">
        <f t="shared" si="56"/>
        <v>4.5477326971527475E-3</v>
      </c>
      <c r="M1144" s="3">
        <f t="shared" si="56"/>
        <v>1.5977905772207625E-3</v>
      </c>
    </row>
    <row r="1145" spans="1:13" x14ac:dyDescent="0.35">
      <c r="A1145" t="s">
        <v>106</v>
      </c>
      <c r="B1145" t="s">
        <v>58</v>
      </c>
      <c r="C1145" s="2"/>
      <c r="D1145" s="2"/>
      <c r="E1145" s="2"/>
      <c r="F1145" s="2"/>
      <c r="G1145" s="2"/>
      <c r="H1145" s="2"/>
      <c r="I1145" s="2"/>
      <c r="J1145" s="2"/>
      <c r="K1145" s="2"/>
      <c r="L1145" s="3">
        <f t="shared" si="56"/>
        <v>4.7472897941552234E-3</v>
      </c>
      <c r="M1145" s="3">
        <f t="shared" si="56"/>
        <v>1.6482190340654751E-3</v>
      </c>
    </row>
    <row r="1146" spans="1:13" x14ac:dyDescent="0.35">
      <c r="A1146" t="s">
        <v>106</v>
      </c>
      <c r="B1146" t="s">
        <v>59</v>
      </c>
      <c r="C1146" s="2"/>
      <c r="D1146" s="2"/>
      <c r="E1146" s="2"/>
      <c r="F1146" s="2"/>
      <c r="G1146" s="2"/>
      <c r="H1146" s="2"/>
      <c r="I1146" s="2"/>
      <c r="J1146" s="2"/>
      <c r="K1146" s="2"/>
      <c r="L1146" s="3">
        <f t="shared" si="56"/>
        <v>4.2734280282094896E-3</v>
      </c>
      <c r="M1146" s="3">
        <f t="shared" si="56"/>
        <v>1.3180327674724537E-3</v>
      </c>
    </row>
    <row r="1147" spans="1:13" x14ac:dyDescent="0.35">
      <c r="A1147" t="s">
        <v>106</v>
      </c>
      <c r="B1147" t="s">
        <v>60</v>
      </c>
      <c r="C1147" s="2"/>
      <c r="D1147" s="2"/>
      <c r="E1147" s="2"/>
      <c r="F1147" s="2"/>
      <c r="G1147" s="2"/>
      <c r="H1147" s="2"/>
      <c r="I1147" s="2"/>
      <c r="J1147" s="2"/>
      <c r="K1147" s="2"/>
      <c r="L1147" s="3">
        <f t="shared" si="56"/>
        <v>4.4776577920887231E-3</v>
      </c>
      <c r="M1147" s="3">
        <f t="shared" si="56"/>
        <v>1.5027756393222911E-3</v>
      </c>
    </row>
    <row r="1148" spans="1:13" x14ac:dyDescent="0.35">
      <c r="A1148" t="s">
        <v>106</v>
      </c>
      <c r="B1148" t="s">
        <v>61</v>
      </c>
      <c r="C1148" s="2"/>
      <c r="D1148" s="2"/>
      <c r="E1148" s="2"/>
      <c r="F1148" s="2"/>
      <c r="G1148" s="2"/>
      <c r="H1148" s="2"/>
      <c r="I1148" s="2"/>
      <c r="J1148" s="2"/>
      <c r="K1148" s="2"/>
      <c r="L1148" s="3">
        <f t="shared" si="56"/>
        <v>5.3176965605781909E-3</v>
      </c>
      <c r="M1148" s="3">
        <f t="shared" si="56"/>
        <v>2.1407994092405803E-3</v>
      </c>
    </row>
    <row r="1149" spans="1:13" x14ac:dyDescent="0.35">
      <c r="A1149" t="s">
        <v>106</v>
      </c>
      <c r="B1149" t="s">
        <v>62</v>
      </c>
      <c r="C1149" s="2"/>
      <c r="D1149" s="2"/>
      <c r="E1149" s="2"/>
      <c r="F1149" s="2"/>
      <c r="G1149" s="2"/>
      <c r="H1149" s="2"/>
      <c r="I1149" s="2"/>
      <c r="J1149" s="2"/>
      <c r="K1149" s="2"/>
      <c r="L1149" s="3">
        <f t="shared" si="56"/>
        <v>3.9422603696950007E-3</v>
      </c>
      <c r="M1149" s="3">
        <f t="shared" si="56"/>
        <v>1.2351089985378956E-3</v>
      </c>
    </row>
    <row r="1150" spans="1:13" x14ac:dyDescent="0.35">
      <c r="A1150" t="s">
        <v>106</v>
      </c>
      <c r="B1150" t="s">
        <v>63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3">
        <f t="shared" si="56"/>
        <v>4.1435685921207893E-3</v>
      </c>
      <c r="M1150" s="3">
        <f t="shared" si="56"/>
        <v>1.2917349055971792E-3</v>
      </c>
    </row>
    <row r="1151" spans="1:13" x14ac:dyDescent="0.35">
      <c r="A1151" t="s">
        <v>106</v>
      </c>
      <c r="B1151" t="s">
        <v>64</v>
      </c>
      <c r="C1151" s="2"/>
      <c r="D1151" s="2"/>
      <c r="E1151" s="2"/>
      <c r="F1151" s="2"/>
      <c r="G1151" s="2"/>
      <c r="H1151" s="2"/>
      <c r="I1151" s="2"/>
      <c r="J1151" s="2"/>
      <c r="K1151" s="2"/>
      <c r="L1151" s="3">
        <f t="shared" si="56"/>
        <v>4.5428494476128598E-3</v>
      </c>
      <c r="M1151" s="3">
        <f t="shared" si="56"/>
        <v>1.7598687382143828E-3</v>
      </c>
    </row>
    <row r="1152" spans="1:13" x14ac:dyDescent="0.35">
      <c r="A1152" t="s">
        <v>106</v>
      </c>
      <c r="B1152" t="s">
        <v>65</v>
      </c>
      <c r="C1152" s="2"/>
      <c r="D1152" s="2"/>
      <c r="E1152" s="2"/>
      <c r="F1152" s="2"/>
      <c r="G1152" s="2"/>
      <c r="H1152" s="2"/>
      <c r="I1152" s="2"/>
      <c r="J1152" s="2"/>
      <c r="K1152" s="2"/>
      <c r="L1152" s="3">
        <f t="shared" si="56"/>
        <v>4.1511844351681901E-3</v>
      </c>
      <c r="M1152" s="3">
        <f t="shared" si="56"/>
        <v>1.5297346184500471E-3</v>
      </c>
    </row>
    <row r="1153" spans="1:13" x14ac:dyDescent="0.35">
      <c r="A1153" t="s">
        <v>106</v>
      </c>
      <c r="B1153" t="s">
        <v>66</v>
      </c>
      <c r="C1153" s="2"/>
      <c r="D1153" s="2"/>
      <c r="E1153" s="2"/>
      <c r="F1153" s="2"/>
      <c r="G1153" s="2"/>
      <c r="H1153" s="2"/>
      <c r="I1153" s="2"/>
      <c r="J1153" s="2"/>
      <c r="K1153" s="2"/>
      <c r="L1153" s="3">
        <f t="shared" si="56"/>
        <v>4.4051863843879834E-3</v>
      </c>
      <c r="M1153" s="3">
        <f t="shared" si="56"/>
        <v>1.6591679949947485E-3</v>
      </c>
    </row>
    <row r="1154" spans="1:13" x14ac:dyDescent="0.35">
      <c r="A1154" t="s">
        <v>106</v>
      </c>
      <c r="B1154" t="s">
        <v>67</v>
      </c>
      <c r="C1154" s="2"/>
      <c r="D1154" s="2"/>
      <c r="E1154" s="2"/>
      <c r="F1154" s="2"/>
      <c r="G1154" s="2"/>
      <c r="H1154" s="2"/>
      <c r="I1154" s="2"/>
      <c r="J1154" s="2"/>
      <c r="K1154" s="2"/>
      <c r="L1154" s="3">
        <f t="shared" si="56"/>
        <v>4.5307925927241871E-3</v>
      </c>
      <c r="M1154" s="3">
        <f t="shared" si="56"/>
        <v>1.7032271238435004E-3</v>
      </c>
    </row>
    <row r="1155" spans="1:13" x14ac:dyDescent="0.35">
      <c r="A1155" t="s">
        <v>106</v>
      </c>
      <c r="B1155" t="s">
        <v>68</v>
      </c>
      <c r="C1155" s="2"/>
      <c r="D1155" s="2"/>
      <c r="E1155" s="2"/>
      <c r="F1155" s="2"/>
      <c r="G1155" s="2"/>
      <c r="H1155" s="2"/>
      <c r="I1155" s="2"/>
      <c r="J1155" s="2"/>
      <c r="K1155" s="2"/>
      <c r="L1155" s="3">
        <f t="shared" si="56"/>
        <v>4.6981761325566177E-3</v>
      </c>
      <c r="M1155" s="3">
        <f t="shared" si="56"/>
        <v>1.499811353194736E-3</v>
      </c>
    </row>
    <row r="1156" spans="1:13" x14ac:dyDescent="0.35">
      <c r="A1156" t="s">
        <v>106</v>
      </c>
      <c r="B1156" t="s">
        <v>69</v>
      </c>
      <c r="C1156" s="2"/>
      <c r="D1156" s="2"/>
      <c r="E1156" s="2"/>
      <c r="F1156" s="2"/>
      <c r="G1156" s="2"/>
      <c r="H1156" s="2"/>
      <c r="I1156" s="2"/>
      <c r="J1156" s="2"/>
      <c r="K1156" s="2"/>
      <c r="L1156" s="3">
        <f t="shared" si="56"/>
        <v>5.1061326376465842E-3</v>
      </c>
      <c r="M1156" s="3">
        <f t="shared" si="56"/>
        <v>1.6714760230168298E-3</v>
      </c>
    </row>
    <row r="1157" spans="1:13" x14ac:dyDescent="0.35">
      <c r="A1157" t="s">
        <v>106</v>
      </c>
      <c r="B1157" t="s">
        <v>70</v>
      </c>
      <c r="C1157" s="2"/>
      <c r="D1157" s="2"/>
      <c r="E1157" s="2"/>
      <c r="F1157" s="2"/>
      <c r="G1157" s="2"/>
      <c r="H1157" s="2"/>
      <c r="I1157" s="2"/>
      <c r="J1157" s="2"/>
      <c r="K1157" s="2"/>
      <c r="L1157" s="3">
        <f t="shared" si="56"/>
        <v>5.3311638641315882E-3</v>
      </c>
      <c r="M1157" s="3">
        <f t="shared" si="56"/>
        <v>1.8109394736468437E-3</v>
      </c>
    </row>
    <row r="1158" spans="1:13" x14ac:dyDescent="0.35">
      <c r="A1158" t="s">
        <v>106</v>
      </c>
      <c r="B1158" t="s">
        <v>71</v>
      </c>
      <c r="C1158" s="2"/>
      <c r="D1158" s="2"/>
      <c r="E1158" s="2"/>
      <c r="F1158" s="2"/>
      <c r="G1158" s="2"/>
      <c r="H1158" s="2"/>
      <c r="I1158" s="2"/>
      <c r="J1158" s="2"/>
      <c r="K1158" s="2"/>
      <c r="L1158" s="3">
        <f t="shared" si="56"/>
        <v>4.5369216258444606E-3</v>
      </c>
      <c r="M1158" s="3">
        <f t="shared" si="56"/>
        <v>1.4287932182258719E-3</v>
      </c>
    </row>
    <row r="1159" spans="1:13" x14ac:dyDescent="0.35">
      <c r="A1159" t="s">
        <v>106</v>
      </c>
      <c r="B1159" t="s">
        <v>72</v>
      </c>
      <c r="C1159" s="2"/>
      <c r="D1159" s="2"/>
      <c r="E1159" s="2"/>
      <c r="F1159" s="2"/>
      <c r="G1159" s="2"/>
      <c r="H1159" s="2"/>
      <c r="I1159" s="2"/>
      <c r="J1159" s="2"/>
      <c r="K1159" s="2"/>
      <c r="L1159" s="3">
        <f t="shared" si="56"/>
        <v>5.7017354625863957E-3</v>
      </c>
      <c r="M1159" s="3">
        <f t="shared" si="56"/>
        <v>1.5700987411283356E-3</v>
      </c>
    </row>
    <row r="1160" spans="1:13" x14ac:dyDescent="0.35">
      <c r="A1160" t="s">
        <v>106</v>
      </c>
      <c r="B1160" t="s">
        <v>73</v>
      </c>
      <c r="C1160" s="2"/>
      <c r="D1160" s="2"/>
      <c r="E1160" s="2"/>
      <c r="F1160" s="2"/>
      <c r="G1160" s="2"/>
      <c r="H1160" s="2"/>
      <c r="I1160" s="2"/>
      <c r="J1160" s="2"/>
      <c r="K1160" s="2"/>
      <c r="L1160" s="3">
        <f t="shared" si="56"/>
        <v>5.4362182301445315E-3</v>
      </c>
      <c r="M1160" s="3">
        <f t="shared" si="56"/>
        <v>2.2636524740445229E-3</v>
      </c>
    </row>
    <row r="1161" spans="1:13" x14ac:dyDescent="0.35">
      <c r="A1161" t="s">
        <v>106</v>
      </c>
      <c r="B1161" t="s">
        <v>74</v>
      </c>
      <c r="C1161" s="2"/>
      <c r="D1161" s="2"/>
      <c r="E1161" s="2"/>
      <c r="F1161" s="2"/>
      <c r="G1161" s="2"/>
      <c r="H1161" s="2"/>
      <c r="I1161" s="2"/>
      <c r="J1161" s="2"/>
      <c r="K1161" s="2"/>
      <c r="L1161" s="3">
        <f t="shared" si="56"/>
        <v>5.1346459584533551E-3</v>
      </c>
      <c r="M1161" s="3">
        <f t="shared" si="56"/>
        <v>1.2860871917720301E-3</v>
      </c>
    </row>
    <row r="1162" spans="1:13" x14ac:dyDescent="0.35">
      <c r="A1162" t="s">
        <v>106</v>
      </c>
      <c r="B1162" t="s">
        <v>75</v>
      </c>
      <c r="C1162" s="2"/>
      <c r="D1162" s="2"/>
      <c r="E1162" s="2"/>
      <c r="F1162" s="2"/>
      <c r="G1162" s="2"/>
      <c r="H1162" s="2"/>
      <c r="I1162" s="2"/>
      <c r="J1162" s="2"/>
      <c r="K1162" s="2"/>
      <c r="L1162" s="3">
        <f t="shared" ref="L1162:M1181" si="57">L925</f>
        <v>5.9517765096080751E-3</v>
      </c>
      <c r="M1162" s="3">
        <f t="shared" si="57"/>
        <v>1.8838392448194592E-3</v>
      </c>
    </row>
    <row r="1163" spans="1:13" x14ac:dyDescent="0.35">
      <c r="A1163" t="s">
        <v>106</v>
      </c>
      <c r="B1163" t="s">
        <v>76</v>
      </c>
      <c r="C1163" s="2"/>
      <c r="D1163" s="2"/>
      <c r="E1163" s="2"/>
      <c r="F1163" s="2"/>
      <c r="G1163" s="2"/>
      <c r="H1163" s="2"/>
      <c r="I1163" s="2"/>
      <c r="J1163" s="2"/>
      <c r="K1163" s="2"/>
      <c r="L1163" s="3">
        <f t="shared" si="57"/>
        <v>5.1349788998156249E-3</v>
      </c>
      <c r="M1163" s="3">
        <f t="shared" si="57"/>
        <v>1.6049397045735092E-3</v>
      </c>
    </row>
    <row r="1164" spans="1:13" x14ac:dyDescent="0.35">
      <c r="A1164" t="s">
        <v>106</v>
      </c>
      <c r="B1164" t="s">
        <v>77</v>
      </c>
      <c r="C1164" s="2"/>
      <c r="D1164" s="2"/>
      <c r="E1164" s="2"/>
      <c r="F1164" s="2"/>
      <c r="G1164" s="2"/>
      <c r="H1164" s="2"/>
      <c r="I1164" s="2"/>
      <c r="J1164" s="2"/>
      <c r="K1164" s="2"/>
      <c r="L1164" s="3">
        <f t="shared" si="57"/>
        <v>5.2316624361637924E-3</v>
      </c>
      <c r="M1164" s="3">
        <f t="shared" si="57"/>
        <v>1.5886423337490539E-3</v>
      </c>
    </row>
    <row r="1165" spans="1:13" x14ac:dyDescent="0.35">
      <c r="A1165" t="s">
        <v>106</v>
      </c>
      <c r="B1165" t="s">
        <v>78</v>
      </c>
      <c r="C1165" s="2"/>
      <c r="D1165" s="2"/>
      <c r="E1165" s="2"/>
      <c r="F1165" s="2"/>
      <c r="G1165" s="2"/>
      <c r="H1165" s="2"/>
      <c r="I1165" s="2"/>
      <c r="J1165" s="2"/>
      <c r="K1165" s="2"/>
      <c r="L1165" s="3">
        <f t="shared" si="57"/>
        <v>5.6341954505637641E-3</v>
      </c>
      <c r="M1165" s="3">
        <f t="shared" si="57"/>
        <v>1.5567906002693325E-3</v>
      </c>
    </row>
    <row r="1166" spans="1:13" x14ac:dyDescent="0.35">
      <c r="A1166" t="s">
        <v>106</v>
      </c>
      <c r="B1166" t="s">
        <v>79</v>
      </c>
      <c r="C1166" s="2"/>
      <c r="D1166" s="2"/>
      <c r="E1166" s="2"/>
      <c r="F1166" s="2"/>
      <c r="G1166" s="2"/>
      <c r="H1166" s="2"/>
      <c r="I1166" s="2"/>
      <c r="J1166" s="2"/>
      <c r="K1166" s="2"/>
      <c r="L1166" s="3">
        <f t="shared" si="57"/>
        <v>5.4005173475836898E-3</v>
      </c>
      <c r="M1166" s="3">
        <f t="shared" si="57"/>
        <v>1.4510155199684174E-3</v>
      </c>
    </row>
    <row r="1167" spans="1:13" x14ac:dyDescent="0.35">
      <c r="A1167" t="s">
        <v>106</v>
      </c>
      <c r="B1167" t="s">
        <v>80</v>
      </c>
      <c r="C1167" s="2"/>
      <c r="D1167" s="2"/>
      <c r="E1167" s="2"/>
      <c r="F1167" s="2"/>
      <c r="G1167" s="2"/>
      <c r="H1167" s="2"/>
      <c r="I1167" s="2"/>
      <c r="J1167" s="2"/>
      <c r="K1167" s="2"/>
      <c r="L1167" s="3">
        <f t="shared" si="57"/>
        <v>4.8583706777454985E-3</v>
      </c>
      <c r="M1167" s="3">
        <f t="shared" si="57"/>
        <v>1.3710687903456915E-3</v>
      </c>
    </row>
    <row r="1168" spans="1:13" x14ac:dyDescent="0.35">
      <c r="A1168" t="s">
        <v>106</v>
      </c>
      <c r="B1168" t="s">
        <v>81</v>
      </c>
      <c r="C1168" s="2"/>
      <c r="D1168" s="2"/>
      <c r="E1168" s="2"/>
      <c r="F1168" s="2"/>
      <c r="G1168" s="2"/>
      <c r="H1168" s="2"/>
      <c r="I1168" s="2"/>
      <c r="J1168" s="2"/>
      <c r="K1168" s="2"/>
      <c r="L1168" s="3">
        <f t="shared" si="57"/>
        <v>5.7021761180348308E-3</v>
      </c>
      <c r="M1168" s="3">
        <f t="shared" si="57"/>
        <v>1.7570676355326866E-3</v>
      </c>
    </row>
    <row r="1169" spans="1:13" x14ac:dyDescent="0.35">
      <c r="A1169" t="s">
        <v>106</v>
      </c>
      <c r="B1169" t="s">
        <v>82</v>
      </c>
      <c r="C1169" s="2"/>
      <c r="D1169" s="2"/>
      <c r="E1169" s="2"/>
      <c r="F1169" s="2"/>
      <c r="G1169" s="2"/>
      <c r="H1169" s="2"/>
      <c r="I1169" s="2"/>
      <c r="J1169" s="2"/>
      <c r="K1169" s="2"/>
      <c r="L1169" s="3">
        <f t="shared" si="57"/>
        <v>5.5273659513665994E-3</v>
      </c>
      <c r="M1169" s="3">
        <f t="shared" si="57"/>
        <v>1.2393677294170258E-3</v>
      </c>
    </row>
    <row r="1170" spans="1:13" x14ac:dyDescent="0.35">
      <c r="A1170" t="s">
        <v>106</v>
      </c>
      <c r="B1170" t="s">
        <v>83</v>
      </c>
      <c r="C1170" s="2"/>
      <c r="D1170" s="2"/>
      <c r="E1170" s="2"/>
      <c r="F1170" s="2"/>
      <c r="G1170" s="2"/>
      <c r="H1170" s="2"/>
      <c r="I1170" s="2"/>
      <c r="J1170" s="2"/>
      <c r="K1170" s="2"/>
      <c r="L1170" s="3">
        <f t="shared" si="57"/>
        <v>5.4087090675539731E-3</v>
      </c>
      <c r="M1170" s="3">
        <f t="shared" si="57"/>
        <v>1.5740224894945361E-3</v>
      </c>
    </row>
    <row r="1171" spans="1:13" x14ac:dyDescent="0.35">
      <c r="A1171" t="s">
        <v>106</v>
      </c>
      <c r="B1171" t="s">
        <v>84</v>
      </c>
      <c r="C1171" s="2"/>
      <c r="D1171" s="2"/>
      <c r="E1171" s="2"/>
      <c r="F1171" s="2"/>
      <c r="G1171" s="2"/>
      <c r="H1171" s="2"/>
      <c r="I1171" s="2"/>
      <c r="J1171" s="2"/>
      <c r="K1171" s="2"/>
      <c r="L1171" s="3">
        <f t="shared" si="57"/>
        <v>5.8554639701100045E-3</v>
      </c>
      <c r="M1171" s="3">
        <f t="shared" si="57"/>
        <v>1.8388803411655379E-3</v>
      </c>
    </row>
    <row r="1172" spans="1:13" x14ac:dyDescent="0.35">
      <c r="A1172" t="s">
        <v>106</v>
      </c>
      <c r="B1172" t="s">
        <v>85</v>
      </c>
      <c r="C1172" s="2"/>
      <c r="D1172" s="2"/>
      <c r="E1172" s="2"/>
      <c r="F1172" s="2"/>
      <c r="G1172" s="2"/>
      <c r="H1172" s="2"/>
      <c r="I1172" s="2"/>
      <c r="J1172" s="2"/>
      <c r="K1172" s="2"/>
      <c r="L1172" s="3">
        <f t="shared" si="57"/>
        <v>6.8060261928487506E-3</v>
      </c>
      <c r="M1172" s="3">
        <f t="shared" si="57"/>
        <v>1.8145863422043525E-3</v>
      </c>
    </row>
    <row r="1173" spans="1:13" x14ac:dyDescent="0.35">
      <c r="A1173" t="s">
        <v>106</v>
      </c>
      <c r="B1173" t="s">
        <v>86</v>
      </c>
      <c r="C1173" s="2"/>
      <c r="D1173" s="2"/>
      <c r="E1173" s="2"/>
      <c r="F1173" s="2"/>
      <c r="G1173" s="2"/>
      <c r="H1173" s="2"/>
      <c r="I1173" s="2"/>
      <c r="J1173" s="2"/>
      <c r="K1173" s="2"/>
      <c r="L1173" s="3">
        <f t="shared" si="57"/>
        <v>8.1745376369006181E-3</v>
      </c>
      <c r="M1173" s="3">
        <f t="shared" si="57"/>
        <v>1.2800296023672986E-3</v>
      </c>
    </row>
    <row r="1174" spans="1:13" x14ac:dyDescent="0.35">
      <c r="A1174" t="s">
        <v>106</v>
      </c>
      <c r="B1174" t="s">
        <v>87</v>
      </c>
      <c r="C1174" s="2"/>
      <c r="D1174" s="2"/>
      <c r="E1174" s="2"/>
      <c r="F1174" s="2"/>
      <c r="G1174" s="2"/>
      <c r="H1174" s="2"/>
      <c r="I1174" s="2"/>
      <c r="J1174" s="2"/>
      <c r="K1174" s="2"/>
      <c r="L1174" s="3">
        <f t="shared" si="57"/>
        <v>6.2840932640285075E-3</v>
      </c>
      <c r="M1174" s="3">
        <f t="shared" si="57"/>
        <v>1.2583016913698666E-3</v>
      </c>
    </row>
    <row r="1175" spans="1:13" x14ac:dyDescent="0.35">
      <c r="A1175" t="s">
        <v>106</v>
      </c>
      <c r="B1175" t="s">
        <v>88</v>
      </c>
      <c r="C1175" s="2"/>
      <c r="D1175" s="2"/>
      <c r="E1175" s="2"/>
      <c r="F1175" s="2"/>
      <c r="G1175" s="2"/>
      <c r="H1175" s="2"/>
      <c r="I1175" s="2"/>
      <c r="J1175" s="2"/>
      <c r="K1175" s="2"/>
      <c r="L1175" s="3">
        <f t="shared" si="57"/>
        <v>7.5052932009846661E-3</v>
      </c>
      <c r="M1175" s="3">
        <f t="shared" si="57"/>
        <v>1.4325386167606698E-3</v>
      </c>
    </row>
    <row r="1176" spans="1:13" x14ac:dyDescent="0.35">
      <c r="A1176" t="s">
        <v>106</v>
      </c>
      <c r="B1176" t="s">
        <v>89</v>
      </c>
      <c r="C1176" s="2"/>
      <c r="D1176" s="2"/>
      <c r="E1176" s="2"/>
      <c r="F1176" s="2"/>
      <c r="G1176" s="2"/>
      <c r="H1176" s="2"/>
      <c r="I1176" s="2"/>
      <c r="J1176" s="2"/>
      <c r="K1176" s="2"/>
      <c r="L1176" s="3">
        <f t="shared" si="57"/>
        <v>8.7227932532009302E-3</v>
      </c>
      <c r="M1176" s="3">
        <f t="shared" si="57"/>
        <v>1.1888045691797898E-3</v>
      </c>
    </row>
    <row r="1177" spans="1:13" x14ac:dyDescent="0.35">
      <c r="A1177" t="s">
        <v>106</v>
      </c>
      <c r="B1177" t="s">
        <v>90</v>
      </c>
      <c r="C1177" s="2"/>
      <c r="D1177" s="2"/>
      <c r="E1177" s="2"/>
      <c r="F1177" s="2"/>
      <c r="G1177" s="2"/>
      <c r="H1177" s="2"/>
      <c r="I1177" s="2"/>
      <c r="J1177" s="2"/>
      <c r="K1177" s="2"/>
      <c r="L1177" s="3">
        <f t="shared" si="57"/>
        <v>8.390133692525668E-3</v>
      </c>
      <c r="M1177" s="3">
        <f t="shared" si="57"/>
        <v>1.2655953201968022E-3</v>
      </c>
    </row>
    <row r="1178" spans="1:13" x14ac:dyDescent="0.35">
      <c r="A1178" t="s">
        <v>106</v>
      </c>
      <c r="B1178" t="s">
        <v>91</v>
      </c>
      <c r="C1178" s="2"/>
      <c r="D1178" s="2"/>
      <c r="E1178" s="2"/>
      <c r="F1178" s="2"/>
      <c r="G1178" s="2"/>
      <c r="H1178" s="2"/>
      <c r="I1178" s="2"/>
      <c r="J1178" s="2"/>
      <c r="K1178" s="2"/>
      <c r="L1178" s="3">
        <f t="shared" si="57"/>
        <v>7.292956695336558E-3</v>
      </c>
      <c r="M1178" s="3">
        <f t="shared" si="57"/>
        <v>1.5275317791652542E-3</v>
      </c>
    </row>
    <row r="1179" spans="1:13" x14ac:dyDescent="0.35">
      <c r="A1179" t="s">
        <v>106</v>
      </c>
      <c r="B1179" t="s">
        <v>95</v>
      </c>
      <c r="C1179" s="2"/>
      <c r="D1179" s="2"/>
      <c r="E1179" s="2"/>
      <c r="F1179" s="2"/>
      <c r="G1179" s="2"/>
      <c r="H1179" s="2"/>
      <c r="I1179" s="2"/>
      <c r="J1179" s="2"/>
      <c r="K1179" s="2"/>
      <c r="L1179" s="3">
        <f t="shared" si="57"/>
        <v>1.9930675056461393E-2</v>
      </c>
      <c r="M1179" s="3">
        <f t="shared" si="57"/>
        <v>2.687306235747699E-4</v>
      </c>
    </row>
    <row r="1180" spans="1:13" x14ac:dyDescent="0.35">
      <c r="A1180" t="s">
        <v>107</v>
      </c>
      <c r="B1180" t="s">
        <v>14</v>
      </c>
      <c r="C1180" s="2"/>
      <c r="D1180" s="2"/>
      <c r="E1180" s="2"/>
      <c r="F1180" s="2"/>
      <c r="G1180" s="2"/>
      <c r="H1180" s="2"/>
      <c r="I1180" s="2"/>
      <c r="J1180" s="2"/>
      <c r="K1180" s="2"/>
      <c r="L1180" s="3" t="e">
        <f>NA()</f>
        <v>#N/A</v>
      </c>
      <c r="M1180" s="3" t="e">
        <f>NA()</f>
        <v>#N/A</v>
      </c>
    </row>
    <row r="1181" spans="1:13" x14ac:dyDescent="0.35">
      <c r="A1181" t="s">
        <v>107</v>
      </c>
      <c r="B1181" t="s">
        <v>15</v>
      </c>
      <c r="C1181" s="2"/>
      <c r="D1181" s="2"/>
      <c r="E1181" s="2"/>
      <c r="F1181" s="2"/>
      <c r="G1181" s="2"/>
      <c r="H1181" s="2"/>
      <c r="I1181" s="2"/>
      <c r="J1181" s="2"/>
      <c r="K1181" s="2"/>
      <c r="L1181" s="3" t="e">
        <f>NA()</f>
        <v>#N/A</v>
      </c>
      <c r="M1181" s="3" t="e">
        <f>NA()</f>
        <v>#N/A</v>
      </c>
    </row>
    <row r="1182" spans="1:13" x14ac:dyDescent="0.35">
      <c r="A1182" t="s">
        <v>107</v>
      </c>
      <c r="B1182" t="s">
        <v>16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3" t="e">
        <f>NA()</f>
        <v>#N/A</v>
      </c>
      <c r="M1182" s="3" t="e">
        <f>NA()</f>
        <v>#N/A</v>
      </c>
    </row>
    <row r="1183" spans="1:13" x14ac:dyDescent="0.35">
      <c r="A1183" t="s">
        <v>107</v>
      </c>
      <c r="B1183" t="s">
        <v>17</v>
      </c>
      <c r="C1183" s="2"/>
      <c r="D1183" s="2"/>
      <c r="E1183" s="2"/>
      <c r="F1183" s="2"/>
      <c r="G1183" s="2"/>
      <c r="H1183" s="2"/>
      <c r="I1183" s="2"/>
      <c r="J1183" s="2"/>
      <c r="K1183" s="2"/>
      <c r="L1183" s="3" t="e">
        <f>NA()</f>
        <v>#N/A</v>
      </c>
      <c r="M1183" s="3" t="e">
        <f>NA()</f>
        <v>#N/A</v>
      </c>
    </row>
    <row r="1184" spans="1:13" x14ac:dyDescent="0.35">
      <c r="A1184" t="s">
        <v>107</v>
      </c>
      <c r="B1184" t="s">
        <v>18</v>
      </c>
      <c r="C1184" s="2"/>
      <c r="D1184" s="2"/>
      <c r="E1184" s="2"/>
      <c r="F1184" s="2"/>
      <c r="G1184" s="2"/>
      <c r="H1184" s="2"/>
      <c r="I1184" s="2"/>
      <c r="J1184" s="2"/>
      <c r="K1184" s="2"/>
      <c r="L1184" s="3" t="e">
        <f>NA()</f>
        <v>#N/A</v>
      </c>
      <c r="M1184" s="3" t="e">
        <f>NA()</f>
        <v>#N/A</v>
      </c>
    </row>
    <row r="1185" spans="1:13" x14ac:dyDescent="0.35">
      <c r="A1185" t="s">
        <v>107</v>
      </c>
      <c r="B1185" t="s">
        <v>19</v>
      </c>
      <c r="C1185" s="2"/>
      <c r="D1185" s="2"/>
      <c r="E1185" s="2"/>
      <c r="F1185" s="2"/>
      <c r="G1185" s="2"/>
      <c r="H1185" s="2"/>
      <c r="I1185" s="2"/>
      <c r="J1185" s="2"/>
      <c r="K1185" s="2"/>
      <c r="L1185" s="3">
        <f t="shared" ref="L1185:M1204" si="58">IF(COUNT(L628,L629,L630,L631,L632,L633)=6,AVERAGE(L628,L629,L630,L631,L632,L633),NA())</f>
        <v>4.0057770267456445E-2</v>
      </c>
      <c r="M1185" s="3">
        <f t="shared" si="58"/>
        <v>2.1409897260937182E-2</v>
      </c>
    </row>
    <row r="1186" spans="1:13" x14ac:dyDescent="0.35">
      <c r="A1186" t="s">
        <v>107</v>
      </c>
      <c r="B1186" t="s">
        <v>20</v>
      </c>
      <c r="C1186" s="2"/>
      <c r="D1186" s="2"/>
      <c r="E1186" s="2"/>
      <c r="F1186" s="2"/>
      <c r="G1186" s="2"/>
      <c r="H1186" s="2"/>
      <c r="I1186" s="2"/>
      <c r="J1186" s="2"/>
      <c r="K1186" s="2"/>
      <c r="L1186" s="3">
        <f t="shared" si="58"/>
        <v>4.0513901523564246E-2</v>
      </c>
      <c r="M1186" s="3">
        <f t="shared" si="58"/>
        <v>2.1877720213549182E-2</v>
      </c>
    </row>
    <row r="1187" spans="1:13" x14ac:dyDescent="0.35">
      <c r="A1187" t="s">
        <v>107</v>
      </c>
      <c r="B1187" t="s">
        <v>21</v>
      </c>
      <c r="C1187" s="2"/>
      <c r="D1187" s="2"/>
      <c r="E1187" s="2"/>
      <c r="F1187" s="2"/>
      <c r="G1187" s="2"/>
      <c r="H1187" s="2"/>
      <c r="I1187" s="2"/>
      <c r="J1187" s="2"/>
      <c r="K1187" s="2"/>
      <c r="L1187" s="3">
        <f t="shared" si="58"/>
        <v>4.0709633082036172E-2</v>
      </c>
      <c r="M1187" s="3">
        <f t="shared" si="58"/>
        <v>2.1844545806414973E-2</v>
      </c>
    </row>
    <row r="1188" spans="1:13" x14ac:dyDescent="0.35">
      <c r="A1188" t="s">
        <v>107</v>
      </c>
      <c r="B1188" t="s">
        <v>22</v>
      </c>
      <c r="C1188" s="2"/>
      <c r="D1188" s="2"/>
      <c r="E1188" s="2"/>
      <c r="F1188" s="2"/>
      <c r="G1188" s="2"/>
      <c r="H1188" s="2"/>
      <c r="I1188" s="2"/>
      <c r="J1188" s="2"/>
      <c r="K1188" s="2"/>
      <c r="L1188" s="3">
        <f t="shared" si="58"/>
        <v>4.2135309273904215E-2</v>
      </c>
      <c r="M1188" s="3">
        <f t="shared" si="58"/>
        <v>2.3203400413944999E-2</v>
      </c>
    </row>
    <row r="1189" spans="1:13" x14ac:dyDescent="0.35">
      <c r="A1189" t="s">
        <v>107</v>
      </c>
      <c r="B1189" t="s">
        <v>23</v>
      </c>
      <c r="C1189" s="2"/>
      <c r="D1189" s="2"/>
      <c r="E1189" s="2"/>
      <c r="F1189" s="2"/>
      <c r="G1189" s="2"/>
      <c r="H1189" s="2"/>
      <c r="I1189" s="2"/>
      <c r="J1189" s="2"/>
      <c r="K1189" s="2"/>
      <c r="L1189" s="3">
        <f t="shared" si="58"/>
        <v>4.1607438560066254E-2</v>
      </c>
      <c r="M1189" s="3">
        <f t="shared" si="58"/>
        <v>2.2767921166008124E-2</v>
      </c>
    </row>
    <row r="1190" spans="1:13" x14ac:dyDescent="0.35">
      <c r="A1190" t="s">
        <v>107</v>
      </c>
      <c r="B1190" t="s">
        <v>24</v>
      </c>
      <c r="C1190" s="2"/>
      <c r="D1190" s="2"/>
      <c r="E1190" s="2"/>
      <c r="F1190" s="2"/>
      <c r="G1190" s="2"/>
      <c r="H1190" s="2"/>
      <c r="I1190" s="2"/>
      <c r="J1190" s="2"/>
      <c r="K1190" s="2"/>
      <c r="L1190" s="3">
        <f t="shared" si="58"/>
        <v>4.0679757089258757E-2</v>
      </c>
      <c r="M1190" s="3">
        <f t="shared" si="58"/>
        <v>2.1969630550466777E-2</v>
      </c>
    </row>
    <row r="1191" spans="1:13" x14ac:dyDescent="0.35">
      <c r="A1191" t="s">
        <v>107</v>
      </c>
      <c r="B1191" t="s">
        <v>25</v>
      </c>
      <c r="C1191" s="2"/>
      <c r="D1191" s="2"/>
      <c r="E1191" s="2"/>
      <c r="F1191" s="2"/>
      <c r="G1191" s="2"/>
      <c r="H1191" s="2"/>
      <c r="I1191" s="2"/>
      <c r="J1191" s="2"/>
      <c r="K1191" s="2"/>
      <c r="L1191" s="3">
        <f t="shared" si="58"/>
        <v>4.1889249755787041E-2</v>
      </c>
      <c r="M1191" s="3">
        <f t="shared" si="58"/>
        <v>2.3322566358996419E-2</v>
      </c>
    </row>
    <row r="1192" spans="1:13" x14ac:dyDescent="0.35">
      <c r="A1192" t="s">
        <v>107</v>
      </c>
      <c r="B1192" t="s">
        <v>26</v>
      </c>
      <c r="C1192" s="2"/>
      <c r="D1192" s="2"/>
      <c r="E1192" s="2"/>
      <c r="F1192" s="2"/>
      <c r="G1192" s="2"/>
      <c r="H1192" s="2"/>
      <c r="I1192" s="2"/>
      <c r="J1192" s="2"/>
      <c r="K1192" s="2"/>
      <c r="L1192" s="3">
        <f t="shared" si="58"/>
        <v>4.2704369141898645E-2</v>
      </c>
      <c r="M1192" s="3">
        <f t="shared" si="58"/>
        <v>2.4239194801289346E-2</v>
      </c>
    </row>
    <row r="1193" spans="1:13" x14ac:dyDescent="0.35">
      <c r="A1193" t="s">
        <v>107</v>
      </c>
      <c r="B1193" t="s">
        <v>27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3">
        <f t="shared" si="58"/>
        <v>4.3308336510446153E-2</v>
      </c>
      <c r="M1193" s="3">
        <f t="shared" si="58"/>
        <v>2.5134423095640235E-2</v>
      </c>
    </row>
    <row r="1194" spans="1:13" x14ac:dyDescent="0.35">
      <c r="A1194" t="s">
        <v>107</v>
      </c>
      <c r="B1194" t="s">
        <v>28</v>
      </c>
      <c r="C1194" s="2"/>
      <c r="D1194" s="2"/>
      <c r="E1194" s="2"/>
      <c r="F1194" s="2"/>
      <c r="G1194" s="2"/>
      <c r="H1194" s="2"/>
      <c r="I1194" s="2"/>
      <c r="J1194" s="2"/>
      <c r="K1194" s="2"/>
      <c r="L1194" s="3">
        <f t="shared" si="58"/>
        <v>4.2757819965469714E-2</v>
      </c>
      <c r="M1194" s="3">
        <f t="shared" si="58"/>
        <v>2.4701595089623527E-2</v>
      </c>
    </row>
    <row r="1195" spans="1:13" x14ac:dyDescent="0.35">
      <c r="A1195" t="s">
        <v>107</v>
      </c>
      <c r="B1195" t="s">
        <v>29</v>
      </c>
      <c r="C1195" s="2"/>
      <c r="D1195" s="2"/>
      <c r="E1195" s="2"/>
      <c r="F1195" s="2"/>
      <c r="G1195" s="2"/>
      <c r="H1195" s="2"/>
      <c r="I1195" s="2"/>
      <c r="J1195" s="2"/>
      <c r="K1195" s="2"/>
      <c r="L1195" s="3">
        <f t="shared" si="58"/>
        <v>4.2970675527607249E-2</v>
      </c>
      <c r="M1195" s="3">
        <f t="shared" si="58"/>
        <v>2.5522427123406622E-2</v>
      </c>
    </row>
    <row r="1196" spans="1:13" x14ac:dyDescent="0.35">
      <c r="A1196" t="s">
        <v>107</v>
      </c>
      <c r="B1196" t="s">
        <v>30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3">
        <f t="shared" si="58"/>
        <v>4.16724596086804E-2</v>
      </c>
      <c r="M1196" s="3">
        <f t="shared" si="58"/>
        <v>2.4499196802492018E-2</v>
      </c>
    </row>
    <row r="1197" spans="1:13" x14ac:dyDescent="0.35">
      <c r="A1197" t="s">
        <v>107</v>
      </c>
      <c r="B1197" t="s">
        <v>31</v>
      </c>
      <c r="C1197" s="2"/>
      <c r="D1197" s="2"/>
      <c r="E1197" s="2"/>
      <c r="F1197" s="2"/>
      <c r="G1197" s="2"/>
      <c r="H1197" s="2"/>
      <c r="I1197" s="2"/>
      <c r="J1197" s="2"/>
      <c r="K1197" s="2"/>
      <c r="L1197" s="3">
        <f t="shared" si="58"/>
        <v>3.9651917177374991E-2</v>
      </c>
      <c r="M1197" s="3">
        <f t="shared" si="58"/>
        <v>2.318049444090273E-2</v>
      </c>
    </row>
    <row r="1198" spans="1:13" x14ac:dyDescent="0.35">
      <c r="A1198" t="s">
        <v>107</v>
      </c>
      <c r="B1198" t="s">
        <v>32</v>
      </c>
      <c r="C1198" s="2"/>
      <c r="D1198" s="2"/>
      <c r="E1198" s="2"/>
      <c r="F1198" s="2"/>
      <c r="G1198" s="2"/>
      <c r="H1198" s="2"/>
      <c r="I1198" s="2"/>
      <c r="J1198" s="2"/>
      <c r="K1198" s="2"/>
      <c r="L1198" s="3">
        <f t="shared" si="58"/>
        <v>3.9076020460259542E-2</v>
      </c>
      <c r="M1198" s="3">
        <f t="shared" si="58"/>
        <v>2.3515665837177051E-2</v>
      </c>
    </row>
    <row r="1199" spans="1:13" x14ac:dyDescent="0.35">
      <c r="A1199" t="s">
        <v>107</v>
      </c>
      <c r="B1199" t="s">
        <v>33</v>
      </c>
      <c r="C1199" s="2"/>
      <c r="D1199" s="2"/>
      <c r="E1199" s="2"/>
      <c r="F1199" s="2"/>
      <c r="G1199" s="2"/>
      <c r="H1199" s="2"/>
      <c r="I1199" s="2"/>
      <c r="J1199" s="2"/>
      <c r="K1199" s="2"/>
      <c r="L1199" s="3">
        <f t="shared" si="58"/>
        <v>3.9385224718915798E-2</v>
      </c>
      <c r="M1199" s="3">
        <f t="shared" si="58"/>
        <v>2.3917874861151253E-2</v>
      </c>
    </row>
    <row r="1200" spans="1:13" x14ac:dyDescent="0.35">
      <c r="A1200" t="s">
        <v>107</v>
      </c>
      <c r="B1200" t="s">
        <v>34</v>
      </c>
      <c r="C1200" s="2"/>
      <c r="D1200" s="2"/>
      <c r="E1200" s="2"/>
      <c r="F1200" s="2"/>
      <c r="G1200" s="2"/>
      <c r="H1200" s="2"/>
      <c r="I1200" s="2"/>
      <c r="J1200" s="2"/>
      <c r="K1200" s="2"/>
      <c r="L1200" s="3">
        <f t="shared" si="58"/>
        <v>3.9507319289500305E-2</v>
      </c>
      <c r="M1200" s="3">
        <f t="shared" si="58"/>
        <v>2.4169672333447852E-2</v>
      </c>
    </row>
    <row r="1201" spans="1:13" x14ac:dyDescent="0.35">
      <c r="A1201" t="s">
        <v>107</v>
      </c>
      <c r="B1201" t="s">
        <v>35</v>
      </c>
      <c r="C1201" s="2"/>
      <c r="D1201" s="2"/>
      <c r="E1201" s="2"/>
      <c r="F1201" s="2"/>
      <c r="G1201" s="2"/>
      <c r="H1201" s="2"/>
      <c r="I1201" s="2"/>
      <c r="J1201" s="2"/>
      <c r="K1201" s="2"/>
      <c r="L1201" s="3">
        <f t="shared" si="58"/>
        <v>3.8671267847187864E-2</v>
      </c>
      <c r="M1201" s="3">
        <f t="shared" si="58"/>
        <v>2.3389330872883071E-2</v>
      </c>
    </row>
    <row r="1202" spans="1:13" x14ac:dyDescent="0.35">
      <c r="A1202" t="s">
        <v>107</v>
      </c>
      <c r="B1202" t="s">
        <v>36</v>
      </c>
      <c r="C1202" s="2"/>
      <c r="D1202" s="2"/>
      <c r="E1202" s="2"/>
      <c r="F1202" s="2"/>
      <c r="G1202" s="2"/>
      <c r="H1202" s="2"/>
      <c r="I1202" s="2"/>
      <c r="J1202" s="2"/>
      <c r="K1202" s="2"/>
      <c r="L1202" s="3">
        <f t="shared" si="58"/>
        <v>3.9383028384592927E-2</v>
      </c>
      <c r="M1202" s="3">
        <f t="shared" si="58"/>
        <v>2.4193593876857978E-2</v>
      </c>
    </row>
    <row r="1203" spans="1:13" x14ac:dyDescent="0.35">
      <c r="A1203" t="s">
        <v>107</v>
      </c>
      <c r="B1203" t="s">
        <v>37</v>
      </c>
      <c r="C1203" s="2"/>
      <c r="D1203" s="2"/>
      <c r="E1203" s="2"/>
      <c r="F1203" s="2"/>
      <c r="G1203" s="2"/>
      <c r="H1203" s="2"/>
      <c r="I1203" s="2"/>
      <c r="J1203" s="2"/>
      <c r="K1203" s="2"/>
      <c r="L1203" s="3">
        <f t="shared" si="58"/>
        <v>3.9748975431545923E-2</v>
      </c>
      <c r="M1203" s="3">
        <f t="shared" si="58"/>
        <v>2.4363493483306044E-2</v>
      </c>
    </row>
    <row r="1204" spans="1:13" x14ac:dyDescent="0.35">
      <c r="A1204" t="s">
        <v>107</v>
      </c>
      <c r="B1204" t="s">
        <v>38</v>
      </c>
      <c r="C1204" s="2"/>
      <c r="D1204" s="2"/>
      <c r="E1204" s="2"/>
      <c r="F1204" s="2"/>
      <c r="G1204" s="2"/>
      <c r="H1204" s="2"/>
      <c r="I1204" s="2"/>
      <c r="J1204" s="2"/>
      <c r="K1204" s="2"/>
      <c r="L1204" s="3">
        <f t="shared" si="58"/>
        <v>3.8801124291265476E-2</v>
      </c>
      <c r="M1204" s="3">
        <f t="shared" si="58"/>
        <v>2.2915291917017525E-2</v>
      </c>
    </row>
    <row r="1205" spans="1:13" x14ac:dyDescent="0.35">
      <c r="A1205" t="s">
        <v>107</v>
      </c>
      <c r="B1205" t="s">
        <v>39</v>
      </c>
      <c r="C1205" s="2"/>
      <c r="D1205" s="2"/>
      <c r="E1205" s="2"/>
      <c r="F1205" s="2"/>
      <c r="G1205" s="2"/>
      <c r="H1205" s="2"/>
      <c r="I1205" s="2"/>
      <c r="J1205" s="2"/>
      <c r="K1205" s="2"/>
      <c r="L1205" s="3">
        <f t="shared" ref="L1205:M1224" si="59">IF(COUNT(L648,L649,L650,L651,L652,L653)=6,AVERAGE(L648,L649,L650,L651,L652,L653),NA())</f>
        <v>3.7817222048854439E-2</v>
      </c>
      <c r="M1205" s="3">
        <f t="shared" si="59"/>
        <v>2.2066137751315679E-2</v>
      </c>
    </row>
    <row r="1206" spans="1:13" x14ac:dyDescent="0.35">
      <c r="A1206" t="s">
        <v>107</v>
      </c>
      <c r="B1206" t="s">
        <v>40</v>
      </c>
      <c r="C1206" s="2"/>
      <c r="D1206" s="2"/>
      <c r="E1206" s="2"/>
      <c r="F1206" s="2"/>
      <c r="G1206" s="2"/>
      <c r="H1206" s="2"/>
      <c r="I1206" s="2"/>
      <c r="J1206" s="2"/>
      <c r="K1206" s="2"/>
      <c r="L1206" s="3">
        <f t="shared" si="59"/>
        <v>3.6739646887830046E-2</v>
      </c>
      <c r="M1206" s="3">
        <f t="shared" si="59"/>
        <v>2.1447907012146546E-2</v>
      </c>
    </row>
    <row r="1207" spans="1:13" x14ac:dyDescent="0.35">
      <c r="A1207" t="s">
        <v>107</v>
      </c>
      <c r="B1207" t="s">
        <v>41</v>
      </c>
      <c r="C1207" s="2"/>
      <c r="D1207" s="2"/>
      <c r="E1207" s="2"/>
      <c r="F1207" s="2"/>
      <c r="G1207" s="2"/>
      <c r="H1207" s="2"/>
      <c r="I1207" s="2"/>
      <c r="J1207" s="2"/>
      <c r="K1207" s="2"/>
      <c r="L1207" s="3">
        <f t="shared" si="59"/>
        <v>3.6259974112484654E-2</v>
      </c>
      <c r="M1207" s="3">
        <f t="shared" si="59"/>
        <v>2.1222774542945574E-2</v>
      </c>
    </row>
    <row r="1208" spans="1:13" x14ac:dyDescent="0.35">
      <c r="A1208" t="s">
        <v>107</v>
      </c>
      <c r="B1208" t="s">
        <v>42</v>
      </c>
      <c r="C1208" s="2"/>
      <c r="D1208" s="2"/>
      <c r="E1208" s="2"/>
      <c r="F1208" s="2"/>
      <c r="G1208" s="2"/>
      <c r="H1208" s="2"/>
      <c r="I1208" s="2"/>
      <c r="J1208" s="2"/>
      <c r="K1208" s="2"/>
      <c r="L1208" s="3">
        <f t="shared" si="59"/>
        <v>3.5694035836730052E-2</v>
      </c>
      <c r="M1208" s="3">
        <f t="shared" si="59"/>
        <v>2.0972543255946236E-2</v>
      </c>
    </row>
    <row r="1209" spans="1:13" x14ac:dyDescent="0.35">
      <c r="A1209" t="s">
        <v>107</v>
      </c>
      <c r="B1209" t="s">
        <v>43</v>
      </c>
      <c r="C1209" s="2"/>
      <c r="D1209" s="2"/>
      <c r="E1209" s="2"/>
      <c r="F1209" s="2"/>
      <c r="G1209" s="2"/>
      <c r="H1209" s="2"/>
      <c r="I1209" s="2"/>
      <c r="J1209" s="2"/>
      <c r="K1209" s="2"/>
      <c r="L1209" s="3">
        <f t="shared" si="59"/>
        <v>3.5118769096041481E-2</v>
      </c>
      <c r="M1209" s="3">
        <f t="shared" si="59"/>
        <v>2.0593192782545511E-2</v>
      </c>
    </row>
    <row r="1210" spans="1:13" x14ac:dyDescent="0.35">
      <c r="A1210" t="s">
        <v>107</v>
      </c>
      <c r="B1210" t="s">
        <v>44</v>
      </c>
      <c r="C1210" s="2"/>
      <c r="D1210" s="2"/>
      <c r="E1210" s="2"/>
      <c r="F1210" s="2"/>
      <c r="G1210" s="2"/>
      <c r="H1210" s="2"/>
      <c r="I1210" s="2"/>
      <c r="J1210" s="2"/>
      <c r="K1210" s="2"/>
      <c r="L1210" s="3">
        <f t="shared" si="59"/>
        <v>3.5108966031947207E-2</v>
      </c>
      <c r="M1210" s="3">
        <f t="shared" si="59"/>
        <v>2.0825115696257668E-2</v>
      </c>
    </row>
    <row r="1211" spans="1:13" x14ac:dyDescent="0.35">
      <c r="A1211" t="s">
        <v>107</v>
      </c>
      <c r="B1211" t="s">
        <v>45</v>
      </c>
      <c r="C1211" s="2"/>
      <c r="D1211" s="2"/>
      <c r="E1211" s="2"/>
      <c r="F1211" s="2"/>
      <c r="G1211" s="2"/>
      <c r="H1211" s="2"/>
      <c r="I1211" s="2"/>
      <c r="J1211" s="2"/>
      <c r="K1211" s="2"/>
      <c r="L1211" s="3">
        <f t="shared" si="59"/>
        <v>3.5986940328231465E-2</v>
      </c>
      <c r="M1211" s="3">
        <f t="shared" si="59"/>
        <v>2.1287632358276552E-2</v>
      </c>
    </row>
    <row r="1212" spans="1:13" x14ac:dyDescent="0.35">
      <c r="A1212" t="s">
        <v>107</v>
      </c>
      <c r="B1212" t="s">
        <v>46</v>
      </c>
      <c r="C1212" s="2"/>
      <c r="D1212" s="2"/>
      <c r="E1212" s="2"/>
      <c r="F1212" s="2"/>
      <c r="G1212" s="2"/>
      <c r="H1212" s="2"/>
      <c r="I1212" s="2"/>
      <c r="J1212" s="2"/>
      <c r="K1212" s="2"/>
      <c r="L1212" s="3">
        <f t="shared" si="59"/>
        <v>3.6248294903648032E-2</v>
      </c>
      <c r="M1212" s="3">
        <f t="shared" si="59"/>
        <v>2.1215576600896218E-2</v>
      </c>
    </row>
    <row r="1213" spans="1:13" x14ac:dyDescent="0.35">
      <c r="A1213" t="s">
        <v>107</v>
      </c>
      <c r="B1213" t="s">
        <v>47</v>
      </c>
      <c r="C1213" s="2"/>
      <c r="D1213" s="2"/>
      <c r="E1213" s="2"/>
      <c r="F1213" s="2"/>
      <c r="G1213" s="2"/>
      <c r="H1213" s="2"/>
      <c r="I1213" s="2"/>
      <c r="J1213" s="2"/>
      <c r="K1213" s="2"/>
      <c r="L1213" s="3">
        <f t="shared" si="59"/>
        <v>3.6390183030100165E-2</v>
      </c>
      <c r="M1213" s="3">
        <f t="shared" si="59"/>
        <v>2.1141547320786044E-2</v>
      </c>
    </row>
    <row r="1214" spans="1:13" x14ac:dyDescent="0.35">
      <c r="A1214" t="s">
        <v>107</v>
      </c>
      <c r="B1214" t="s">
        <v>48</v>
      </c>
      <c r="C1214" s="2"/>
      <c r="D1214" s="2"/>
      <c r="E1214" s="2"/>
      <c r="F1214" s="2"/>
      <c r="G1214" s="2"/>
      <c r="H1214" s="2"/>
      <c r="I1214" s="2"/>
      <c r="J1214" s="2"/>
      <c r="K1214" s="2"/>
      <c r="L1214" s="3">
        <f t="shared" si="59"/>
        <v>3.6803738602222226E-2</v>
      </c>
      <c r="M1214" s="3">
        <f t="shared" si="59"/>
        <v>2.1361096099995546E-2</v>
      </c>
    </row>
    <row r="1215" spans="1:13" x14ac:dyDescent="0.35">
      <c r="A1215" t="s">
        <v>107</v>
      </c>
      <c r="B1215" t="s">
        <v>49</v>
      </c>
      <c r="C1215" s="2"/>
      <c r="D1215" s="2"/>
      <c r="E1215" s="2"/>
      <c r="F1215" s="2"/>
      <c r="G1215" s="2"/>
      <c r="H1215" s="2"/>
      <c r="I1215" s="2"/>
      <c r="J1215" s="2"/>
      <c r="K1215" s="2"/>
      <c r="L1215" s="3">
        <f t="shared" si="59"/>
        <v>3.9013487372631106E-2</v>
      </c>
      <c r="M1215" s="3">
        <f t="shared" si="59"/>
        <v>2.3420309328304707E-2</v>
      </c>
    </row>
    <row r="1216" spans="1:13" x14ac:dyDescent="0.35">
      <c r="A1216" t="s">
        <v>107</v>
      </c>
      <c r="B1216" t="s">
        <v>50</v>
      </c>
      <c r="C1216" s="2"/>
      <c r="D1216" s="2"/>
      <c r="E1216" s="2"/>
      <c r="F1216" s="2"/>
      <c r="G1216" s="2"/>
      <c r="H1216" s="2"/>
      <c r="I1216" s="2"/>
      <c r="J1216" s="2"/>
      <c r="K1216" s="2"/>
      <c r="L1216" s="3">
        <f t="shared" si="59"/>
        <v>3.8516613508530091E-2</v>
      </c>
      <c r="M1216" s="3">
        <f t="shared" si="59"/>
        <v>2.2702909544899442E-2</v>
      </c>
    </row>
    <row r="1217" spans="1:13" x14ac:dyDescent="0.35">
      <c r="A1217" t="s">
        <v>107</v>
      </c>
      <c r="B1217" t="s">
        <v>51</v>
      </c>
      <c r="C1217" s="2"/>
      <c r="D1217" s="2"/>
      <c r="E1217" s="2"/>
      <c r="F1217" s="2"/>
      <c r="G1217" s="2"/>
      <c r="H1217" s="2"/>
      <c r="I1217" s="2"/>
      <c r="J1217" s="2"/>
      <c r="K1217" s="2"/>
      <c r="L1217" s="3">
        <f t="shared" si="59"/>
        <v>3.8482403205118143E-2</v>
      </c>
      <c r="M1217" s="3">
        <f t="shared" si="59"/>
        <v>2.2324446576535425E-2</v>
      </c>
    </row>
    <row r="1218" spans="1:13" x14ac:dyDescent="0.35">
      <c r="A1218" t="s">
        <v>107</v>
      </c>
      <c r="B1218" t="s">
        <v>52</v>
      </c>
      <c r="C1218" s="2"/>
      <c r="D1218" s="2"/>
      <c r="E1218" s="2"/>
      <c r="F1218" s="2"/>
      <c r="G1218" s="2"/>
      <c r="H1218" s="2"/>
      <c r="I1218" s="2"/>
      <c r="J1218" s="2"/>
      <c r="K1218" s="2"/>
      <c r="L1218" s="3">
        <f t="shared" si="59"/>
        <v>3.8782245228024648E-2</v>
      </c>
      <c r="M1218" s="3">
        <f t="shared" si="59"/>
        <v>2.2323254357657057E-2</v>
      </c>
    </row>
    <row r="1219" spans="1:13" x14ac:dyDescent="0.35">
      <c r="A1219" t="s">
        <v>107</v>
      </c>
      <c r="B1219" t="s">
        <v>53</v>
      </c>
      <c r="C1219" s="2"/>
      <c r="D1219" s="2"/>
      <c r="E1219" s="2"/>
      <c r="F1219" s="2"/>
      <c r="G1219" s="2"/>
      <c r="H1219" s="2"/>
      <c r="I1219" s="2"/>
      <c r="J1219" s="2"/>
      <c r="K1219" s="2"/>
      <c r="L1219" s="3">
        <f t="shared" si="59"/>
        <v>3.9817750368948933E-2</v>
      </c>
      <c r="M1219" s="3">
        <f t="shared" si="59"/>
        <v>2.3094195932875584E-2</v>
      </c>
    </row>
    <row r="1220" spans="1:13" x14ac:dyDescent="0.35">
      <c r="A1220" t="s">
        <v>107</v>
      </c>
      <c r="B1220" t="s">
        <v>54</v>
      </c>
      <c r="C1220" s="2"/>
      <c r="D1220" s="2"/>
      <c r="E1220" s="2"/>
      <c r="F1220" s="2"/>
      <c r="G1220" s="2"/>
      <c r="H1220" s="2"/>
      <c r="I1220" s="2"/>
      <c r="J1220" s="2"/>
      <c r="K1220" s="2"/>
      <c r="L1220" s="3">
        <f t="shared" si="59"/>
        <v>4.2403975913812654E-2</v>
      </c>
      <c r="M1220" s="3">
        <f t="shared" si="59"/>
        <v>2.4500791046296762E-2</v>
      </c>
    </row>
    <row r="1221" spans="1:13" x14ac:dyDescent="0.35">
      <c r="A1221" t="s">
        <v>107</v>
      </c>
      <c r="B1221" t="s">
        <v>55</v>
      </c>
      <c r="C1221" s="2"/>
      <c r="D1221" s="2"/>
      <c r="E1221" s="2"/>
      <c r="F1221" s="2"/>
      <c r="G1221" s="2"/>
      <c r="H1221" s="2"/>
      <c r="I1221" s="2"/>
      <c r="J1221" s="2"/>
      <c r="K1221" s="2"/>
      <c r="L1221" s="3">
        <f t="shared" si="59"/>
        <v>4.1286593113986345E-2</v>
      </c>
      <c r="M1221" s="3">
        <f t="shared" si="59"/>
        <v>2.3337198460439634E-2</v>
      </c>
    </row>
    <row r="1222" spans="1:13" x14ac:dyDescent="0.35">
      <c r="A1222" t="s">
        <v>107</v>
      </c>
      <c r="B1222" t="s">
        <v>56</v>
      </c>
      <c r="C1222" s="2"/>
      <c r="D1222" s="2"/>
      <c r="E1222" s="2"/>
      <c r="F1222" s="2"/>
      <c r="G1222" s="2"/>
      <c r="H1222" s="2"/>
      <c r="I1222" s="2"/>
      <c r="J1222" s="2"/>
      <c r="K1222" s="2"/>
      <c r="L1222" s="3">
        <f t="shared" si="59"/>
        <v>4.3418368459506605E-2</v>
      </c>
      <c r="M1222" s="3">
        <f t="shared" si="59"/>
        <v>2.4857017800389968E-2</v>
      </c>
    </row>
    <row r="1223" spans="1:13" x14ac:dyDescent="0.35">
      <c r="A1223" t="s">
        <v>107</v>
      </c>
      <c r="B1223" t="s">
        <v>57</v>
      </c>
      <c r="C1223" s="2"/>
      <c r="D1223" s="2"/>
      <c r="E1223" s="2"/>
      <c r="F1223" s="2"/>
      <c r="G1223" s="2"/>
      <c r="H1223" s="2"/>
      <c r="I1223" s="2"/>
      <c r="J1223" s="2"/>
      <c r="K1223" s="2"/>
      <c r="L1223" s="3">
        <f t="shared" si="59"/>
        <v>4.6836751073620793E-2</v>
      </c>
      <c r="M1223" s="3">
        <f t="shared" si="59"/>
        <v>2.6353245277790677E-2</v>
      </c>
    </row>
    <row r="1224" spans="1:13" x14ac:dyDescent="0.35">
      <c r="A1224" t="s">
        <v>107</v>
      </c>
      <c r="B1224" t="s">
        <v>58</v>
      </c>
      <c r="C1224" s="2"/>
      <c r="D1224" s="2"/>
      <c r="E1224" s="2"/>
      <c r="F1224" s="2"/>
      <c r="G1224" s="2"/>
      <c r="H1224" s="2"/>
      <c r="I1224" s="2"/>
      <c r="J1224" s="2"/>
      <c r="K1224" s="2"/>
      <c r="L1224" s="3">
        <f t="shared" si="59"/>
        <v>4.9287269598676693E-2</v>
      </c>
      <c r="M1224" s="3">
        <f t="shared" si="59"/>
        <v>2.731486352926174E-2</v>
      </c>
    </row>
    <row r="1225" spans="1:13" x14ac:dyDescent="0.35">
      <c r="A1225" t="s">
        <v>107</v>
      </c>
      <c r="B1225" t="s">
        <v>59</v>
      </c>
      <c r="C1225" s="2"/>
      <c r="D1225" s="2"/>
      <c r="E1225" s="2"/>
      <c r="F1225" s="2"/>
      <c r="G1225" s="2"/>
      <c r="H1225" s="2"/>
      <c r="I1225" s="2"/>
      <c r="J1225" s="2"/>
      <c r="K1225" s="2"/>
      <c r="L1225" s="3">
        <f t="shared" ref="L1225:M1244" si="60">IF(COUNT(L668,L669,L670,L671,L672,L673)=6,AVERAGE(L668,L669,L670,L671,L672,L673),NA())</f>
        <v>5.0317280299411217E-2</v>
      </c>
      <c r="M1225" s="3">
        <f t="shared" si="60"/>
        <v>2.7126217161860339E-2</v>
      </c>
    </row>
    <row r="1226" spans="1:13" x14ac:dyDescent="0.35">
      <c r="A1226" t="s">
        <v>107</v>
      </c>
      <c r="B1226" t="s">
        <v>60</v>
      </c>
      <c r="C1226" s="2"/>
      <c r="D1226" s="2"/>
      <c r="E1226" s="2"/>
      <c r="F1226" s="2"/>
      <c r="G1226" s="2"/>
      <c r="H1226" s="2"/>
      <c r="I1226" s="2"/>
      <c r="J1226" s="2"/>
      <c r="K1226" s="2"/>
      <c r="L1226" s="3">
        <f t="shared" si="60"/>
        <v>5.0129856919013886E-2</v>
      </c>
      <c r="M1226" s="3">
        <f t="shared" si="60"/>
        <v>2.7234690496565735E-2</v>
      </c>
    </row>
    <row r="1227" spans="1:13" x14ac:dyDescent="0.35">
      <c r="A1227" t="s">
        <v>107</v>
      </c>
      <c r="B1227" t="s">
        <v>61</v>
      </c>
      <c r="C1227" s="2"/>
      <c r="D1227" s="2"/>
      <c r="E1227" s="2"/>
      <c r="F1227" s="2"/>
      <c r="G1227" s="2"/>
      <c r="H1227" s="2"/>
      <c r="I1227" s="2"/>
      <c r="J1227" s="2"/>
      <c r="K1227" s="2"/>
      <c r="L1227" s="3">
        <f t="shared" si="60"/>
        <v>5.2476401793346387E-2</v>
      </c>
      <c r="M1227" s="3">
        <f t="shared" si="60"/>
        <v>2.844145805863442E-2</v>
      </c>
    </row>
    <row r="1228" spans="1:13" x14ac:dyDescent="0.35">
      <c r="A1228" t="s">
        <v>107</v>
      </c>
      <c r="B1228" t="s">
        <v>62</v>
      </c>
      <c r="C1228" s="2"/>
      <c r="D1228" s="2"/>
      <c r="E1228" s="2"/>
      <c r="F1228" s="2"/>
      <c r="G1228" s="2"/>
      <c r="H1228" s="2"/>
      <c r="I1228" s="2"/>
      <c r="J1228" s="2"/>
      <c r="K1228" s="2"/>
      <c r="L1228" s="3">
        <f t="shared" si="60"/>
        <v>5.1930753401684439E-2</v>
      </c>
      <c r="M1228" s="3">
        <f t="shared" si="60"/>
        <v>2.8091076007666572E-2</v>
      </c>
    </row>
    <row r="1229" spans="1:13" x14ac:dyDescent="0.35">
      <c r="A1229" t="s">
        <v>107</v>
      </c>
      <c r="B1229" t="s">
        <v>63</v>
      </c>
      <c r="C1229" s="2"/>
      <c r="D1229" s="2"/>
      <c r="E1229" s="2"/>
      <c r="F1229" s="2"/>
      <c r="G1229" s="2"/>
      <c r="H1229" s="2"/>
      <c r="I1229" s="2"/>
      <c r="J1229" s="2"/>
      <c r="K1229" s="2"/>
      <c r="L1229" s="3">
        <f t="shared" si="60"/>
        <v>4.785228733913207E-2</v>
      </c>
      <c r="M1229" s="3">
        <f t="shared" si="60"/>
        <v>2.6134663686358334E-2</v>
      </c>
    </row>
    <row r="1230" spans="1:13" x14ac:dyDescent="0.35">
      <c r="A1230" t="s">
        <v>107</v>
      </c>
      <c r="B1230" t="s">
        <v>64</v>
      </c>
      <c r="C1230" s="2"/>
      <c r="D1230" s="2"/>
      <c r="E1230" s="2"/>
      <c r="F1230" s="2"/>
      <c r="G1230" s="2"/>
      <c r="H1230" s="2"/>
      <c r="I1230" s="2"/>
      <c r="J1230" s="2"/>
      <c r="K1230" s="2"/>
      <c r="L1230" s="3">
        <f t="shared" si="60"/>
        <v>4.7353416750800098E-2</v>
      </c>
      <c r="M1230" s="3">
        <f t="shared" si="60"/>
        <v>2.6443433326475679E-2</v>
      </c>
    </row>
    <row r="1231" spans="1:13" x14ac:dyDescent="0.35">
      <c r="A1231" t="s">
        <v>107</v>
      </c>
      <c r="B1231" t="s">
        <v>65</v>
      </c>
      <c r="C1231" s="2"/>
      <c r="D1231" s="2"/>
      <c r="E1231" s="2"/>
      <c r="F1231" s="2"/>
      <c r="G1231" s="2"/>
      <c r="H1231" s="2"/>
      <c r="I1231" s="2"/>
      <c r="J1231" s="2"/>
      <c r="K1231" s="2"/>
      <c r="L1231" s="3">
        <f t="shared" si="60"/>
        <v>4.7835254565702645E-2</v>
      </c>
      <c r="M1231" s="3">
        <f t="shared" si="60"/>
        <v>2.7069861596195097E-2</v>
      </c>
    </row>
    <row r="1232" spans="1:13" x14ac:dyDescent="0.35">
      <c r="A1232" t="s">
        <v>107</v>
      </c>
      <c r="B1232" t="s">
        <v>66</v>
      </c>
      <c r="C1232" s="2"/>
      <c r="D1232" s="2"/>
      <c r="E1232" s="2"/>
      <c r="F1232" s="2"/>
      <c r="G1232" s="2"/>
      <c r="H1232" s="2"/>
      <c r="I1232" s="2"/>
      <c r="J1232" s="2"/>
      <c r="K1232" s="2"/>
      <c r="L1232" s="3">
        <f t="shared" si="60"/>
        <v>4.7449586621239138E-2</v>
      </c>
      <c r="M1232" s="3">
        <f t="shared" si="60"/>
        <v>2.6148607535226017E-2</v>
      </c>
    </row>
    <row r="1233" spans="1:13" x14ac:dyDescent="0.35">
      <c r="A1233" t="s">
        <v>107</v>
      </c>
      <c r="B1233" t="s">
        <v>67</v>
      </c>
      <c r="C1233" s="2"/>
      <c r="D1233" s="2"/>
      <c r="E1233" s="2"/>
      <c r="F1233" s="2"/>
      <c r="G1233" s="2"/>
      <c r="H1233" s="2"/>
      <c r="I1233" s="2"/>
      <c r="J1233" s="2"/>
      <c r="K1233" s="2"/>
      <c r="L1233" s="3">
        <f t="shared" si="60"/>
        <v>4.5774534300163261E-2</v>
      </c>
      <c r="M1233" s="3">
        <f t="shared" si="60"/>
        <v>2.481093439584961E-2</v>
      </c>
    </row>
    <row r="1234" spans="1:13" x14ac:dyDescent="0.35">
      <c r="A1234" t="s">
        <v>107</v>
      </c>
      <c r="B1234" t="s">
        <v>68</v>
      </c>
      <c r="C1234" s="2"/>
      <c r="D1234" s="2"/>
      <c r="E1234" s="2"/>
      <c r="F1234" s="2"/>
      <c r="G1234" s="2"/>
      <c r="H1234" s="2"/>
      <c r="I1234" s="2"/>
      <c r="J1234" s="2"/>
      <c r="K1234" s="2"/>
      <c r="L1234" s="3">
        <f t="shared" si="60"/>
        <v>4.5849989077559224E-2</v>
      </c>
      <c r="M1234" s="3">
        <f t="shared" si="60"/>
        <v>2.5086389801323616E-2</v>
      </c>
    </row>
    <row r="1235" spans="1:13" x14ac:dyDescent="0.35">
      <c r="A1235" t="s">
        <v>107</v>
      </c>
      <c r="B1235" t="s">
        <v>69</v>
      </c>
      <c r="C1235" s="2"/>
      <c r="D1235" s="2"/>
      <c r="E1235" s="2"/>
      <c r="F1235" s="2"/>
      <c r="G1235" s="2"/>
      <c r="H1235" s="2"/>
      <c r="I1235" s="2"/>
      <c r="J1235" s="2"/>
      <c r="K1235" s="2"/>
      <c r="L1235" s="3">
        <f t="shared" si="60"/>
        <v>4.8006182757055038E-2</v>
      </c>
      <c r="M1235" s="3">
        <f t="shared" si="60"/>
        <v>2.5473235481914078E-2</v>
      </c>
    </row>
    <row r="1236" spans="1:13" x14ac:dyDescent="0.35">
      <c r="A1236" t="s">
        <v>107</v>
      </c>
      <c r="B1236" t="s">
        <v>70</v>
      </c>
      <c r="C1236" s="2"/>
      <c r="D1236" s="2"/>
      <c r="E1236" s="2"/>
      <c r="F1236" s="2"/>
      <c r="G1236" s="2"/>
      <c r="H1236" s="2"/>
      <c r="I1236" s="2"/>
      <c r="J1236" s="2"/>
      <c r="K1236" s="2"/>
      <c r="L1236" s="3">
        <f t="shared" si="60"/>
        <v>4.9359806167639048E-2</v>
      </c>
      <c r="M1236" s="3">
        <f t="shared" si="60"/>
        <v>2.6697035378716913E-2</v>
      </c>
    </row>
    <row r="1237" spans="1:13" x14ac:dyDescent="0.35">
      <c r="A1237" t="s">
        <v>107</v>
      </c>
      <c r="B1237" t="s">
        <v>71</v>
      </c>
      <c r="C1237" s="2"/>
      <c r="D1237" s="2"/>
      <c r="E1237" s="2"/>
      <c r="F1237" s="2"/>
      <c r="G1237" s="2"/>
      <c r="H1237" s="2"/>
      <c r="I1237" s="2"/>
      <c r="J1237" s="2"/>
      <c r="K1237" s="2"/>
      <c r="L1237" s="3">
        <f t="shared" si="60"/>
        <v>5.015827998340449E-2</v>
      </c>
      <c r="M1237" s="3">
        <f t="shared" si="60"/>
        <v>2.6729443999093744E-2</v>
      </c>
    </row>
    <row r="1238" spans="1:13" x14ac:dyDescent="0.35">
      <c r="A1238" t="s">
        <v>107</v>
      </c>
      <c r="B1238" t="s">
        <v>72</v>
      </c>
      <c r="C1238" s="2"/>
      <c r="D1238" s="2"/>
      <c r="E1238" s="2"/>
      <c r="F1238" s="2"/>
      <c r="G1238" s="2"/>
      <c r="H1238" s="2"/>
      <c r="I1238" s="2"/>
      <c r="J1238" s="2"/>
      <c r="K1238" s="2"/>
      <c r="L1238" s="3">
        <f t="shared" si="60"/>
        <v>5.1981693852744905E-2</v>
      </c>
      <c r="M1238" s="3">
        <f t="shared" si="60"/>
        <v>2.8245342548597147E-2</v>
      </c>
    </row>
    <row r="1239" spans="1:13" x14ac:dyDescent="0.35">
      <c r="A1239" t="s">
        <v>107</v>
      </c>
      <c r="B1239" t="s">
        <v>73</v>
      </c>
      <c r="C1239" s="2"/>
      <c r="D1239" s="2"/>
      <c r="E1239" s="2"/>
      <c r="F1239" s="2"/>
      <c r="G1239" s="2"/>
      <c r="H1239" s="2"/>
      <c r="I1239" s="2"/>
      <c r="J1239" s="2"/>
      <c r="K1239" s="2"/>
      <c r="L1239" s="3">
        <f t="shared" si="60"/>
        <v>5.5511531365147339E-2</v>
      </c>
      <c r="M1239" s="3">
        <f t="shared" si="60"/>
        <v>3.1871486776089392E-2</v>
      </c>
    </row>
    <row r="1240" spans="1:13" x14ac:dyDescent="0.35">
      <c r="A1240" t="s">
        <v>107</v>
      </c>
      <c r="B1240" t="s">
        <v>74</v>
      </c>
      <c r="C1240" s="2"/>
      <c r="D1240" s="2"/>
      <c r="E1240" s="2"/>
      <c r="F1240" s="2"/>
      <c r="G1240" s="2"/>
      <c r="H1240" s="2"/>
      <c r="I1240" s="2"/>
      <c r="J1240" s="2"/>
      <c r="K1240" s="2"/>
      <c r="L1240" s="3">
        <f t="shared" si="60"/>
        <v>5.631657214021115E-2</v>
      </c>
      <c r="M1240" s="3">
        <f t="shared" si="60"/>
        <v>3.0978282597757461E-2</v>
      </c>
    </row>
    <row r="1241" spans="1:13" x14ac:dyDescent="0.35">
      <c r="A1241" t="s">
        <v>107</v>
      </c>
      <c r="B1241" t="s">
        <v>75</v>
      </c>
      <c r="C1241" s="2"/>
      <c r="D1241" s="2"/>
      <c r="E1241" s="2"/>
      <c r="F1241" s="2"/>
      <c r="G1241" s="2"/>
      <c r="H1241" s="2"/>
      <c r="I1241" s="2"/>
      <c r="J1241" s="2"/>
      <c r="K1241" s="2"/>
      <c r="L1241" s="3">
        <f t="shared" si="60"/>
        <v>5.6423053236004252E-2</v>
      </c>
      <c r="M1241" s="3">
        <f t="shared" si="60"/>
        <v>3.22113926906753E-2</v>
      </c>
    </row>
    <row r="1242" spans="1:13" x14ac:dyDescent="0.35">
      <c r="A1242" t="s">
        <v>107</v>
      </c>
      <c r="B1242" t="s">
        <v>76</v>
      </c>
      <c r="C1242" s="2"/>
      <c r="D1242" s="2"/>
      <c r="E1242" s="2"/>
      <c r="F1242" s="2"/>
      <c r="G1242" s="2"/>
      <c r="H1242" s="2"/>
      <c r="I1242" s="2"/>
      <c r="J1242" s="2"/>
      <c r="K1242" s="2"/>
      <c r="L1242" s="3">
        <f t="shared" si="60"/>
        <v>5.5640223119736563E-2</v>
      </c>
      <c r="M1242" s="3">
        <f t="shared" si="60"/>
        <v>3.122200045039027E-2</v>
      </c>
    </row>
    <row r="1243" spans="1:13" x14ac:dyDescent="0.35">
      <c r="A1243" t="s">
        <v>107</v>
      </c>
      <c r="B1243" t="s">
        <v>77</v>
      </c>
      <c r="C1243" s="2"/>
      <c r="D1243" s="2"/>
      <c r="E1243" s="2"/>
      <c r="F1243" s="2"/>
      <c r="G1243" s="2"/>
      <c r="H1243" s="2"/>
      <c r="I1243" s="2"/>
      <c r="J1243" s="2"/>
      <c r="K1243" s="2"/>
      <c r="L1243" s="3">
        <f t="shared" si="60"/>
        <v>5.539704895709896E-2</v>
      </c>
      <c r="M1243" s="3">
        <f t="shared" si="60"/>
        <v>3.1290336170587456E-2</v>
      </c>
    </row>
    <row r="1244" spans="1:13" x14ac:dyDescent="0.35">
      <c r="A1244" t="s">
        <v>107</v>
      </c>
      <c r="B1244" t="s">
        <v>78</v>
      </c>
      <c r="C1244" s="2"/>
      <c r="D1244" s="2"/>
      <c r="E1244" s="2"/>
      <c r="F1244" s="2"/>
      <c r="G1244" s="2"/>
      <c r="H1244" s="2"/>
      <c r="I1244" s="2"/>
      <c r="J1244" s="2"/>
      <c r="K1244" s="2"/>
      <c r="L1244" s="3">
        <f t="shared" si="60"/>
        <v>5.4296817206622244E-2</v>
      </c>
      <c r="M1244" s="3">
        <f t="shared" si="60"/>
        <v>3.03766562336663E-2</v>
      </c>
    </row>
    <row r="1245" spans="1:13" x14ac:dyDescent="0.35">
      <c r="A1245" t="s">
        <v>107</v>
      </c>
      <c r="B1245" t="s">
        <v>79</v>
      </c>
      <c r="C1245" s="2"/>
      <c r="D1245" s="2"/>
      <c r="E1245" s="2"/>
      <c r="F1245" s="2"/>
      <c r="G1245" s="2"/>
      <c r="H1245" s="2"/>
      <c r="I1245" s="2"/>
      <c r="J1245" s="2"/>
      <c r="K1245" s="2"/>
      <c r="L1245" s="3">
        <f t="shared" ref="L1245:M1264" si="61">IF(COUNT(L688,L689,L690,L691,L692,L693)=6,AVERAGE(L688,L689,L690,L691,L692,L693),NA())</f>
        <v>5.1387581135267979E-2</v>
      </c>
      <c r="M1245" s="3">
        <f t="shared" si="61"/>
        <v>2.7222424513021884E-2</v>
      </c>
    </row>
    <row r="1246" spans="1:13" x14ac:dyDescent="0.35">
      <c r="A1246" t="s">
        <v>107</v>
      </c>
      <c r="B1246" t="s">
        <v>80</v>
      </c>
      <c r="C1246" s="2"/>
      <c r="D1246" s="2"/>
      <c r="E1246" s="2"/>
      <c r="F1246" s="2"/>
      <c r="G1246" s="2"/>
      <c r="H1246" s="2"/>
      <c r="I1246" s="2"/>
      <c r="J1246" s="2"/>
      <c r="K1246" s="2"/>
      <c r="L1246" s="3">
        <f t="shared" si="61"/>
        <v>5.2432871449145498E-2</v>
      </c>
      <c r="M1246" s="3">
        <f t="shared" si="61"/>
        <v>2.8687335468163582E-2</v>
      </c>
    </row>
    <row r="1247" spans="1:13" x14ac:dyDescent="0.35">
      <c r="A1247" t="s">
        <v>107</v>
      </c>
      <c r="B1247" t="s">
        <v>81</v>
      </c>
      <c r="C1247" s="2"/>
      <c r="D1247" s="2"/>
      <c r="E1247" s="2"/>
      <c r="F1247" s="2"/>
      <c r="G1247" s="2"/>
      <c r="H1247" s="2"/>
      <c r="I1247" s="2"/>
      <c r="J1247" s="2"/>
      <c r="K1247" s="2"/>
      <c r="L1247" s="3">
        <f t="shared" si="61"/>
        <v>5.3398816573761665E-2</v>
      </c>
      <c r="M1247" s="3">
        <f t="shared" si="61"/>
        <v>2.876036747015891E-2</v>
      </c>
    </row>
    <row r="1248" spans="1:13" x14ac:dyDescent="0.35">
      <c r="A1248" t="s">
        <v>107</v>
      </c>
      <c r="B1248" t="s">
        <v>82</v>
      </c>
      <c r="C1248" s="2"/>
      <c r="D1248" s="2"/>
      <c r="E1248" s="2"/>
      <c r="F1248" s="2"/>
      <c r="G1248" s="2"/>
      <c r="H1248" s="2"/>
      <c r="I1248" s="2"/>
      <c r="J1248" s="2"/>
      <c r="K1248" s="2"/>
      <c r="L1248" s="3">
        <f t="shared" si="61"/>
        <v>5.5740723454325493E-2</v>
      </c>
      <c r="M1248" s="3">
        <f t="shared" si="61"/>
        <v>2.9842098826669217E-2</v>
      </c>
    </row>
    <row r="1249" spans="1:13" x14ac:dyDescent="0.35">
      <c r="A1249" t="s">
        <v>107</v>
      </c>
      <c r="B1249" t="s">
        <v>83</v>
      </c>
      <c r="C1249" s="2"/>
      <c r="D1249" s="2"/>
      <c r="E1249" s="2"/>
      <c r="F1249" s="2"/>
      <c r="G1249" s="2"/>
      <c r="H1249" s="2"/>
      <c r="I1249" s="2"/>
      <c r="J1249" s="2"/>
      <c r="K1249" s="2"/>
      <c r="L1249" s="3">
        <f t="shared" si="61"/>
        <v>5.5272325229976486E-2</v>
      </c>
      <c r="M1249" s="3">
        <f t="shared" si="61"/>
        <v>3.0018898037134183E-2</v>
      </c>
    </row>
    <row r="1250" spans="1:13" x14ac:dyDescent="0.35">
      <c r="A1250" t="s">
        <v>107</v>
      </c>
      <c r="B1250" t="s">
        <v>84</v>
      </c>
      <c r="C1250" s="2"/>
      <c r="D1250" s="2"/>
      <c r="E1250" s="2"/>
      <c r="F1250" s="2"/>
      <c r="G1250" s="2"/>
      <c r="H1250" s="2"/>
      <c r="I1250" s="2"/>
      <c r="J1250" s="2"/>
      <c r="K1250" s="2"/>
      <c r="L1250" s="3">
        <f t="shared" si="61"/>
        <v>5.5794182647082975E-2</v>
      </c>
      <c r="M1250" s="3">
        <f t="shared" si="61"/>
        <v>2.9412791997242223E-2</v>
      </c>
    </row>
    <row r="1251" spans="1:13" x14ac:dyDescent="0.35">
      <c r="A1251" t="s">
        <v>107</v>
      </c>
      <c r="B1251" t="s">
        <v>85</v>
      </c>
      <c r="C1251" s="2"/>
      <c r="D1251" s="2"/>
      <c r="E1251" s="2"/>
      <c r="F1251" s="2"/>
      <c r="G1251" s="2"/>
      <c r="H1251" s="2"/>
      <c r="I1251" s="2"/>
      <c r="J1251" s="2"/>
      <c r="K1251" s="2"/>
      <c r="L1251" s="3">
        <f t="shared" si="61"/>
        <v>6.1312177585303711E-2</v>
      </c>
      <c r="M1251" s="3">
        <f t="shared" si="61"/>
        <v>3.189226535264806E-2</v>
      </c>
    </row>
    <row r="1252" spans="1:13" x14ac:dyDescent="0.35">
      <c r="A1252" t="s">
        <v>107</v>
      </c>
      <c r="B1252" t="s">
        <v>86</v>
      </c>
      <c r="C1252" s="2"/>
      <c r="D1252" s="2"/>
      <c r="E1252" s="2"/>
      <c r="F1252" s="2"/>
      <c r="G1252" s="2"/>
      <c r="H1252" s="2"/>
      <c r="I1252" s="2"/>
      <c r="J1252" s="2"/>
      <c r="K1252" s="2"/>
      <c r="L1252" s="3">
        <f t="shared" si="61"/>
        <v>6.0354544760687141E-2</v>
      </c>
      <c r="M1252" s="3">
        <f t="shared" si="61"/>
        <v>3.039767520055665E-2</v>
      </c>
    </row>
    <row r="1253" spans="1:13" x14ac:dyDescent="0.35">
      <c r="A1253" t="s">
        <v>107</v>
      </c>
      <c r="B1253" t="s">
        <v>87</v>
      </c>
      <c r="C1253" s="2"/>
      <c r="D1253" s="2"/>
      <c r="E1253" s="2"/>
      <c r="F1253" s="2"/>
      <c r="G1253" s="2"/>
      <c r="H1253" s="2"/>
      <c r="I1253" s="2"/>
      <c r="J1253" s="2"/>
      <c r="K1253" s="2"/>
      <c r="L1253" s="3">
        <f t="shared" si="61"/>
        <v>5.9609820575758359E-2</v>
      </c>
      <c r="M1253" s="3">
        <f t="shared" si="61"/>
        <v>2.9745475393414003E-2</v>
      </c>
    </row>
    <row r="1254" spans="1:13" x14ac:dyDescent="0.35">
      <c r="A1254" t="s">
        <v>107</v>
      </c>
      <c r="B1254" t="s">
        <v>88</v>
      </c>
      <c r="C1254" s="2"/>
      <c r="D1254" s="2"/>
      <c r="E1254" s="2"/>
      <c r="F1254" s="2"/>
      <c r="G1254" s="2"/>
      <c r="H1254" s="2"/>
      <c r="I1254" s="2"/>
      <c r="J1254" s="2"/>
      <c r="K1254" s="2"/>
      <c r="L1254" s="3">
        <f t="shared" si="61"/>
        <v>5.7154069945943159E-2</v>
      </c>
      <c r="M1254" s="3">
        <f t="shared" si="61"/>
        <v>2.6676041584960189E-2</v>
      </c>
    </row>
    <row r="1255" spans="1:13" x14ac:dyDescent="0.35">
      <c r="A1255" t="s">
        <v>107</v>
      </c>
      <c r="B1255" t="s">
        <v>89</v>
      </c>
      <c r="C1255" s="2"/>
      <c r="D1255" s="2"/>
      <c r="E1255" s="2"/>
      <c r="F1255" s="2"/>
      <c r="G1255" s="2"/>
      <c r="H1255" s="2"/>
      <c r="I1255" s="2"/>
      <c r="J1255" s="2"/>
      <c r="K1255" s="2"/>
      <c r="L1255" s="3">
        <f t="shared" si="61"/>
        <v>5.8161964742636928E-2</v>
      </c>
      <c r="M1255" s="3">
        <f t="shared" si="61"/>
        <v>2.5775498563734262E-2</v>
      </c>
    </row>
    <row r="1256" spans="1:13" x14ac:dyDescent="0.35">
      <c r="A1256" t="s">
        <v>107</v>
      </c>
      <c r="B1256" t="s">
        <v>90</v>
      </c>
      <c r="C1256" s="2"/>
      <c r="D1256" s="2"/>
      <c r="E1256" s="2"/>
      <c r="F1256" s="2"/>
      <c r="G1256" s="2"/>
      <c r="H1256" s="2"/>
      <c r="I1256" s="2"/>
      <c r="J1256" s="2"/>
      <c r="K1256" s="2"/>
      <c r="L1256" s="3">
        <f t="shared" si="61"/>
        <v>5.711696521336735E-2</v>
      </c>
      <c r="M1256" s="3">
        <f t="shared" si="61"/>
        <v>2.3912866888268908E-2</v>
      </c>
    </row>
    <row r="1257" spans="1:13" x14ac:dyDescent="0.35">
      <c r="A1257" t="s">
        <v>107</v>
      </c>
      <c r="B1257" t="s">
        <v>91</v>
      </c>
      <c r="C1257" s="2"/>
      <c r="D1257" s="2"/>
      <c r="E1257" s="2"/>
      <c r="F1257" s="2"/>
      <c r="G1257" s="2"/>
      <c r="H1257" s="2"/>
      <c r="I1257" s="2"/>
      <c r="J1257" s="2"/>
      <c r="K1257" s="2"/>
      <c r="L1257" s="3">
        <f t="shared" si="61"/>
        <v>5.632087538057054E-2</v>
      </c>
      <c r="M1257" s="3">
        <f t="shared" si="61"/>
        <v>2.1315952946247801E-2</v>
      </c>
    </row>
    <row r="1258" spans="1:13" x14ac:dyDescent="0.35">
      <c r="A1258" t="s">
        <v>107</v>
      </c>
      <c r="B1258" t="s">
        <v>95</v>
      </c>
      <c r="C1258" s="2"/>
      <c r="D1258" s="2"/>
      <c r="E1258" s="2"/>
      <c r="F1258" s="2"/>
      <c r="G1258" s="2"/>
      <c r="H1258" s="2"/>
      <c r="I1258" s="2"/>
      <c r="J1258" s="2"/>
      <c r="K1258" s="2"/>
      <c r="L1258" s="3" t="e">
        <f>NA()</f>
        <v>#N/A</v>
      </c>
      <c r="M1258" s="3" t="e">
        <f>NA()</f>
        <v>#N/A</v>
      </c>
    </row>
    <row r="1259" spans="1:13" x14ac:dyDescent="0.35">
      <c r="A1259" t="s">
        <v>108</v>
      </c>
      <c r="B1259" t="s">
        <v>14</v>
      </c>
      <c r="C1259" s="2"/>
      <c r="D1259" s="2"/>
      <c r="E1259" s="2"/>
      <c r="F1259" s="2"/>
      <c r="G1259" s="2"/>
      <c r="H1259" s="2"/>
      <c r="I1259" s="2"/>
      <c r="J1259" s="2"/>
      <c r="K1259" s="2"/>
      <c r="L1259" s="3" t="e">
        <f>NA()</f>
        <v>#N/A</v>
      </c>
      <c r="M1259" s="3" t="e">
        <f>NA()</f>
        <v>#N/A</v>
      </c>
    </row>
    <row r="1260" spans="1:13" x14ac:dyDescent="0.35">
      <c r="A1260" t="s">
        <v>108</v>
      </c>
      <c r="B1260" t="s">
        <v>15</v>
      </c>
      <c r="C1260" s="2"/>
      <c r="D1260" s="2"/>
      <c r="E1260" s="2"/>
      <c r="F1260" s="2"/>
      <c r="G1260" s="2"/>
      <c r="H1260" s="2"/>
      <c r="I1260" s="2"/>
      <c r="J1260" s="2"/>
      <c r="K1260" s="2"/>
      <c r="L1260" s="3" t="e">
        <f>NA()</f>
        <v>#N/A</v>
      </c>
      <c r="M1260" s="3" t="e">
        <f>NA()</f>
        <v>#N/A</v>
      </c>
    </row>
    <row r="1261" spans="1:13" x14ac:dyDescent="0.35">
      <c r="A1261" t="s">
        <v>108</v>
      </c>
      <c r="B1261" t="s">
        <v>16</v>
      </c>
      <c r="C1261" s="2"/>
      <c r="D1261" s="2"/>
      <c r="E1261" s="2"/>
      <c r="F1261" s="2"/>
      <c r="G1261" s="2"/>
      <c r="H1261" s="2"/>
      <c r="I1261" s="2"/>
      <c r="J1261" s="2"/>
      <c r="K1261" s="2"/>
      <c r="L1261" s="3" t="e">
        <f>NA()</f>
        <v>#N/A</v>
      </c>
      <c r="M1261" s="3" t="e">
        <f>NA()</f>
        <v>#N/A</v>
      </c>
    </row>
    <row r="1262" spans="1:13" x14ac:dyDescent="0.35">
      <c r="A1262" t="s">
        <v>108</v>
      </c>
      <c r="B1262" t="s">
        <v>17</v>
      </c>
      <c r="C1262" s="2"/>
      <c r="D1262" s="2"/>
      <c r="E1262" s="2"/>
      <c r="F1262" s="2"/>
      <c r="G1262" s="2"/>
      <c r="H1262" s="2"/>
      <c r="I1262" s="2"/>
      <c r="J1262" s="2"/>
      <c r="K1262" s="2"/>
      <c r="L1262" s="3" t="e">
        <f>NA()</f>
        <v>#N/A</v>
      </c>
      <c r="M1262" s="3" t="e">
        <f>NA()</f>
        <v>#N/A</v>
      </c>
    </row>
    <row r="1263" spans="1:13" x14ac:dyDescent="0.35">
      <c r="A1263" t="s">
        <v>108</v>
      </c>
      <c r="B1263" t="s">
        <v>18</v>
      </c>
      <c r="C1263" s="2"/>
      <c r="D1263" s="2"/>
      <c r="E1263" s="2"/>
      <c r="F1263" s="2"/>
      <c r="G1263" s="2"/>
      <c r="H1263" s="2"/>
      <c r="I1263" s="2"/>
      <c r="J1263" s="2"/>
      <c r="K1263" s="2"/>
      <c r="L1263" s="3" t="e">
        <f>NA()</f>
        <v>#N/A</v>
      </c>
      <c r="M1263" s="3" t="e">
        <f>NA()</f>
        <v>#N/A</v>
      </c>
    </row>
    <row r="1264" spans="1:13" x14ac:dyDescent="0.35">
      <c r="A1264" t="s">
        <v>108</v>
      </c>
      <c r="B1264" t="s">
        <v>19</v>
      </c>
      <c r="C1264" s="2"/>
      <c r="D1264" s="2"/>
      <c r="E1264" s="2"/>
      <c r="F1264" s="2"/>
      <c r="G1264" s="2"/>
      <c r="H1264" s="2"/>
      <c r="I1264" s="2"/>
      <c r="J1264" s="2"/>
      <c r="K1264" s="2"/>
      <c r="L1264" s="3">
        <f t="shared" ref="L1264:M1283" si="62">IF(COUNT(L785,L786,L787,L788,L789,L790)=6,AVERAGE(L785,L786,L787,L788,L789,L790),NA())</f>
        <v>1.0517372117994507E-2</v>
      </c>
      <c r="M1264" s="3">
        <f t="shared" si="62"/>
        <v>4.3958610299882871E-3</v>
      </c>
    </row>
    <row r="1265" spans="1:13" x14ac:dyDescent="0.35">
      <c r="A1265" t="s">
        <v>108</v>
      </c>
      <c r="B1265" t="s">
        <v>20</v>
      </c>
      <c r="C1265" s="2"/>
      <c r="D1265" s="2"/>
      <c r="E1265" s="2"/>
      <c r="F1265" s="2"/>
      <c r="G1265" s="2"/>
      <c r="H1265" s="2"/>
      <c r="I1265" s="2"/>
      <c r="J1265" s="2"/>
      <c r="K1265" s="2"/>
      <c r="L1265" s="3">
        <f t="shared" si="62"/>
        <v>1.0507686631765481E-2</v>
      </c>
      <c r="M1265" s="3">
        <f t="shared" si="62"/>
        <v>4.4271869045040312E-3</v>
      </c>
    </row>
    <row r="1266" spans="1:13" x14ac:dyDescent="0.35">
      <c r="A1266" t="s">
        <v>108</v>
      </c>
      <c r="B1266" t="s">
        <v>21</v>
      </c>
      <c r="C1266" s="2"/>
      <c r="D1266" s="2"/>
      <c r="E1266" s="2"/>
      <c r="F1266" s="2"/>
      <c r="G1266" s="2"/>
      <c r="H1266" s="2"/>
      <c r="I1266" s="2"/>
      <c r="J1266" s="2"/>
      <c r="K1266" s="2"/>
      <c r="L1266" s="3">
        <f t="shared" si="62"/>
        <v>1.0695897083355199E-2</v>
      </c>
      <c r="M1266" s="3">
        <f t="shared" si="62"/>
        <v>4.4980574064109437E-3</v>
      </c>
    </row>
    <row r="1267" spans="1:13" x14ac:dyDescent="0.35">
      <c r="A1267" t="s">
        <v>108</v>
      </c>
      <c r="B1267" t="s">
        <v>22</v>
      </c>
      <c r="C1267" s="2"/>
      <c r="D1267" s="2"/>
      <c r="E1267" s="2"/>
      <c r="F1267" s="2"/>
      <c r="G1267" s="2"/>
      <c r="H1267" s="2"/>
      <c r="I1267" s="2"/>
      <c r="J1267" s="2"/>
      <c r="K1267" s="2"/>
      <c r="L1267" s="3">
        <f t="shared" si="62"/>
        <v>1.0879618590462894E-2</v>
      </c>
      <c r="M1267" s="3">
        <f t="shared" si="62"/>
        <v>4.685439801015088E-3</v>
      </c>
    </row>
    <row r="1268" spans="1:13" x14ac:dyDescent="0.35">
      <c r="A1268" t="s">
        <v>108</v>
      </c>
      <c r="B1268" t="s">
        <v>23</v>
      </c>
      <c r="C1268" s="2"/>
      <c r="D1268" s="2"/>
      <c r="E1268" s="2"/>
      <c r="F1268" s="2"/>
      <c r="G1268" s="2"/>
      <c r="H1268" s="2"/>
      <c r="I1268" s="2"/>
      <c r="J1268" s="2"/>
      <c r="K1268" s="2"/>
      <c r="L1268" s="3">
        <f t="shared" si="62"/>
        <v>1.0458597077774537E-2</v>
      </c>
      <c r="M1268" s="3">
        <f t="shared" si="62"/>
        <v>4.509580258517918E-3</v>
      </c>
    </row>
    <row r="1269" spans="1:13" x14ac:dyDescent="0.35">
      <c r="A1269" t="s">
        <v>108</v>
      </c>
      <c r="B1269" t="s">
        <v>24</v>
      </c>
      <c r="C1269" s="2"/>
      <c r="D1269" s="2"/>
      <c r="E1269" s="2"/>
      <c r="F1269" s="2"/>
      <c r="G1269" s="2"/>
      <c r="H1269" s="2"/>
      <c r="I1269" s="2"/>
      <c r="J1269" s="2"/>
      <c r="K1269" s="2"/>
      <c r="L1269" s="3">
        <f t="shared" si="62"/>
        <v>1.0152749398335867E-2</v>
      </c>
      <c r="M1269" s="3">
        <f t="shared" si="62"/>
        <v>4.3104675585540876E-3</v>
      </c>
    </row>
    <row r="1270" spans="1:13" x14ac:dyDescent="0.35">
      <c r="A1270" t="s">
        <v>108</v>
      </c>
      <c r="B1270" t="s">
        <v>25</v>
      </c>
      <c r="C1270" s="2"/>
      <c r="D1270" s="2"/>
      <c r="E1270" s="2"/>
      <c r="F1270" s="2"/>
      <c r="G1270" s="2"/>
      <c r="H1270" s="2"/>
      <c r="I1270" s="2"/>
      <c r="J1270" s="2"/>
      <c r="K1270" s="2"/>
      <c r="L1270" s="3">
        <f t="shared" si="62"/>
        <v>1.0449851478756553E-2</v>
      </c>
      <c r="M1270" s="3">
        <f t="shared" si="62"/>
        <v>4.5756082906365939E-3</v>
      </c>
    </row>
    <row r="1271" spans="1:13" x14ac:dyDescent="0.35">
      <c r="A1271" t="s">
        <v>108</v>
      </c>
      <c r="B1271" t="s">
        <v>26</v>
      </c>
      <c r="C1271" s="2"/>
      <c r="D1271" s="2"/>
      <c r="E1271" s="2"/>
      <c r="F1271" s="2"/>
      <c r="G1271" s="2"/>
      <c r="H1271" s="2"/>
      <c r="I1271" s="2"/>
      <c r="J1271" s="2"/>
      <c r="K1271" s="2"/>
      <c r="L1271" s="3">
        <f t="shared" si="62"/>
        <v>1.0734952624999029E-2</v>
      </c>
      <c r="M1271" s="3">
        <f t="shared" si="62"/>
        <v>4.8059348511593361E-3</v>
      </c>
    </row>
    <row r="1272" spans="1:13" x14ac:dyDescent="0.35">
      <c r="A1272" t="s">
        <v>108</v>
      </c>
      <c r="B1272" t="s">
        <v>27</v>
      </c>
      <c r="C1272" s="2"/>
      <c r="D1272" s="2"/>
      <c r="E1272" s="2"/>
      <c r="F1272" s="2"/>
      <c r="G1272" s="2"/>
      <c r="H1272" s="2"/>
      <c r="I1272" s="2"/>
      <c r="J1272" s="2"/>
      <c r="K1272" s="2"/>
      <c r="L1272" s="3">
        <f t="shared" si="62"/>
        <v>1.0735551527790021E-2</v>
      </c>
      <c r="M1272" s="3">
        <f t="shared" si="62"/>
        <v>4.9024638017707402E-3</v>
      </c>
    </row>
    <row r="1273" spans="1:13" x14ac:dyDescent="0.35">
      <c r="A1273" t="s">
        <v>108</v>
      </c>
      <c r="B1273" t="s">
        <v>28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3">
        <f t="shared" si="62"/>
        <v>1.0707824570400419E-2</v>
      </c>
      <c r="M1273" s="3">
        <f t="shared" si="62"/>
        <v>4.8815188544076987E-3</v>
      </c>
    </row>
    <row r="1274" spans="1:13" x14ac:dyDescent="0.35">
      <c r="A1274" t="s">
        <v>108</v>
      </c>
      <c r="B1274" t="s">
        <v>29</v>
      </c>
      <c r="C1274" s="2"/>
      <c r="D1274" s="2"/>
      <c r="E1274" s="2"/>
      <c r="F1274" s="2"/>
      <c r="G1274" s="2"/>
      <c r="H1274" s="2"/>
      <c r="I1274" s="2"/>
      <c r="J1274" s="2"/>
      <c r="K1274" s="2"/>
      <c r="L1274" s="3">
        <f t="shared" si="62"/>
        <v>1.0771257248577729E-2</v>
      </c>
      <c r="M1274" s="3">
        <f t="shared" si="62"/>
        <v>5.0186287937070764E-3</v>
      </c>
    </row>
    <row r="1275" spans="1:13" x14ac:dyDescent="0.35">
      <c r="A1275" t="s">
        <v>108</v>
      </c>
      <c r="B1275" t="s">
        <v>30</v>
      </c>
      <c r="C1275" s="2"/>
      <c r="D1275" s="2"/>
      <c r="E1275" s="2"/>
      <c r="F1275" s="2"/>
      <c r="G1275" s="2"/>
      <c r="H1275" s="2"/>
      <c r="I1275" s="2"/>
      <c r="J1275" s="2"/>
      <c r="K1275" s="2"/>
      <c r="L1275" s="3">
        <f t="shared" si="62"/>
        <v>1.0515951663635845E-2</v>
      </c>
      <c r="M1275" s="3">
        <f t="shared" si="62"/>
        <v>4.8633694587846867E-3</v>
      </c>
    </row>
    <row r="1276" spans="1:13" x14ac:dyDescent="0.35">
      <c r="A1276" t="s">
        <v>108</v>
      </c>
      <c r="B1276" t="s">
        <v>31</v>
      </c>
      <c r="C1276" s="2"/>
      <c r="D1276" s="2"/>
      <c r="E1276" s="2"/>
      <c r="F1276" s="2"/>
      <c r="G1276" s="2"/>
      <c r="H1276" s="2"/>
      <c r="I1276" s="2"/>
      <c r="J1276" s="2"/>
      <c r="K1276" s="2"/>
      <c r="L1276" s="3">
        <f t="shared" si="62"/>
        <v>1.0054582492654757E-2</v>
      </c>
      <c r="M1276" s="3">
        <f t="shared" si="62"/>
        <v>4.6047170734802708E-3</v>
      </c>
    </row>
    <row r="1277" spans="1:13" x14ac:dyDescent="0.35">
      <c r="A1277" t="s">
        <v>108</v>
      </c>
      <c r="B1277" t="s">
        <v>32</v>
      </c>
      <c r="C1277" s="2"/>
      <c r="D1277" s="2"/>
      <c r="E1277" s="2"/>
      <c r="F1277" s="2"/>
      <c r="G1277" s="2"/>
      <c r="H1277" s="2"/>
      <c r="I1277" s="2"/>
      <c r="J1277" s="2"/>
      <c r="K1277" s="2"/>
      <c r="L1277" s="3">
        <f t="shared" si="62"/>
        <v>9.8557370895099253E-3</v>
      </c>
      <c r="M1277" s="3">
        <f t="shared" si="62"/>
        <v>4.5964439296855755E-3</v>
      </c>
    </row>
    <row r="1278" spans="1:13" x14ac:dyDescent="0.35">
      <c r="A1278" t="s">
        <v>108</v>
      </c>
      <c r="B1278" t="s">
        <v>33</v>
      </c>
      <c r="C1278" s="2"/>
      <c r="D1278" s="2"/>
      <c r="E1278" s="2"/>
      <c r="F1278" s="2"/>
      <c r="G1278" s="2"/>
      <c r="H1278" s="2"/>
      <c r="I1278" s="2"/>
      <c r="J1278" s="2"/>
      <c r="K1278" s="2"/>
      <c r="L1278" s="3">
        <f t="shared" si="62"/>
        <v>1.013467558971879E-2</v>
      </c>
      <c r="M1278" s="3">
        <f t="shared" si="62"/>
        <v>4.7761919995140158E-3</v>
      </c>
    </row>
    <row r="1279" spans="1:13" x14ac:dyDescent="0.35">
      <c r="A1279" t="s">
        <v>108</v>
      </c>
      <c r="B1279" t="s">
        <v>34</v>
      </c>
      <c r="C1279" s="2"/>
      <c r="D1279" s="2"/>
      <c r="E1279" s="2"/>
      <c r="F1279" s="2"/>
      <c r="G1279" s="2"/>
      <c r="H1279" s="2"/>
      <c r="I1279" s="2"/>
      <c r="J1279" s="2"/>
      <c r="K1279" s="2"/>
      <c r="L1279" s="3">
        <f t="shared" si="62"/>
        <v>1.0223919168675892E-2</v>
      </c>
      <c r="M1279" s="3">
        <f t="shared" si="62"/>
        <v>4.8715429208902048E-3</v>
      </c>
    </row>
    <row r="1280" spans="1:13" x14ac:dyDescent="0.35">
      <c r="A1280" t="s">
        <v>108</v>
      </c>
      <c r="B1280" t="s">
        <v>35</v>
      </c>
      <c r="C1280" s="2"/>
      <c r="D1280" s="2"/>
      <c r="E1280" s="2"/>
      <c r="F1280" s="2"/>
      <c r="G1280" s="2"/>
      <c r="H1280" s="2"/>
      <c r="I1280" s="2"/>
      <c r="J1280" s="2"/>
      <c r="K1280" s="2"/>
      <c r="L1280" s="3">
        <f t="shared" si="62"/>
        <v>1.010056418528797E-2</v>
      </c>
      <c r="M1280" s="3">
        <f t="shared" si="62"/>
        <v>4.7768640406470565E-3</v>
      </c>
    </row>
    <row r="1281" spans="1:13" x14ac:dyDescent="0.35">
      <c r="A1281" t="s">
        <v>108</v>
      </c>
      <c r="B1281" t="s">
        <v>36</v>
      </c>
      <c r="C1281" s="2"/>
      <c r="D1281" s="2"/>
      <c r="E1281" s="2"/>
      <c r="F1281" s="2"/>
      <c r="G1281" s="2"/>
      <c r="H1281" s="2"/>
      <c r="I1281" s="2"/>
      <c r="J1281" s="2"/>
      <c r="K1281" s="2"/>
      <c r="L1281" s="3">
        <f t="shared" si="62"/>
        <v>1.0301835530286083E-2</v>
      </c>
      <c r="M1281" s="3">
        <f t="shared" si="62"/>
        <v>4.9349554522197152E-3</v>
      </c>
    </row>
    <row r="1282" spans="1:13" x14ac:dyDescent="0.35">
      <c r="A1282" t="s">
        <v>108</v>
      </c>
      <c r="B1282" t="s">
        <v>37</v>
      </c>
      <c r="C1282" s="2"/>
      <c r="D1282" s="2"/>
      <c r="E1282" s="2"/>
      <c r="F1282" s="2"/>
      <c r="G1282" s="2"/>
      <c r="H1282" s="2"/>
      <c r="I1282" s="2"/>
      <c r="J1282" s="2"/>
      <c r="K1282" s="2"/>
      <c r="L1282" s="3">
        <f t="shared" si="62"/>
        <v>1.0499707414068339E-2</v>
      </c>
      <c r="M1282" s="3">
        <f t="shared" si="62"/>
        <v>5.0504133928599461E-3</v>
      </c>
    </row>
    <row r="1283" spans="1:13" x14ac:dyDescent="0.35">
      <c r="A1283" t="s">
        <v>108</v>
      </c>
      <c r="B1283" t="s">
        <v>38</v>
      </c>
      <c r="C1283" s="2"/>
      <c r="D1283" s="2"/>
      <c r="E1283" s="2"/>
      <c r="F1283" s="2"/>
      <c r="G1283" s="2"/>
      <c r="H1283" s="2"/>
      <c r="I1283" s="2"/>
      <c r="J1283" s="2"/>
      <c r="K1283" s="2"/>
      <c r="L1283" s="3">
        <f t="shared" si="62"/>
        <v>1.0464906532032331E-2</v>
      </c>
      <c r="M1283" s="3">
        <f t="shared" si="62"/>
        <v>4.8316490970578109E-3</v>
      </c>
    </row>
    <row r="1284" spans="1:13" x14ac:dyDescent="0.35">
      <c r="A1284" t="s">
        <v>108</v>
      </c>
      <c r="B1284" t="s">
        <v>39</v>
      </c>
      <c r="C1284" s="2"/>
      <c r="D1284" s="2"/>
      <c r="E1284" s="2"/>
      <c r="F1284" s="2"/>
      <c r="G1284" s="2"/>
      <c r="H1284" s="2"/>
      <c r="I1284" s="2"/>
      <c r="J1284" s="2"/>
      <c r="K1284" s="2"/>
      <c r="L1284" s="3">
        <f t="shared" ref="L1284:M1303" si="63">IF(COUNT(L805,L806,L807,L808,L809,L810)=6,AVERAGE(L805,L806,L807,L808,L809,L810),NA())</f>
        <v>1.0082034633958585E-2</v>
      </c>
      <c r="M1284" s="3">
        <f t="shared" si="63"/>
        <v>4.6100981377700861E-3</v>
      </c>
    </row>
    <row r="1285" spans="1:13" x14ac:dyDescent="0.35">
      <c r="A1285" t="s">
        <v>108</v>
      </c>
      <c r="B1285" t="s">
        <v>40</v>
      </c>
      <c r="C1285" s="2"/>
      <c r="D1285" s="2"/>
      <c r="E1285" s="2"/>
      <c r="F1285" s="2"/>
      <c r="G1285" s="2"/>
      <c r="H1285" s="2"/>
      <c r="I1285" s="2"/>
      <c r="J1285" s="2"/>
      <c r="K1285" s="2"/>
      <c r="L1285" s="3">
        <f t="shared" si="63"/>
        <v>9.8289352510994472E-3</v>
      </c>
      <c r="M1285" s="3">
        <f t="shared" si="63"/>
        <v>4.4839512210103219E-3</v>
      </c>
    </row>
    <row r="1286" spans="1:13" x14ac:dyDescent="0.35">
      <c r="A1286" t="s">
        <v>108</v>
      </c>
      <c r="B1286" t="s">
        <v>41</v>
      </c>
      <c r="C1286" s="2"/>
      <c r="D1286" s="2"/>
      <c r="E1286" s="2"/>
      <c r="F1286" s="2"/>
      <c r="G1286" s="2"/>
      <c r="H1286" s="2"/>
      <c r="I1286" s="2"/>
      <c r="J1286" s="2"/>
      <c r="K1286" s="2"/>
      <c r="L1286" s="3">
        <f t="shared" si="63"/>
        <v>9.751445393584194E-3</v>
      </c>
      <c r="M1286" s="3">
        <f t="shared" si="63"/>
        <v>4.4817486073053985E-3</v>
      </c>
    </row>
    <row r="1287" spans="1:13" x14ac:dyDescent="0.35">
      <c r="A1287" t="s">
        <v>108</v>
      </c>
      <c r="B1287" t="s">
        <v>42</v>
      </c>
      <c r="C1287" s="2"/>
      <c r="D1287" s="2"/>
      <c r="E1287" s="2"/>
      <c r="F1287" s="2"/>
      <c r="G1287" s="2"/>
      <c r="H1287" s="2"/>
      <c r="I1287" s="2"/>
      <c r="J1287" s="2"/>
      <c r="K1287" s="2"/>
      <c r="L1287" s="3">
        <f t="shared" si="63"/>
        <v>9.5675389937051863E-3</v>
      </c>
      <c r="M1287" s="3">
        <f t="shared" si="63"/>
        <v>4.4504608901210817E-3</v>
      </c>
    </row>
    <row r="1288" spans="1:13" x14ac:dyDescent="0.35">
      <c r="A1288" t="s">
        <v>108</v>
      </c>
      <c r="B1288" t="s">
        <v>43</v>
      </c>
      <c r="C1288" s="2"/>
      <c r="D1288" s="2"/>
      <c r="E1288" s="2"/>
      <c r="F1288" s="2"/>
      <c r="G1288" s="2"/>
      <c r="H1288" s="2"/>
      <c r="I1288" s="2"/>
      <c r="J1288" s="2"/>
      <c r="K1288" s="2"/>
      <c r="L1288" s="3">
        <f t="shared" si="63"/>
        <v>9.4191986417422411E-3</v>
      </c>
      <c r="M1288" s="3">
        <f t="shared" si="63"/>
        <v>4.4122045543386621E-3</v>
      </c>
    </row>
    <row r="1289" spans="1:13" x14ac:dyDescent="0.35">
      <c r="A1289" t="s">
        <v>108</v>
      </c>
      <c r="B1289" t="s">
        <v>44</v>
      </c>
      <c r="C1289" s="2"/>
      <c r="D1289" s="2"/>
      <c r="E1289" s="2"/>
      <c r="F1289" s="2"/>
      <c r="G1289" s="2"/>
      <c r="H1289" s="2"/>
      <c r="I1289" s="2"/>
      <c r="J1289" s="2"/>
      <c r="K1289" s="2"/>
      <c r="L1289" s="3">
        <f t="shared" si="63"/>
        <v>9.3271840329079512E-3</v>
      </c>
      <c r="M1289" s="3">
        <f t="shared" si="63"/>
        <v>4.4835031179704934E-3</v>
      </c>
    </row>
    <row r="1290" spans="1:13" x14ac:dyDescent="0.35">
      <c r="A1290" t="s">
        <v>108</v>
      </c>
      <c r="B1290" t="s">
        <v>45</v>
      </c>
      <c r="C1290" s="2"/>
      <c r="D1290" s="2"/>
      <c r="E1290" s="2"/>
      <c r="F1290" s="2"/>
      <c r="G1290" s="2"/>
      <c r="H1290" s="2"/>
      <c r="I1290" s="2"/>
      <c r="J1290" s="2"/>
      <c r="K1290" s="2"/>
      <c r="L1290" s="3">
        <f t="shared" si="63"/>
        <v>9.6535812422477389E-3</v>
      </c>
      <c r="M1290" s="3">
        <f t="shared" si="63"/>
        <v>4.6801639791240867E-3</v>
      </c>
    </row>
    <row r="1291" spans="1:13" x14ac:dyDescent="0.35">
      <c r="A1291" t="s">
        <v>108</v>
      </c>
      <c r="B1291" t="s">
        <v>46</v>
      </c>
      <c r="C1291" s="2"/>
      <c r="D1291" s="2"/>
      <c r="E1291" s="2"/>
      <c r="F1291" s="2"/>
      <c r="G1291" s="2"/>
      <c r="H1291" s="2"/>
      <c r="I1291" s="2"/>
      <c r="J1291" s="2"/>
      <c r="K1291" s="2"/>
      <c r="L1291" s="3">
        <f t="shared" si="63"/>
        <v>9.7582855266311157E-3</v>
      </c>
      <c r="M1291" s="3">
        <f t="shared" si="63"/>
        <v>4.7246947738134801E-3</v>
      </c>
    </row>
    <row r="1292" spans="1:13" x14ac:dyDescent="0.35">
      <c r="A1292" t="s">
        <v>108</v>
      </c>
      <c r="B1292" t="s">
        <v>47</v>
      </c>
      <c r="C1292" s="2"/>
      <c r="D1292" s="2"/>
      <c r="E1292" s="2"/>
      <c r="F1292" s="2"/>
      <c r="G1292" s="2"/>
      <c r="H1292" s="2"/>
      <c r="I1292" s="2"/>
      <c r="J1292" s="2"/>
      <c r="K1292" s="2"/>
      <c r="L1292" s="3">
        <f t="shared" si="63"/>
        <v>9.8292986810345501E-3</v>
      </c>
      <c r="M1292" s="3">
        <f t="shared" si="63"/>
        <v>4.7243365830166896E-3</v>
      </c>
    </row>
    <row r="1293" spans="1:13" x14ac:dyDescent="0.35">
      <c r="A1293" t="s">
        <v>108</v>
      </c>
      <c r="B1293" t="s">
        <v>48</v>
      </c>
      <c r="C1293" s="2"/>
      <c r="D1293" s="2"/>
      <c r="E1293" s="2"/>
      <c r="F1293" s="2"/>
      <c r="G1293" s="2"/>
      <c r="H1293" s="2"/>
      <c r="I1293" s="2"/>
      <c r="J1293" s="2"/>
      <c r="K1293" s="2"/>
      <c r="L1293" s="3">
        <f t="shared" si="63"/>
        <v>9.9469776480910297E-3</v>
      </c>
      <c r="M1293" s="3">
        <f t="shared" si="63"/>
        <v>4.7870613572025605E-3</v>
      </c>
    </row>
    <row r="1294" spans="1:13" x14ac:dyDescent="0.35">
      <c r="A1294" t="s">
        <v>108</v>
      </c>
      <c r="B1294" t="s">
        <v>49</v>
      </c>
      <c r="C1294" s="2"/>
      <c r="D1294" s="2"/>
      <c r="E1294" s="2"/>
      <c r="F1294" s="2"/>
      <c r="G1294" s="2"/>
      <c r="H1294" s="2"/>
      <c r="I1294" s="2"/>
      <c r="J1294" s="2"/>
      <c r="K1294" s="2"/>
      <c r="L1294" s="3">
        <f t="shared" si="63"/>
        <v>1.039861852240433E-2</v>
      </c>
      <c r="M1294" s="3">
        <f t="shared" si="63"/>
        <v>5.1874085006586171E-3</v>
      </c>
    </row>
    <row r="1295" spans="1:13" x14ac:dyDescent="0.35">
      <c r="A1295" t="s">
        <v>108</v>
      </c>
      <c r="B1295" t="s">
        <v>50</v>
      </c>
      <c r="C1295" s="2"/>
      <c r="D1295" s="2"/>
      <c r="E1295" s="2"/>
      <c r="F1295" s="2"/>
      <c r="G1295" s="2"/>
      <c r="H1295" s="2"/>
      <c r="I1295" s="2"/>
      <c r="J1295" s="2"/>
      <c r="K1295" s="2"/>
      <c r="L1295" s="3">
        <f t="shared" si="63"/>
        <v>1.031212999472704E-2</v>
      </c>
      <c r="M1295" s="3">
        <f t="shared" si="63"/>
        <v>5.0670258522653418E-3</v>
      </c>
    </row>
    <row r="1296" spans="1:13" x14ac:dyDescent="0.35">
      <c r="A1296" t="s">
        <v>108</v>
      </c>
      <c r="B1296" t="s">
        <v>51</v>
      </c>
      <c r="C1296" s="2"/>
      <c r="D1296" s="2"/>
      <c r="E1296" s="2"/>
      <c r="F1296" s="2"/>
      <c r="G1296" s="2"/>
      <c r="H1296" s="2"/>
      <c r="I1296" s="2"/>
      <c r="J1296" s="2"/>
      <c r="K1296" s="2"/>
      <c r="L1296" s="3">
        <f t="shared" si="63"/>
        <v>1.0106033572763828E-2</v>
      </c>
      <c r="M1296" s="3">
        <f t="shared" si="63"/>
        <v>4.9219613282404208E-3</v>
      </c>
    </row>
    <row r="1297" spans="1:13" x14ac:dyDescent="0.35">
      <c r="A1297" t="s">
        <v>108</v>
      </c>
      <c r="B1297" t="s">
        <v>52</v>
      </c>
      <c r="C1297" s="2"/>
      <c r="D1297" s="2"/>
      <c r="E1297" s="2"/>
      <c r="F1297" s="2"/>
      <c r="G1297" s="2"/>
      <c r="H1297" s="2"/>
      <c r="I1297" s="2"/>
      <c r="J1297" s="2"/>
      <c r="K1297" s="2"/>
      <c r="L1297" s="3">
        <f t="shared" si="63"/>
        <v>1.0202003467995E-2</v>
      </c>
      <c r="M1297" s="3">
        <f t="shared" si="63"/>
        <v>4.9633285417618961E-3</v>
      </c>
    </row>
    <row r="1298" spans="1:13" x14ac:dyDescent="0.35">
      <c r="A1298" t="s">
        <v>108</v>
      </c>
      <c r="B1298" t="s">
        <v>53</v>
      </c>
      <c r="C1298" s="2"/>
      <c r="D1298" s="2"/>
      <c r="E1298" s="2"/>
      <c r="F1298" s="2"/>
      <c r="G1298" s="2"/>
      <c r="H1298" s="2"/>
      <c r="I1298" s="2"/>
      <c r="J1298" s="2"/>
      <c r="K1298" s="2"/>
      <c r="L1298" s="3">
        <f t="shared" si="63"/>
        <v>1.0308623193087141E-2</v>
      </c>
      <c r="M1298" s="3">
        <f t="shared" si="63"/>
        <v>5.08412429135749E-3</v>
      </c>
    </row>
    <row r="1299" spans="1:13" x14ac:dyDescent="0.35">
      <c r="A1299" t="s">
        <v>108</v>
      </c>
      <c r="B1299" t="s">
        <v>54</v>
      </c>
      <c r="C1299" s="2"/>
      <c r="D1299" s="2"/>
      <c r="E1299" s="2"/>
      <c r="F1299" s="2"/>
      <c r="G1299" s="2"/>
      <c r="H1299" s="2"/>
      <c r="I1299" s="2"/>
      <c r="J1299" s="2"/>
      <c r="K1299" s="2"/>
      <c r="L1299" s="3">
        <f t="shared" si="63"/>
        <v>1.0639615258850087E-2</v>
      </c>
      <c r="M1299" s="3">
        <f t="shared" si="63"/>
        <v>5.2761508931004368E-3</v>
      </c>
    </row>
    <row r="1300" spans="1:13" x14ac:dyDescent="0.35">
      <c r="A1300" t="s">
        <v>108</v>
      </c>
      <c r="B1300" t="s">
        <v>55</v>
      </c>
      <c r="C1300" s="2"/>
      <c r="D1300" s="2"/>
      <c r="E1300" s="2"/>
      <c r="F1300" s="2"/>
      <c r="G1300" s="2"/>
      <c r="H1300" s="2"/>
      <c r="I1300" s="2"/>
      <c r="J1300" s="2"/>
      <c r="K1300" s="2"/>
      <c r="L1300" s="3">
        <f t="shared" si="63"/>
        <v>1.0243943070323641E-2</v>
      </c>
      <c r="M1300" s="3">
        <f t="shared" si="63"/>
        <v>4.9848013058271029E-3</v>
      </c>
    </row>
    <row r="1301" spans="1:13" x14ac:dyDescent="0.35">
      <c r="A1301" t="s">
        <v>108</v>
      </c>
      <c r="B1301" t="s">
        <v>56</v>
      </c>
      <c r="C1301" s="2"/>
      <c r="D1301" s="2"/>
      <c r="E1301" s="2"/>
      <c r="F1301" s="2"/>
      <c r="G1301" s="2"/>
      <c r="H1301" s="2"/>
      <c r="I1301" s="2"/>
      <c r="J1301" s="2"/>
      <c r="K1301" s="2"/>
      <c r="L1301" s="3">
        <f t="shared" si="63"/>
        <v>1.0523199229845667E-2</v>
      </c>
      <c r="M1301" s="3">
        <f t="shared" si="63"/>
        <v>5.2533110526417808E-3</v>
      </c>
    </row>
    <row r="1302" spans="1:13" x14ac:dyDescent="0.35">
      <c r="A1302" t="s">
        <v>108</v>
      </c>
      <c r="B1302" t="s">
        <v>57</v>
      </c>
      <c r="C1302" s="2"/>
      <c r="D1302" s="2"/>
      <c r="E1302" s="2"/>
      <c r="F1302" s="2"/>
      <c r="G1302" s="2"/>
      <c r="H1302" s="2"/>
      <c r="I1302" s="2"/>
      <c r="J1302" s="2"/>
      <c r="K1302" s="2"/>
      <c r="L1302" s="3">
        <f t="shared" si="63"/>
        <v>1.1314334515275498E-2</v>
      </c>
      <c r="M1302" s="3">
        <f t="shared" si="63"/>
        <v>5.6170472928692081E-3</v>
      </c>
    </row>
    <row r="1303" spans="1:13" x14ac:dyDescent="0.35">
      <c r="A1303" t="s">
        <v>108</v>
      </c>
      <c r="B1303" t="s">
        <v>58</v>
      </c>
      <c r="C1303" s="2"/>
      <c r="D1303" s="2"/>
      <c r="E1303" s="2"/>
      <c r="F1303" s="2"/>
      <c r="G1303" s="2"/>
      <c r="H1303" s="2"/>
      <c r="I1303" s="2"/>
      <c r="J1303" s="2"/>
      <c r="K1303" s="2"/>
      <c r="L1303" s="3">
        <f t="shared" si="63"/>
        <v>1.1756257795108518E-2</v>
      </c>
      <c r="M1303" s="3">
        <f t="shared" si="63"/>
        <v>5.7804870134068745E-3</v>
      </c>
    </row>
    <row r="1304" spans="1:13" x14ac:dyDescent="0.35">
      <c r="A1304" t="s">
        <v>108</v>
      </c>
      <c r="B1304" t="s">
        <v>59</v>
      </c>
      <c r="C1304" s="2"/>
      <c r="D1304" s="2"/>
      <c r="E1304" s="2"/>
      <c r="F1304" s="2"/>
      <c r="G1304" s="2"/>
      <c r="H1304" s="2"/>
      <c r="I1304" s="2"/>
      <c r="J1304" s="2"/>
      <c r="K1304" s="2"/>
      <c r="L1304" s="3">
        <f t="shared" ref="L1304:M1323" si="64">IF(COUNT(L825,L826,L827,L828,L829,L830)=6,AVERAGE(L825,L826,L827,L828,L829,L830),NA())</f>
        <v>1.1975233681558041E-2</v>
      </c>
      <c r="M1304" s="3">
        <f t="shared" si="64"/>
        <v>5.7536272907372579E-3</v>
      </c>
    </row>
    <row r="1305" spans="1:13" x14ac:dyDescent="0.35">
      <c r="A1305" t="s">
        <v>108</v>
      </c>
      <c r="B1305" t="s">
        <v>60</v>
      </c>
      <c r="C1305" s="2"/>
      <c r="D1305" s="2"/>
      <c r="E1305" s="2"/>
      <c r="F1305" s="2"/>
      <c r="G1305" s="2"/>
      <c r="H1305" s="2"/>
      <c r="I1305" s="2"/>
      <c r="J1305" s="2"/>
      <c r="K1305" s="2"/>
      <c r="L1305" s="3">
        <f t="shared" si="64"/>
        <v>1.2043344931444058E-2</v>
      </c>
      <c r="M1305" s="3">
        <f t="shared" si="64"/>
        <v>5.8266262213741054E-3</v>
      </c>
    </row>
    <row r="1306" spans="1:13" x14ac:dyDescent="0.35">
      <c r="A1306" t="s">
        <v>108</v>
      </c>
      <c r="B1306" t="s">
        <v>61</v>
      </c>
      <c r="C1306" s="2"/>
      <c r="D1306" s="2"/>
      <c r="E1306" s="2"/>
      <c r="F1306" s="2"/>
      <c r="G1306" s="2"/>
      <c r="H1306" s="2"/>
      <c r="I1306" s="2"/>
      <c r="J1306" s="2"/>
      <c r="K1306" s="2"/>
      <c r="L1306" s="3">
        <f t="shared" si="64"/>
        <v>1.2686030810558982E-2</v>
      </c>
      <c r="M1306" s="3">
        <f t="shared" si="64"/>
        <v>6.159801031258484E-3</v>
      </c>
    </row>
    <row r="1307" spans="1:13" x14ac:dyDescent="0.35">
      <c r="A1307" t="s">
        <v>108</v>
      </c>
      <c r="B1307" t="s">
        <v>62</v>
      </c>
      <c r="C1307" s="2"/>
      <c r="D1307" s="2"/>
      <c r="E1307" s="2"/>
      <c r="F1307" s="2"/>
      <c r="G1307" s="2"/>
      <c r="H1307" s="2"/>
      <c r="I1307" s="2"/>
      <c r="J1307" s="2"/>
      <c r="K1307" s="2"/>
      <c r="L1307" s="3">
        <f t="shared" si="64"/>
        <v>1.2605922061129848E-2</v>
      </c>
      <c r="M1307" s="3">
        <f t="shared" si="64"/>
        <v>6.0797815915824803E-3</v>
      </c>
    </row>
    <row r="1308" spans="1:13" x14ac:dyDescent="0.35">
      <c r="A1308" t="s">
        <v>108</v>
      </c>
      <c r="B1308" t="s">
        <v>63</v>
      </c>
      <c r="C1308" s="2"/>
      <c r="D1308" s="2"/>
      <c r="E1308" s="2"/>
      <c r="F1308" s="2"/>
      <c r="G1308" s="2"/>
      <c r="H1308" s="2"/>
      <c r="I1308" s="2"/>
      <c r="J1308" s="2"/>
      <c r="K1308" s="2"/>
      <c r="L1308" s="3">
        <f t="shared" si="64"/>
        <v>1.1710371436161535E-2</v>
      </c>
      <c r="M1308" s="3">
        <f t="shared" si="64"/>
        <v>5.6301881298423334E-3</v>
      </c>
    </row>
    <row r="1309" spans="1:13" x14ac:dyDescent="0.35">
      <c r="A1309" t="s">
        <v>108</v>
      </c>
      <c r="B1309" t="s">
        <v>64</v>
      </c>
      <c r="C1309" s="2"/>
      <c r="D1309" s="2"/>
      <c r="E1309" s="2"/>
      <c r="F1309" s="2"/>
      <c r="G1309" s="2"/>
      <c r="H1309" s="2"/>
      <c r="I1309" s="2"/>
      <c r="J1309" s="2"/>
      <c r="K1309" s="2"/>
      <c r="L1309" s="3">
        <f t="shared" si="64"/>
        <v>1.1573487265777794E-2</v>
      </c>
      <c r="M1309" s="3">
        <f t="shared" si="64"/>
        <v>5.6831003692476038E-3</v>
      </c>
    </row>
    <row r="1310" spans="1:13" x14ac:dyDescent="0.35">
      <c r="A1310" t="s">
        <v>108</v>
      </c>
      <c r="B1310" t="s">
        <v>65</v>
      </c>
      <c r="C1310" s="2"/>
      <c r="D1310" s="2"/>
      <c r="E1310" s="2"/>
      <c r="F1310" s="2"/>
      <c r="G1310" s="2"/>
      <c r="H1310" s="2"/>
      <c r="I1310" s="2"/>
      <c r="J1310" s="2"/>
      <c r="K1310" s="2"/>
      <c r="L1310" s="3">
        <f t="shared" si="64"/>
        <v>1.1590114101658838E-2</v>
      </c>
      <c r="M1310" s="3">
        <f t="shared" si="64"/>
        <v>5.7926024055374959E-3</v>
      </c>
    </row>
    <row r="1311" spans="1:13" x14ac:dyDescent="0.35">
      <c r="A1311" t="s">
        <v>108</v>
      </c>
      <c r="B1311" t="s">
        <v>66</v>
      </c>
      <c r="C1311" s="2"/>
      <c r="D1311" s="2"/>
      <c r="E1311" s="2"/>
      <c r="F1311" s="2"/>
      <c r="G1311" s="2"/>
      <c r="H1311" s="2"/>
      <c r="I1311" s="2"/>
      <c r="J1311" s="2"/>
      <c r="K1311" s="2"/>
      <c r="L1311" s="3">
        <f t="shared" si="64"/>
        <v>1.1512105220286145E-2</v>
      </c>
      <c r="M1311" s="3">
        <f t="shared" si="64"/>
        <v>5.6597782413459821E-3</v>
      </c>
    </row>
    <row r="1312" spans="1:13" x14ac:dyDescent="0.35">
      <c r="A1312" t="s">
        <v>108</v>
      </c>
      <c r="B1312" t="s">
        <v>67</v>
      </c>
      <c r="C1312" s="2"/>
      <c r="D1312" s="2"/>
      <c r="E1312" s="2"/>
      <c r="F1312" s="2"/>
      <c r="G1312" s="2"/>
      <c r="H1312" s="2"/>
      <c r="I1312" s="2"/>
      <c r="J1312" s="2"/>
      <c r="K1312" s="2"/>
      <c r="L1312" s="3">
        <f t="shared" si="64"/>
        <v>1.1066646731621865E-2</v>
      </c>
      <c r="M1312" s="3">
        <f t="shared" si="64"/>
        <v>5.3387706421335127E-3</v>
      </c>
    </row>
    <row r="1313" spans="1:13" x14ac:dyDescent="0.35">
      <c r="A1313" t="s">
        <v>108</v>
      </c>
      <c r="B1313" t="s">
        <v>68</v>
      </c>
      <c r="C1313" s="2"/>
      <c r="D1313" s="2"/>
      <c r="E1313" s="2"/>
      <c r="F1313" s="2"/>
      <c r="G1313" s="2"/>
      <c r="H1313" s="2"/>
      <c r="I1313" s="2"/>
      <c r="J1313" s="2"/>
      <c r="K1313" s="2"/>
      <c r="L1313" s="3">
        <f t="shared" si="64"/>
        <v>1.1177222470028952E-2</v>
      </c>
      <c r="M1313" s="3">
        <f t="shared" si="64"/>
        <v>5.4169309859369462E-3</v>
      </c>
    </row>
    <row r="1314" spans="1:13" x14ac:dyDescent="0.35">
      <c r="A1314" t="s">
        <v>108</v>
      </c>
      <c r="B1314" t="s">
        <v>69</v>
      </c>
      <c r="C1314" s="2"/>
      <c r="D1314" s="2"/>
      <c r="E1314" s="2"/>
      <c r="F1314" s="2"/>
      <c r="G1314" s="2"/>
      <c r="H1314" s="2"/>
      <c r="I1314" s="2"/>
      <c r="J1314" s="2"/>
      <c r="K1314" s="2"/>
      <c r="L1314" s="3">
        <f t="shared" si="64"/>
        <v>1.1812489032878811E-2</v>
      </c>
      <c r="M1314" s="3">
        <f t="shared" si="64"/>
        <v>5.5993572077360559E-3</v>
      </c>
    </row>
    <row r="1315" spans="1:13" x14ac:dyDescent="0.35">
      <c r="A1315" t="s">
        <v>108</v>
      </c>
      <c r="B1315" t="s">
        <v>70</v>
      </c>
      <c r="C1315" s="2"/>
      <c r="D1315" s="2"/>
      <c r="E1315" s="2"/>
      <c r="F1315" s="2"/>
      <c r="G1315" s="2"/>
      <c r="H1315" s="2"/>
      <c r="I1315" s="2"/>
      <c r="J1315" s="2"/>
      <c r="K1315" s="2"/>
      <c r="L1315" s="3">
        <f t="shared" si="64"/>
        <v>1.2174072470655712E-2</v>
      </c>
      <c r="M1315" s="3">
        <f t="shared" si="64"/>
        <v>5.828157215757618E-3</v>
      </c>
    </row>
    <row r="1316" spans="1:13" x14ac:dyDescent="0.35">
      <c r="A1316" t="s">
        <v>108</v>
      </c>
      <c r="B1316" t="s">
        <v>71</v>
      </c>
      <c r="C1316" s="2"/>
      <c r="D1316" s="2"/>
      <c r="E1316" s="2"/>
      <c r="F1316" s="2"/>
      <c r="G1316" s="2"/>
      <c r="H1316" s="2"/>
      <c r="I1316" s="2"/>
      <c r="J1316" s="2"/>
      <c r="K1316" s="2"/>
      <c r="L1316" s="3">
        <f t="shared" si="64"/>
        <v>1.2425161996944383E-2</v>
      </c>
      <c r="M1316" s="3">
        <f t="shared" si="64"/>
        <v>5.852275335836943E-3</v>
      </c>
    </row>
    <row r="1317" spans="1:13" x14ac:dyDescent="0.35">
      <c r="A1317" t="s">
        <v>108</v>
      </c>
      <c r="B1317" t="s">
        <v>72</v>
      </c>
      <c r="C1317" s="2"/>
      <c r="D1317" s="2"/>
      <c r="E1317" s="2"/>
      <c r="F1317" s="2"/>
      <c r="G1317" s="2"/>
      <c r="H1317" s="2"/>
      <c r="I1317" s="2"/>
      <c r="J1317" s="2"/>
      <c r="K1317" s="2"/>
      <c r="L1317" s="3">
        <f t="shared" si="64"/>
        <v>1.2962552706404472E-2</v>
      </c>
      <c r="M1317" s="3">
        <f t="shared" si="64"/>
        <v>6.123419467950429E-3</v>
      </c>
    </row>
    <row r="1318" spans="1:13" x14ac:dyDescent="0.35">
      <c r="A1318" t="s">
        <v>108</v>
      </c>
      <c r="B1318" t="s">
        <v>73</v>
      </c>
      <c r="C1318" s="2"/>
      <c r="D1318" s="2"/>
      <c r="E1318" s="2"/>
      <c r="F1318" s="2"/>
      <c r="G1318" s="2"/>
      <c r="H1318" s="2"/>
      <c r="I1318" s="2"/>
      <c r="J1318" s="2"/>
      <c r="K1318" s="2"/>
      <c r="L1318" s="3">
        <f t="shared" si="64"/>
        <v>1.3784708663491843E-2</v>
      </c>
      <c r="M1318" s="3">
        <f t="shared" si="64"/>
        <v>6.8856059564245354E-3</v>
      </c>
    </row>
    <row r="1319" spans="1:13" x14ac:dyDescent="0.35">
      <c r="A1319" t="s">
        <v>108</v>
      </c>
      <c r="B1319" t="s">
        <v>74</v>
      </c>
      <c r="C1319" s="2"/>
      <c r="D1319" s="2"/>
      <c r="E1319" s="2"/>
      <c r="F1319" s="2"/>
      <c r="G1319" s="2"/>
      <c r="H1319" s="2"/>
      <c r="I1319" s="2"/>
      <c r="J1319" s="2"/>
      <c r="K1319" s="2"/>
      <c r="L1319" s="3">
        <f t="shared" si="64"/>
        <v>1.4023092903592571E-2</v>
      </c>
      <c r="M1319" s="3">
        <f t="shared" si="64"/>
        <v>6.7268675852679817E-3</v>
      </c>
    </row>
    <row r="1320" spans="1:13" x14ac:dyDescent="0.35">
      <c r="A1320" t="s">
        <v>108</v>
      </c>
      <c r="B1320" t="s">
        <v>75</v>
      </c>
      <c r="C1320" s="2"/>
      <c r="D1320" s="2"/>
      <c r="E1320" s="2"/>
      <c r="F1320" s="2"/>
      <c r="G1320" s="2"/>
      <c r="H1320" s="2"/>
      <c r="I1320" s="2"/>
      <c r="J1320" s="2"/>
      <c r="K1320" s="2"/>
      <c r="L1320" s="3">
        <f t="shared" si="64"/>
        <v>1.4038810781765415E-2</v>
      </c>
      <c r="M1320" s="3">
        <f t="shared" si="64"/>
        <v>6.9067893464386495E-3</v>
      </c>
    </row>
    <row r="1321" spans="1:13" x14ac:dyDescent="0.35">
      <c r="A1321" t="s">
        <v>108</v>
      </c>
      <c r="B1321" t="s">
        <v>76</v>
      </c>
      <c r="C1321" s="2"/>
      <c r="D1321" s="2"/>
      <c r="E1321" s="2"/>
      <c r="F1321" s="2"/>
      <c r="G1321" s="2"/>
      <c r="H1321" s="2"/>
      <c r="I1321" s="2"/>
      <c r="J1321" s="2"/>
      <c r="K1321" s="2"/>
      <c r="L1321" s="3">
        <f t="shared" si="64"/>
        <v>1.3811395949054757E-2</v>
      </c>
      <c r="M1321" s="3">
        <f t="shared" si="64"/>
        <v>6.6688613562224429E-3</v>
      </c>
    </row>
    <row r="1322" spans="1:13" x14ac:dyDescent="0.35">
      <c r="A1322" t="s">
        <v>108</v>
      </c>
      <c r="B1322" t="s">
        <v>77</v>
      </c>
      <c r="C1322" s="2"/>
      <c r="D1322" s="2"/>
      <c r="E1322" s="2"/>
      <c r="F1322" s="2"/>
      <c r="G1322" s="2"/>
      <c r="H1322" s="2"/>
      <c r="I1322" s="2"/>
      <c r="J1322" s="2"/>
      <c r="K1322" s="2"/>
      <c r="L1322" s="3">
        <f t="shared" si="64"/>
        <v>1.3844514098231129E-2</v>
      </c>
      <c r="M1322" s="3">
        <f t="shared" si="64"/>
        <v>6.6913925528259768E-3</v>
      </c>
    </row>
    <row r="1323" spans="1:13" x14ac:dyDescent="0.35">
      <c r="A1323" t="s">
        <v>108</v>
      </c>
      <c r="B1323" t="s">
        <v>78</v>
      </c>
      <c r="C1323" s="2"/>
      <c r="D1323" s="2"/>
      <c r="E1323" s="2"/>
      <c r="F1323" s="2"/>
      <c r="G1323" s="2"/>
      <c r="H1323" s="2"/>
      <c r="I1323" s="2"/>
      <c r="J1323" s="2"/>
      <c r="K1323" s="2"/>
      <c r="L1323" s="3">
        <f t="shared" si="64"/>
        <v>1.3602406976441767E-2</v>
      </c>
      <c r="M1323" s="3">
        <f t="shared" si="64"/>
        <v>6.5081092022568066E-3</v>
      </c>
    </row>
    <row r="1324" spans="1:13" x14ac:dyDescent="0.35">
      <c r="A1324" t="s">
        <v>108</v>
      </c>
      <c r="B1324" t="s">
        <v>79</v>
      </c>
      <c r="C1324" s="2"/>
      <c r="D1324" s="2"/>
      <c r="E1324" s="2"/>
      <c r="F1324" s="2"/>
      <c r="G1324" s="2"/>
      <c r="H1324" s="2"/>
      <c r="I1324" s="2"/>
      <c r="J1324" s="2"/>
      <c r="K1324" s="2"/>
      <c r="L1324" s="3">
        <f t="shared" ref="L1324:M1343" si="65">IF(COUNT(L845,L846,L847,L848,L849,L850)=6,AVERAGE(L845,L846,L847,L848,L849,L850),NA())</f>
        <v>1.3027752485564911E-2</v>
      </c>
      <c r="M1324" s="3">
        <f t="shared" si="65"/>
        <v>5.8044762970391175E-3</v>
      </c>
    </row>
    <row r="1325" spans="1:13" x14ac:dyDescent="0.35">
      <c r="A1325" t="s">
        <v>108</v>
      </c>
      <c r="B1325" t="s">
        <v>80</v>
      </c>
      <c r="C1325" s="2"/>
      <c r="D1325" s="2"/>
      <c r="E1325" s="2"/>
      <c r="F1325" s="2"/>
      <c r="G1325" s="2"/>
      <c r="H1325" s="2"/>
      <c r="I1325" s="2"/>
      <c r="J1325" s="2"/>
      <c r="K1325" s="2"/>
      <c r="L1325" s="3">
        <f t="shared" si="65"/>
        <v>1.3103565632268693E-2</v>
      </c>
      <c r="M1325" s="3">
        <f t="shared" si="65"/>
        <v>6.0333213744583466E-3</v>
      </c>
    </row>
    <row r="1326" spans="1:13" x14ac:dyDescent="0.35">
      <c r="A1326" t="s">
        <v>108</v>
      </c>
      <c r="B1326" t="s">
        <v>81</v>
      </c>
      <c r="C1326" s="2"/>
      <c r="D1326" s="2"/>
      <c r="E1326" s="2"/>
      <c r="F1326" s="2"/>
      <c r="G1326" s="2"/>
      <c r="H1326" s="2"/>
      <c r="I1326" s="2"/>
      <c r="J1326" s="2"/>
      <c r="K1326" s="2"/>
      <c r="L1326" s="3">
        <f t="shared" si="65"/>
        <v>1.3382373623776487E-2</v>
      </c>
      <c r="M1326" s="3">
        <f t="shared" si="65"/>
        <v>6.1100263462899882E-3</v>
      </c>
    </row>
    <row r="1327" spans="1:13" x14ac:dyDescent="0.35">
      <c r="A1327" t="s">
        <v>108</v>
      </c>
      <c r="B1327" t="s">
        <v>82</v>
      </c>
      <c r="C1327" s="2"/>
      <c r="D1327" s="2"/>
      <c r="E1327" s="2"/>
      <c r="F1327" s="2"/>
      <c r="G1327" s="2"/>
      <c r="H1327" s="2"/>
      <c r="I1327" s="2"/>
      <c r="J1327" s="2"/>
      <c r="K1327" s="2"/>
      <c r="L1327" s="3">
        <f t="shared" si="65"/>
        <v>1.3851897867603456E-2</v>
      </c>
      <c r="M1327" s="3">
        <f t="shared" si="65"/>
        <v>6.2552484084794765E-3</v>
      </c>
    </row>
    <row r="1328" spans="1:13" x14ac:dyDescent="0.35">
      <c r="A1328" t="s">
        <v>108</v>
      </c>
      <c r="B1328" t="s">
        <v>83</v>
      </c>
      <c r="C1328" s="2"/>
      <c r="D1328" s="2"/>
      <c r="E1328" s="2"/>
      <c r="F1328" s="2"/>
      <c r="G1328" s="2"/>
      <c r="H1328" s="2"/>
      <c r="I1328" s="2"/>
      <c r="J1328" s="2"/>
      <c r="K1328" s="2"/>
      <c r="L1328" s="3">
        <f t="shared" si="65"/>
        <v>1.3814915341163829E-2</v>
      </c>
      <c r="M1328" s="3">
        <f t="shared" si="65"/>
        <v>6.2916441176612305E-3</v>
      </c>
    </row>
    <row r="1329" spans="1:13" x14ac:dyDescent="0.35">
      <c r="A1329" t="s">
        <v>108</v>
      </c>
      <c r="B1329" t="s">
        <v>84</v>
      </c>
      <c r="C1329" s="2"/>
      <c r="D1329" s="2"/>
      <c r="E1329" s="2"/>
      <c r="F1329" s="2"/>
      <c r="G1329" s="2"/>
      <c r="H1329" s="2"/>
      <c r="I1329" s="2"/>
      <c r="J1329" s="2"/>
      <c r="K1329" s="2"/>
      <c r="L1329" s="3">
        <f t="shared" si="65"/>
        <v>1.401799826353492E-2</v>
      </c>
      <c r="M1329" s="3">
        <f t="shared" si="65"/>
        <v>6.2692731108909246E-3</v>
      </c>
    </row>
    <row r="1330" spans="1:13" x14ac:dyDescent="0.35">
      <c r="A1330" t="s">
        <v>108</v>
      </c>
      <c r="B1330" t="s">
        <v>85</v>
      </c>
      <c r="C1330" s="2"/>
      <c r="D1330" s="2"/>
      <c r="E1330" s="2"/>
      <c r="F1330" s="2"/>
      <c r="G1330" s="2"/>
      <c r="H1330" s="2"/>
      <c r="I1330" s="2"/>
      <c r="J1330" s="2"/>
      <c r="K1330" s="2"/>
      <c r="L1330" s="3">
        <f t="shared" si="65"/>
        <v>1.5286339530128359E-2</v>
      </c>
      <c r="M1330" s="3">
        <f t="shared" si="65"/>
        <v>6.8211308162114031E-3</v>
      </c>
    </row>
    <row r="1331" spans="1:13" x14ac:dyDescent="0.35">
      <c r="A1331" t="s">
        <v>108</v>
      </c>
      <c r="B1331" t="s">
        <v>86</v>
      </c>
      <c r="C1331" s="2"/>
      <c r="D1331" s="2"/>
      <c r="E1331" s="2"/>
      <c r="F1331" s="2"/>
      <c r="G1331" s="2"/>
      <c r="H1331" s="2"/>
      <c r="I1331" s="2"/>
      <c r="J1331" s="2"/>
      <c r="K1331" s="2"/>
      <c r="L1331" s="3">
        <f t="shared" si="65"/>
        <v>1.5658525605521566E-2</v>
      </c>
      <c r="M1331" s="3">
        <f t="shared" si="65"/>
        <v>6.5914160569583132E-3</v>
      </c>
    </row>
    <row r="1332" spans="1:13" x14ac:dyDescent="0.35">
      <c r="A1332" t="s">
        <v>108</v>
      </c>
      <c r="B1332" t="s">
        <v>87</v>
      </c>
      <c r="C1332" s="2"/>
      <c r="D1332" s="2"/>
      <c r="E1332" s="2"/>
      <c r="F1332" s="2"/>
      <c r="G1332" s="2"/>
      <c r="H1332" s="2"/>
      <c r="I1332" s="2"/>
      <c r="J1332" s="2"/>
      <c r="K1332" s="2"/>
      <c r="L1332" s="3">
        <f t="shared" si="65"/>
        <v>1.5434558795789999E-2</v>
      </c>
      <c r="M1332" s="3">
        <f t="shared" si="65"/>
        <v>6.3187745419203073E-3</v>
      </c>
    </row>
    <row r="1333" spans="1:13" x14ac:dyDescent="0.35">
      <c r="A1333" t="s">
        <v>108</v>
      </c>
      <c r="B1333" t="s">
        <v>88</v>
      </c>
      <c r="C1333" s="2"/>
      <c r="D1333" s="2"/>
      <c r="E1333" s="2"/>
      <c r="F1333" s="2"/>
      <c r="G1333" s="2"/>
      <c r="H1333" s="2"/>
      <c r="I1333" s="2"/>
      <c r="J1333" s="2"/>
      <c r="K1333" s="2"/>
      <c r="L1333" s="3">
        <f t="shared" si="65"/>
        <v>1.5321584539791849E-2</v>
      </c>
      <c r="M1333" s="3">
        <f t="shared" si="65"/>
        <v>5.8463246012610158E-3</v>
      </c>
    </row>
    <row r="1334" spans="1:13" x14ac:dyDescent="0.35">
      <c r="A1334" t="s">
        <v>108</v>
      </c>
      <c r="B1334" t="s">
        <v>89</v>
      </c>
      <c r="C1334" s="2"/>
      <c r="D1334" s="2"/>
      <c r="E1334" s="2"/>
      <c r="F1334" s="2"/>
      <c r="G1334" s="2"/>
      <c r="H1334" s="2"/>
      <c r="I1334" s="2"/>
      <c r="J1334" s="2"/>
      <c r="K1334" s="2"/>
      <c r="L1334" s="3">
        <f t="shared" si="65"/>
        <v>1.5959850754209842E-2</v>
      </c>
      <c r="M1334" s="3">
        <f t="shared" si="65"/>
        <v>5.6454010734360615E-3</v>
      </c>
    </row>
    <row r="1335" spans="1:13" x14ac:dyDescent="0.35">
      <c r="A1335" t="s">
        <v>108</v>
      </c>
      <c r="B1335" t="s">
        <v>90</v>
      </c>
      <c r="C1335" s="2"/>
      <c r="D1335" s="2"/>
      <c r="E1335" s="2"/>
      <c r="F1335" s="2"/>
      <c r="G1335" s="2"/>
      <c r="H1335" s="2"/>
      <c r="I1335" s="2"/>
      <c r="J1335" s="2"/>
      <c r="K1335" s="2"/>
      <c r="L1335" s="3">
        <f t="shared" si="65"/>
        <v>1.6123226663818848E-2</v>
      </c>
      <c r="M1335" s="3">
        <f t="shared" si="65"/>
        <v>5.2386843229929462E-3</v>
      </c>
    </row>
    <row r="1336" spans="1:13" x14ac:dyDescent="0.35">
      <c r="A1336" t="s">
        <v>108</v>
      </c>
      <c r="B1336" t="s">
        <v>91</v>
      </c>
      <c r="C1336" s="2"/>
      <c r="D1336" s="2"/>
      <c r="E1336" s="2"/>
      <c r="F1336" s="2"/>
      <c r="G1336" s="2"/>
      <c r="H1336" s="2"/>
      <c r="I1336" s="2"/>
      <c r="J1336" s="2"/>
      <c r="K1336" s="2"/>
      <c r="L1336" s="3">
        <f t="shared" si="65"/>
        <v>1.6009252988698468E-2</v>
      </c>
      <c r="M1336" s="3">
        <f t="shared" si="65"/>
        <v>4.7193058923631851E-3</v>
      </c>
    </row>
    <row r="1337" spans="1:13" x14ac:dyDescent="0.35">
      <c r="A1337" t="s">
        <v>108</v>
      </c>
      <c r="B1337" t="s">
        <v>95</v>
      </c>
      <c r="C1337" s="2"/>
      <c r="D1337" s="2"/>
      <c r="E1337" s="2"/>
      <c r="F1337" s="2"/>
      <c r="G1337" s="2"/>
      <c r="H1337" s="2"/>
      <c r="I1337" s="2"/>
      <c r="J1337" s="2"/>
      <c r="K1337" s="2"/>
      <c r="L1337" s="3">
        <f t="shared" si="65"/>
        <v>1.6945851173121956E-2</v>
      </c>
      <c r="M1337" s="3">
        <f t="shared" si="65"/>
        <v>4.1503892142942559E-3</v>
      </c>
    </row>
    <row r="1338" spans="1:13" x14ac:dyDescent="0.35">
      <c r="A1338" t="s">
        <v>109</v>
      </c>
      <c r="B1338" t="s">
        <v>14</v>
      </c>
      <c r="C1338" s="2"/>
      <c r="D1338" s="2"/>
      <c r="E1338" s="2"/>
      <c r="F1338" s="2"/>
      <c r="G1338" s="2"/>
      <c r="H1338" s="2"/>
      <c r="I1338" s="2"/>
      <c r="J1338" s="2"/>
      <c r="K1338" s="2"/>
      <c r="L1338" s="3" t="e">
        <f>NA()</f>
        <v>#N/A</v>
      </c>
      <c r="M1338" s="3" t="e">
        <f>NA()</f>
        <v>#N/A</v>
      </c>
    </row>
    <row r="1339" spans="1:13" x14ac:dyDescent="0.35">
      <c r="A1339" t="s">
        <v>109</v>
      </c>
      <c r="B1339" t="s">
        <v>15</v>
      </c>
      <c r="C1339" s="2"/>
      <c r="D1339" s="2"/>
      <c r="E1339" s="2"/>
      <c r="F1339" s="2"/>
      <c r="G1339" s="2"/>
      <c r="H1339" s="2"/>
      <c r="I1339" s="2"/>
      <c r="J1339" s="2"/>
      <c r="K1339" s="2"/>
      <c r="L1339" s="3" t="e">
        <f>NA()</f>
        <v>#N/A</v>
      </c>
      <c r="M1339" s="3" t="e">
        <f>NA()</f>
        <v>#N/A</v>
      </c>
    </row>
    <row r="1340" spans="1:13" x14ac:dyDescent="0.35">
      <c r="A1340" t="s">
        <v>109</v>
      </c>
      <c r="B1340" t="s">
        <v>16</v>
      </c>
      <c r="C1340" s="2"/>
      <c r="D1340" s="2"/>
      <c r="E1340" s="2"/>
      <c r="F1340" s="2"/>
      <c r="G1340" s="2"/>
      <c r="H1340" s="2"/>
      <c r="I1340" s="2"/>
      <c r="J1340" s="2"/>
      <c r="K1340" s="2"/>
      <c r="L1340" s="3" t="e">
        <f>NA()</f>
        <v>#N/A</v>
      </c>
      <c r="M1340" s="3" t="e">
        <f>NA()</f>
        <v>#N/A</v>
      </c>
    </row>
    <row r="1341" spans="1:13" x14ac:dyDescent="0.35">
      <c r="A1341" t="s">
        <v>109</v>
      </c>
      <c r="B1341" t="s">
        <v>17</v>
      </c>
      <c r="C1341" s="2"/>
      <c r="D1341" s="2"/>
      <c r="E1341" s="2"/>
      <c r="F1341" s="2"/>
      <c r="G1341" s="2"/>
      <c r="H1341" s="2"/>
      <c r="I1341" s="2"/>
      <c r="J1341" s="2"/>
      <c r="K1341" s="2"/>
      <c r="L1341" s="3" t="e">
        <f>NA()</f>
        <v>#N/A</v>
      </c>
      <c r="M1341" s="3" t="e">
        <f>NA()</f>
        <v>#N/A</v>
      </c>
    </row>
    <row r="1342" spans="1:13" x14ac:dyDescent="0.35">
      <c r="A1342" t="s">
        <v>109</v>
      </c>
      <c r="B1342" t="s">
        <v>18</v>
      </c>
      <c r="C1342" s="2"/>
      <c r="D1342" s="2"/>
      <c r="E1342" s="2"/>
      <c r="F1342" s="2"/>
      <c r="G1342" s="2"/>
      <c r="H1342" s="2"/>
      <c r="I1342" s="2"/>
      <c r="J1342" s="2"/>
      <c r="K1342" s="2"/>
      <c r="L1342" s="3" t="e">
        <f>NA()</f>
        <v>#N/A</v>
      </c>
      <c r="M1342" s="3" t="e">
        <f>NA()</f>
        <v>#N/A</v>
      </c>
    </row>
    <row r="1343" spans="1:13" x14ac:dyDescent="0.35">
      <c r="A1343" t="s">
        <v>109</v>
      </c>
      <c r="B1343" t="s">
        <v>19</v>
      </c>
      <c r="C1343" s="2"/>
      <c r="D1343" s="2"/>
      <c r="E1343" s="2"/>
      <c r="F1343" s="2"/>
      <c r="G1343" s="2"/>
      <c r="H1343" s="2"/>
      <c r="I1343" s="2"/>
      <c r="J1343" s="2"/>
      <c r="K1343" s="2"/>
      <c r="L1343" s="3">
        <f t="shared" ref="L1343:M1362" si="66">IF(COUNT(L864,L865,L866,L867,L868,L869)=6,AVERAGE(L864,L865,L866,L867,L868,L869),NA())</f>
        <v>4.8207694928321639E-3</v>
      </c>
      <c r="M1343" s="3">
        <f t="shared" si="66"/>
        <v>1.1165664678526462E-3</v>
      </c>
    </row>
    <row r="1344" spans="1:13" x14ac:dyDescent="0.35">
      <c r="A1344" t="s">
        <v>109</v>
      </c>
      <c r="B1344" t="s">
        <v>20</v>
      </c>
      <c r="C1344" s="2"/>
      <c r="D1344" s="2"/>
      <c r="E1344" s="2"/>
      <c r="F1344" s="2"/>
      <c r="G1344" s="2"/>
      <c r="H1344" s="2"/>
      <c r="I1344" s="2"/>
      <c r="J1344" s="2"/>
      <c r="K1344" s="2"/>
      <c r="L1344" s="3">
        <f t="shared" si="66"/>
        <v>4.7813652150344782E-3</v>
      </c>
      <c r="M1344" s="3">
        <f t="shared" si="66"/>
        <v>1.092929174221872E-3</v>
      </c>
    </row>
    <row r="1345" spans="1:13" x14ac:dyDescent="0.35">
      <c r="A1345" t="s">
        <v>109</v>
      </c>
      <c r="B1345" t="s">
        <v>21</v>
      </c>
      <c r="C1345" s="2"/>
      <c r="D1345" s="2"/>
      <c r="E1345" s="2"/>
      <c r="F1345" s="2"/>
      <c r="G1345" s="2"/>
      <c r="H1345" s="2"/>
      <c r="I1345" s="2"/>
      <c r="J1345" s="2"/>
      <c r="K1345" s="2"/>
      <c r="L1345" s="3">
        <f t="shared" si="66"/>
        <v>4.9055597663551559E-3</v>
      </c>
      <c r="M1345" s="3">
        <f t="shared" si="66"/>
        <v>1.1491195031604667E-3</v>
      </c>
    </row>
    <row r="1346" spans="1:13" x14ac:dyDescent="0.35">
      <c r="A1346" t="s">
        <v>109</v>
      </c>
      <c r="B1346" t="s">
        <v>22</v>
      </c>
      <c r="C1346" s="2"/>
      <c r="D1346" s="2"/>
      <c r="E1346" s="2"/>
      <c r="F1346" s="2"/>
      <c r="G1346" s="2"/>
      <c r="H1346" s="2"/>
      <c r="I1346" s="2"/>
      <c r="J1346" s="2"/>
      <c r="K1346" s="2"/>
      <c r="L1346" s="3">
        <f t="shared" si="66"/>
        <v>4.9022358920414134E-3</v>
      </c>
      <c r="M1346" s="3">
        <f t="shared" si="66"/>
        <v>1.1479392867240021E-3</v>
      </c>
    </row>
    <row r="1347" spans="1:13" x14ac:dyDescent="0.35">
      <c r="A1347" t="s">
        <v>109</v>
      </c>
      <c r="B1347" t="s">
        <v>23</v>
      </c>
      <c r="C1347" s="2"/>
      <c r="D1347" s="2"/>
      <c r="E1347" s="2"/>
      <c r="F1347" s="2"/>
      <c r="G1347" s="2"/>
      <c r="H1347" s="2"/>
      <c r="I1347" s="2"/>
      <c r="J1347" s="2"/>
      <c r="K1347" s="2"/>
      <c r="L1347" s="3">
        <f t="shared" si="66"/>
        <v>4.6610478305493348E-3</v>
      </c>
      <c r="M1347" s="3">
        <f t="shared" si="66"/>
        <v>1.1086757449488393E-3</v>
      </c>
    </row>
    <row r="1348" spans="1:13" x14ac:dyDescent="0.35">
      <c r="A1348" t="s">
        <v>109</v>
      </c>
      <c r="B1348" t="s">
        <v>24</v>
      </c>
      <c r="C1348" s="2"/>
      <c r="D1348" s="2"/>
      <c r="E1348" s="2"/>
      <c r="F1348" s="2"/>
      <c r="G1348" s="2"/>
      <c r="H1348" s="2"/>
      <c r="I1348" s="2"/>
      <c r="J1348" s="2"/>
      <c r="K1348" s="2"/>
      <c r="L1348" s="3">
        <f t="shared" si="66"/>
        <v>4.5258869717620543E-3</v>
      </c>
      <c r="M1348" s="3">
        <f t="shared" si="66"/>
        <v>1.0563782785006505E-3</v>
      </c>
    </row>
    <row r="1349" spans="1:13" x14ac:dyDescent="0.35">
      <c r="A1349" t="s">
        <v>109</v>
      </c>
      <c r="B1349" t="s">
        <v>25</v>
      </c>
      <c r="C1349" s="2"/>
      <c r="D1349" s="2"/>
      <c r="E1349" s="2"/>
      <c r="F1349" s="2"/>
      <c r="G1349" s="2"/>
      <c r="H1349" s="2"/>
      <c r="I1349" s="2"/>
      <c r="J1349" s="2"/>
      <c r="K1349" s="2"/>
      <c r="L1349" s="3">
        <f t="shared" si="66"/>
        <v>4.5821889793233516E-3</v>
      </c>
      <c r="M1349" s="3">
        <f t="shared" si="66"/>
        <v>1.0691086688954994E-3</v>
      </c>
    </row>
    <row r="1350" spans="1:13" x14ac:dyDescent="0.35">
      <c r="A1350" t="s">
        <v>109</v>
      </c>
      <c r="B1350" t="s">
        <v>26</v>
      </c>
      <c r="C1350" s="2"/>
      <c r="D1350" s="2"/>
      <c r="E1350" s="2"/>
      <c r="F1350" s="2"/>
      <c r="G1350" s="2"/>
      <c r="H1350" s="2"/>
      <c r="I1350" s="2"/>
      <c r="J1350" s="2"/>
      <c r="K1350" s="2"/>
      <c r="L1350" s="3">
        <f t="shared" si="66"/>
        <v>4.686809899361045E-3</v>
      </c>
      <c r="M1350" s="3">
        <f t="shared" si="66"/>
        <v>1.1279956870393264E-3</v>
      </c>
    </row>
    <row r="1351" spans="1:13" x14ac:dyDescent="0.35">
      <c r="A1351" t="s">
        <v>109</v>
      </c>
      <c r="B1351" t="s">
        <v>27</v>
      </c>
      <c r="C1351" s="2"/>
      <c r="D1351" s="2"/>
      <c r="E1351" s="2"/>
      <c r="F1351" s="2"/>
      <c r="G1351" s="2"/>
      <c r="H1351" s="2"/>
      <c r="I1351" s="2"/>
      <c r="J1351" s="2"/>
      <c r="K1351" s="2"/>
      <c r="L1351" s="3">
        <f t="shared" si="66"/>
        <v>4.6059453691827358E-3</v>
      </c>
      <c r="M1351" s="3">
        <f t="shared" si="66"/>
        <v>1.0920798582749168E-3</v>
      </c>
    </row>
    <row r="1352" spans="1:13" x14ac:dyDescent="0.35">
      <c r="A1352" t="s">
        <v>109</v>
      </c>
      <c r="B1352" t="s">
        <v>28</v>
      </c>
      <c r="C1352" s="2"/>
      <c r="D1352" s="2"/>
      <c r="E1352" s="2"/>
      <c r="F1352" s="2"/>
      <c r="G1352" s="2"/>
      <c r="H1352" s="2"/>
      <c r="I1352" s="2"/>
      <c r="J1352" s="2"/>
      <c r="K1352" s="2"/>
      <c r="L1352" s="3">
        <f t="shared" si="66"/>
        <v>4.6125525030308962E-3</v>
      </c>
      <c r="M1352" s="3">
        <f t="shared" si="66"/>
        <v>1.1059598656292205E-3</v>
      </c>
    </row>
    <row r="1353" spans="1:13" x14ac:dyDescent="0.35">
      <c r="A1353" t="s">
        <v>109</v>
      </c>
      <c r="B1353" t="s">
        <v>29</v>
      </c>
      <c r="C1353" s="2"/>
      <c r="D1353" s="2"/>
      <c r="E1353" s="2"/>
      <c r="F1353" s="2"/>
      <c r="G1353" s="2"/>
      <c r="H1353" s="2"/>
      <c r="I1353" s="2"/>
      <c r="J1353" s="2"/>
      <c r="K1353" s="2"/>
      <c r="L1353" s="3">
        <f t="shared" si="66"/>
        <v>4.6257720794899747E-3</v>
      </c>
      <c r="M1353" s="3">
        <f t="shared" si="66"/>
        <v>1.103882588156354E-3</v>
      </c>
    </row>
    <row r="1354" spans="1:13" x14ac:dyDescent="0.35">
      <c r="A1354" t="s">
        <v>109</v>
      </c>
      <c r="B1354" t="s">
        <v>30</v>
      </c>
      <c r="C1354" s="2"/>
      <c r="D1354" s="2"/>
      <c r="E1354" s="2"/>
      <c r="F1354" s="2"/>
      <c r="G1354" s="2"/>
      <c r="H1354" s="2"/>
      <c r="I1354" s="2"/>
      <c r="J1354" s="2"/>
      <c r="K1354" s="2"/>
      <c r="L1354" s="3">
        <f t="shared" si="66"/>
        <v>4.5643093029755343E-3</v>
      </c>
      <c r="M1354" s="3">
        <f t="shared" si="66"/>
        <v>1.1106752424225208E-3</v>
      </c>
    </row>
    <row r="1355" spans="1:13" x14ac:dyDescent="0.35">
      <c r="A1355" t="s">
        <v>109</v>
      </c>
      <c r="B1355" t="s">
        <v>31</v>
      </c>
      <c r="C1355" s="2"/>
      <c r="D1355" s="2"/>
      <c r="E1355" s="2"/>
      <c r="F1355" s="2"/>
      <c r="G1355" s="2"/>
      <c r="H1355" s="2"/>
      <c r="I1355" s="2"/>
      <c r="J1355" s="2"/>
      <c r="K1355" s="2"/>
      <c r="L1355" s="3">
        <f t="shared" si="66"/>
        <v>4.4403994671880177E-3</v>
      </c>
      <c r="M1355" s="3">
        <f t="shared" si="66"/>
        <v>1.0824604586359993E-3</v>
      </c>
    </row>
    <row r="1356" spans="1:13" x14ac:dyDescent="0.35">
      <c r="A1356" t="s">
        <v>109</v>
      </c>
      <c r="B1356" t="s">
        <v>32</v>
      </c>
      <c r="C1356" s="2"/>
      <c r="D1356" s="2"/>
      <c r="E1356" s="2"/>
      <c r="F1356" s="2"/>
      <c r="G1356" s="2"/>
      <c r="H1356" s="2"/>
      <c r="I1356" s="2"/>
      <c r="J1356" s="2"/>
      <c r="K1356" s="2"/>
      <c r="L1356" s="3">
        <f t="shared" si="66"/>
        <v>4.3403451867622929E-3</v>
      </c>
      <c r="M1356" s="3">
        <f t="shared" si="66"/>
        <v>1.0241915033112994E-3</v>
      </c>
    </row>
    <row r="1357" spans="1:13" x14ac:dyDescent="0.35">
      <c r="A1357" t="s">
        <v>109</v>
      </c>
      <c r="B1357" t="s">
        <v>33</v>
      </c>
      <c r="C1357" s="2"/>
      <c r="D1357" s="2"/>
      <c r="E1357" s="2"/>
      <c r="F1357" s="2"/>
      <c r="G1357" s="2"/>
      <c r="H1357" s="2"/>
      <c r="I1357" s="2"/>
      <c r="J1357" s="2"/>
      <c r="K1357" s="2"/>
      <c r="L1357" s="3">
        <f t="shared" si="66"/>
        <v>4.4849051954542821E-3</v>
      </c>
      <c r="M1357" s="3">
        <f t="shared" si="66"/>
        <v>1.0767652401974387E-3</v>
      </c>
    </row>
    <row r="1358" spans="1:13" x14ac:dyDescent="0.35">
      <c r="A1358" t="s">
        <v>109</v>
      </c>
      <c r="B1358" t="s">
        <v>34</v>
      </c>
      <c r="C1358" s="2"/>
      <c r="D1358" s="2"/>
      <c r="E1358" s="2"/>
      <c r="F1358" s="2"/>
      <c r="G1358" s="2"/>
      <c r="H1358" s="2"/>
      <c r="I1358" s="2"/>
      <c r="J1358" s="2"/>
      <c r="K1358" s="2"/>
      <c r="L1358" s="3">
        <f t="shared" si="66"/>
        <v>4.5276651866689045E-3</v>
      </c>
      <c r="M1358" s="3">
        <f t="shared" si="66"/>
        <v>1.1150824690230846E-3</v>
      </c>
    </row>
    <row r="1359" spans="1:13" x14ac:dyDescent="0.35">
      <c r="A1359" t="s">
        <v>109</v>
      </c>
      <c r="B1359" t="s">
        <v>35</v>
      </c>
      <c r="C1359" s="2"/>
      <c r="D1359" s="2"/>
      <c r="E1359" s="2"/>
      <c r="F1359" s="2"/>
      <c r="G1359" s="2"/>
      <c r="H1359" s="2"/>
      <c r="I1359" s="2"/>
      <c r="J1359" s="2"/>
      <c r="K1359" s="2"/>
      <c r="L1359" s="3">
        <f t="shared" si="66"/>
        <v>4.5213217974077362E-3</v>
      </c>
      <c r="M1359" s="3">
        <f t="shared" si="66"/>
        <v>1.1390629140217018E-3</v>
      </c>
    </row>
    <row r="1360" spans="1:13" x14ac:dyDescent="0.35">
      <c r="A1360" t="s">
        <v>109</v>
      </c>
      <c r="B1360" t="s">
        <v>36</v>
      </c>
      <c r="C1360" s="2"/>
      <c r="D1360" s="2"/>
      <c r="E1360" s="2"/>
      <c r="F1360" s="2"/>
      <c r="G1360" s="2"/>
      <c r="H1360" s="2"/>
      <c r="I1360" s="2"/>
      <c r="J1360" s="2"/>
      <c r="K1360" s="2"/>
      <c r="L1360" s="3">
        <f t="shared" si="66"/>
        <v>4.5599436590244994E-3</v>
      </c>
      <c r="M1360" s="3">
        <f t="shared" si="66"/>
        <v>1.1344179765124557E-3</v>
      </c>
    </row>
    <row r="1361" spans="1:13" x14ac:dyDescent="0.35">
      <c r="A1361" t="s">
        <v>109</v>
      </c>
      <c r="B1361" t="s">
        <v>37</v>
      </c>
      <c r="C1361" s="2"/>
      <c r="D1361" s="2"/>
      <c r="E1361" s="2"/>
      <c r="F1361" s="2"/>
      <c r="G1361" s="2"/>
      <c r="H1361" s="2"/>
      <c r="I1361" s="2"/>
      <c r="J1361" s="2"/>
      <c r="K1361" s="2"/>
      <c r="L1361" s="3">
        <f t="shared" si="66"/>
        <v>4.6211283667773181E-3</v>
      </c>
      <c r="M1361" s="3">
        <f t="shared" si="66"/>
        <v>1.1662266424913249E-3</v>
      </c>
    </row>
    <row r="1362" spans="1:13" x14ac:dyDescent="0.35">
      <c r="A1362" t="s">
        <v>109</v>
      </c>
      <c r="B1362" t="s">
        <v>38</v>
      </c>
      <c r="C1362" s="2"/>
      <c r="D1362" s="2"/>
      <c r="E1362" s="2"/>
      <c r="F1362" s="2"/>
      <c r="G1362" s="2"/>
      <c r="H1362" s="2"/>
      <c r="I1362" s="2"/>
      <c r="J1362" s="2"/>
      <c r="K1362" s="2"/>
      <c r="L1362" s="3">
        <f t="shared" si="66"/>
        <v>4.7174704717395073E-3</v>
      </c>
      <c r="M1362" s="3">
        <f t="shared" si="66"/>
        <v>1.1589580698476679E-3</v>
      </c>
    </row>
    <row r="1363" spans="1:13" x14ac:dyDescent="0.35">
      <c r="A1363" t="s">
        <v>109</v>
      </c>
      <c r="B1363" t="s">
        <v>39</v>
      </c>
      <c r="C1363" s="2"/>
      <c r="D1363" s="2"/>
      <c r="E1363" s="2"/>
      <c r="F1363" s="2"/>
      <c r="G1363" s="2"/>
      <c r="H1363" s="2"/>
      <c r="I1363" s="2"/>
      <c r="J1363" s="2"/>
      <c r="K1363" s="2"/>
      <c r="L1363" s="3">
        <f t="shared" ref="L1363:M1382" si="67">IF(COUNT(L884,L885,L886,L887,L888,L889)=6,AVERAGE(L884,L885,L886,L887,L888,L889),NA())</f>
        <v>4.5582450537464351E-3</v>
      </c>
      <c r="M1363" s="3">
        <f t="shared" si="67"/>
        <v>1.1295722845380699E-3</v>
      </c>
    </row>
    <row r="1364" spans="1:13" x14ac:dyDescent="0.35">
      <c r="A1364" t="s">
        <v>109</v>
      </c>
      <c r="B1364" t="s">
        <v>40</v>
      </c>
      <c r="C1364" s="2"/>
      <c r="D1364" s="2"/>
      <c r="E1364" s="2"/>
      <c r="F1364" s="2"/>
      <c r="G1364" s="2"/>
      <c r="H1364" s="2"/>
      <c r="I1364" s="2"/>
      <c r="J1364" s="2"/>
      <c r="K1364" s="2"/>
      <c r="L1364" s="3">
        <f t="shared" si="67"/>
        <v>4.4643795335051412E-3</v>
      </c>
      <c r="M1364" s="3">
        <f t="shared" si="67"/>
        <v>1.0981819841062641E-3</v>
      </c>
    </row>
    <row r="1365" spans="1:13" x14ac:dyDescent="0.35">
      <c r="A1365" t="s">
        <v>109</v>
      </c>
      <c r="B1365" t="s">
        <v>41</v>
      </c>
      <c r="C1365" s="2"/>
      <c r="D1365" s="2"/>
      <c r="E1365" s="2"/>
      <c r="F1365" s="2"/>
      <c r="G1365" s="2"/>
      <c r="H1365" s="2"/>
      <c r="I1365" s="2"/>
      <c r="J1365" s="2"/>
      <c r="K1365" s="2"/>
      <c r="L1365" s="3">
        <f t="shared" si="67"/>
        <v>4.4024358886240386E-3</v>
      </c>
      <c r="M1365" s="3">
        <f t="shared" si="67"/>
        <v>1.1024946507217661E-3</v>
      </c>
    </row>
    <row r="1366" spans="1:13" x14ac:dyDescent="0.35">
      <c r="A1366" t="s">
        <v>109</v>
      </c>
      <c r="B1366" t="s">
        <v>42</v>
      </c>
      <c r="C1366" s="2"/>
      <c r="D1366" s="2"/>
      <c r="E1366" s="2"/>
      <c r="F1366" s="2"/>
      <c r="G1366" s="2"/>
      <c r="H1366" s="2"/>
      <c r="I1366" s="2"/>
      <c r="J1366" s="2"/>
      <c r="K1366" s="2"/>
      <c r="L1366" s="3">
        <f t="shared" si="67"/>
        <v>4.293046785371654E-3</v>
      </c>
      <c r="M1366" s="3">
        <f t="shared" si="67"/>
        <v>1.1137630171921039E-3</v>
      </c>
    </row>
    <row r="1367" spans="1:13" x14ac:dyDescent="0.35">
      <c r="A1367" t="s">
        <v>109</v>
      </c>
      <c r="B1367" t="s">
        <v>43</v>
      </c>
      <c r="C1367" s="2"/>
      <c r="D1367" s="2"/>
      <c r="E1367" s="2"/>
      <c r="F1367" s="2"/>
      <c r="G1367" s="2"/>
      <c r="H1367" s="2"/>
      <c r="I1367" s="2"/>
      <c r="J1367" s="2"/>
      <c r="K1367" s="2"/>
      <c r="L1367" s="3">
        <f t="shared" si="67"/>
        <v>4.2201008142491231E-3</v>
      </c>
      <c r="M1367" s="3">
        <f t="shared" si="67"/>
        <v>1.1372511827035831E-3</v>
      </c>
    </row>
    <row r="1368" spans="1:13" x14ac:dyDescent="0.35">
      <c r="A1368" t="s">
        <v>109</v>
      </c>
      <c r="B1368" t="s">
        <v>44</v>
      </c>
      <c r="C1368" s="2"/>
      <c r="D1368" s="2"/>
      <c r="E1368" s="2"/>
      <c r="F1368" s="2"/>
      <c r="G1368" s="2"/>
      <c r="H1368" s="2"/>
      <c r="I1368" s="2"/>
      <c r="J1368" s="2"/>
      <c r="K1368" s="2"/>
      <c r="L1368" s="3">
        <f t="shared" si="67"/>
        <v>4.0868567912851319E-3</v>
      </c>
      <c r="M1368" s="3">
        <f t="shared" si="67"/>
        <v>1.16231263112608E-3</v>
      </c>
    </row>
    <row r="1369" spans="1:13" x14ac:dyDescent="0.35">
      <c r="A1369" t="s">
        <v>109</v>
      </c>
      <c r="B1369" t="s">
        <v>45</v>
      </c>
      <c r="C1369" s="2"/>
      <c r="D1369" s="2"/>
      <c r="E1369" s="2"/>
      <c r="F1369" s="2"/>
      <c r="G1369" s="2"/>
      <c r="H1369" s="2"/>
      <c r="I1369" s="2"/>
      <c r="J1369" s="2"/>
      <c r="K1369" s="2"/>
      <c r="L1369" s="3">
        <f t="shared" si="67"/>
        <v>4.1282701128965505E-3</v>
      </c>
      <c r="M1369" s="3">
        <f t="shared" si="67"/>
        <v>1.2002177447251491E-3</v>
      </c>
    </row>
    <row r="1370" spans="1:13" x14ac:dyDescent="0.35">
      <c r="A1370" t="s">
        <v>109</v>
      </c>
      <c r="B1370" t="s">
        <v>46</v>
      </c>
      <c r="C1370" s="2"/>
      <c r="D1370" s="2"/>
      <c r="E1370" s="2"/>
      <c r="F1370" s="2"/>
      <c r="G1370" s="2"/>
      <c r="H1370" s="2"/>
      <c r="I1370" s="2"/>
      <c r="J1370" s="2"/>
      <c r="K1370" s="2"/>
      <c r="L1370" s="3">
        <f t="shared" si="67"/>
        <v>4.1127404655556428E-3</v>
      </c>
      <c r="M1370" s="3">
        <f t="shared" si="67"/>
        <v>1.2097323992939645E-3</v>
      </c>
    </row>
    <row r="1371" spans="1:13" x14ac:dyDescent="0.35">
      <c r="A1371" t="s">
        <v>109</v>
      </c>
      <c r="B1371" t="s">
        <v>47</v>
      </c>
      <c r="C1371" s="2"/>
      <c r="D1371" s="2"/>
      <c r="E1371" s="2"/>
      <c r="F1371" s="2"/>
      <c r="G1371" s="2"/>
      <c r="H1371" s="2"/>
      <c r="I1371" s="2"/>
      <c r="J1371" s="2"/>
      <c r="K1371" s="2"/>
      <c r="L1371" s="3">
        <f t="shared" si="67"/>
        <v>4.1131033884102448E-3</v>
      </c>
      <c r="M1371" s="3">
        <f t="shared" si="67"/>
        <v>1.1935488580899324E-3</v>
      </c>
    </row>
    <row r="1372" spans="1:13" x14ac:dyDescent="0.35">
      <c r="A1372" t="s">
        <v>109</v>
      </c>
      <c r="B1372" t="s">
        <v>48</v>
      </c>
      <c r="C1372" s="2"/>
      <c r="D1372" s="2"/>
      <c r="E1372" s="2"/>
      <c r="F1372" s="2"/>
      <c r="G1372" s="2"/>
      <c r="H1372" s="2"/>
      <c r="I1372" s="2"/>
      <c r="J1372" s="2"/>
      <c r="K1372" s="2"/>
      <c r="L1372" s="3">
        <f t="shared" si="67"/>
        <v>4.1355299633340434E-3</v>
      </c>
      <c r="M1372" s="3">
        <f t="shared" si="67"/>
        <v>1.2029113396500697E-3</v>
      </c>
    </row>
    <row r="1373" spans="1:13" x14ac:dyDescent="0.35">
      <c r="A1373" t="s">
        <v>109</v>
      </c>
      <c r="B1373" t="s">
        <v>49</v>
      </c>
      <c r="C1373" s="2"/>
      <c r="D1373" s="2"/>
      <c r="E1373" s="2"/>
      <c r="F1373" s="2"/>
      <c r="G1373" s="2"/>
      <c r="H1373" s="2"/>
      <c r="I1373" s="2"/>
      <c r="J1373" s="2"/>
      <c r="K1373" s="2"/>
      <c r="L1373" s="3">
        <f t="shared" si="67"/>
        <v>4.1993246849749847E-3</v>
      </c>
      <c r="M1373" s="3">
        <f t="shared" si="67"/>
        <v>1.2400309929027809E-3</v>
      </c>
    </row>
    <row r="1374" spans="1:13" x14ac:dyDescent="0.35">
      <c r="A1374" t="s">
        <v>109</v>
      </c>
      <c r="B1374" t="s">
        <v>50</v>
      </c>
      <c r="C1374" s="2"/>
      <c r="D1374" s="2"/>
      <c r="E1374" s="2"/>
      <c r="F1374" s="2"/>
      <c r="G1374" s="2"/>
      <c r="H1374" s="2"/>
      <c r="I1374" s="2"/>
      <c r="J1374" s="2"/>
      <c r="K1374" s="2"/>
      <c r="L1374" s="3">
        <f t="shared" si="67"/>
        <v>4.1653767042872493E-3</v>
      </c>
      <c r="M1374" s="3">
        <f t="shared" si="67"/>
        <v>1.2293099993237187E-3</v>
      </c>
    </row>
    <row r="1375" spans="1:13" x14ac:dyDescent="0.35">
      <c r="A1375" t="s">
        <v>109</v>
      </c>
      <c r="B1375" t="s">
        <v>51</v>
      </c>
      <c r="C1375" s="2"/>
      <c r="D1375" s="2"/>
      <c r="E1375" s="2"/>
      <c r="F1375" s="2"/>
      <c r="G1375" s="2"/>
      <c r="H1375" s="2"/>
      <c r="I1375" s="2"/>
      <c r="J1375" s="2"/>
      <c r="K1375" s="2"/>
      <c r="L1375" s="3">
        <f t="shared" si="67"/>
        <v>4.041118639552547E-3</v>
      </c>
      <c r="M1375" s="3">
        <f t="shared" si="67"/>
        <v>1.2016950643136248E-3</v>
      </c>
    </row>
    <row r="1376" spans="1:13" x14ac:dyDescent="0.35">
      <c r="A1376" t="s">
        <v>109</v>
      </c>
      <c r="B1376" t="s">
        <v>52</v>
      </c>
      <c r="C1376" s="2"/>
      <c r="D1376" s="2"/>
      <c r="E1376" s="2"/>
      <c r="F1376" s="2"/>
      <c r="G1376" s="2"/>
      <c r="H1376" s="2"/>
      <c r="I1376" s="2"/>
      <c r="J1376" s="2"/>
      <c r="K1376" s="2"/>
      <c r="L1376" s="3">
        <f t="shared" si="67"/>
        <v>4.1966782480456766E-3</v>
      </c>
      <c r="M1376" s="3">
        <f t="shared" si="67"/>
        <v>1.3158975510518328E-3</v>
      </c>
    </row>
    <row r="1377" spans="1:13" x14ac:dyDescent="0.35">
      <c r="A1377" t="s">
        <v>109</v>
      </c>
      <c r="B1377" t="s">
        <v>53</v>
      </c>
      <c r="C1377" s="2"/>
      <c r="D1377" s="2"/>
      <c r="E1377" s="2"/>
      <c r="F1377" s="2"/>
      <c r="G1377" s="2"/>
      <c r="H1377" s="2"/>
      <c r="I1377" s="2"/>
      <c r="J1377" s="2"/>
      <c r="K1377" s="2"/>
      <c r="L1377" s="3">
        <f t="shared" si="67"/>
        <v>4.2169110126615223E-3</v>
      </c>
      <c r="M1377" s="3">
        <f t="shared" si="67"/>
        <v>1.3624471205155942E-3</v>
      </c>
    </row>
    <row r="1378" spans="1:13" x14ac:dyDescent="0.35">
      <c r="A1378" t="s">
        <v>109</v>
      </c>
      <c r="B1378" t="s">
        <v>54</v>
      </c>
      <c r="C1378" s="2"/>
      <c r="D1378" s="2"/>
      <c r="E1378" s="2"/>
      <c r="F1378" s="2"/>
      <c r="G1378" s="2"/>
      <c r="H1378" s="2"/>
      <c r="I1378" s="2"/>
      <c r="J1378" s="2"/>
      <c r="K1378" s="2"/>
      <c r="L1378" s="3">
        <f t="shared" si="67"/>
        <v>4.1464112784285008E-3</v>
      </c>
      <c r="M1378" s="3">
        <f t="shared" si="67"/>
        <v>1.3420437982020765E-3</v>
      </c>
    </row>
    <row r="1379" spans="1:13" x14ac:dyDescent="0.35">
      <c r="A1379" t="s">
        <v>109</v>
      </c>
      <c r="B1379" t="s">
        <v>55</v>
      </c>
      <c r="C1379" s="2"/>
      <c r="D1379" s="2"/>
      <c r="E1379" s="2"/>
      <c r="F1379" s="2"/>
      <c r="G1379" s="2"/>
      <c r="H1379" s="2"/>
      <c r="I1379" s="2"/>
      <c r="J1379" s="2"/>
      <c r="K1379" s="2"/>
      <c r="L1379" s="3">
        <f t="shared" si="67"/>
        <v>4.0282633168150219E-3</v>
      </c>
      <c r="M1379" s="3">
        <f t="shared" si="67"/>
        <v>1.3240594444027193E-3</v>
      </c>
    </row>
    <row r="1380" spans="1:13" x14ac:dyDescent="0.35">
      <c r="A1380" t="s">
        <v>109</v>
      </c>
      <c r="B1380" t="s">
        <v>56</v>
      </c>
      <c r="C1380" s="2"/>
      <c r="D1380" s="2"/>
      <c r="E1380" s="2"/>
      <c r="F1380" s="2"/>
      <c r="G1380" s="2"/>
      <c r="H1380" s="2"/>
      <c r="I1380" s="2"/>
      <c r="J1380" s="2"/>
      <c r="K1380" s="2"/>
      <c r="L1380" s="3">
        <f t="shared" si="67"/>
        <v>4.0295118848416361E-3</v>
      </c>
      <c r="M1380" s="3">
        <f t="shared" si="67"/>
        <v>1.3863960648237477E-3</v>
      </c>
    </row>
    <row r="1381" spans="1:13" x14ac:dyDescent="0.35">
      <c r="A1381" t="s">
        <v>109</v>
      </c>
      <c r="B1381" t="s">
        <v>57</v>
      </c>
      <c r="C1381" s="2"/>
      <c r="D1381" s="2"/>
      <c r="E1381" s="2"/>
      <c r="F1381" s="2"/>
      <c r="G1381" s="2"/>
      <c r="H1381" s="2"/>
      <c r="I1381" s="2"/>
      <c r="J1381" s="2"/>
      <c r="K1381" s="2"/>
      <c r="L1381" s="3">
        <f t="shared" si="67"/>
        <v>4.1766406920822194E-3</v>
      </c>
      <c r="M1381" s="3">
        <f t="shared" si="67"/>
        <v>1.4646851268271925E-3</v>
      </c>
    </row>
    <row r="1382" spans="1:13" x14ac:dyDescent="0.35">
      <c r="A1382" t="s">
        <v>109</v>
      </c>
      <c r="B1382" t="s">
        <v>58</v>
      </c>
      <c r="C1382" s="2"/>
      <c r="D1382" s="2"/>
      <c r="E1382" s="2"/>
      <c r="F1382" s="2"/>
      <c r="G1382" s="2"/>
      <c r="H1382" s="2"/>
      <c r="I1382" s="2"/>
      <c r="J1382" s="2"/>
      <c r="K1382" s="2"/>
      <c r="L1382" s="3">
        <f t="shared" si="67"/>
        <v>4.1618020962202107E-3</v>
      </c>
      <c r="M1382" s="3">
        <f t="shared" si="67"/>
        <v>1.4364673521015351E-3</v>
      </c>
    </row>
    <row r="1383" spans="1:13" x14ac:dyDescent="0.35">
      <c r="A1383" t="s">
        <v>109</v>
      </c>
      <c r="B1383" t="s">
        <v>59</v>
      </c>
      <c r="C1383" s="2"/>
      <c r="D1383" s="2"/>
      <c r="E1383" s="2"/>
      <c r="F1383" s="2"/>
      <c r="G1383" s="2"/>
      <c r="H1383" s="2"/>
      <c r="I1383" s="2"/>
      <c r="J1383" s="2"/>
      <c r="K1383" s="2"/>
      <c r="L1383" s="3">
        <f t="shared" ref="L1383:M1402" si="68">IF(COUNT(L904,L905,L906,L907,L908,L909)=6,AVERAGE(L904,L905,L906,L907,L908,L909),NA())</f>
        <v>4.2058015554251827E-3</v>
      </c>
      <c r="M1383" s="3">
        <f t="shared" si="68"/>
        <v>1.4342944417078849E-3</v>
      </c>
    </row>
    <row r="1384" spans="1:13" x14ac:dyDescent="0.35">
      <c r="A1384" t="s">
        <v>109</v>
      </c>
      <c r="B1384" t="s">
        <v>60</v>
      </c>
      <c r="C1384" s="2"/>
      <c r="D1384" s="2"/>
      <c r="E1384" s="2"/>
      <c r="F1384" s="2"/>
      <c r="G1384" s="2"/>
      <c r="H1384" s="2"/>
      <c r="I1384" s="2"/>
      <c r="J1384" s="2"/>
      <c r="K1384" s="2"/>
      <c r="L1384" s="3">
        <f t="shared" si="68"/>
        <v>4.3405870532097768E-3</v>
      </c>
      <c r="M1384" s="3">
        <f t="shared" si="68"/>
        <v>1.5096612831026147E-3</v>
      </c>
    </row>
    <row r="1385" spans="1:13" x14ac:dyDescent="0.35">
      <c r="A1385" t="s">
        <v>109</v>
      </c>
      <c r="B1385" t="s">
        <v>61</v>
      </c>
      <c r="C1385" s="2"/>
      <c r="D1385" s="2"/>
      <c r="E1385" s="2"/>
      <c r="F1385" s="2"/>
      <c r="G1385" s="2"/>
      <c r="H1385" s="2"/>
      <c r="I1385" s="2"/>
      <c r="J1385" s="2"/>
      <c r="K1385" s="2"/>
      <c r="L1385" s="3">
        <f t="shared" si="68"/>
        <v>4.5552015561074969E-3</v>
      </c>
      <c r="M1385" s="3">
        <f t="shared" si="68"/>
        <v>1.6089197596671327E-3</v>
      </c>
    </row>
    <row r="1386" spans="1:13" x14ac:dyDescent="0.35">
      <c r="A1386" t="s">
        <v>109</v>
      </c>
      <c r="B1386" t="s">
        <v>62</v>
      </c>
      <c r="C1386" s="2"/>
      <c r="D1386" s="2"/>
      <c r="E1386" s="2"/>
      <c r="F1386" s="2"/>
      <c r="G1386" s="2"/>
      <c r="H1386" s="2"/>
      <c r="I1386" s="2"/>
      <c r="J1386" s="2"/>
      <c r="K1386" s="2"/>
      <c r="L1386" s="3">
        <f t="shared" si="68"/>
        <v>4.5510108736465625E-3</v>
      </c>
      <c r="M1386" s="3">
        <f t="shared" si="68"/>
        <v>1.5737877376432428E-3</v>
      </c>
    </row>
    <row r="1387" spans="1:13" x14ac:dyDescent="0.35">
      <c r="A1387" t="s">
        <v>109</v>
      </c>
      <c r="B1387" t="s">
        <v>63</v>
      </c>
      <c r="C1387" s="2"/>
      <c r="D1387" s="2"/>
      <c r="E1387" s="2"/>
      <c r="F1387" s="2"/>
      <c r="G1387" s="2"/>
      <c r="H1387" s="2"/>
      <c r="I1387" s="2"/>
      <c r="J1387" s="2"/>
      <c r="K1387" s="2"/>
      <c r="L1387" s="3">
        <f t="shared" si="68"/>
        <v>4.4836501894745693E-3</v>
      </c>
      <c r="M1387" s="3">
        <f t="shared" si="68"/>
        <v>1.5227784590393124E-3</v>
      </c>
    </row>
    <row r="1388" spans="1:13" x14ac:dyDescent="0.35">
      <c r="A1388" t="s">
        <v>109</v>
      </c>
      <c r="B1388" t="s">
        <v>64</v>
      </c>
      <c r="C1388" s="2"/>
      <c r="D1388" s="2"/>
      <c r="E1388" s="2"/>
      <c r="F1388" s="2"/>
      <c r="G1388" s="2"/>
      <c r="H1388" s="2"/>
      <c r="I1388" s="2"/>
      <c r="J1388" s="2"/>
      <c r="K1388" s="2"/>
      <c r="L1388" s="3">
        <f t="shared" si="68"/>
        <v>4.4495767983841758E-3</v>
      </c>
      <c r="M1388" s="3">
        <f t="shared" si="68"/>
        <v>1.5413867430641305E-3</v>
      </c>
    </row>
    <row r="1389" spans="1:13" x14ac:dyDescent="0.35">
      <c r="A1389" t="s">
        <v>109</v>
      </c>
      <c r="B1389" t="s">
        <v>65</v>
      </c>
      <c r="C1389" s="2"/>
      <c r="D1389" s="2"/>
      <c r="E1389" s="2"/>
      <c r="F1389" s="2"/>
      <c r="G1389" s="2"/>
      <c r="H1389" s="2"/>
      <c r="I1389" s="2"/>
      <c r="J1389" s="2"/>
      <c r="K1389" s="2"/>
      <c r="L1389" s="3">
        <f t="shared" si="68"/>
        <v>4.4292028662106251E-3</v>
      </c>
      <c r="M1389" s="3">
        <f t="shared" si="68"/>
        <v>1.5766703848937294E-3</v>
      </c>
    </row>
    <row r="1390" spans="1:13" x14ac:dyDescent="0.35">
      <c r="A1390" t="s">
        <v>109</v>
      </c>
      <c r="B1390" t="s">
        <v>66</v>
      </c>
      <c r="C1390" s="2"/>
      <c r="D1390" s="2"/>
      <c r="E1390" s="2"/>
      <c r="F1390" s="2"/>
      <c r="G1390" s="2"/>
      <c r="H1390" s="2"/>
      <c r="I1390" s="2"/>
      <c r="J1390" s="2"/>
      <c r="K1390" s="2"/>
      <c r="L1390" s="3">
        <f t="shared" si="68"/>
        <v>4.4171242982605019E-3</v>
      </c>
      <c r="M1390" s="3">
        <f t="shared" si="68"/>
        <v>1.6027357775058055E-3</v>
      </c>
    </row>
    <row r="1391" spans="1:13" x14ac:dyDescent="0.35">
      <c r="A1391" t="s">
        <v>109</v>
      </c>
      <c r="B1391" t="s">
        <v>67</v>
      </c>
      <c r="C1391" s="2"/>
      <c r="D1391" s="2"/>
      <c r="E1391" s="2"/>
      <c r="F1391" s="2"/>
      <c r="G1391" s="2"/>
      <c r="H1391" s="2"/>
      <c r="I1391" s="2"/>
      <c r="J1391" s="2"/>
      <c r="K1391" s="2"/>
      <c r="L1391" s="3">
        <f t="shared" si="68"/>
        <v>4.2859736369515013E-3</v>
      </c>
      <c r="M1391" s="3">
        <f t="shared" si="68"/>
        <v>1.5298070632729591E-3</v>
      </c>
    </row>
    <row r="1392" spans="1:13" x14ac:dyDescent="0.35">
      <c r="A1392" t="s">
        <v>109</v>
      </c>
      <c r="B1392" t="s">
        <v>68</v>
      </c>
      <c r="C1392" s="2"/>
      <c r="D1392" s="2"/>
      <c r="E1392" s="2"/>
      <c r="F1392" s="2"/>
      <c r="G1392" s="2"/>
      <c r="H1392" s="2"/>
      <c r="I1392" s="2"/>
      <c r="J1392" s="2"/>
      <c r="K1392" s="2"/>
      <c r="L1392" s="3">
        <f t="shared" si="68"/>
        <v>4.4119595974284375E-3</v>
      </c>
      <c r="M1392" s="3">
        <f t="shared" si="68"/>
        <v>1.5739241223824323E-3</v>
      </c>
    </row>
    <row r="1393" spans="1:13" x14ac:dyDescent="0.35">
      <c r="A1393" t="s">
        <v>109</v>
      </c>
      <c r="B1393" t="s">
        <v>69</v>
      </c>
      <c r="C1393" s="2"/>
      <c r="D1393" s="2"/>
      <c r="E1393" s="2"/>
      <c r="F1393" s="2"/>
      <c r="G1393" s="2"/>
      <c r="H1393" s="2"/>
      <c r="I1393" s="2"/>
      <c r="J1393" s="2"/>
      <c r="K1393" s="2"/>
      <c r="L1393" s="3">
        <f t="shared" si="68"/>
        <v>4.5723869383494037E-3</v>
      </c>
      <c r="M1393" s="3">
        <f t="shared" si="68"/>
        <v>1.6372143086190408E-3</v>
      </c>
    </row>
    <row r="1394" spans="1:13" x14ac:dyDescent="0.35">
      <c r="A1394" t="s">
        <v>109</v>
      </c>
      <c r="B1394" t="s">
        <v>70</v>
      </c>
      <c r="C1394" s="2"/>
      <c r="D1394" s="2"/>
      <c r="E1394" s="2"/>
      <c r="F1394" s="2"/>
      <c r="G1394" s="2"/>
      <c r="H1394" s="2"/>
      <c r="I1394" s="2"/>
      <c r="J1394" s="2"/>
      <c r="K1394" s="2"/>
      <c r="L1394" s="3">
        <f t="shared" si="68"/>
        <v>4.7037726744358589E-3</v>
      </c>
      <c r="M1394" s="3">
        <f t="shared" si="68"/>
        <v>1.6457260978577843E-3</v>
      </c>
    </row>
    <row r="1395" spans="1:13" x14ac:dyDescent="0.35">
      <c r="A1395" t="s">
        <v>109</v>
      </c>
      <c r="B1395" t="s">
        <v>71</v>
      </c>
      <c r="C1395" s="2"/>
      <c r="D1395" s="2"/>
      <c r="E1395" s="2"/>
      <c r="F1395" s="2"/>
      <c r="G1395" s="2"/>
      <c r="H1395" s="2"/>
      <c r="I1395" s="2"/>
      <c r="J1395" s="2"/>
      <c r="K1395" s="2"/>
      <c r="L1395" s="3">
        <f t="shared" si="68"/>
        <v>4.7680622062152367E-3</v>
      </c>
      <c r="M1395" s="3">
        <f t="shared" si="68"/>
        <v>1.6289025311537551E-3</v>
      </c>
    </row>
    <row r="1396" spans="1:13" x14ac:dyDescent="0.35">
      <c r="A1396" t="s">
        <v>109</v>
      </c>
      <c r="B1396" t="s">
        <v>72</v>
      </c>
      <c r="C1396" s="2"/>
      <c r="D1396" s="2"/>
      <c r="E1396" s="2"/>
      <c r="F1396" s="2"/>
      <c r="G1396" s="2"/>
      <c r="H1396" s="2"/>
      <c r="I1396" s="2"/>
      <c r="J1396" s="2"/>
      <c r="K1396" s="2"/>
      <c r="L1396" s="3">
        <f t="shared" si="68"/>
        <v>4.9841537192483057E-3</v>
      </c>
      <c r="M1396" s="3">
        <f t="shared" si="68"/>
        <v>1.6140576555093531E-3</v>
      </c>
    </row>
    <row r="1397" spans="1:13" x14ac:dyDescent="0.35">
      <c r="A1397" t="s">
        <v>109</v>
      </c>
      <c r="B1397" t="s">
        <v>73</v>
      </c>
      <c r="C1397" s="2"/>
      <c r="D1397" s="2"/>
      <c r="E1397" s="2"/>
      <c r="F1397" s="2"/>
      <c r="G1397" s="2"/>
      <c r="H1397" s="2"/>
      <c r="I1397" s="2"/>
      <c r="J1397" s="2"/>
      <c r="K1397" s="2"/>
      <c r="L1397" s="3">
        <f t="shared" si="68"/>
        <v>5.135057992151696E-3</v>
      </c>
      <c r="M1397" s="3">
        <f t="shared" si="68"/>
        <v>1.7074618805428567E-3</v>
      </c>
    </row>
    <row r="1398" spans="1:13" x14ac:dyDescent="0.35">
      <c r="A1398" t="s">
        <v>109</v>
      </c>
      <c r="B1398" t="s">
        <v>74</v>
      </c>
      <c r="C1398" s="2"/>
      <c r="D1398" s="2"/>
      <c r="E1398" s="2"/>
      <c r="F1398" s="2"/>
      <c r="G1398" s="2"/>
      <c r="H1398" s="2"/>
      <c r="I1398" s="2"/>
      <c r="J1398" s="2"/>
      <c r="K1398" s="2"/>
      <c r="L1398" s="3">
        <f t="shared" si="68"/>
        <v>5.2078029631344863E-3</v>
      </c>
      <c r="M1398" s="3">
        <f t="shared" si="68"/>
        <v>1.6718411869724057E-3</v>
      </c>
    </row>
    <row r="1399" spans="1:13" x14ac:dyDescent="0.35">
      <c r="A1399" t="s">
        <v>109</v>
      </c>
      <c r="B1399" t="s">
        <v>75</v>
      </c>
      <c r="C1399" s="2"/>
      <c r="D1399" s="2"/>
      <c r="E1399" s="2"/>
      <c r="F1399" s="2"/>
      <c r="G1399" s="2"/>
      <c r="H1399" s="2"/>
      <c r="I1399" s="2"/>
      <c r="J1399" s="2"/>
      <c r="K1399" s="2"/>
      <c r="L1399" s="3">
        <f t="shared" si="68"/>
        <v>5.3487436084614015E-3</v>
      </c>
      <c r="M1399" s="3">
        <f t="shared" si="68"/>
        <v>1.7072350572728441E-3</v>
      </c>
    </row>
    <row r="1400" spans="1:13" x14ac:dyDescent="0.35">
      <c r="A1400" t="s">
        <v>109</v>
      </c>
      <c r="B1400" t="s">
        <v>76</v>
      </c>
      <c r="C1400" s="2"/>
      <c r="D1400" s="2"/>
      <c r="E1400" s="2"/>
      <c r="F1400" s="2"/>
      <c r="G1400" s="2"/>
      <c r="H1400" s="2"/>
      <c r="I1400" s="2"/>
      <c r="J1400" s="2"/>
      <c r="K1400" s="2"/>
      <c r="L1400" s="3">
        <f t="shared" si="68"/>
        <v>5.3160461144087399E-3</v>
      </c>
      <c r="M1400" s="3">
        <f t="shared" si="68"/>
        <v>1.672901762427288E-3</v>
      </c>
    </row>
    <row r="1401" spans="1:13" x14ac:dyDescent="0.35">
      <c r="A1401" t="s">
        <v>109</v>
      </c>
      <c r="B1401" t="s">
        <v>77</v>
      </c>
      <c r="C1401" s="2"/>
      <c r="D1401" s="2"/>
      <c r="E1401" s="2"/>
      <c r="F1401" s="2"/>
      <c r="G1401" s="2"/>
      <c r="H1401" s="2"/>
      <c r="I1401" s="2"/>
      <c r="J1401" s="2"/>
      <c r="K1401" s="2"/>
      <c r="L1401" s="3">
        <f t="shared" si="68"/>
        <v>5.4318362494619613E-3</v>
      </c>
      <c r="M1401" s="3">
        <f t="shared" si="68"/>
        <v>1.6995432816811519E-3</v>
      </c>
    </row>
    <row r="1402" spans="1:13" x14ac:dyDescent="0.35">
      <c r="A1402" t="s">
        <v>109</v>
      </c>
      <c r="B1402" t="s">
        <v>78</v>
      </c>
      <c r="C1402" s="2"/>
      <c r="D1402" s="2"/>
      <c r="E1402" s="2"/>
      <c r="F1402" s="2"/>
      <c r="G1402" s="2"/>
      <c r="H1402" s="2"/>
      <c r="I1402" s="2"/>
      <c r="J1402" s="2"/>
      <c r="K1402" s="2"/>
      <c r="L1402" s="3">
        <f t="shared" si="68"/>
        <v>5.4205795807915234E-3</v>
      </c>
      <c r="M1402" s="3">
        <f t="shared" si="68"/>
        <v>1.6973252582046516E-3</v>
      </c>
    </row>
    <row r="1403" spans="1:13" x14ac:dyDescent="0.35">
      <c r="A1403" t="s">
        <v>109</v>
      </c>
      <c r="B1403" t="s">
        <v>79</v>
      </c>
      <c r="C1403" s="2"/>
      <c r="D1403" s="2"/>
      <c r="E1403" s="2"/>
      <c r="F1403" s="2"/>
      <c r="G1403" s="2"/>
      <c r="H1403" s="2"/>
      <c r="I1403" s="2"/>
      <c r="J1403" s="2"/>
      <c r="K1403" s="2"/>
      <c r="L1403" s="3">
        <f t="shared" ref="L1403:M1422" si="69">IF(COUNT(L924,L925,L926,L927,L928,L929)=6,AVERAGE(L924,L925,L926,L927,L928,L929),NA())</f>
        <v>5.4146294336980504E-3</v>
      </c>
      <c r="M1403" s="3">
        <f t="shared" si="69"/>
        <v>1.5618857658586339E-3</v>
      </c>
    </row>
    <row r="1404" spans="1:13" x14ac:dyDescent="0.35">
      <c r="A1404" t="s">
        <v>109</v>
      </c>
      <c r="B1404" t="s">
        <v>80</v>
      </c>
      <c r="C1404" s="2"/>
      <c r="D1404" s="2"/>
      <c r="E1404" s="2"/>
      <c r="F1404" s="2"/>
      <c r="G1404" s="2"/>
      <c r="H1404" s="2"/>
      <c r="I1404" s="2"/>
      <c r="J1404" s="2"/>
      <c r="K1404" s="2"/>
      <c r="L1404" s="3">
        <f t="shared" si="69"/>
        <v>5.3685835535800738E-3</v>
      </c>
      <c r="M1404" s="3">
        <f t="shared" si="69"/>
        <v>1.5760493656209107E-3</v>
      </c>
    </row>
    <row r="1405" spans="1:13" x14ac:dyDescent="0.35">
      <c r="A1405" t="s">
        <v>109</v>
      </c>
      <c r="B1405" t="s">
        <v>81</v>
      </c>
      <c r="C1405" s="2"/>
      <c r="D1405" s="2"/>
      <c r="E1405" s="2"/>
      <c r="F1405" s="2"/>
      <c r="G1405" s="2"/>
      <c r="H1405" s="2"/>
      <c r="I1405" s="2"/>
      <c r="J1405" s="2"/>
      <c r="K1405" s="2"/>
      <c r="L1405" s="3">
        <f t="shared" si="69"/>
        <v>5.3269834883178666E-3</v>
      </c>
      <c r="M1405" s="3">
        <f t="shared" si="69"/>
        <v>1.5549207640731151E-3</v>
      </c>
    </row>
    <row r="1406" spans="1:13" x14ac:dyDescent="0.35">
      <c r="A1406" t="s">
        <v>109</v>
      </c>
      <c r="B1406" t="s">
        <v>82</v>
      </c>
      <c r="C1406" s="2"/>
      <c r="D1406" s="2"/>
      <c r="E1406" s="2"/>
      <c r="F1406" s="2"/>
      <c r="G1406" s="2"/>
      <c r="H1406" s="2"/>
      <c r="I1406" s="2"/>
      <c r="J1406" s="2"/>
      <c r="K1406" s="2"/>
      <c r="L1406" s="3">
        <f t="shared" si="69"/>
        <v>5.392381330243029E-3</v>
      </c>
      <c r="M1406" s="3">
        <f t="shared" si="69"/>
        <v>1.4939921015470344E-3</v>
      </c>
    </row>
    <row r="1407" spans="1:13" x14ac:dyDescent="0.35">
      <c r="A1407" t="s">
        <v>109</v>
      </c>
      <c r="B1407" t="s">
        <v>83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3">
        <f t="shared" si="69"/>
        <v>5.4218891021413926E-3</v>
      </c>
      <c r="M1407" s="3">
        <f t="shared" si="69"/>
        <v>1.4915554608379482E-3</v>
      </c>
    </row>
    <row r="1408" spans="1:13" x14ac:dyDescent="0.35">
      <c r="A1408" t="s">
        <v>109</v>
      </c>
      <c r="B1408" t="s">
        <v>84</v>
      </c>
      <c r="C1408" s="2"/>
      <c r="D1408" s="2"/>
      <c r="E1408" s="2"/>
      <c r="F1408" s="2"/>
      <c r="G1408" s="2"/>
      <c r="H1408" s="2"/>
      <c r="I1408" s="2"/>
      <c r="J1408" s="2"/>
      <c r="K1408" s="2"/>
      <c r="L1408" s="3">
        <f t="shared" si="69"/>
        <v>5.4587671887324331E-3</v>
      </c>
      <c r="M1408" s="3">
        <f t="shared" si="69"/>
        <v>1.5385704176539823E-3</v>
      </c>
    </row>
    <row r="1409" spans="1:13" x14ac:dyDescent="0.35">
      <c r="A1409" t="s">
        <v>109</v>
      </c>
      <c r="B1409" t="s">
        <v>85</v>
      </c>
      <c r="C1409" s="2"/>
      <c r="D1409" s="2"/>
      <c r="E1409" s="2"/>
      <c r="F1409" s="2"/>
      <c r="G1409" s="2"/>
      <c r="H1409" s="2"/>
      <c r="I1409" s="2"/>
      <c r="J1409" s="2"/>
      <c r="K1409" s="2"/>
      <c r="L1409" s="3">
        <f t="shared" si="69"/>
        <v>5.6930186629432769E-3</v>
      </c>
      <c r="M1409" s="3">
        <f t="shared" si="69"/>
        <v>1.5991655546933048E-3</v>
      </c>
    </row>
    <row r="1410" spans="1:13" x14ac:dyDescent="0.35">
      <c r="A1410" t="s">
        <v>109</v>
      </c>
      <c r="B1410" t="s">
        <v>86</v>
      </c>
      <c r="C1410" s="2"/>
      <c r="D1410" s="2"/>
      <c r="E1410" s="2"/>
      <c r="F1410" s="2"/>
      <c r="G1410" s="2"/>
      <c r="H1410" s="2"/>
      <c r="I1410" s="2"/>
      <c r="J1410" s="2"/>
      <c r="K1410" s="2"/>
      <c r="L1410" s="3">
        <f t="shared" si="69"/>
        <v>6.2457131561357961E-3</v>
      </c>
      <c r="M1410" s="3">
        <f t="shared" si="69"/>
        <v>1.5839923566969059E-3</v>
      </c>
    </row>
    <row r="1411" spans="1:13" x14ac:dyDescent="0.35">
      <c r="A1411" t="s">
        <v>109</v>
      </c>
      <c r="B1411" t="s">
        <v>87</v>
      </c>
      <c r="C1411" s="2"/>
      <c r="D1411" s="2"/>
      <c r="E1411" s="2"/>
      <c r="F1411" s="2"/>
      <c r="G1411" s="2"/>
      <c r="H1411" s="2"/>
      <c r="I1411" s="2"/>
      <c r="J1411" s="2"/>
      <c r="K1411" s="2"/>
      <c r="L1411" s="3">
        <f t="shared" si="69"/>
        <v>6.3426993471347413E-3</v>
      </c>
      <c r="M1411" s="3">
        <f t="shared" si="69"/>
        <v>1.5008646993364362E-3</v>
      </c>
    </row>
    <row r="1412" spans="1:13" x14ac:dyDescent="0.35">
      <c r="A1412" t="s">
        <v>109</v>
      </c>
      <c r="B1412" t="s">
        <v>88</v>
      </c>
      <c r="C1412" s="2"/>
      <c r="D1412" s="2"/>
      <c r="E1412" s="2"/>
      <c r="F1412" s="2"/>
      <c r="G1412" s="2"/>
      <c r="H1412" s="2"/>
      <c r="I1412" s="2"/>
      <c r="J1412" s="2"/>
      <c r="K1412" s="2"/>
      <c r="L1412" s="3">
        <f t="shared" si="69"/>
        <v>6.6723538887377533E-3</v>
      </c>
      <c r="M1412" s="3">
        <f t="shared" si="69"/>
        <v>1.5330598472270435E-3</v>
      </c>
    </row>
    <row r="1413" spans="1:13" x14ac:dyDescent="0.35">
      <c r="A1413" t="s">
        <v>109</v>
      </c>
      <c r="B1413" t="s">
        <v>89</v>
      </c>
      <c r="C1413" s="2"/>
      <c r="D1413" s="2"/>
      <c r="E1413" s="2"/>
      <c r="F1413" s="2"/>
      <c r="G1413" s="2"/>
      <c r="H1413" s="2"/>
      <c r="I1413" s="2"/>
      <c r="J1413" s="2"/>
      <c r="K1413" s="2"/>
      <c r="L1413" s="3">
        <f t="shared" si="69"/>
        <v>7.2247012530122466E-3</v>
      </c>
      <c r="M1413" s="3">
        <f t="shared" si="69"/>
        <v>1.4688568605079192E-3</v>
      </c>
    </row>
    <row r="1414" spans="1:13" x14ac:dyDescent="0.35">
      <c r="A1414" t="s">
        <v>109</v>
      </c>
      <c r="B1414" t="s">
        <v>90</v>
      </c>
      <c r="C1414" s="2"/>
      <c r="D1414" s="2"/>
      <c r="E1414" s="2"/>
      <c r="F1414" s="2"/>
      <c r="G1414" s="2"/>
      <c r="H1414" s="2"/>
      <c r="I1414" s="2"/>
      <c r="J1414" s="2"/>
      <c r="K1414" s="2"/>
      <c r="L1414" s="3">
        <f t="shared" si="69"/>
        <v>7.6471462067481911E-3</v>
      </c>
      <c r="M1414" s="3">
        <f t="shared" si="69"/>
        <v>1.3733093570131299E-3</v>
      </c>
    </row>
    <row r="1415" spans="1:13" x14ac:dyDescent="0.35">
      <c r="A1415" t="s">
        <v>109</v>
      </c>
      <c r="B1415" t="s">
        <v>91</v>
      </c>
      <c r="C1415" s="2"/>
      <c r="D1415" s="2"/>
      <c r="E1415" s="2"/>
      <c r="F1415" s="2"/>
      <c r="G1415" s="2"/>
      <c r="H1415" s="2"/>
      <c r="I1415" s="2"/>
      <c r="J1415" s="2"/>
      <c r="K1415" s="2"/>
      <c r="L1415" s="3">
        <f t="shared" si="69"/>
        <v>7.7283012904961583E-3</v>
      </c>
      <c r="M1415" s="3">
        <f t="shared" si="69"/>
        <v>1.325466929839947E-3</v>
      </c>
    </row>
    <row r="1416" spans="1:13" x14ac:dyDescent="0.35">
      <c r="A1416" t="s">
        <v>109</v>
      </c>
      <c r="B1416" t="s">
        <v>95</v>
      </c>
      <c r="C1416" s="2"/>
      <c r="D1416" s="2"/>
      <c r="E1416" s="2"/>
      <c r="F1416" s="2"/>
      <c r="G1416" s="2"/>
      <c r="H1416" s="2"/>
      <c r="I1416" s="2"/>
      <c r="J1416" s="2"/>
      <c r="K1416" s="2"/>
      <c r="L1416" s="3">
        <f t="shared" si="69"/>
        <v>9.6876575270896208E-3</v>
      </c>
      <c r="M1416" s="3">
        <f t="shared" si="69"/>
        <v>1.1569171000411923E-3</v>
      </c>
    </row>
  </sheetData>
  <autoFilter ref="A1:M942" xr:uid="{00000000-0009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hs_export_monthly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Willem van den End</cp:lastModifiedBy>
  <dcterms:created xsi:type="dcterms:W3CDTF">2026-09-30T13:37:06Z</dcterms:created>
  <dcterms:modified xsi:type="dcterms:W3CDTF">2026-09-30T13:37:35Z</dcterms:modified>
</cp:coreProperties>
</file>