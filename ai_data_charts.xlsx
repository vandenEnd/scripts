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dac351e13f2064c/Desktop/Documenten/DNB/"/>
    </mc:Choice>
  </mc:AlternateContent>
  <xr:revisionPtr revIDLastSave="102" documentId="13_ncr:1_{168B706B-C04D-4114-BEFE-4F25AD195DA9}" xr6:coauthVersionLast="47" xr6:coauthVersionMax="47" xr10:uidLastSave="{651E9CA4-A4C7-4D39-A7BF-D0A7E7F402D7}"/>
  <bookViews>
    <workbookView xWindow="-110" yWindow="-110" windowWidth="19420" windowHeight="10300" xr2:uid="{00000000-000D-0000-FFFF-FFFF00000000}"/>
  </bookViews>
  <sheets>
    <sheet name="ict_inv" sheetId="2" r:id="rId1"/>
    <sheet name="ai_patent" sheetId="3" r:id="rId2"/>
    <sheet name="ai_inv" sheetId="4" r:id="rId3"/>
    <sheet name="hs_export" sheetId="12" r:id="rId4"/>
    <sheet name="Corr_exposure_data" sheetId="1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6" i="2" l="1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65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M269" i="12"/>
  <c r="M268" i="12"/>
  <c r="M267" i="12"/>
  <c r="M266" i="12"/>
  <c r="M265" i="12"/>
  <c r="M264" i="12"/>
  <c r="M263" i="12"/>
  <c r="M262" i="12"/>
  <c r="M261" i="12"/>
  <c r="M260" i="12"/>
  <c r="M259" i="12"/>
  <c r="M258" i="12"/>
  <c r="M257" i="12"/>
  <c r="M256" i="12"/>
  <c r="M255" i="12"/>
  <c r="M254" i="12"/>
  <c r="M253" i="12"/>
  <c r="M252" i="12"/>
  <c r="M251" i="12"/>
  <c r="M250" i="12"/>
  <c r="M249" i="12"/>
  <c r="M248" i="12"/>
  <c r="M247" i="12"/>
  <c r="M246" i="12"/>
  <c r="M245" i="12"/>
  <c r="M242" i="12"/>
  <c r="M241" i="12"/>
  <c r="M240" i="12"/>
  <c r="M239" i="12"/>
  <c r="M238" i="12"/>
  <c r="M237" i="12"/>
  <c r="M236" i="12"/>
  <c r="M235" i="12"/>
  <c r="M234" i="12"/>
  <c r="M233" i="12"/>
  <c r="M232" i="12"/>
  <c r="M231" i="12"/>
  <c r="M230" i="12"/>
  <c r="M229" i="12"/>
  <c r="M228" i="12"/>
  <c r="M227" i="12"/>
  <c r="M226" i="12"/>
  <c r="M225" i="12"/>
  <c r="M224" i="12"/>
  <c r="M223" i="12"/>
  <c r="M222" i="12"/>
  <c r="M221" i="12"/>
  <c r="M220" i="12"/>
  <c r="M219" i="12"/>
  <c r="M218" i="12"/>
  <c r="M215" i="12"/>
  <c r="M214" i="12"/>
  <c r="M213" i="12"/>
  <c r="M212" i="12"/>
  <c r="M211" i="12"/>
  <c r="M210" i="12"/>
  <c r="M209" i="12"/>
  <c r="M208" i="12"/>
  <c r="M207" i="12"/>
  <c r="M206" i="12"/>
  <c r="M205" i="12"/>
  <c r="M204" i="12"/>
  <c r="M203" i="12"/>
  <c r="M202" i="12"/>
  <c r="M201" i="12"/>
  <c r="M200" i="12"/>
  <c r="M199" i="12"/>
  <c r="M198" i="12"/>
  <c r="M197" i="12"/>
  <c r="M196" i="12"/>
  <c r="M195" i="12"/>
  <c r="M194" i="12"/>
  <c r="M193" i="12"/>
  <c r="M192" i="12"/>
  <c r="M191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AC13" i="13"/>
  <c r="AB13" i="13"/>
  <c r="AB12" i="13"/>
  <c r="AC12" i="13"/>
  <c r="AC11" i="13"/>
  <c r="AB11" i="13"/>
  <c r="M188" i="12"/>
  <c r="M187" i="12"/>
  <c r="M186" i="12"/>
  <c r="M185" i="12"/>
  <c r="M184" i="12"/>
  <c r="M183" i="12"/>
  <c r="M182" i="12"/>
  <c r="M181" i="12"/>
  <c r="M180" i="12"/>
  <c r="M179" i="12"/>
  <c r="M178" i="12"/>
  <c r="M177" i="12"/>
  <c r="M176" i="12"/>
  <c r="M175" i="12"/>
  <c r="M174" i="12"/>
  <c r="M173" i="12"/>
  <c r="M172" i="12"/>
  <c r="M171" i="12"/>
  <c r="M170" i="12"/>
  <c r="M169" i="12"/>
  <c r="M168" i="12"/>
  <c r="M167" i="12"/>
  <c r="M166" i="12"/>
  <c r="M165" i="12"/>
  <c r="M164" i="12"/>
  <c r="M161" i="12"/>
  <c r="M160" i="12"/>
  <c r="M159" i="12"/>
  <c r="M158" i="12"/>
  <c r="M157" i="12"/>
  <c r="M156" i="12"/>
  <c r="M155" i="12"/>
  <c r="M154" i="12"/>
  <c r="M153" i="12"/>
  <c r="M152" i="12"/>
  <c r="M151" i="12"/>
  <c r="M150" i="12"/>
  <c r="M149" i="12"/>
  <c r="M148" i="12"/>
  <c r="M147" i="12"/>
  <c r="M146" i="12"/>
  <c r="M145" i="12"/>
  <c r="M144" i="12"/>
  <c r="M143" i="12"/>
  <c r="M142" i="12"/>
  <c r="M141" i="12"/>
  <c r="M140" i="12"/>
  <c r="M139" i="12"/>
  <c r="M138" i="12"/>
  <c r="M137" i="12"/>
  <c r="M134" i="12"/>
  <c r="M133" i="12"/>
  <c r="M132" i="12"/>
  <c r="M131" i="12"/>
  <c r="M130" i="12"/>
  <c r="M129" i="12"/>
  <c r="M128" i="12"/>
  <c r="M127" i="12"/>
  <c r="M126" i="12"/>
  <c r="M125" i="12"/>
  <c r="M124" i="12"/>
  <c r="M123" i="12"/>
  <c r="M122" i="12"/>
  <c r="M121" i="12"/>
  <c r="M120" i="12"/>
  <c r="M119" i="12"/>
  <c r="M118" i="12"/>
  <c r="M117" i="12"/>
  <c r="M116" i="12"/>
  <c r="M115" i="12"/>
  <c r="M114" i="12"/>
  <c r="M113" i="12"/>
  <c r="M112" i="12"/>
  <c r="M111" i="12"/>
  <c r="M110" i="12"/>
  <c r="M107" i="12"/>
  <c r="M106" i="12"/>
  <c r="M105" i="12"/>
  <c r="M104" i="12"/>
  <c r="M103" i="12"/>
  <c r="M102" i="12"/>
  <c r="M101" i="12"/>
  <c r="M100" i="12"/>
  <c r="M99" i="12"/>
  <c r="M98" i="12"/>
  <c r="M97" i="12"/>
  <c r="M96" i="12"/>
  <c r="M95" i="12"/>
  <c r="M94" i="12"/>
  <c r="M93" i="12"/>
  <c r="M92" i="12"/>
  <c r="M91" i="12"/>
  <c r="M90" i="12"/>
  <c r="M89" i="12"/>
  <c r="M88" i="12"/>
  <c r="M87" i="12"/>
  <c r="M86" i="12"/>
  <c r="M85" i="12"/>
  <c r="M84" i="12"/>
  <c r="M83" i="12"/>
  <c r="M80" i="12"/>
  <c r="M79" i="12"/>
  <c r="M78" i="12"/>
  <c r="M77" i="12"/>
  <c r="M76" i="12"/>
  <c r="M75" i="12"/>
  <c r="M74" i="12"/>
  <c r="M73" i="12"/>
  <c r="M72" i="12"/>
  <c r="M71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M58" i="12"/>
  <c r="M57" i="12"/>
  <c r="M56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29" i="12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" i="12"/>
  <c r="L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AC10" i="13"/>
  <c r="AB10" i="13"/>
  <c r="AC9" i="13"/>
  <c r="AB9" i="13"/>
  <c r="AC8" i="13"/>
  <c r="AB8" i="13"/>
  <c r="AC7" i="13"/>
  <c r="AB7" i="13"/>
  <c r="AC6" i="13"/>
  <c r="AB6" i="13"/>
  <c r="AC5" i="13"/>
  <c r="AB5" i="13"/>
  <c r="AC4" i="13"/>
  <c r="AB4" i="13"/>
</calcChain>
</file>

<file path=xl/sharedStrings.xml><?xml version="1.0" encoding="utf-8"?>
<sst xmlns="http://schemas.openxmlformats.org/spreadsheetml/2006/main" count="3113" uniqueCount="181">
  <si>
    <t>country</t>
  </si>
  <si>
    <t>quarter</t>
  </si>
  <si>
    <t>gdp_level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</si>
  <si>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</si>
  <si>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</si>
  <si>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</si>
  <si>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</si>
  <si>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</si>
  <si>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</si>
  <si>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</si>
  <si>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</si>
  <si>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</si>
  <si>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</si>
  <si>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</si>
  <si>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</si>
  <si>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</si>
  <si>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</si>
  <si>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</si>
  <si>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</si>
  <si>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</si>
  <si>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</si>
  <si>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</si>
  <si>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</si>
  <si>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</si>
  <si>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</si>
  <si>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</si>
  <si>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</si>
  <si>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</si>
  <si>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</si>
  <si>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</si>
  <si>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</si>
  <si>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</si>
  <si>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</si>
  <si>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</si>
  <si>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</si>
  <si>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</si>
  <si>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</si>
  <si>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</si>
  <si>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</si>
  <si>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</si>
  <si>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</si>
  <si>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</si>
  <si>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</si>
  <si>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</si>
  <si>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</si>
  <si>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</si>
  <si>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</si>
  <si>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</si>
  <si>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</si>
  <si>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</si>
  <si>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</si>
  <si>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</si>
  <si>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</si>
  <si>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</si>
  <si>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</si>
  <si>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</si>
  <si>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</si>
  <si>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</si>
  <si>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</si>
  <si>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</si>
  <si>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</si>
  <si>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</si>
  <si>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</si>
  <si>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</si>
  <si>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</si>
  <si>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</si>
  <si>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</si>
  <si>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</si>
  <si>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</si>
  <si>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</si>
  <si>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</si>
  <si>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</si>
  <si>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</si>
  <si>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</si>
  <si>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</si>
  <si>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</si>
  <si>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</si>
  <si>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</si>
  <si>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</si>
  <si>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</si>
  <si>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</si>
  <si>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</si>
  <si>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</si>
  <si>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</si>
  <si>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</si>
  <si>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</si>
  <si>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</si>
  <si>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</si>
  <si>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</si>
  <si>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</si>
  <si>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</si>
  <si>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</si>
  <si>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</si>
  <si>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</si>
  <si>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</si>
  <si>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</si>
  <si>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</si>
  <si>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</si>
  <si>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</si>
  <si>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</si>
  <si>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</si>
  <si>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</si>
  <si>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</si>
  <si>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</si>
  <si>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</si>
  <si>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</si>
  <si>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</si>
  <si>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</si>
  <si>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</si>
  <si>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</si>
  <si>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</si>
  <si>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</si>
  <si>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</si>
  <si>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</si>
  <si>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</si>
  <si>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</si>
  <si>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</si>
  <si>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</si>
  <si>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</si>
  <si>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</si>
  <si>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</si>
  <si>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ai_patents</t>
  </si>
  <si>
    <t>ai_investment</t>
  </si>
  <si>
    <t>wui_global</t>
  </si>
  <si>
    <t>HS_847150</t>
  </si>
  <si>
    <t>HS_847180</t>
  </si>
  <si>
    <t>HS_847330</t>
  </si>
  <si>
    <t>total_export</t>
  </si>
  <si>
    <t>dgdp</t>
  </si>
  <si>
    <t>z_raw</t>
  </si>
  <si>
    <t>wui_shock</t>
  </si>
  <si>
    <t>wui_used</t>
  </si>
  <si>
    <t>z</t>
  </si>
  <si>
    <t>F</t>
  </si>
  <si>
    <t>dgdp_lag1</t>
  </si>
  <si>
    <t>wui_x_exposure</t>
  </si>
  <si>
    <t>is_focus</t>
  </si>
  <si>
    <t>wui_used_focus</t>
  </si>
  <si>
    <t>F_focus</t>
  </si>
  <si>
    <t>wui_x_exposure_focus</t>
  </si>
  <si>
    <t>is_boom</t>
  </si>
  <si>
    <t>is_bust</t>
  </si>
  <si>
    <t>wui_x_dum</t>
  </si>
  <si>
    <t>wui_x_exposure_x_dum</t>
  </si>
  <si>
    <t>is_boom_focus</t>
  </si>
  <si>
    <t>wui_x_dum_focus</t>
  </si>
  <si>
    <t>wui_x_exposure_x_dum_focus</t>
  </si>
  <si>
    <t>average correl</t>
  </si>
  <si>
    <t>2000-26</t>
  </si>
  <si>
    <t>2020-26</t>
  </si>
  <si>
    <t>HS_848610</t>
  </si>
  <si>
    <t>HS_848620</t>
  </si>
  <si>
    <t>HS_848630</t>
  </si>
  <si>
    <t>HS_848640</t>
  </si>
  <si>
    <t>HS_848690</t>
  </si>
  <si>
    <t>FI</t>
  </si>
  <si>
    <t>IE</t>
  </si>
  <si>
    <t>PT</t>
  </si>
  <si>
    <t>ICT equipment</t>
  </si>
  <si>
    <t>Total economy</t>
  </si>
  <si>
    <t>Computer software and databases</t>
  </si>
  <si>
    <t>HS 8471.50: Processing units for automatic data-processing machines (computer processing units)</t>
  </si>
  <si>
    <t xml:space="preserve">HS 8471.80: Other units of automatic data-processing machines </t>
  </si>
  <si>
    <t>HS 8473.30: Parts and accessories of machines of heading 8471 (computeronderdelen en accessoires)</t>
  </si>
  <si>
    <t>Machines en apparaten voor de vervaardiging van halfgeleiderboules of wafers</t>
  </si>
  <si>
    <t>Machines en apparaten voor de vervaardiging van halfgeleiderdevices of elektronische geïntegreerde schakelingen (chips)</t>
  </si>
  <si>
    <t>Machines en apparaten voor de vervaardiging van flat panel displays</t>
  </si>
  <si>
    <t>Machines en apparaten genoemd in hoofdstuk 90 voor gebruik bij de vervaardiging van wafers, chips of flat panel displays</t>
  </si>
  <si>
    <t>Onderdelen en accessoires van machines onder HS 8486</t>
  </si>
  <si>
    <t>share_8</t>
  </si>
  <si>
    <t>share_5</t>
  </si>
  <si>
    <t>N112G_secJ</t>
  </si>
  <si>
    <t>N117G_secJ</t>
  </si>
  <si>
    <t>N1173G_secJ</t>
  </si>
  <si>
    <t>NACE Rev 2 section J</t>
  </si>
  <si>
    <t>Other buildings and structures in information and communication</t>
  </si>
  <si>
    <t>Intellectual property products in information and communication</t>
  </si>
  <si>
    <t>Computer software and databases in information and communication</t>
  </si>
  <si>
    <t>Total GFCF (GFCF covers both tangible and intangible investment)</t>
  </si>
  <si>
    <t>Computer software and databases excl  information and communication</t>
  </si>
  <si>
    <t>EUR 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</si>
</sst>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ict_inv!$A$2:$A$271</c:f>
              <c:strCache>
                <c:ptCount val="270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0">
                  <c:v>IT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7">
                  <c:v>NL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4">
                  <c:v>FI</c:v>
                </c:pt>
                <c:pt idx="215">
                  <c:v>FI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1">
                  <c:v>IE</c:v>
                </c:pt>
                <c:pt idx="242">
                  <c:v>IE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  <c:pt idx="268">
                  <c:v>PT</c:v>
                </c:pt>
                <c:pt idx="269">
                  <c:v>PT</c:v>
                </c:pt>
              </c:strCache>
            </c:strRef>
          </c:cat>
          <c:val>
            <c:numRef>
              <c:f>ict_inv!$I$2:$I$271</c:f>
              <c:numCache>
                <c:formatCode>General</c:formatCode>
                <c:ptCount val="270"/>
                <c:pt idx="0">
                  <c:v>0.1376228448354804</c:v>
                </c:pt>
                <c:pt idx="1">
                  <c:v>0.14460951043426742</c:v>
                </c:pt>
                <c:pt idx="2">
                  <c:v>0.14549571490633351</c:v>
                </c:pt>
                <c:pt idx="3">
                  <c:v>0.13396955050055939</c:v>
                </c:pt>
                <c:pt idx="4">
                  <c:v>0.13426186669838353</c:v>
                </c:pt>
                <c:pt idx="5">
                  <c:v>0.12866001746438901</c:v>
                </c:pt>
                <c:pt idx="6">
                  <c:v>0.12773390211563959</c:v>
                </c:pt>
                <c:pt idx="7">
                  <c:v>0.12644618101017896</c:v>
                </c:pt>
                <c:pt idx="8">
                  <c:v>0.12897754158628474</c:v>
                </c:pt>
                <c:pt idx="9">
                  <c:v>0.12978053430702385</c:v>
                </c:pt>
                <c:pt idx="10">
                  <c:v>0.13951299645784493</c:v>
                </c:pt>
                <c:pt idx="11">
                  <c:v>0.1467147589337007</c:v>
                </c:pt>
                <c:pt idx="12">
                  <c:v>0.14263754713345994</c:v>
                </c:pt>
                <c:pt idx="13">
                  <c:v>0.14779517232352962</c:v>
                </c:pt>
                <c:pt idx="14">
                  <c:v>0.14288333346522847</c:v>
                </c:pt>
                <c:pt idx="15">
                  <c:v>0.15515944808249907</c:v>
                </c:pt>
                <c:pt idx="16">
                  <c:v>0.15546366398225395</c:v>
                </c:pt>
                <c:pt idx="17">
                  <c:v>0.1514119442963342</c:v>
                </c:pt>
                <c:pt idx="18">
                  <c:v>0.15970830024254651</c:v>
                </c:pt>
                <c:pt idx="19">
                  <c:v>0.16885807361071786</c:v>
                </c:pt>
                <c:pt idx="20">
                  <c:v>0.17076349956742379</c:v>
                </c:pt>
                <c:pt idx="21">
                  <c:v>0.15599160182125507</c:v>
                </c:pt>
                <c:pt idx="22">
                  <c:v>0.15603500394963879</c:v>
                </c:pt>
                <c:pt idx="23">
                  <c:v>0.1673103527784183</c:v>
                </c:pt>
                <c:pt idx="24">
                  <c:v>0.17496495406425419</c:v>
                </c:pt>
                <c:pt idx="27">
                  <c:v>0.13073715660245255</c:v>
                </c:pt>
                <c:pt idx="28">
                  <c:v>0.14344271297095729</c:v>
                </c:pt>
                <c:pt idx="29">
                  <c:v>0.1386970375321373</c:v>
                </c:pt>
                <c:pt idx="30">
                  <c:v>0.13692419013113027</c:v>
                </c:pt>
                <c:pt idx="31">
                  <c:v>0.12145738819207887</c:v>
                </c:pt>
                <c:pt idx="32">
                  <c:v>0.12265779918294135</c:v>
                </c:pt>
                <c:pt idx="33">
                  <c:v>0.12081579799287794</c:v>
                </c:pt>
                <c:pt idx="34">
                  <c:v>0.11689647072934264</c:v>
                </c:pt>
                <c:pt idx="35">
                  <c:v>0.1150353809031531</c:v>
                </c:pt>
                <c:pt idx="36">
                  <c:v>0.1293308371931686</c:v>
                </c:pt>
                <c:pt idx="37">
                  <c:v>0.13870546750492541</c:v>
                </c:pt>
                <c:pt idx="38">
                  <c:v>0.13387189643647013</c:v>
                </c:pt>
                <c:pt idx="39">
                  <c:v>0.1344566572698688</c:v>
                </c:pt>
                <c:pt idx="40">
                  <c:v>0.14066013500993929</c:v>
                </c:pt>
                <c:pt idx="41">
                  <c:v>0.13813216110499676</c:v>
                </c:pt>
                <c:pt idx="42">
                  <c:v>0.13227337787003415</c:v>
                </c:pt>
                <c:pt idx="43">
                  <c:v>0.13260173436388301</c:v>
                </c:pt>
                <c:pt idx="44">
                  <c:v>0.1392873283304116</c:v>
                </c:pt>
                <c:pt idx="45">
                  <c:v>0.13952240899050841</c:v>
                </c:pt>
                <c:pt idx="46">
                  <c:v>0.14138633599396772</c:v>
                </c:pt>
                <c:pt idx="47">
                  <c:v>0.14451633046915727</c:v>
                </c:pt>
                <c:pt idx="48">
                  <c:v>0.14637497707145938</c:v>
                </c:pt>
                <c:pt idx="49">
                  <c:v>0.14806210436677839</c:v>
                </c:pt>
                <c:pt idx="50">
                  <c:v>0.14690436069296814</c:v>
                </c:pt>
                <c:pt idx="51">
                  <c:v>0.16444982264139651</c:v>
                </c:pt>
                <c:pt idx="54">
                  <c:v>0.11776233304400108</c:v>
                </c:pt>
                <c:pt idx="55">
                  <c:v>0.12048432211183722</c:v>
                </c:pt>
                <c:pt idx="56">
                  <c:v>0.11339287531691518</c:v>
                </c:pt>
                <c:pt idx="57">
                  <c:v>0.10351266138018426</c:v>
                </c:pt>
                <c:pt idx="58">
                  <c:v>9.9952988909551121E-2</c:v>
                </c:pt>
                <c:pt idx="59">
                  <c:v>0.10608928383202798</c:v>
                </c:pt>
                <c:pt idx="60">
                  <c:v>0.10176982716812828</c:v>
                </c:pt>
                <c:pt idx="61">
                  <c:v>9.597907434712083E-2</c:v>
                </c:pt>
                <c:pt idx="62">
                  <c:v>9.0721785106955125E-2</c:v>
                </c:pt>
                <c:pt idx="63">
                  <c:v>9.0637032559347325E-2</c:v>
                </c:pt>
                <c:pt idx="64">
                  <c:v>9.0077486009470506E-2</c:v>
                </c:pt>
                <c:pt idx="65">
                  <c:v>8.5987208995551345E-2</c:v>
                </c:pt>
                <c:pt idx="66">
                  <c:v>7.9699344978556588E-2</c:v>
                </c:pt>
                <c:pt idx="67">
                  <c:v>7.9472535305386019E-2</c:v>
                </c:pt>
                <c:pt idx="68">
                  <c:v>8.0341460522861424E-2</c:v>
                </c:pt>
                <c:pt idx="69">
                  <c:v>8.4820190971738083E-2</c:v>
                </c:pt>
                <c:pt idx="70">
                  <c:v>8.3646788238765979E-2</c:v>
                </c:pt>
                <c:pt idx="71">
                  <c:v>8.1342778719866005E-2</c:v>
                </c:pt>
                <c:pt idx="72">
                  <c:v>8.1720008952551479E-2</c:v>
                </c:pt>
                <c:pt idx="73">
                  <c:v>8.2855752884193876E-2</c:v>
                </c:pt>
                <c:pt idx="74">
                  <c:v>8.1815293370048725E-2</c:v>
                </c:pt>
                <c:pt idx="75">
                  <c:v>8.3727042533414536E-2</c:v>
                </c:pt>
                <c:pt idx="76">
                  <c:v>8.4524514070205975E-2</c:v>
                </c:pt>
                <c:pt idx="77">
                  <c:v>8.1127962753161406E-2</c:v>
                </c:pt>
                <c:pt idx="78">
                  <c:v>8.6916760469719023E-2</c:v>
                </c:pt>
                <c:pt idx="81">
                  <c:v>8.5991521543958949E-2</c:v>
                </c:pt>
                <c:pt idx="82">
                  <c:v>8.3992002335406185E-2</c:v>
                </c:pt>
                <c:pt idx="83">
                  <c:v>8.1788212755333406E-2</c:v>
                </c:pt>
                <c:pt idx="84">
                  <c:v>7.8546199458935595E-2</c:v>
                </c:pt>
                <c:pt idx="85">
                  <c:v>7.8056444671017994E-2</c:v>
                </c:pt>
                <c:pt idx="86">
                  <c:v>7.4330318203244761E-2</c:v>
                </c:pt>
                <c:pt idx="87">
                  <c:v>7.1233647954959428E-2</c:v>
                </c:pt>
                <c:pt idx="88">
                  <c:v>7.4188317739590712E-2</c:v>
                </c:pt>
                <c:pt idx="89">
                  <c:v>8.2365773219829228E-2</c:v>
                </c:pt>
                <c:pt idx="90">
                  <c:v>9.311224489795919E-2</c:v>
                </c:pt>
                <c:pt idx="91">
                  <c:v>0.1074243369536154</c:v>
                </c:pt>
                <c:pt idx="92">
                  <c:v>0.12123041767877794</c:v>
                </c:pt>
                <c:pt idx="93">
                  <c:v>0.13847860293548636</c:v>
                </c:pt>
                <c:pt idx="94">
                  <c:v>0.13966913760817296</c:v>
                </c:pt>
                <c:pt idx="95">
                  <c:v>0.14538068139353627</c:v>
                </c:pt>
                <c:pt idx="96">
                  <c:v>0.15730156336399739</c:v>
                </c:pt>
                <c:pt idx="97">
                  <c:v>0.15809620778610484</c:v>
                </c:pt>
                <c:pt idx="98">
                  <c:v>0.15021224463963617</c:v>
                </c:pt>
                <c:pt idx="99">
                  <c:v>0.1479568305506872</c:v>
                </c:pt>
                <c:pt idx="100">
                  <c:v>0.14029367629612752</c:v>
                </c:pt>
                <c:pt idx="101">
                  <c:v>0.14433972800453612</c:v>
                </c:pt>
                <c:pt idx="102">
                  <c:v>0.15242426670940856</c:v>
                </c:pt>
                <c:pt idx="103">
                  <c:v>0.14409521444535103</c:v>
                </c:pt>
                <c:pt idx="104">
                  <c:v>0.14973134678937391</c:v>
                </c:pt>
                <c:pt idx="105">
                  <c:v>0.14957258351238967</c:v>
                </c:pt>
                <c:pt idx="108">
                  <c:v>0.1195996250791377</c:v>
                </c:pt>
                <c:pt idx="109">
                  <c:v>0.12908252845128035</c:v>
                </c:pt>
                <c:pt idx="110">
                  <c:v>0.12397963078063835</c:v>
                </c:pt>
                <c:pt idx="111">
                  <c:v>0.11968200348150738</c:v>
                </c:pt>
                <c:pt idx="112">
                  <c:v>0.11535025905240384</c:v>
                </c:pt>
                <c:pt idx="113">
                  <c:v>0.11616918258960143</c:v>
                </c:pt>
                <c:pt idx="114">
                  <c:v>0.11521092664043951</c:v>
                </c:pt>
                <c:pt idx="115">
                  <c:v>0.11255952080397896</c:v>
                </c:pt>
                <c:pt idx="116">
                  <c:v>0.11581054629509722</c:v>
                </c:pt>
                <c:pt idx="117">
                  <c:v>0.11809401329629349</c:v>
                </c:pt>
                <c:pt idx="118">
                  <c:v>0.12050157625859317</c:v>
                </c:pt>
                <c:pt idx="119">
                  <c:v>0.11937892610031375</c:v>
                </c:pt>
                <c:pt idx="120">
                  <c:v>0.12509834427816516</c:v>
                </c:pt>
                <c:pt idx="121">
                  <c:v>0.12674239051188763</c:v>
                </c:pt>
                <c:pt idx="122">
                  <c:v>0.13153127566391373</c:v>
                </c:pt>
                <c:pt idx="123">
                  <c:v>0.13764973587361881</c:v>
                </c:pt>
                <c:pt idx="124">
                  <c:v>0.14114053079650749</c:v>
                </c:pt>
                <c:pt idx="125">
                  <c:v>0.14670742546312507</c:v>
                </c:pt>
                <c:pt idx="126">
                  <c:v>0.15168226831207224</c:v>
                </c:pt>
                <c:pt idx="127">
                  <c:v>0.15379843721398415</c:v>
                </c:pt>
                <c:pt idx="128">
                  <c:v>0.16587155074328955</c:v>
                </c:pt>
                <c:pt idx="129">
                  <c:v>0.16207230967799771</c:v>
                </c:pt>
                <c:pt idx="130">
                  <c:v>0.1686231784194008</c:v>
                </c:pt>
                <c:pt idx="131">
                  <c:v>0.17349510563338275</c:v>
                </c:pt>
                <c:pt idx="132">
                  <c:v>0.18372354991229153</c:v>
                </c:pt>
                <c:pt idx="135">
                  <c:v>0.12963728357829335</c:v>
                </c:pt>
                <c:pt idx="136">
                  <c:v>0.12918845241271878</c:v>
                </c:pt>
                <c:pt idx="137">
                  <c:v>0.12283519640461237</c:v>
                </c:pt>
                <c:pt idx="138">
                  <c:v>0.11770275233793277</c:v>
                </c:pt>
                <c:pt idx="139">
                  <c:v>0.11544953168829933</c:v>
                </c:pt>
                <c:pt idx="140">
                  <c:v>0.11596220014299755</c:v>
                </c:pt>
                <c:pt idx="141">
                  <c:v>0.10836127775094125</c:v>
                </c:pt>
                <c:pt idx="142">
                  <c:v>0.10831158694611195</c:v>
                </c:pt>
                <c:pt idx="143">
                  <c:v>0.10588895528856489</c:v>
                </c:pt>
                <c:pt idx="144">
                  <c:v>0.10710522595249304</c:v>
                </c:pt>
                <c:pt idx="145">
                  <c:v>0.1153878572144056</c:v>
                </c:pt>
                <c:pt idx="146">
                  <c:v>0.11286976640016097</c:v>
                </c:pt>
                <c:pt idx="147">
                  <c:v>0.12475169707490456</c:v>
                </c:pt>
                <c:pt idx="148">
                  <c:v>0.13192991082085431</c:v>
                </c:pt>
                <c:pt idx="149">
                  <c:v>0.14276659834860508</c:v>
                </c:pt>
                <c:pt idx="150">
                  <c:v>0.14846969286853964</c:v>
                </c:pt>
                <c:pt idx="151">
                  <c:v>0.15013560412008597</c:v>
                </c:pt>
                <c:pt idx="152">
                  <c:v>0.14949041730184481</c:v>
                </c:pt>
                <c:pt idx="153">
                  <c:v>0.14589680494322688</c:v>
                </c:pt>
                <c:pt idx="154">
                  <c:v>0.14739048347028474</c:v>
                </c:pt>
                <c:pt idx="155">
                  <c:v>0.15574566778244744</c:v>
                </c:pt>
                <c:pt idx="156">
                  <c:v>0.12785786405169186</c:v>
                </c:pt>
                <c:pt idx="157">
                  <c:v>0.12232868683850653</c:v>
                </c:pt>
                <c:pt idx="158">
                  <c:v>0.10709498893925179</c:v>
                </c:pt>
                <c:pt idx="159">
                  <c:v>0.1181932096010781</c:v>
                </c:pt>
                <c:pt idx="160">
                  <c:v>0.11807159271376098</c:v>
                </c:pt>
                <c:pt idx="163">
                  <c:v>0.15370721220390896</c:v>
                </c:pt>
                <c:pt idx="164">
                  <c:v>0.14917707044576914</c:v>
                </c:pt>
                <c:pt idx="165">
                  <c:v>0.13856664332620502</c:v>
                </c:pt>
                <c:pt idx="166">
                  <c:v>0.13841610026694939</c:v>
                </c:pt>
                <c:pt idx="167">
                  <c:v>0.1467007252997222</c:v>
                </c:pt>
                <c:pt idx="168">
                  <c:v>0.15337510680717745</c:v>
                </c:pt>
                <c:pt idx="169">
                  <c:v>0.15365702748469454</c:v>
                </c:pt>
                <c:pt idx="170">
                  <c:v>0.16066997949751538</c:v>
                </c:pt>
                <c:pt idx="171">
                  <c:v>0.15201943474029839</c:v>
                </c:pt>
                <c:pt idx="172">
                  <c:v>0.15830673812247847</c:v>
                </c:pt>
                <c:pt idx="173">
                  <c:v>0.17761031646987296</c:v>
                </c:pt>
                <c:pt idx="174">
                  <c:v>0.1715983572078652</c:v>
                </c:pt>
                <c:pt idx="175">
                  <c:v>0.18669096495815898</c:v>
                </c:pt>
                <c:pt idx="176">
                  <c:v>0.20925797503467405</c:v>
                </c:pt>
                <c:pt idx="177">
                  <c:v>0.20401315120496222</c:v>
                </c:pt>
                <c:pt idx="178">
                  <c:v>0.19984521342183278</c:v>
                </c:pt>
                <c:pt idx="179">
                  <c:v>0.19060538891127871</c:v>
                </c:pt>
                <c:pt idx="180">
                  <c:v>0.18168337186651118</c:v>
                </c:pt>
                <c:pt idx="181">
                  <c:v>0.17426099357607167</c:v>
                </c:pt>
                <c:pt idx="182">
                  <c:v>0.17313412187867469</c:v>
                </c:pt>
                <c:pt idx="183">
                  <c:v>0.18034013840432025</c:v>
                </c:pt>
                <c:pt idx="184">
                  <c:v>0.17060593737291582</c:v>
                </c:pt>
                <c:pt idx="185">
                  <c:v>0.1723953161408304</c:v>
                </c:pt>
                <c:pt idx="186">
                  <c:v>0.16855357686097394</c:v>
                </c:pt>
                <c:pt idx="187">
                  <c:v>0.16819795598684004</c:v>
                </c:pt>
                <c:pt idx="190">
                  <c:v>0.10203432930705658</c:v>
                </c:pt>
                <c:pt idx="191">
                  <c:v>9.7539596179422081E-2</c:v>
                </c:pt>
                <c:pt idx="192">
                  <c:v>9.2686120463898236E-2</c:v>
                </c:pt>
                <c:pt idx="193">
                  <c:v>0.10515488867376573</c:v>
                </c:pt>
                <c:pt idx="194">
                  <c:v>9.3700475435816166E-2</c:v>
                </c:pt>
                <c:pt idx="195">
                  <c:v>9.5805844792411832E-2</c:v>
                </c:pt>
                <c:pt idx="196">
                  <c:v>9.6803699374968244E-2</c:v>
                </c:pt>
                <c:pt idx="197">
                  <c:v>9.7585224134502796E-2</c:v>
                </c:pt>
                <c:pt idx="198">
                  <c:v>9.5075972511190973E-2</c:v>
                </c:pt>
                <c:pt idx="199">
                  <c:v>9.966442953020134E-2</c:v>
                </c:pt>
                <c:pt idx="200">
                  <c:v>9.9121969397023543E-2</c:v>
                </c:pt>
                <c:pt idx="201">
                  <c:v>9.7791519434628979E-2</c:v>
                </c:pt>
                <c:pt idx="202">
                  <c:v>9.6600881887067086E-2</c:v>
                </c:pt>
                <c:pt idx="203">
                  <c:v>0.10214769826599771</c:v>
                </c:pt>
                <c:pt idx="204">
                  <c:v>0.11499832233530925</c:v>
                </c:pt>
                <c:pt idx="205">
                  <c:v>0.11431934788885681</c:v>
                </c:pt>
                <c:pt idx="206">
                  <c:v>0.10420688545688546</c:v>
                </c:pt>
                <c:pt idx="207">
                  <c:v>0.10619751648475513</c:v>
                </c:pt>
                <c:pt idx="208">
                  <c:v>0.10991881892939176</c:v>
                </c:pt>
                <c:pt idx="209">
                  <c:v>0.10563452822414504</c:v>
                </c:pt>
                <c:pt idx="210">
                  <c:v>0.10737080502367717</c:v>
                </c:pt>
                <c:pt idx="211">
                  <c:v>0.10582716049382716</c:v>
                </c:pt>
                <c:pt idx="212">
                  <c:v>9.9421084704448506E-2</c:v>
                </c:pt>
                <c:pt idx="213">
                  <c:v>0.11324535449834844</c:v>
                </c:pt>
                <c:pt idx="214">
                  <c:v>0.14071954748750329</c:v>
                </c:pt>
                <c:pt idx="215">
                  <c:v>0.14533763099499505</c:v>
                </c:pt>
                <c:pt idx="218">
                  <c:v>9.1342831631662721E-2</c:v>
                </c:pt>
                <c:pt idx="219">
                  <c:v>0.10019265185448796</c:v>
                </c:pt>
                <c:pt idx="220">
                  <c:v>9.4754426371544076E-2</c:v>
                </c:pt>
                <c:pt idx="221">
                  <c:v>8.1365401160353831E-2</c:v>
                </c:pt>
                <c:pt idx="222">
                  <c:v>8.139863460967646E-2</c:v>
                </c:pt>
                <c:pt idx="223">
                  <c:v>6.3243223026454368E-2</c:v>
                </c:pt>
                <c:pt idx="224">
                  <c:v>6.744049675912836E-2</c:v>
                </c:pt>
                <c:pt idx="225">
                  <c:v>7.464351306014011E-2</c:v>
                </c:pt>
                <c:pt idx="226">
                  <c:v>9.5266855955172591E-2</c:v>
                </c:pt>
                <c:pt idx="227">
                  <c:v>0.12844069941492431</c:v>
                </c:pt>
                <c:pt idx="228">
                  <c:v>0.17142662928031269</c:v>
                </c:pt>
                <c:pt idx="229">
                  <c:v>0.21290558800453316</c:v>
                </c:pt>
                <c:pt idx="230">
                  <c:v>0.23477584339955118</c:v>
                </c:pt>
                <c:pt idx="231">
                  <c:v>0.20688592659957641</c:v>
                </c:pt>
                <c:pt idx="232">
                  <c:v>0.20919179823965831</c:v>
                </c:pt>
                <c:pt idx="233">
                  <c:v>0.19049801405438435</c:v>
                </c:pt>
                <c:pt idx="234">
                  <c:v>0.15669748436626812</c:v>
                </c:pt>
                <c:pt idx="235">
                  <c:v>0.40580189169109832</c:v>
                </c:pt>
                <c:pt idx="236">
                  <c:v>0.19086473467152662</c:v>
                </c:pt>
                <c:pt idx="237">
                  <c:v>0.26662936464636444</c:v>
                </c:pt>
                <c:pt idx="238">
                  <c:v>0.3780372329247822</c:v>
                </c:pt>
                <c:pt idx="239">
                  <c:v>0.19515385353486892</c:v>
                </c:pt>
                <c:pt idx="240">
                  <c:v>0.25178245429196827</c:v>
                </c:pt>
                <c:pt idx="241">
                  <c:v>0.19374804262614678</c:v>
                </c:pt>
                <c:pt idx="242">
                  <c:v>9.6012028645875991E-2</c:v>
                </c:pt>
                <c:pt idx="245">
                  <c:v>0.11379032258064517</c:v>
                </c:pt>
                <c:pt idx="246">
                  <c:v>0.11660309758078832</c:v>
                </c:pt>
                <c:pt idx="247">
                  <c:v>0.12364760013456175</c:v>
                </c:pt>
                <c:pt idx="248">
                  <c:v>0.12697081806237465</c:v>
                </c:pt>
                <c:pt idx="249">
                  <c:v>0.12991969222831634</c:v>
                </c:pt>
                <c:pt idx="250">
                  <c:v>0.13650941698165692</c:v>
                </c:pt>
                <c:pt idx="251">
                  <c:v>0.13151839671998122</c:v>
                </c:pt>
                <c:pt idx="252">
                  <c:v>0.1329723270726848</c:v>
                </c:pt>
                <c:pt idx="253">
                  <c:v>0.12379486427716289</c:v>
                </c:pt>
                <c:pt idx="254">
                  <c:v>0.12431737700686456</c:v>
                </c:pt>
                <c:pt idx="255">
                  <c:v>0.12911981388134938</c:v>
                </c:pt>
                <c:pt idx="256">
                  <c:v>0.1324422843256379</c:v>
                </c:pt>
                <c:pt idx="257">
                  <c:v>0.15448284624209202</c:v>
                </c:pt>
                <c:pt idx="258">
                  <c:v>0.15875367403053001</c:v>
                </c:pt>
                <c:pt idx="259">
                  <c:v>0.16205320636764514</c:v>
                </c:pt>
                <c:pt idx="260">
                  <c:v>0.15554637618713565</c:v>
                </c:pt>
                <c:pt idx="261">
                  <c:v>0.14130583113852538</c:v>
                </c:pt>
                <c:pt idx="262">
                  <c:v>0.14199197700874147</c:v>
                </c:pt>
                <c:pt idx="263">
                  <c:v>0.13948003480297469</c:v>
                </c:pt>
                <c:pt idx="264">
                  <c:v>0.13808506064016793</c:v>
                </c:pt>
                <c:pt idx="265">
                  <c:v>0.14810212813728665</c:v>
                </c:pt>
                <c:pt idx="266">
                  <c:v>0.15193398171114972</c:v>
                </c:pt>
                <c:pt idx="267">
                  <c:v>0.14461475316746994</c:v>
                </c:pt>
                <c:pt idx="268">
                  <c:v>0.13707314166650114</c:v>
                </c:pt>
                <c:pt idx="269">
                  <c:v>8.6782381012711671E-2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8C-4BEF-AF35-6F6D01611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83858267716535"/>
          <c:y val="5.4236293379994166E-2"/>
          <c:w val="0.84560586176727914"/>
          <c:h val="0.49393008165645963"/>
        </c:manualLayout>
      </c:layout>
      <c:barChart>
        <c:barDir val="col"/>
        <c:grouping val="stacked"/>
        <c:varyColors val="0"/>
        <c:ser>
          <c:idx val="1"/>
          <c:order val="0"/>
          <c:tx>
            <c:v>ICT equipment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ict_inv!$B$181:$B$189</c:f>
              <c:numCache>
                <c:formatCode>General</c:formatCode>
                <c:ptCount val="9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ict_inv!$C$181:$C$189</c:f>
              <c:numCache>
                <c:formatCode>General</c:formatCode>
                <c:ptCount val="9"/>
                <c:pt idx="0">
                  <c:v>5019</c:v>
                </c:pt>
                <c:pt idx="1">
                  <c:v>5159</c:v>
                </c:pt>
                <c:pt idx="2">
                  <c:v>5339</c:v>
                </c:pt>
                <c:pt idx="3">
                  <c:v>6464</c:v>
                </c:pt>
                <c:pt idx="4">
                  <c:v>6747</c:v>
                </c:pt>
                <c:pt idx="5">
                  <c:v>6745</c:v>
                </c:pt>
                <c:pt idx="6">
                  <c:v>7787</c:v>
                </c:pt>
                <c:pt idx="7">
                  <c:v>7873</c:v>
                </c:pt>
                <c:pt idx="8">
                  <c:v>8359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BE-4E6F-8353-7FB59989A5D6}"/>
            </c:ext>
          </c:extLst>
        </c:ser>
        <c:ser>
          <c:idx val="2"/>
          <c:order val="1"/>
          <c:tx>
            <c:v>Software &amp; databases exl inform &amp; 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ict_inv!$B$181:$B$189</c:f>
              <c:numCache>
                <c:formatCode>General</c:formatCode>
                <c:ptCount val="9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ict_inv!$S$181:$S$189</c:f>
              <c:numCache>
                <c:formatCode>General</c:formatCode>
                <c:ptCount val="9"/>
                <c:pt idx="0">
                  <c:v>16283</c:v>
                </c:pt>
                <c:pt idx="1">
                  <c:v>16615</c:v>
                </c:pt>
                <c:pt idx="2">
                  <c:v>17030</c:v>
                </c:pt>
                <c:pt idx="3">
                  <c:v>17721</c:v>
                </c:pt>
                <c:pt idx="4">
                  <c:v>17872</c:v>
                </c:pt>
                <c:pt idx="5">
                  <c:v>18362</c:v>
                </c:pt>
                <c:pt idx="6">
                  <c:v>20303</c:v>
                </c:pt>
                <c:pt idx="7">
                  <c:v>21685</c:v>
                </c:pt>
                <c:pt idx="8">
                  <c:v>22366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BE-4E6F-8353-7FB59989A5D6}"/>
            </c:ext>
          </c:extLst>
        </c:ser>
        <c:ser>
          <c:idx val="3"/>
          <c:order val="2"/>
          <c:tx>
            <c:v>Other buildings &amp; structures in inform &amp; com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ict_inv!$B$181:$B$189</c:f>
              <c:numCache>
                <c:formatCode>General</c:formatCode>
                <c:ptCount val="9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ict_inv!$E$181:$E$189</c:f>
              <c:numCache>
                <c:formatCode>General</c:formatCode>
                <c:ptCount val="9"/>
                <c:pt idx="0">
                  <c:v>2114</c:v>
                </c:pt>
                <c:pt idx="1">
                  <c:v>1893</c:v>
                </c:pt>
                <c:pt idx="2">
                  <c:v>1670</c:v>
                </c:pt>
                <c:pt idx="3">
                  <c:v>2299</c:v>
                </c:pt>
                <c:pt idx="4">
                  <c:v>3223</c:v>
                </c:pt>
                <c:pt idx="5">
                  <c:v>2797</c:v>
                </c:pt>
                <c:pt idx="6">
                  <c:v>3173</c:v>
                </c:pt>
                <c:pt idx="7">
                  <c:v>2444</c:v>
                </c:pt>
                <c:pt idx="8">
                  <c:v>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BE-4E6F-8353-7FB59989A5D6}"/>
            </c:ext>
          </c:extLst>
        </c:ser>
        <c:ser>
          <c:idx val="4"/>
          <c:order val="3"/>
          <c:tx>
            <c:v>Intellectual property products in inform &amp; com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ict_inv!$B$181:$B$189</c:f>
              <c:numCache>
                <c:formatCode>General</c:formatCode>
                <c:ptCount val="9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ict_inv!$F$181:$F$189</c:f>
              <c:numCache>
                <c:formatCode>General</c:formatCode>
                <c:ptCount val="9"/>
                <c:pt idx="0">
                  <c:v>3069</c:v>
                </c:pt>
                <c:pt idx="1">
                  <c:v>3287</c:v>
                </c:pt>
                <c:pt idx="2">
                  <c:v>3332</c:v>
                </c:pt>
                <c:pt idx="3">
                  <c:v>3552</c:v>
                </c:pt>
                <c:pt idx="4">
                  <c:v>3482</c:v>
                </c:pt>
                <c:pt idx="5">
                  <c:v>3560</c:v>
                </c:pt>
                <c:pt idx="6">
                  <c:v>3806</c:v>
                </c:pt>
                <c:pt idx="7">
                  <c:v>4012</c:v>
                </c:pt>
                <c:pt idx="8">
                  <c:v>4258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BE-4E6F-8353-7FB59989A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40062160"/>
        <c:axId val="2116070896"/>
      </c:barChart>
      <c:catAx>
        <c:axId val="214006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116070896"/>
        <c:crosses val="autoZero"/>
        <c:auto val="1"/>
        <c:lblAlgn val="ctr"/>
        <c:lblOffset val="100"/>
        <c:noMultiLvlLbl val="0"/>
      </c:catAx>
      <c:valAx>
        <c:axId val="211607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140062160"/>
        <c:crosses val="autoZero"/>
        <c:crossBetween val="between"/>
        <c:majorUnit val="1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8665427238261889"/>
          <c:w val="0.99321653543307087"/>
          <c:h val="0.313345727617381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ai_inv!$A$13</c:f>
              <c:strCache>
                <c:ptCount val="1"/>
                <c:pt idx="0">
                  <c:v>BE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ai_inv!$B$2:$B$12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ai_inv!$C$13:$C$23</c:f>
              <c:numCache>
                <c:formatCode>General</c:formatCode>
                <c:ptCount val="11"/>
                <c:pt idx="0">
                  <c:v>38</c:v>
                </c:pt>
                <c:pt idx="1">
                  <c:v>12</c:v>
                </c:pt>
                <c:pt idx="2">
                  <c:v>54</c:v>
                </c:pt>
                <c:pt idx="3">
                  <c:v>26</c:v>
                </c:pt>
                <c:pt idx="4">
                  <c:v>30</c:v>
                </c:pt>
                <c:pt idx="5">
                  <c:v>70</c:v>
                </c:pt>
                <c:pt idx="6">
                  <c:v>65</c:v>
                </c:pt>
                <c:pt idx="7">
                  <c:v>79</c:v>
                </c:pt>
                <c:pt idx="8">
                  <c:v>61</c:v>
                </c:pt>
                <c:pt idx="9">
                  <c:v>97</c:v>
                </c:pt>
                <c:pt idx="10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EA-461E-8270-9724DC2E340C}"/>
            </c:ext>
          </c:extLst>
        </c:ser>
        <c:ser>
          <c:idx val="0"/>
          <c:order val="1"/>
          <c:tx>
            <c:strRef>
              <c:f>ai_inv!$A$2</c:f>
              <c:strCache>
                <c:ptCount val="1"/>
                <c:pt idx="0">
                  <c:v>AT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ai_inv!$C$2:$C$12</c:f>
              <c:numCache>
                <c:formatCode>General</c:formatCode>
                <c:ptCount val="11"/>
                <c:pt idx="0">
                  <c:v>3</c:v>
                </c:pt>
                <c:pt idx="1">
                  <c:v>21</c:v>
                </c:pt>
                <c:pt idx="2">
                  <c:v>24</c:v>
                </c:pt>
                <c:pt idx="3">
                  <c:v>39</c:v>
                </c:pt>
                <c:pt idx="4">
                  <c:v>43</c:v>
                </c:pt>
                <c:pt idx="5">
                  <c:v>47</c:v>
                </c:pt>
                <c:pt idx="6">
                  <c:v>67</c:v>
                </c:pt>
                <c:pt idx="7">
                  <c:v>68</c:v>
                </c:pt>
                <c:pt idx="8">
                  <c:v>149</c:v>
                </c:pt>
                <c:pt idx="9">
                  <c:v>133</c:v>
                </c:pt>
                <c:pt idx="10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EA-461E-8270-9724DC2E340C}"/>
            </c:ext>
          </c:extLst>
        </c:ser>
        <c:ser>
          <c:idx val="2"/>
          <c:order val="2"/>
          <c:tx>
            <c:strRef>
              <c:f>ai_inv!$A$24</c:f>
              <c:strCache>
                <c:ptCount val="1"/>
                <c:pt idx="0">
                  <c:v>DE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ai_inv!$C$24:$C$34</c:f>
              <c:numCache>
                <c:formatCode>General</c:formatCode>
                <c:ptCount val="11"/>
                <c:pt idx="0">
                  <c:v>106</c:v>
                </c:pt>
                <c:pt idx="1">
                  <c:v>168</c:v>
                </c:pt>
                <c:pt idx="2">
                  <c:v>245</c:v>
                </c:pt>
                <c:pt idx="3">
                  <c:v>265</c:v>
                </c:pt>
                <c:pt idx="4">
                  <c:v>389</c:v>
                </c:pt>
                <c:pt idx="5">
                  <c:v>404</c:v>
                </c:pt>
                <c:pt idx="6">
                  <c:v>710</c:v>
                </c:pt>
                <c:pt idx="7">
                  <c:v>886</c:v>
                </c:pt>
                <c:pt idx="8">
                  <c:v>846</c:v>
                </c:pt>
                <c:pt idx="9">
                  <c:v>791</c:v>
                </c:pt>
                <c:pt idx="10">
                  <c:v>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EA-461E-8270-9724DC2E340C}"/>
            </c:ext>
          </c:extLst>
        </c:ser>
        <c:ser>
          <c:idx val="3"/>
          <c:order val="3"/>
          <c:tx>
            <c:strRef>
              <c:f>ai_inv!$A$35</c:f>
              <c:strCache>
                <c:ptCount val="1"/>
                <c:pt idx="0">
                  <c:v>ES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ai_inv!$C$35:$C$45</c:f>
              <c:numCache>
                <c:formatCode>General</c:formatCode>
                <c:ptCount val="11"/>
                <c:pt idx="0">
                  <c:v>67</c:v>
                </c:pt>
                <c:pt idx="1">
                  <c:v>91</c:v>
                </c:pt>
                <c:pt idx="2">
                  <c:v>89</c:v>
                </c:pt>
                <c:pt idx="3">
                  <c:v>109</c:v>
                </c:pt>
                <c:pt idx="4">
                  <c:v>138</c:v>
                </c:pt>
                <c:pt idx="5">
                  <c:v>161</c:v>
                </c:pt>
                <c:pt idx="6">
                  <c:v>272</c:v>
                </c:pt>
                <c:pt idx="7">
                  <c:v>227</c:v>
                </c:pt>
                <c:pt idx="8">
                  <c:v>307</c:v>
                </c:pt>
                <c:pt idx="9">
                  <c:v>258</c:v>
                </c:pt>
                <c:pt idx="10">
                  <c:v>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CEA-461E-8270-9724DC2E340C}"/>
            </c:ext>
          </c:extLst>
        </c:ser>
        <c:ser>
          <c:idx val="4"/>
          <c:order val="4"/>
          <c:tx>
            <c:strRef>
              <c:f>ai_inv!$A$46</c:f>
              <c:strCache>
                <c:ptCount val="1"/>
                <c:pt idx="0">
                  <c:v>FR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ai_inv!$C$46:$C$56</c:f>
              <c:numCache>
                <c:formatCode>General</c:formatCode>
                <c:ptCount val="11"/>
                <c:pt idx="0">
                  <c:v>81</c:v>
                </c:pt>
                <c:pt idx="1">
                  <c:v>172</c:v>
                </c:pt>
                <c:pt idx="2">
                  <c:v>260</c:v>
                </c:pt>
                <c:pt idx="3">
                  <c:v>274</c:v>
                </c:pt>
                <c:pt idx="4">
                  <c:v>264</c:v>
                </c:pt>
                <c:pt idx="5">
                  <c:v>315</c:v>
                </c:pt>
                <c:pt idx="6">
                  <c:v>377</c:v>
                </c:pt>
                <c:pt idx="7">
                  <c:v>496</c:v>
                </c:pt>
                <c:pt idx="8">
                  <c:v>523</c:v>
                </c:pt>
                <c:pt idx="9">
                  <c:v>569</c:v>
                </c:pt>
                <c:pt idx="10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CEA-461E-8270-9724DC2E340C}"/>
            </c:ext>
          </c:extLst>
        </c:ser>
        <c:ser>
          <c:idx val="5"/>
          <c:order val="5"/>
          <c:tx>
            <c:strRef>
              <c:f>ai_inv!$A$57</c:f>
              <c:strCache>
                <c:ptCount val="1"/>
                <c:pt idx="0">
                  <c:v>IT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ai_inv!$C$57:$C$67</c:f>
              <c:numCache>
                <c:formatCode>General</c:formatCode>
                <c:ptCount val="11"/>
                <c:pt idx="0">
                  <c:v>34</c:v>
                </c:pt>
                <c:pt idx="1">
                  <c:v>26</c:v>
                </c:pt>
                <c:pt idx="2">
                  <c:v>26</c:v>
                </c:pt>
                <c:pt idx="3">
                  <c:v>44</c:v>
                </c:pt>
                <c:pt idx="4">
                  <c:v>42</c:v>
                </c:pt>
                <c:pt idx="5">
                  <c:v>55</c:v>
                </c:pt>
                <c:pt idx="6">
                  <c:v>108</c:v>
                </c:pt>
                <c:pt idx="7">
                  <c:v>104</c:v>
                </c:pt>
                <c:pt idx="8">
                  <c:v>103</c:v>
                </c:pt>
                <c:pt idx="9">
                  <c:v>162</c:v>
                </c:pt>
                <c:pt idx="10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CEA-461E-8270-9724DC2E340C}"/>
            </c:ext>
          </c:extLst>
        </c:ser>
        <c:ser>
          <c:idx val="6"/>
          <c:order val="6"/>
          <c:tx>
            <c:strRef>
              <c:f>ai_inv!$A$68</c:f>
              <c:strCache>
                <c:ptCount val="1"/>
                <c:pt idx="0">
                  <c:v>NL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ai_inv!$C$68:$C$78</c:f>
              <c:numCache>
                <c:formatCode>General</c:formatCode>
                <c:ptCount val="11"/>
                <c:pt idx="0">
                  <c:v>38</c:v>
                </c:pt>
                <c:pt idx="1">
                  <c:v>53</c:v>
                </c:pt>
                <c:pt idx="2">
                  <c:v>60</c:v>
                </c:pt>
                <c:pt idx="3">
                  <c:v>76</c:v>
                </c:pt>
                <c:pt idx="4">
                  <c:v>82</c:v>
                </c:pt>
                <c:pt idx="5">
                  <c:v>133</c:v>
                </c:pt>
                <c:pt idx="6">
                  <c:v>150</c:v>
                </c:pt>
                <c:pt idx="7">
                  <c:v>185</c:v>
                </c:pt>
                <c:pt idx="8">
                  <c:v>180</c:v>
                </c:pt>
                <c:pt idx="9">
                  <c:v>183</c:v>
                </c:pt>
                <c:pt idx="10">
                  <c:v>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CEA-461E-8270-9724DC2E340C}"/>
            </c:ext>
          </c:extLst>
        </c:ser>
        <c:ser>
          <c:idx val="7"/>
          <c:order val="7"/>
          <c:tx>
            <c:strRef>
              <c:f>ai_inv!$A$79</c:f>
              <c:strCache>
                <c:ptCount val="1"/>
                <c:pt idx="0">
                  <c:v>FI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ai_inv!$C$79:$C$89</c:f>
              <c:numCache>
                <c:formatCode>General</c:formatCode>
                <c:ptCount val="11"/>
                <c:pt idx="0">
                  <c:v>26</c:v>
                </c:pt>
                <c:pt idx="1">
                  <c:v>23</c:v>
                </c:pt>
                <c:pt idx="2">
                  <c:v>46</c:v>
                </c:pt>
                <c:pt idx="3">
                  <c:v>55</c:v>
                </c:pt>
                <c:pt idx="4">
                  <c:v>77</c:v>
                </c:pt>
                <c:pt idx="5">
                  <c:v>72</c:v>
                </c:pt>
                <c:pt idx="6">
                  <c:v>71</c:v>
                </c:pt>
                <c:pt idx="7">
                  <c:v>70</c:v>
                </c:pt>
                <c:pt idx="8">
                  <c:v>67</c:v>
                </c:pt>
                <c:pt idx="9">
                  <c:v>129</c:v>
                </c:pt>
                <c:pt idx="10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F-48F1-8C36-C267B9195A28}"/>
            </c:ext>
          </c:extLst>
        </c:ser>
        <c:ser>
          <c:idx val="8"/>
          <c:order val="8"/>
          <c:tx>
            <c:strRef>
              <c:f>ai_inv!$A$90</c:f>
              <c:strCache>
                <c:ptCount val="1"/>
                <c:pt idx="0">
                  <c:v>IE</c:v>
                </c:pt>
              </c:strCache>
            </c:strRef>
          </c:tx>
          <c:spPr>
            <a:ln w="1270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ai_inv!$C$90:$C$100</c:f>
              <c:numCache>
                <c:formatCode>General</c:formatCode>
                <c:ptCount val="11"/>
                <c:pt idx="0">
                  <c:v>29</c:v>
                </c:pt>
                <c:pt idx="1">
                  <c:v>36</c:v>
                </c:pt>
                <c:pt idx="2">
                  <c:v>55</c:v>
                </c:pt>
                <c:pt idx="3">
                  <c:v>49</c:v>
                </c:pt>
                <c:pt idx="4">
                  <c:v>65</c:v>
                </c:pt>
                <c:pt idx="5">
                  <c:v>61</c:v>
                </c:pt>
                <c:pt idx="6">
                  <c:v>86</c:v>
                </c:pt>
                <c:pt idx="7">
                  <c:v>99</c:v>
                </c:pt>
                <c:pt idx="8">
                  <c:v>64</c:v>
                </c:pt>
                <c:pt idx="9">
                  <c:v>91</c:v>
                </c:pt>
                <c:pt idx="10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5F-48F1-8C36-C267B9195A28}"/>
            </c:ext>
          </c:extLst>
        </c:ser>
        <c:ser>
          <c:idx val="9"/>
          <c:order val="9"/>
          <c:tx>
            <c:strRef>
              <c:f>ai_inv!$A$101</c:f>
              <c:strCache>
                <c:ptCount val="1"/>
                <c:pt idx="0">
                  <c:v>PT</c:v>
                </c:pt>
              </c:strCache>
            </c:strRef>
          </c:tx>
          <c:spPr>
            <a:ln w="1270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ai_inv!$C$101:$C$111</c:f>
              <c:numCache>
                <c:formatCode>General</c:formatCode>
                <c:ptCount val="11"/>
                <c:pt idx="0">
                  <c:v>23</c:v>
                </c:pt>
                <c:pt idx="1">
                  <c:v>26</c:v>
                </c:pt>
                <c:pt idx="2">
                  <c:v>22</c:v>
                </c:pt>
                <c:pt idx="3">
                  <c:v>40</c:v>
                </c:pt>
                <c:pt idx="4">
                  <c:v>73</c:v>
                </c:pt>
                <c:pt idx="5">
                  <c:v>46</c:v>
                </c:pt>
                <c:pt idx="6">
                  <c:v>80</c:v>
                </c:pt>
                <c:pt idx="7">
                  <c:v>84</c:v>
                </c:pt>
                <c:pt idx="8">
                  <c:v>46</c:v>
                </c:pt>
                <c:pt idx="9">
                  <c:v>60</c:v>
                </c:pt>
                <c:pt idx="1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5F-48F1-8C36-C267B9195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338784"/>
        <c:axId val="470350352"/>
      </c:lineChart>
      <c:catAx>
        <c:axId val="92733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470350352"/>
        <c:crosses val="autoZero"/>
        <c:auto val="1"/>
        <c:lblAlgn val="ctr"/>
        <c:lblOffset val="100"/>
        <c:tickLblSkip val="2"/>
        <c:noMultiLvlLbl val="0"/>
      </c:catAx>
      <c:valAx>
        <c:axId val="47035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2733878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hs_export!$A$2:$A$269</c:f>
              <c:strCache>
                <c:ptCount val="26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9">
                  <c:v>FI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6">
                  <c:v>IE</c:v>
                </c:pt>
                <c:pt idx="217">
                  <c:v>IE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3">
                  <c:v>PT</c:v>
                </c:pt>
                <c:pt idx="244">
                  <c:v>PT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</c:strCache>
            </c:strRef>
          </c:cat>
          <c:val>
            <c:numRef>
              <c:f>hs_export!$L$2:$L$269</c:f>
              <c:numCache>
                <c:formatCode>General</c:formatCode>
                <c:ptCount val="268"/>
                <c:pt idx="0">
                  <c:v>8.831044110282401E-3</c:v>
                </c:pt>
                <c:pt idx="1">
                  <c:v>7.9978534570788011E-3</c:v>
                </c:pt>
                <c:pt idx="2">
                  <c:v>7.6996050890640981E-3</c:v>
                </c:pt>
                <c:pt idx="3">
                  <c:v>6.9567842201210019E-3</c:v>
                </c:pt>
                <c:pt idx="4">
                  <c:v>7.7493235832270012E-3</c:v>
                </c:pt>
                <c:pt idx="5">
                  <c:v>6.5048967417057728E-3</c:v>
                </c:pt>
                <c:pt idx="6">
                  <c:v>6.0983129493250576E-3</c:v>
                </c:pt>
                <c:pt idx="7">
                  <c:v>6.4135285662317125E-3</c:v>
                </c:pt>
                <c:pt idx="8">
                  <c:v>5.3989975840759456E-3</c:v>
                </c:pt>
                <c:pt idx="9">
                  <c:v>5.6745579005316746E-3</c:v>
                </c:pt>
                <c:pt idx="10">
                  <c:v>6.4239538872642851E-3</c:v>
                </c:pt>
                <c:pt idx="11">
                  <c:v>6.0810296667168041E-3</c:v>
                </c:pt>
                <c:pt idx="12">
                  <c:v>5.1501038457717457E-3</c:v>
                </c:pt>
                <c:pt idx="13">
                  <c:v>4.9104806969426009E-3</c:v>
                </c:pt>
                <c:pt idx="14">
                  <c:v>5.2414028038574598E-3</c:v>
                </c:pt>
                <c:pt idx="15">
                  <c:v>5.6174915482511585E-3</c:v>
                </c:pt>
                <c:pt idx="16">
                  <c:v>5.5009113707549639E-3</c:v>
                </c:pt>
                <c:pt idx="17">
                  <c:v>5.3416232953854255E-3</c:v>
                </c:pt>
                <c:pt idx="18">
                  <c:v>6.1210722167909584E-3</c:v>
                </c:pt>
                <c:pt idx="19">
                  <c:v>6.350496657154401E-3</c:v>
                </c:pt>
                <c:pt idx="20">
                  <c:v>8.5662439392624936E-3</c:v>
                </c:pt>
                <c:pt idx="21">
                  <c:v>8.943056702231925E-3</c:v>
                </c:pt>
                <c:pt idx="22">
                  <c:v>8.9996521427787666E-3</c:v>
                </c:pt>
                <c:pt idx="23">
                  <c:v>1.018602861865241E-2</c:v>
                </c:pt>
                <c:pt idx="24">
                  <c:v>1.1274054550446028E-2</c:v>
                </c:pt>
                <c:pt idx="27">
                  <c:v>7.5563746662745618E-3</c:v>
                </c:pt>
                <c:pt idx="28">
                  <c:v>6.7845016229961565E-3</c:v>
                </c:pt>
                <c:pt idx="29">
                  <c:v>5.7987271802116538E-3</c:v>
                </c:pt>
                <c:pt idx="30">
                  <c:v>5.8945341172810519E-3</c:v>
                </c:pt>
                <c:pt idx="31">
                  <c:v>5.3775421955607394E-3</c:v>
                </c:pt>
                <c:pt idx="32">
                  <c:v>5.6786186000490468E-3</c:v>
                </c:pt>
                <c:pt idx="33">
                  <c:v>5.619368928335664E-3</c:v>
                </c:pt>
                <c:pt idx="34">
                  <c:v>2.333813843597674E-3</c:v>
                </c:pt>
                <c:pt idx="35">
                  <c:v>2.3632312837219994E-3</c:v>
                </c:pt>
                <c:pt idx="36">
                  <c:v>2.2389022769976467E-3</c:v>
                </c:pt>
                <c:pt idx="37">
                  <c:v>1.8087114554200116E-3</c:v>
                </c:pt>
                <c:pt idx="38">
                  <c:v>1.7853344740759766E-3</c:v>
                </c:pt>
                <c:pt idx="39">
                  <c:v>1.5063974111351535E-3</c:v>
                </c:pt>
                <c:pt idx="40">
                  <c:v>1.5860330746885448E-3</c:v>
                </c:pt>
                <c:pt idx="41">
                  <c:v>1.8279475175665763E-3</c:v>
                </c:pt>
                <c:pt idx="42">
                  <c:v>2.3021800043303508E-3</c:v>
                </c:pt>
                <c:pt idx="43">
                  <c:v>2.4965571334054685E-3</c:v>
                </c:pt>
                <c:pt idx="44">
                  <c:v>2.8564511679683561E-3</c:v>
                </c:pt>
                <c:pt idx="45">
                  <c:v>1.9013368417924929E-3</c:v>
                </c:pt>
                <c:pt idx="46">
                  <c:v>1.4975006562891059E-3</c:v>
                </c:pt>
                <c:pt idx="47">
                  <c:v>1.2815638697778809E-3</c:v>
                </c:pt>
                <c:pt idx="48">
                  <c:v>1.1517525996332385E-3</c:v>
                </c:pt>
                <c:pt idx="49">
                  <c:v>1.014469878411819E-3</c:v>
                </c:pt>
                <c:pt idx="50">
                  <c:v>1.3246369136720418E-3</c:v>
                </c:pt>
                <c:pt idx="51">
                  <c:v>1.3593363167259693E-3</c:v>
                </c:pt>
                <c:pt idx="54">
                  <c:v>1.6167750403857071E-2</c:v>
                </c:pt>
                <c:pt idx="55">
                  <c:v>1.4509784887105581E-2</c:v>
                </c:pt>
                <c:pt idx="56">
                  <c:v>1.3834798756569473E-2</c:v>
                </c:pt>
                <c:pt idx="57">
                  <c:v>1.3657815541986539E-2</c:v>
                </c:pt>
                <c:pt idx="58">
                  <c:v>1.4763472162436335E-2</c:v>
                </c:pt>
                <c:pt idx="59">
                  <c:v>1.3557784072106376E-2</c:v>
                </c:pt>
                <c:pt idx="60">
                  <c:v>1.3168052574516054E-2</c:v>
                </c:pt>
                <c:pt idx="61">
                  <c:v>8.5120579126434486E-3</c:v>
                </c:pt>
                <c:pt idx="62">
                  <c:v>7.1793231336643179E-3</c:v>
                </c:pt>
                <c:pt idx="63">
                  <c:v>7.0250277002853649E-3</c:v>
                </c:pt>
                <c:pt idx="64">
                  <c:v>7.2835816160330353E-3</c:v>
                </c:pt>
                <c:pt idx="65">
                  <c:v>6.6895895733449775E-3</c:v>
                </c:pt>
                <c:pt idx="66">
                  <c:v>4.819952357644635E-3</c:v>
                </c:pt>
                <c:pt idx="67">
                  <c:v>4.7224478417125654E-3</c:v>
                </c:pt>
                <c:pt idx="68">
                  <c:v>5.3357040941452135E-3</c:v>
                </c:pt>
                <c:pt idx="69">
                  <c:v>5.4147439174576885E-3</c:v>
                </c:pt>
                <c:pt idx="70">
                  <c:v>5.3806800427406536E-3</c:v>
                </c:pt>
                <c:pt idx="71">
                  <c:v>6.2433576307011837E-3</c:v>
                </c:pt>
                <c:pt idx="72">
                  <c:v>6.8350081171567678E-3</c:v>
                </c:pt>
                <c:pt idx="73">
                  <c:v>7.0803682370956548E-3</c:v>
                </c:pt>
                <c:pt idx="74">
                  <c:v>7.8392311441250039E-3</c:v>
                </c:pt>
                <c:pt idx="75">
                  <c:v>7.6718061679035407E-3</c:v>
                </c:pt>
                <c:pt idx="76">
                  <c:v>7.6054945428721031E-3</c:v>
                </c:pt>
                <c:pt idx="77">
                  <c:v>8.2199832242052222E-3</c:v>
                </c:pt>
                <c:pt idx="78">
                  <c:v>9.0522441223979538E-3</c:v>
                </c:pt>
                <c:pt idx="81">
                  <c:v>4.4499363456354142E-3</c:v>
                </c:pt>
                <c:pt idx="82">
                  <c:v>4.9309051200132469E-3</c:v>
                </c:pt>
                <c:pt idx="83">
                  <c:v>4.5296454768084509E-3</c:v>
                </c:pt>
                <c:pt idx="84">
                  <c:v>5.4872390158287165E-3</c:v>
                </c:pt>
                <c:pt idx="85">
                  <c:v>4.8959262440976597E-3</c:v>
                </c:pt>
                <c:pt idx="86">
                  <c:v>3.3207861401942881E-3</c:v>
                </c:pt>
                <c:pt idx="87">
                  <c:v>3.126757928638195E-3</c:v>
                </c:pt>
                <c:pt idx="88">
                  <c:v>2.0117172575407904E-3</c:v>
                </c:pt>
                <c:pt idx="89">
                  <c:v>1.5011437049617597E-3</c:v>
                </c:pt>
                <c:pt idx="90">
                  <c:v>1.3734167933158795E-3</c:v>
                </c:pt>
                <c:pt idx="91">
                  <c:v>1.0612814296687271E-3</c:v>
                </c:pt>
                <c:pt idx="92">
                  <c:v>9.9075850777640361E-4</c:v>
                </c:pt>
                <c:pt idx="93">
                  <c:v>8.5916088536536466E-4</c:v>
                </c:pt>
                <c:pt idx="94">
                  <c:v>9.4227488393005903E-4</c:v>
                </c:pt>
                <c:pt idx="95">
                  <c:v>9.2250592250354795E-4</c:v>
                </c:pt>
                <c:pt idx="96">
                  <c:v>9.2666995943365294E-4</c:v>
                </c:pt>
                <c:pt idx="97">
                  <c:v>8.8753437142114551E-4</c:v>
                </c:pt>
                <c:pt idx="98">
                  <c:v>1.0545553688851065E-3</c:v>
                </c:pt>
                <c:pt idx="99">
                  <c:v>1.0194633256850384E-3</c:v>
                </c:pt>
                <c:pt idx="100">
                  <c:v>1.0308378641124421E-3</c:v>
                </c:pt>
                <c:pt idx="101">
                  <c:v>1.0905201006530247E-3</c:v>
                </c:pt>
                <c:pt idx="102">
                  <c:v>9.5082948422036513E-4</c:v>
                </c:pt>
                <c:pt idx="103">
                  <c:v>7.4896701923423141E-4</c:v>
                </c:pt>
                <c:pt idx="104">
                  <c:v>8.320080192103427E-4</c:v>
                </c:pt>
                <c:pt idx="105">
                  <c:v>8.4521814706645191E-4</c:v>
                </c:pt>
                <c:pt idx="108">
                  <c:v>1.5769101588683061E-2</c:v>
                </c:pt>
                <c:pt idx="109">
                  <c:v>1.3339579080489409E-2</c:v>
                </c:pt>
                <c:pt idx="110">
                  <c:v>1.0695766030768886E-2</c:v>
                </c:pt>
                <c:pt idx="111">
                  <c:v>9.2233082002119212E-3</c:v>
                </c:pt>
                <c:pt idx="112">
                  <c:v>8.324938030414732E-3</c:v>
                </c:pt>
                <c:pt idx="113">
                  <c:v>6.873056967627536E-3</c:v>
                </c:pt>
                <c:pt idx="114">
                  <c:v>6.4874178115893397E-3</c:v>
                </c:pt>
                <c:pt idx="115">
                  <c:v>4.5094944083163002E-3</c:v>
                </c:pt>
                <c:pt idx="116">
                  <c:v>4.7662496273629795E-3</c:v>
                </c:pt>
                <c:pt idx="117">
                  <c:v>4.6367173683867459E-3</c:v>
                </c:pt>
                <c:pt idx="118">
                  <c:v>4.2918301080053893E-3</c:v>
                </c:pt>
                <c:pt idx="119">
                  <c:v>4.1600953365570287E-3</c:v>
                </c:pt>
                <c:pt idx="120">
                  <c:v>3.0575260075342958E-3</c:v>
                </c:pt>
                <c:pt idx="121">
                  <c:v>2.8452681531162109E-3</c:v>
                </c:pt>
                <c:pt idx="122">
                  <c:v>2.665525596819427E-3</c:v>
                </c:pt>
                <c:pt idx="123">
                  <c:v>2.8317362322561857E-3</c:v>
                </c:pt>
                <c:pt idx="124">
                  <c:v>2.7643537690768671E-3</c:v>
                </c:pt>
                <c:pt idx="125">
                  <c:v>2.9273748927723382E-3</c:v>
                </c:pt>
                <c:pt idx="126">
                  <c:v>3.1899423817828773E-3</c:v>
                </c:pt>
                <c:pt idx="127">
                  <c:v>2.7119388920044175E-3</c:v>
                </c:pt>
                <c:pt idx="128">
                  <c:v>3.0742389243511815E-3</c:v>
                </c:pt>
                <c:pt idx="129">
                  <c:v>3.2311725148076254E-3</c:v>
                </c:pt>
                <c:pt idx="130">
                  <c:v>3.2520324935252382E-3</c:v>
                </c:pt>
                <c:pt idx="131">
                  <c:v>2.5946260117071037E-3</c:v>
                </c:pt>
                <c:pt idx="132">
                  <c:v>2.7502951165177488E-3</c:v>
                </c:pt>
                <c:pt idx="135">
                  <c:v>1.0266230083078115E-2</c:v>
                </c:pt>
                <c:pt idx="136">
                  <c:v>9.4064267248073954E-3</c:v>
                </c:pt>
                <c:pt idx="137">
                  <c:v>8.0304945854945495E-3</c:v>
                </c:pt>
                <c:pt idx="138">
                  <c:v>6.4338560633505721E-3</c:v>
                </c:pt>
                <c:pt idx="139">
                  <c:v>4.7130037241950853E-3</c:v>
                </c:pt>
                <c:pt idx="140">
                  <c:v>4.304434075137792E-3</c:v>
                </c:pt>
                <c:pt idx="141">
                  <c:v>3.1662050987560047E-3</c:v>
                </c:pt>
                <c:pt idx="142">
                  <c:v>2.1586470020978853E-3</c:v>
                </c:pt>
                <c:pt idx="143">
                  <c:v>1.894414753840512E-3</c:v>
                </c:pt>
                <c:pt idx="144">
                  <c:v>2.0098660900824809E-3</c:v>
                </c:pt>
                <c:pt idx="145">
                  <c:v>2.8601736968134018E-3</c:v>
                </c:pt>
                <c:pt idx="146">
                  <c:v>3.1268873181164343E-3</c:v>
                </c:pt>
                <c:pt idx="147">
                  <c:v>1.2489929048752988E-3</c:v>
                </c:pt>
                <c:pt idx="148">
                  <c:v>1.2588426091907925E-3</c:v>
                </c:pt>
                <c:pt idx="149">
                  <c:v>1.1676188031476179E-3</c:v>
                </c:pt>
                <c:pt idx="150">
                  <c:v>1.2064189214924918E-3</c:v>
                </c:pt>
                <c:pt idx="151">
                  <c:v>1.4504261810183822E-3</c:v>
                </c:pt>
                <c:pt idx="152">
                  <c:v>1.415613987051515E-3</c:v>
                </c:pt>
                <c:pt idx="153">
                  <c:v>1.4557354596703058E-3</c:v>
                </c:pt>
                <c:pt idx="154">
                  <c:v>1.4682068744594184E-3</c:v>
                </c:pt>
                <c:pt idx="155">
                  <c:v>1.6408659407385494E-3</c:v>
                </c:pt>
                <c:pt idx="156">
                  <c:v>1.3550145653097681E-3</c:v>
                </c:pt>
                <c:pt idx="157">
                  <c:v>1.312969725716661E-3</c:v>
                </c:pt>
                <c:pt idx="158">
                  <c:v>1.2881686896721704E-3</c:v>
                </c:pt>
                <c:pt idx="159">
                  <c:v>1.1948630732060812E-3</c:v>
                </c:pt>
                <c:pt idx="162">
                  <c:v>5.4484067456146201E-2</c:v>
                </c:pt>
                <c:pt idx="163">
                  <c:v>5.0086166094544006E-2</c:v>
                </c:pt>
                <c:pt idx="164">
                  <c:v>5.4325116632785872E-2</c:v>
                </c:pt>
                <c:pt idx="165">
                  <c:v>4.8055729510678477E-2</c:v>
                </c:pt>
                <c:pt idx="166">
                  <c:v>4.7766188320884348E-2</c:v>
                </c:pt>
                <c:pt idx="167">
                  <c:v>5.5433490860016393E-2</c:v>
                </c:pt>
                <c:pt idx="168">
                  <c:v>5.7114826347569946E-2</c:v>
                </c:pt>
                <c:pt idx="169">
                  <c:v>3.9608146378004423E-2</c:v>
                </c:pt>
                <c:pt idx="170">
                  <c:v>3.0980013183286019E-2</c:v>
                </c:pt>
                <c:pt idx="171">
                  <c:v>2.9284183405477126E-2</c:v>
                </c:pt>
                <c:pt idx="172">
                  <c:v>3.4946739474163262E-2</c:v>
                </c:pt>
                <c:pt idx="173">
                  <c:v>3.5170763787982888E-2</c:v>
                </c:pt>
                <c:pt idx="174">
                  <c:v>2.7962413886549894E-2</c:v>
                </c:pt>
                <c:pt idx="175">
                  <c:v>2.9160807041343783E-2</c:v>
                </c:pt>
                <c:pt idx="176">
                  <c:v>3.2188351395378782E-2</c:v>
                </c:pt>
                <c:pt idx="177">
                  <c:v>3.2851000748855559E-2</c:v>
                </c:pt>
                <c:pt idx="178">
                  <c:v>3.3329279039429366E-2</c:v>
                </c:pt>
                <c:pt idx="179">
                  <c:v>3.1898869597727753E-2</c:v>
                </c:pt>
                <c:pt idx="180">
                  <c:v>3.6136036052098933E-2</c:v>
                </c:pt>
                <c:pt idx="181">
                  <c:v>3.7054754499917721E-2</c:v>
                </c:pt>
                <c:pt idx="182">
                  <c:v>4.2581579870975286E-2</c:v>
                </c:pt>
                <c:pt idx="183">
                  <c:v>4.2462832174872046E-2</c:v>
                </c:pt>
                <c:pt idx="184">
                  <c:v>3.9912869114175485E-2</c:v>
                </c:pt>
                <c:pt idx="185">
                  <c:v>4.7342708178344274E-2</c:v>
                </c:pt>
                <c:pt idx="186">
                  <c:v>5.4353019400492378E-2</c:v>
                </c:pt>
                <c:pt idx="189">
                  <c:v>1.7206980329822135E-4</c:v>
                </c:pt>
                <c:pt idx="190">
                  <c:v>1.3593335052280319E-4</c:v>
                </c:pt>
                <c:pt idx="191">
                  <c:v>9.6445911117656286E-5</c:v>
                </c:pt>
                <c:pt idx="192">
                  <c:v>7.0353451745454435E-5</c:v>
                </c:pt>
                <c:pt idx="193">
                  <c:v>9.3046681674793222E-5</c:v>
                </c:pt>
                <c:pt idx="194">
                  <c:v>7.2155227830664385E-5</c:v>
                </c:pt>
                <c:pt idx="195">
                  <c:v>6.6231291722491781E-5</c:v>
                </c:pt>
                <c:pt idx="196">
                  <c:v>1.4962480438692057E-4</c:v>
                </c:pt>
                <c:pt idx="197">
                  <c:v>1.4459893034550808E-4</c:v>
                </c:pt>
                <c:pt idx="198">
                  <c:v>1.4157677006231575E-4</c:v>
                </c:pt>
                <c:pt idx="199">
                  <c:v>1.7582513586896921E-4</c:v>
                </c:pt>
                <c:pt idx="200">
                  <c:v>2.2080599663339335E-4</c:v>
                </c:pt>
                <c:pt idx="201">
                  <c:v>2.4069417159065784E-4</c:v>
                </c:pt>
                <c:pt idx="202">
                  <c:v>1.5958302543668475E-4</c:v>
                </c:pt>
                <c:pt idx="203">
                  <c:v>1.851830272816686E-4</c:v>
                </c:pt>
                <c:pt idx="204">
                  <c:v>1.5959235625139087E-4</c:v>
                </c:pt>
                <c:pt idx="205">
                  <c:v>2.4430953403227024E-4</c:v>
                </c:pt>
                <c:pt idx="206">
                  <c:v>2.5850097245878965E-4</c:v>
                </c:pt>
                <c:pt idx="207">
                  <c:v>4.2939427607721083E-4</c:v>
                </c:pt>
                <c:pt idx="208">
                  <c:v>3.261007082368225E-4</c:v>
                </c:pt>
                <c:pt idx="209">
                  <c:v>3.4025028164201234E-4</c:v>
                </c:pt>
                <c:pt idx="210">
                  <c:v>5.1072526263415852E-4</c:v>
                </c:pt>
                <c:pt idx="211">
                  <c:v>4.8031313568465444E-4</c:v>
                </c:pt>
                <c:pt idx="212">
                  <c:v>8.6588656743387014E-4</c:v>
                </c:pt>
                <c:pt idx="213">
                  <c:v>9.8282205513611177E-4</c:v>
                </c:pt>
                <c:pt idx="216">
                  <c:v>1.3835450067286163E-4</c:v>
                </c:pt>
                <c:pt idx="217">
                  <c:v>7.9537314776618922E-5</c:v>
                </c:pt>
                <c:pt idx="218">
                  <c:v>2.5064473341493144E-4</c:v>
                </c:pt>
                <c:pt idx="219">
                  <c:v>1.8840528791576412E-4</c:v>
                </c:pt>
                <c:pt idx="220">
                  <c:v>1.9168994501024333E-4</c:v>
                </c:pt>
                <c:pt idx="221">
                  <c:v>1.6175786770781871E-4</c:v>
                </c:pt>
                <c:pt idx="222">
                  <c:v>1.4039660514146929E-4</c:v>
                </c:pt>
                <c:pt idx="223">
                  <c:v>2.7061893431864695E-4</c:v>
                </c:pt>
                <c:pt idx="224">
                  <c:v>2.6928605810242102E-4</c:v>
                </c:pt>
                <c:pt idx="225">
                  <c:v>1.5132516225800088E-4</c:v>
                </c:pt>
                <c:pt idx="226">
                  <c:v>1.210501086239147E-4</c:v>
                </c:pt>
                <c:pt idx="227">
                  <c:v>1.5013426388734791E-4</c:v>
                </c:pt>
                <c:pt idx="228">
                  <c:v>1.8084146933887698E-4</c:v>
                </c:pt>
                <c:pt idx="229">
                  <c:v>2.7418989953793089E-4</c:v>
                </c:pt>
                <c:pt idx="230">
                  <c:v>4.2111100704768042E-4</c:v>
                </c:pt>
                <c:pt idx="231">
                  <c:v>3.6657549486972122E-4</c:v>
                </c:pt>
                <c:pt idx="232">
                  <c:v>3.5116103227565801E-4</c:v>
                </c:pt>
                <c:pt idx="233">
                  <c:v>3.1407124255463851E-4</c:v>
                </c:pt>
                <c:pt idx="234">
                  <c:v>3.8681575258571341E-4</c:v>
                </c:pt>
                <c:pt idx="235">
                  <c:v>4.5154359073020086E-4</c:v>
                </c:pt>
                <c:pt idx="236">
                  <c:v>3.7278967144108621E-4</c:v>
                </c:pt>
                <c:pt idx="237">
                  <c:v>4.8745269926907248E-4</c:v>
                </c:pt>
                <c:pt idx="238">
                  <c:v>4.5528811115039231E-4</c:v>
                </c:pt>
                <c:pt idx="239">
                  <c:v>7.2560089793921795E-4</c:v>
                </c:pt>
                <c:pt idx="240">
                  <c:v>9.7408799042893017E-4</c:v>
                </c:pt>
                <c:pt idx="243">
                  <c:v>1.8676608838554068E-5</c:v>
                </c:pt>
                <c:pt idx="244">
                  <c:v>1.7622353177981786E-5</c:v>
                </c:pt>
                <c:pt idx="245">
                  <c:v>2.1814330648187969E-5</c:v>
                </c:pt>
                <c:pt idx="246">
                  <c:v>2.1985593940423198E-5</c:v>
                </c:pt>
                <c:pt idx="247">
                  <c:v>2.3136289148320542E-5</c:v>
                </c:pt>
                <c:pt idx="248">
                  <c:v>2.871499305165258E-5</c:v>
                </c:pt>
                <c:pt idx="249">
                  <c:v>3.2498781832736992E-5</c:v>
                </c:pt>
                <c:pt idx="250">
                  <c:v>6.6113198333872921E-5</c:v>
                </c:pt>
                <c:pt idx="251">
                  <c:v>2.1438310034050001E-5</c:v>
                </c:pt>
                <c:pt idx="252">
                  <c:v>6.6069924034917112E-5</c:v>
                </c:pt>
                <c:pt idx="253">
                  <c:v>6.7824283307906492E-5</c:v>
                </c:pt>
                <c:pt idx="254">
                  <c:v>5.7083430331849347E-5</c:v>
                </c:pt>
                <c:pt idx="255">
                  <c:v>3.8768056434657734E-5</c:v>
                </c:pt>
                <c:pt idx="256">
                  <c:v>3.2302587141493963E-5</c:v>
                </c:pt>
                <c:pt idx="257">
                  <c:v>1.0163409835048619E-4</c:v>
                </c:pt>
                <c:pt idx="258">
                  <c:v>5.4296542430505606E-5</c:v>
                </c:pt>
                <c:pt idx="259">
                  <c:v>3.2970783275282597E-5</c:v>
                </c:pt>
                <c:pt idx="260">
                  <c:v>3.3966541492289958E-5</c:v>
                </c:pt>
                <c:pt idx="261">
                  <c:v>4.076093498661358E-5</c:v>
                </c:pt>
                <c:pt idx="262">
                  <c:v>3.5018727835465721E-5</c:v>
                </c:pt>
                <c:pt idx="263">
                  <c:v>4.3344835540243293E-5</c:v>
                </c:pt>
                <c:pt idx="264">
                  <c:v>5.2883984362083871E-5</c:v>
                </c:pt>
                <c:pt idx="265">
                  <c:v>5.137157295813951E-5</c:v>
                </c:pt>
                <c:pt idx="266">
                  <c:v>6.3895883119810716E-5</c:v>
                </c:pt>
                <c:pt idx="267">
                  <c:v>5.3225133744569604E-5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E4-40B5-9985-DD29133CE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hs_export!$A$2:$A$269</c:f>
              <c:strCache>
                <c:ptCount val="26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9">
                  <c:v>FI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6">
                  <c:v>IE</c:v>
                </c:pt>
                <c:pt idx="217">
                  <c:v>IE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3">
                  <c:v>PT</c:v>
                </c:pt>
                <c:pt idx="244">
                  <c:v>PT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</c:strCache>
            </c:strRef>
          </c:cat>
          <c:val>
            <c:numRef>
              <c:f>hs_export!$M$2:$M$269</c:f>
              <c:numCache>
                <c:formatCode>General</c:formatCode>
                <c:ptCount val="268"/>
                <c:pt idx="0">
                  <c:v>2.045100768191273E-3</c:v>
                </c:pt>
                <c:pt idx="1">
                  <c:v>1.9664095408418541E-3</c:v>
                </c:pt>
                <c:pt idx="2">
                  <c:v>1.346125055138405E-3</c:v>
                </c:pt>
                <c:pt idx="3">
                  <c:v>1.3053389570574744E-3</c:v>
                </c:pt>
                <c:pt idx="4">
                  <c:v>1.7876614175192727E-3</c:v>
                </c:pt>
                <c:pt idx="5">
                  <c:v>1.4944604918183473E-3</c:v>
                </c:pt>
                <c:pt idx="6">
                  <c:v>1.6229619490547181E-3</c:v>
                </c:pt>
                <c:pt idx="7">
                  <c:v>2.2844523547747224E-3</c:v>
                </c:pt>
                <c:pt idx="8">
                  <c:v>1.9209244463514749E-3</c:v>
                </c:pt>
                <c:pt idx="9">
                  <c:v>2.2012722725014782E-3</c:v>
                </c:pt>
                <c:pt idx="10">
                  <c:v>3.4120861817458119E-3</c:v>
                </c:pt>
                <c:pt idx="11">
                  <c:v>3.4301060676151032E-3</c:v>
                </c:pt>
                <c:pt idx="12">
                  <c:v>2.9413274628074908E-3</c:v>
                </c:pt>
                <c:pt idx="13">
                  <c:v>2.680125065045206E-3</c:v>
                </c:pt>
                <c:pt idx="14">
                  <c:v>2.8586461311444029E-3</c:v>
                </c:pt>
                <c:pt idx="15">
                  <c:v>3.623667777585765E-3</c:v>
                </c:pt>
                <c:pt idx="16">
                  <c:v>3.4384380685274275E-3</c:v>
                </c:pt>
                <c:pt idx="17">
                  <c:v>3.5493188716351006E-3</c:v>
                </c:pt>
                <c:pt idx="18">
                  <c:v>4.3076993998541029E-3</c:v>
                </c:pt>
                <c:pt idx="19">
                  <c:v>4.4881103447364339E-3</c:v>
                </c:pt>
                <c:pt idx="20">
                  <c:v>6.6061201274963234E-3</c:v>
                </c:pt>
                <c:pt idx="21">
                  <c:v>7.0013277951317277E-3</c:v>
                </c:pt>
                <c:pt idx="22">
                  <c:v>7.0810615793588348E-3</c:v>
                </c:pt>
                <c:pt idx="23">
                  <c:v>8.3404848006125142E-3</c:v>
                </c:pt>
                <c:pt idx="24">
                  <c:v>9.4171695532752984E-3</c:v>
                </c:pt>
                <c:pt idx="27">
                  <c:v>3.446889009026672E-4</c:v>
                </c:pt>
                <c:pt idx="28">
                  <c:v>3.6951786324165614E-4</c:v>
                </c:pt>
                <c:pt idx="29">
                  <c:v>6.5086194460935005E-5</c:v>
                </c:pt>
                <c:pt idx="30">
                  <c:v>7.5993710107964227E-5</c:v>
                </c:pt>
                <c:pt idx="31">
                  <c:v>8.1106238081014558E-5</c:v>
                </c:pt>
                <c:pt idx="32">
                  <c:v>7.5771065268203158E-5</c:v>
                </c:pt>
                <c:pt idx="33">
                  <c:v>8.2717593297375517E-5</c:v>
                </c:pt>
                <c:pt idx="34">
                  <c:v>1.5321359384108465E-4</c:v>
                </c:pt>
                <c:pt idx="35">
                  <c:v>2.3608448850851569E-4</c:v>
                </c:pt>
                <c:pt idx="36">
                  <c:v>1.5439623635081322E-4</c:v>
                </c:pt>
                <c:pt idx="37">
                  <c:v>1.3289410927436179E-4</c:v>
                </c:pt>
                <c:pt idx="38">
                  <c:v>3.8415296346892434E-4</c:v>
                </c:pt>
                <c:pt idx="39">
                  <c:v>1.390264361000922E-4</c:v>
                </c:pt>
                <c:pt idx="40">
                  <c:v>1.1177933014024297E-4</c:v>
                </c:pt>
                <c:pt idx="41">
                  <c:v>1.2296169412331689E-4</c:v>
                </c:pt>
                <c:pt idx="42">
                  <c:v>1.3452586054719433E-4</c:v>
                </c:pt>
                <c:pt idx="43">
                  <c:v>6.5134675720155614E-4</c:v>
                </c:pt>
                <c:pt idx="44">
                  <c:v>1.3156530388200613E-3</c:v>
                </c:pt>
                <c:pt idx="45">
                  <c:v>8.7062771781917651E-4</c:v>
                </c:pt>
                <c:pt idx="46">
                  <c:v>2.5023310112723586E-4</c:v>
                </c:pt>
                <c:pt idx="47">
                  <c:v>1.6452545973920645E-4</c:v>
                </c:pt>
                <c:pt idx="48">
                  <c:v>1.3039918529633661E-4</c:v>
                </c:pt>
                <c:pt idx="49">
                  <c:v>1.0770456851502385E-4</c:v>
                </c:pt>
                <c:pt idx="50">
                  <c:v>2.3784701344328562E-4</c:v>
                </c:pt>
                <c:pt idx="51">
                  <c:v>2.2000665350613313E-4</c:v>
                </c:pt>
                <c:pt idx="54">
                  <c:v>1.0806743025469096E-3</c:v>
                </c:pt>
                <c:pt idx="55">
                  <c:v>9.7501609589439766E-4</c:v>
                </c:pt>
                <c:pt idx="56">
                  <c:v>8.6955182913955853E-4</c:v>
                </c:pt>
                <c:pt idx="57">
                  <c:v>8.4843314831091173E-4</c:v>
                </c:pt>
                <c:pt idx="58">
                  <c:v>1.0311744133835823E-3</c:v>
                </c:pt>
                <c:pt idx="59">
                  <c:v>8.8231762232120789E-4</c:v>
                </c:pt>
                <c:pt idx="60">
                  <c:v>8.9669930968260642E-4</c:v>
                </c:pt>
                <c:pt idx="61">
                  <c:v>1.2211846117711901E-3</c:v>
                </c:pt>
                <c:pt idx="62">
                  <c:v>1.6727971285991697E-3</c:v>
                </c:pt>
                <c:pt idx="63">
                  <c:v>1.9332517319557072E-3</c:v>
                </c:pt>
                <c:pt idx="64">
                  <c:v>2.907120784095568E-3</c:v>
                </c:pt>
                <c:pt idx="65">
                  <c:v>3.1243580016286168E-3</c:v>
                </c:pt>
                <c:pt idx="66">
                  <c:v>1.6441804628660984E-3</c:v>
                </c:pt>
                <c:pt idx="67">
                  <c:v>1.40158663664389E-3</c:v>
                </c:pt>
                <c:pt idx="68">
                  <c:v>1.6926862987760732E-3</c:v>
                </c:pt>
                <c:pt idx="69">
                  <c:v>1.7937605686553805E-3</c:v>
                </c:pt>
                <c:pt idx="70">
                  <c:v>1.9486828660754381E-3</c:v>
                </c:pt>
                <c:pt idx="71">
                  <c:v>2.1659822492231893E-3</c:v>
                </c:pt>
                <c:pt idx="72">
                  <c:v>2.6336204670430441E-3</c:v>
                </c:pt>
                <c:pt idx="73">
                  <c:v>2.8990262183314522E-3</c:v>
                </c:pt>
                <c:pt idx="74">
                  <c:v>3.2277880439939822E-3</c:v>
                </c:pt>
                <c:pt idx="75">
                  <c:v>3.3783884836019336E-3</c:v>
                </c:pt>
                <c:pt idx="76">
                  <c:v>3.6664658591822842E-3</c:v>
                </c:pt>
                <c:pt idx="77">
                  <c:v>4.6493517258674299E-3</c:v>
                </c:pt>
                <c:pt idx="78">
                  <c:v>5.260769765883383E-3</c:v>
                </c:pt>
                <c:pt idx="81">
                  <c:v>6.6129708999553772E-5</c:v>
                </c:pt>
                <c:pt idx="82">
                  <c:v>7.2219457875427143E-5</c:v>
                </c:pt>
                <c:pt idx="83">
                  <c:v>8.2910240074126354E-5</c:v>
                </c:pt>
                <c:pt idx="84">
                  <c:v>2.3396020234466135E-5</c:v>
                </c:pt>
                <c:pt idx="85">
                  <c:v>2.4514396959761051E-5</c:v>
                </c:pt>
                <c:pt idx="86">
                  <c:v>3.0404159922838954E-5</c:v>
                </c:pt>
                <c:pt idx="87">
                  <c:v>2.357817581643421E-5</c:v>
                </c:pt>
                <c:pt idx="88">
                  <c:v>4.1606073012162865E-5</c:v>
                </c:pt>
                <c:pt idx="89">
                  <c:v>3.6698825326868392E-5</c:v>
                </c:pt>
                <c:pt idx="90">
                  <c:v>4.1567480647694494E-5</c:v>
                </c:pt>
                <c:pt idx="91">
                  <c:v>8.9376673539361132E-5</c:v>
                </c:pt>
                <c:pt idx="92">
                  <c:v>9.0936170591950381E-5</c:v>
                </c:pt>
                <c:pt idx="93">
                  <c:v>3.5039188396436094E-5</c:v>
                </c:pt>
                <c:pt idx="94">
                  <c:v>3.9630074884481264E-5</c:v>
                </c:pt>
                <c:pt idx="95">
                  <c:v>2.5897124175693863E-5</c:v>
                </c:pt>
                <c:pt idx="96">
                  <c:v>2.4931656663182356E-5</c:v>
                </c:pt>
                <c:pt idx="97">
                  <c:v>4.1529737526718024E-5</c:v>
                </c:pt>
                <c:pt idx="98">
                  <c:v>5.4244001257849989E-5</c:v>
                </c:pt>
                <c:pt idx="99">
                  <c:v>6.6688235137249009E-5</c:v>
                </c:pt>
                <c:pt idx="100">
                  <c:v>4.1511043729436016E-5</c:v>
                </c:pt>
                <c:pt idx="101">
                  <c:v>3.5715024424512705E-5</c:v>
                </c:pt>
                <c:pt idx="102">
                  <c:v>3.5588849713039668E-5</c:v>
                </c:pt>
                <c:pt idx="103">
                  <c:v>2.8101640547262104E-5</c:v>
                </c:pt>
                <c:pt idx="104">
                  <c:v>6.1850422928220791E-5</c:v>
                </c:pt>
                <c:pt idx="105">
                  <c:v>7.6828950816999885E-5</c:v>
                </c:pt>
                <c:pt idx="108">
                  <c:v>1.4726431948728104E-4</c:v>
                </c:pt>
                <c:pt idx="109">
                  <c:v>1.5317761327479014E-4</c:v>
                </c:pt>
                <c:pt idx="110">
                  <c:v>2.6001507529375799E-4</c:v>
                </c:pt>
                <c:pt idx="111">
                  <c:v>2.5295854404660677E-4</c:v>
                </c:pt>
                <c:pt idx="112">
                  <c:v>2.6432390636503338E-4</c:v>
                </c:pt>
                <c:pt idx="113">
                  <c:v>2.7727949348787184E-4</c:v>
                </c:pt>
                <c:pt idx="114">
                  <c:v>2.9893502003860392E-4</c:v>
                </c:pt>
                <c:pt idx="115">
                  <c:v>3.2854658886058766E-4</c:v>
                </c:pt>
                <c:pt idx="116">
                  <c:v>2.9087492419871142E-4</c:v>
                </c:pt>
                <c:pt idx="117">
                  <c:v>2.0111537655833066E-4</c:v>
                </c:pt>
                <c:pt idx="118">
                  <c:v>2.26336620850831E-4</c:v>
                </c:pt>
                <c:pt idx="119">
                  <c:v>4.2452182355806205E-4</c:v>
                </c:pt>
                <c:pt idx="120">
                  <c:v>3.5041663504598763E-4</c:v>
                </c:pt>
                <c:pt idx="121">
                  <c:v>3.2499019170696719E-4</c:v>
                </c:pt>
                <c:pt idx="122">
                  <c:v>2.8379085779524783E-4</c:v>
                </c:pt>
                <c:pt idx="123">
                  <c:v>4.3698800482094711E-4</c:v>
                </c:pt>
                <c:pt idx="124">
                  <c:v>4.0705655833723266E-4</c:v>
                </c:pt>
                <c:pt idx="125">
                  <c:v>4.6534020030369454E-4</c:v>
                </c:pt>
                <c:pt idx="126">
                  <c:v>4.6546106372824335E-4</c:v>
                </c:pt>
                <c:pt idx="127">
                  <c:v>3.6124395059219233E-4</c:v>
                </c:pt>
                <c:pt idx="128">
                  <c:v>3.8586309947449788E-4</c:v>
                </c:pt>
                <c:pt idx="129">
                  <c:v>4.3221485026797364E-4</c:v>
                </c:pt>
                <c:pt idx="130">
                  <c:v>7.348831804684841E-4</c:v>
                </c:pt>
                <c:pt idx="131">
                  <c:v>6.5346379384680011E-4</c:v>
                </c:pt>
                <c:pt idx="132">
                  <c:v>5.7882658098050899E-4</c:v>
                </c:pt>
                <c:pt idx="135">
                  <c:v>2.1112491374499485E-4</c:v>
                </c:pt>
                <c:pt idx="136">
                  <c:v>1.9327920487341237E-4</c:v>
                </c:pt>
                <c:pt idx="137">
                  <c:v>1.6931261259904982E-4</c:v>
                </c:pt>
                <c:pt idx="138">
                  <c:v>1.8555124790162799E-4</c:v>
                </c:pt>
                <c:pt idx="139">
                  <c:v>1.6572538174204773E-4</c:v>
                </c:pt>
                <c:pt idx="140">
                  <c:v>1.7575724253414049E-4</c:v>
                </c:pt>
                <c:pt idx="141">
                  <c:v>1.459718827413826E-4</c:v>
                </c:pt>
                <c:pt idx="142">
                  <c:v>3.2104131233127168E-4</c:v>
                </c:pt>
                <c:pt idx="143">
                  <c:v>4.0976312788594429E-4</c:v>
                </c:pt>
                <c:pt idx="144">
                  <c:v>5.0873925760569472E-4</c:v>
                </c:pt>
                <c:pt idx="145">
                  <c:v>1.4031350321216179E-3</c:v>
                </c:pt>
                <c:pt idx="146">
                  <c:v>1.953468073068516E-3</c:v>
                </c:pt>
                <c:pt idx="147">
                  <c:v>3.5012278179706824E-4</c:v>
                </c:pt>
                <c:pt idx="148">
                  <c:v>3.0110884627837828E-4</c:v>
                </c:pt>
                <c:pt idx="149">
                  <c:v>3.222174792008529E-4</c:v>
                </c:pt>
                <c:pt idx="150">
                  <c:v>2.9337071045455569E-4</c:v>
                </c:pt>
                <c:pt idx="151">
                  <c:v>4.7823805379538706E-4</c:v>
                </c:pt>
                <c:pt idx="152">
                  <c:v>3.3591327754357462E-4</c:v>
                </c:pt>
                <c:pt idx="153">
                  <c:v>3.2178914428403649E-4</c:v>
                </c:pt>
                <c:pt idx="154">
                  <c:v>2.9447728695322677E-4</c:v>
                </c:pt>
                <c:pt idx="155">
                  <c:v>3.321040206140439E-4</c:v>
                </c:pt>
                <c:pt idx="156">
                  <c:v>2.9584156588163103E-4</c:v>
                </c:pt>
                <c:pt idx="157">
                  <c:v>3.0787692851715141E-4</c:v>
                </c:pt>
                <c:pt idx="158">
                  <c:v>4.7702119677565436E-4</c:v>
                </c:pt>
                <c:pt idx="159">
                  <c:v>4.6431336941973075E-4</c:v>
                </c:pt>
                <c:pt idx="162">
                  <c:v>9.1440326620945631E-3</c:v>
                </c:pt>
                <c:pt idx="163">
                  <c:v>6.2455824901905274E-3</c:v>
                </c:pt>
                <c:pt idx="164">
                  <c:v>8.7547649927600373E-3</c:v>
                </c:pt>
                <c:pt idx="165">
                  <c:v>6.9011722539559488E-3</c:v>
                </c:pt>
                <c:pt idx="166">
                  <c:v>9.7931605879110987E-3</c:v>
                </c:pt>
                <c:pt idx="167">
                  <c:v>9.554187451529389E-3</c:v>
                </c:pt>
                <c:pt idx="168">
                  <c:v>1.2284831511283636E-2</c:v>
                </c:pt>
                <c:pt idx="169">
                  <c:v>1.2038176856600476E-2</c:v>
                </c:pt>
                <c:pt idx="170">
                  <c:v>8.5604116388531635E-3</c:v>
                </c:pt>
                <c:pt idx="171">
                  <c:v>6.2555504195234892E-3</c:v>
                </c:pt>
                <c:pt idx="172">
                  <c:v>1.4967572729629878E-2</c:v>
                </c:pt>
                <c:pt idx="173">
                  <c:v>1.7417805379954923E-2</c:v>
                </c:pt>
                <c:pt idx="174">
                  <c:v>1.1603270206154143E-2</c:v>
                </c:pt>
                <c:pt idx="175">
                  <c:v>1.2841856736220972E-2</c:v>
                </c:pt>
                <c:pt idx="176">
                  <c:v>1.4744509285559454E-2</c:v>
                </c:pt>
                <c:pt idx="177">
                  <c:v>1.5129081734836337E-2</c:v>
                </c:pt>
                <c:pt idx="178">
                  <c:v>1.5257197230735141E-2</c:v>
                </c:pt>
                <c:pt idx="179">
                  <c:v>1.9551402391854818E-2</c:v>
                </c:pt>
                <c:pt idx="180">
                  <c:v>2.3282873969912972E-2</c:v>
                </c:pt>
                <c:pt idx="181">
                  <c:v>2.5136082963002106E-2</c:v>
                </c:pt>
                <c:pt idx="182">
                  <c:v>2.869739548789638E-2</c:v>
                </c:pt>
                <c:pt idx="183">
                  <c:v>3.0854430978216066E-2</c:v>
                </c:pt>
                <c:pt idx="184">
                  <c:v>3.052292391874099E-2</c:v>
                </c:pt>
                <c:pt idx="185">
                  <c:v>3.5870143183365739E-2</c:v>
                </c:pt>
                <c:pt idx="186">
                  <c:v>3.9866431412571422E-2</c:v>
                </c:pt>
                <c:pt idx="189">
                  <c:v>1.7206980329822135E-4</c:v>
                </c:pt>
                <c:pt idx="190">
                  <c:v>1.3593335052280319E-4</c:v>
                </c:pt>
                <c:pt idx="191">
                  <c:v>9.6445911117656286E-5</c:v>
                </c:pt>
                <c:pt idx="192">
                  <c:v>7.0353451745454435E-5</c:v>
                </c:pt>
                <c:pt idx="193">
                  <c:v>9.3046681674793222E-5</c:v>
                </c:pt>
                <c:pt idx="194">
                  <c:v>7.2155227830664385E-5</c:v>
                </c:pt>
                <c:pt idx="195">
                  <c:v>6.6231291722491781E-5</c:v>
                </c:pt>
                <c:pt idx="196">
                  <c:v>1.4962480438692057E-4</c:v>
                </c:pt>
                <c:pt idx="197">
                  <c:v>1.4459893034550808E-4</c:v>
                </c:pt>
                <c:pt idx="198">
                  <c:v>1.4157677006231575E-4</c:v>
                </c:pt>
                <c:pt idx="199">
                  <c:v>1.7582513586896921E-4</c:v>
                </c:pt>
                <c:pt idx="200">
                  <c:v>2.2080599663339335E-4</c:v>
                </c:pt>
                <c:pt idx="201">
                  <c:v>2.4069417159065784E-4</c:v>
                </c:pt>
                <c:pt idx="202">
                  <c:v>1.5958302543668475E-4</c:v>
                </c:pt>
                <c:pt idx="203">
                  <c:v>1.851830272816686E-4</c:v>
                </c:pt>
                <c:pt idx="204">
                  <c:v>1.5959235625139087E-4</c:v>
                </c:pt>
                <c:pt idx="205">
                  <c:v>2.4430953403227024E-4</c:v>
                </c:pt>
                <c:pt idx="206">
                  <c:v>2.5850097245878965E-4</c:v>
                </c:pt>
                <c:pt idx="207">
                  <c:v>4.2939427607721083E-4</c:v>
                </c:pt>
                <c:pt idx="208">
                  <c:v>3.261007082368225E-4</c:v>
                </c:pt>
                <c:pt idx="209">
                  <c:v>3.4025028164201234E-4</c:v>
                </c:pt>
                <c:pt idx="210">
                  <c:v>5.1072526263415852E-4</c:v>
                </c:pt>
                <c:pt idx="211">
                  <c:v>4.8031313568465444E-4</c:v>
                </c:pt>
                <c:pt idx="212">
                  <c:v>8.6588656743387014E-4</c:v>
                </c:pt>
                <c:pt idx="213">
                  <c:v>9.8282205513611177E-4</c:v>
                </c:pt>
                <c:pt idx="216">
                  <c:v>1.3835450067286163E-4</c:v>
                </c:pt>
                <c:pt idx="217">
                  <c:v>7.9537314776618922E-5</c:v>
                </c:pt>
                <c:pt idx="218">
                  <c:v>2.5064473341493144E-4</c:v>
                </c:pt>
                <c:pt idx="219">
                  <c:v>1.8840528791576412E-4</c:v>
                </c:pt>
                <c:pt idx="220">
                  <c:v>1.9168994501024333E-4</c:v>
                </c:pt>
                <c:pt idx="221">
                  <c:v>1.6175786770781871E-4</c:v>
                </c:pt>
                <c:pt idx="222">
                  <c:v>1.4039660514146929E-4</c:v>
                </c:pt>
                <c:pt idx="223">
                  <c:v>2.7061893431864695E-4</c:v>
                </c:pt>
                <c:pt idx="224">
                  <c:v>2.6928605810242102E-4</c:v>
                </c:pt>
                <c:pt idx="225">
                  <c:v>1.5132516225800088E-4</c:v>
                </c:pt>
                <c:pt idx="226">
                  <c:v>1.210501086239147E-4</c:v>
                </c:pt>
                <c:pt idx="227">
                  <c:v>1.5013426388734791E-4</c:v>
                </c:pt>
                <c:pt idx="228">
                  <c:v>1.8084146933887698E-4</c:v>
                </c:pt>
                <c:pt idx="229">
                  <c:v>2.7418989953793089E-4</c:v>
                </c:pt>
                <c:pt idx="230">
                  <c:v>4.2111100704768042E-4</c:v>
                </c:pt>
                <c:pt idx="231">
                  <c:v>3.6657549486972122E-4</c:v>
                </c:pt>
                <c:pt idx="232">
                  <c:v>3.5116103227565801E-4</c:v>
                </c:pt>
                <c:pt idx="233">
                  <c:v>3.1407124255463851E-4</c:v>
                </c:pt>
                <c:pt idx="234">
                  <c:v>3.8681575258571341E-4</c:v>
                </c:pt>
                <c:pt idx="235">
                  <c:v>4.5154359073020086E-4</c:v>
                </c:pt>
                <c:pt idx="236">
                  <c:v>3.7278967144108621E-4</c:v>
                </c:pt>
                <c:pt idx="237">
                  <c:v>4.8745269926907248E-4</c:v>
                </c:pt>
                <c:pt idx="238">
                  <c:v>4.5528811115039231E-4</c:v>
                </c:pt>
                <c:pt idx="239">
                  <c:v>7.2560089793921795E-4</c:v>
                </c:pt>
                <c:pt idx="240">
                  <c:v>9.7408799042893017E-4</c:v>
                </c:pt>
                <c:pt idx="243">
                  <c:v>1.8676608838554068E-5</c:v>
                </c:pt>
                <c:pt idx="244">
                  <c:v>1.7622353177981786E-5</c:v>
                </c:pt>
                <c:pt idx="245">
                  <c:v>2.1814330648187969E-5</c:v>
                </c:pt>
                <c:pt idx="246">
                  <c:v>2.1985593940423198E-5</c:v>
                </c:pt>
                <c:pt idx="247">
                  <c:v>2.3136289148320542E-5</c:v>
                </c:pt>
                <c:pt idx="248">
                  <c:v>2.871499305165258E-5</c:v>
                </c:pt>
                <c:pt idx="249">
                  <c:v>3.2498781832736992E-5</c:v>
                </c:pt>
                <c:pt idx="250">
                  <c:v>6.6113198333872921E-5</c:v>
                </c:pt>
                <c:pt idx="251">
                  <c:v>2.1438310034050001E-5</c:v>
                </c:pt>
                <c:pt idx="252">
                  <c:v>6.6069924034917112E-5</c:v>
                </c:pt>
                <c:pt idx="253">
                  <c:v>6.7824283307906492E-5</c:v>
                </c:pt>
                <c:pt idx="254">
                  <c:v>5.7083430331849347E-5</c:v>
                </c:pt>
                <c:pt idx="255">
                  <c:v>3.8768056434657734E-5</c:v>
                </c:pt>
                <c:pt idx="256">
                  <c:v>3.2302587141493963E-5</c:v>
                </c:pt>
                <c:pt idx="257">
                  <c:v>1.0163409835048619E-4</c:v>
                </c:pt>
                <c:pt idx="258">
                  <c:v>5.4296542430505606E-5</c:v>
                </c:pt>
                <c:pt idx="259">
                  <c:v>3.2970783275282597E-5</c:v>
                </c:pt>
                <c:pt idx="260">
                  <c:v>3.3966541492289958E-5</c:v>
                </c:pt>
                <c:pt idx="261">
                  <c:v>4.076093498661358E-5</c:v>
                </c:pt>
                <c:pt idx="262">
                  <c:v>3.5018727835465721E-5</c:v>
                </c:pt>
                <c:pt idx="263">
                  <c:v>4.3344835540243293E-5</c:v>
                </c:pt>
                <c:pt idx="264">
                  <c:v>5.2883984362083871E-5</c:v>
                </c:pt>
                <c:pt idx="265">
                  <c:v>5.137157295813951E-5</c:v>
                </c:pt>
                <c:pt idx="266">
                  <c:v>6.3895883119810716E-5</c:v>
                </c:pt>
                <c:pt idx="267">
                  <c:v>5.3225133744569604E-5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C-4B6D-89F2-F9EB6E03B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Corr_exposure_data!$AB$3</c:f>
              <c:strCache>
                <c:ptCount val="1"/>
                <c:pt idx="0">
                  <c:v>2000-26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Corr_exposure_data!$AA$4:$AA$13</c:f>
              <c:strCache>
                <c:ptCount val="10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  <c:pt idx="7">
                  <c:v>FI</c:v>
                </c:pt>
                <c:pt idx="8">
                  <c:v>IE</c:v>
                </c:pt>
                <c:pt idx="9">
                  <c:v>PT</c:v>
                </c:pt>
              </c:strCache>
            </c:strRef>
          </c:cat>
          <c:val>
            <c:numRef>
              <c:f>Corr_exposure_data!$AB$4:$AB$13</c:f>
              <c:numCache>
                <c:formatCode>0.00</c:formatCode>
                <c:ptCount val="10"/>
                <c:pt idx="0">
                  <c:v>0.64612645280494518</c:v>
                </c:pt>
                <c:pt idx="1">
                  <c:v>0.60388411490457605</c:v>
                </c:pt>
                <c:pt idx="2">
                  <c:v>0.7010314946762255</c:v>
                </c:pt>
                <c:pt idx="3">
                  <c:v>0.58075525092987967</c:v>
                </c:pt>
                <c:pt idx="4">
                  <c:v>0.6679515790292756</c:v>
                </c:pt>
                <c:pt idx="5">
                  <c:v>0.63938045859696901</c:v>
                </c:pt>
                <c:pt idx="6">
                  <c:v>0.72698071142974674</c:v>
                </c:pt>
                <c:pt idx="7">
                  <c:v>0.57037267357179189</c:v>
                </c:pt>
                <c:pt idx="8">
                  <c:v>0.63328456531058652</c:v>
                </c:pt>
                <c:pt idx="9">
                  <c:v>0.45433252306800165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52-4B75-950C-24369A2B7D17}"/>
            </c:ext>
          </c:extLst>
        </c:ser>
        <c:ser>
          <c:idx val="1"/>
          <c:order val="1"/>
          <c:tx>
            <c:strRef>
              <c:f>Corr_exposure_data!$AC$3</c:f>
              <c:strCache>
                <c:ptCount val="1"/>
                <c:pt idx="0">
                  <c:v>2020-26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Corr_exposure_data!$AA$4:$AA$13</c:f>
              <c:strCache>
                <c:ptCount val="10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  <c:pt idx="7">
                  <c:v>FI</c:v>
                </c:pt>
                <c:pt idx="8">
                  <c:v>IE</c:v>
                </c:pt>
                <c:pt idx="9">
                  <c:v>PT</c:v>
                </c:pt>
              </c:strCache>
            </c:strRef>
          </c:cat>
          <c:val>
            <c:numRef>
              <c:f>Corr_exposure_data!$AC$4:$AC$13</c:f>
              <c:numCache>
                <c:formatCode>0.00</c:formatCode>
                <c:ptCount val="10"/>
                <c:pt idx="0">
                  <c:v>0.62054625643437888</c:v>
                </c:pt>
                <c:pt idx="1">
                  <c:v>0.59272125464094505</c:v>
                </c:pt>
                <c:pt idx="2">
                  <c:v>0.67335462029791171</c:v>
                </c:pt>
                <c:pt idx="3">
                  <c:v>0.57843776685538395</c:v>
                </c:pt>
                <c:pt idx="4">
                  <c:v>0.66675647008638406</c:v>
                </c:pt>
                <c:pt idx="5">
                  <c:v>0.69053640090348223</c:v>
                </c:pt>
                <c:pt idx="6">
                  <c:v>0.81952708707409438</c:v>
                </c:pt>
                <c:pt idx="7">
                  <c:v>0.5865708812884457</c:v>
                </c:pt>
                <c:pt idx="8">
                  <c:v>0.72076768278638115</c:v>
                </c:pt>
                <c:pt idx="9">
                  <c:v>0.39684417032587227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52-4B75-950C-24369A2B7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8204095"/>
        <c:axId val="1653775983"/>
      </c:barChart>
      <c:catAx>
        <c:axId val="190820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53775983"/>
        <c:crosses val="autoZero"/>
        <c:auto val="1"/>
        <c:lblAlgn val="ctr"/>
        <c:lblOffset val="100"/>
        <c:noMultiLvlLbl val="0"/>
      </c:catAx>
      <c:valAx>
        <c:axId val="1653775983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908204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2</xdr:row>
      <xdr:rowOff>38100</xdr:rowOff>
    </xdr:from>
    <xdr:to>
      <xdr:col>16</xdr:col>
      <xdr:colOff>469900</xdr:colOff>
      <xdr:row>14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10C8E-1D27-436E-AF19-8CA46B5D6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120650</xdr:colOff>
      <xdr:row>2</xdr:row>
      <xdr:rowOff>31750</xdr:rowOff>
    </xdr:from>
    <xdr:to>
      <xdr:col>22</xdr:col>
      <xdr:colOff>158750</xdr:colOff>
      <xdr:row>17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4BFA-C910-4945-95F7-C9A3ABE35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0</xdr:row>
      <xdr:rowOff>127000</xdr:rowOff>
    </xdr:from>
    <xdr:to>
      <xdr:col>12</xdr:col>
      <xdr:colOff>69850</xdr:colOff>
      <xdr:row>15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7AC60-2800-F1C2-B31E-9E2ACBE23E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1</xdr:row>
      <xdr:rowOff>107950</xdr:rowOff>
    </xdr:from>
    <xdr:to>
      <xdr:col>19</xdr:col>
      <xdr:colOff>260350</xdr:colOff>
      <xdr:row>14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774DD2-9E63-4C63-A2EE-7911AF071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425450</xdr:colOff>
      <xdr:row>1</xdr:row>
      <xdr:rowOff>107950</xdr:rowOff>
    </xdr:from>
    <xdr:to>
      <xdr:col>26</xdr:col>
      <xdr:colOff>19050</xdr:colOff>
      <xdr:row>14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59A963-5FC6-43F7-8595-378B561B5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282575</xdr:colOff>
      <xdr:row>1</xdr:row>
      <xdr:rowOff>12699</xdr:rowOff>
    </xdr:from>
    <xdr:to>
      <xdr:col>35</xdr:col>
      <xdr:colOff>260350</xdr:colOff>
      <xdr:row>15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9E1A5E-F69D-4FDA-B4B5-4BB70D856C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39997558519241921"/>
  </sheetPr>
  <dimension ref="A1:S27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8" max="18" width="30" bestFit="1" customWidth="1"/>
  </cols>
  <sheetData>
    <row r="1" spans="1:19" x14ac:dyDescent="0.35">
      <c r="A1" t="s">
        <v>0</v>
      </c>
      <c r="B1" t="s">
        <v>116</v>
      </c>
      <c r="C1" s="3" t="s">
        <v>117</v>
      </c>
      <c r="D1" t="s">
        <v>118</v>
      </c>
      <c r="E1" s="3" t="s">
        <v>171</v>
      </c>
      <c r="F1" s="3" t="s">
        <v>172</v>
      </c>
      <c r="G1" t="s">
        <v>173</v>
      </c>
      <c r="H1" t="s">
        <v>119</v>
      </c>
      <c r="I1" t="s">
        <v>120</v>
      </c>
      <c r="S1" t="s">
        <v>179</v>
      </c>
    </row>
    <row r="2" spans="1:19" x14ac:dyDescent="0.35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613.70000000000005</v>
      </c>
      <c r="G2">
        <v>424.8</v>
      </c>
      <c r="H2">
        <v>54601.4</v>
      </c>
      <c r="I2">
        <f>(C2+D2+E2+F2-G2)/H2</f>
        <v>0.1376228448354804</v>
      </c>
      <c r="R2" t="s">
        <v>180</v>
      </c>
    </row>
    <row r="3" spans="1:19" x14ac:dyDescent="0.35">
      <c r="A3" t="s">
        <v>3</v>
      </c>
      <c r="B3">
        <v>2001</v>
      </c>
      <c r="C3">
        <v>3812.6</v>
      </c>
      <c r="D3">
        <v>3604.5</v>
      </c>
      <c r="E3">
        <v>268.89999999999998</v>
      </c>
      <c r="F3">
        <v>708.4</v>
      </c>
      <c r="G3">
        <v>486.4</v>
      </c>
      <c r="H3">
        <v>54685.2</v>
      </c>
      <c r="I3">
        <f t="shared" ref="I3:I26" si="0">(C3+D3+E3+F3-G3)/H3</f>
        <v>0.14460951043426742</v>
      </c>
    </row>
    <row r="4" spans="1:19" x14ac:dyDescent="0.35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 t="shared" si="0"/>
        <v>0.14549571490633351</v>
      </c>
    </row>
    <row r="5" spans="1:19" x14ac:dyDescent="0.35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520.29999999999995</v>
      </c>
      <c r="H5">
        <v>55777.599999999999</v>
      </c>
      <c r="I5">
        <f t="shared" si="0"/>
        <v>0.13396955050055939</v>
      </c>
    </row>
    <row r="6" spans="1:19" x14ac:dyDescent="0.35">
      <c r="A6" t="s">
        <v>3</v>
      </c>
      <c r="B6">
        <v>2004</v>
      </c>
      <c r="C6">
        <v>3354.3</v>
      </c>
      <c r="D6">
        <v>3960.8</v>
      </c>
      <c r="E6">
        <v>80.599999999999994</v>
      </c>
      <c r="F6">
        <v>814.2</v>
      </c>
      <c r="G6">
        <v>533.79999999999995</v>
      </c>
      <c r="H6">
        <v>57172.6</v>
      </c>
      <c r="I6">
        <f t="shared" si="0"/>
        <v>0.13426186669838353</v>
      </c>
    </row>
    <row r="7" spans="1:19" x14ac:dyDescent="0.35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58633.599999999999</v>
      </c>
      <c r="I7">
        <f t="shared" si="0"/>
        <v>0.12866001746438901</v>
      </c>
    </row>
    <row r="8" spans="1:19" x14ac:dyDescent="0.35">
      <c r="A8" t="s">
        <v>3</v>
      </c>
      <c r="B8">
        <v>2006</v>
      </c>
      <c r="C8">
        <v>3225</v>
      </c>
      <c r="D8">
        <v>4126.8999999999996</v>
      </c>
      <c r="E8">
        <v>62.9</v>
      </c>
      <c r="F8">
        <v>926.1</v>
      </c>
      <c r="G8">
        <v>585.6</v>
      </c>
      <c r="H8">
        <v>60714.5</v>
      </c>
      <c r="I8">
        <f t="shared" si="0"/>
        <v>0.12773390211563959</v>
      </c>
    </row>
    <row r="9" spans="1:19" x14ac:dyDescent="0.35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1030.9000000000001</v>
      </c>
      <c r="G9">
        <v>615.70000000000005</v>
      </c>
      <c r="H9">
        <v>65301.3</v>
      </c>
      <c r="I9">
        <f t="shared" si="0"/>
        <v>0.12644618101017896</v>
      </c>
    </row>
    <row r="10" spans="1:19" x14ac:dyDescent="0.35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 t="shared" si="0"/>
        <v>0.12897754158628474</v>
      </c>
    </row>
    <row r="11" spans="1:19" x14ac:dyDescent="0.35">
      <c r="A11" t="s">
        <v>3</v>
      </c>
      <c r="B11">
        <v>2009</v>
      </c>
      <c r="C11">
        <v>3334.9</v>
      </c>
      <c r="D11">
        <v>4610.1000000000004</v>
      </c>
      <c r="E11">
        <v>119.8</v>
      </c>
      <c r="F11">
        <v>1418.3</v>
      </c>
      <c r="G11">
        <v>1062.9000000000001</v>
      </c>
      <c r="H11">
        <v>64880.3</v>
      </c>
      <c r="I11">
        <f t="shared" si="0"/>
        <v>0.12978053430702385</v>
      </c>
    </row>
    <row r="12" spans="1:19" x14ac:dyDescent="0.35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 t="shared" si="0"/>
        <v>0.13951299645784493</v>
      </c>
    </row>
    <row r="13" spans="1:19" x14ac:dyDescent="0.35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69976.600000000006</v>
      </c>
      <c r="I13">
        <f t="shared" si="0"/>
        <v>0.1467147589337007</v>
      </c>
    </row>
    <row r="14" spans="1:19" x14ac:dyDescent="0.35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1100.5999999999999</v>
      </c>
      <c r="H14">
        <v>72666</v>
      </c>
      <c r="I14">
        <f t="shared" si="0"/>
        <v>0.14263754713345994</v>
      </c>
    </row>
    <row r="15" spans="1:19" x14ac:dyDescent="0.35">
      <c r="A15" t="s">
        <v>3</v>
      </c>
      <c r="B15">
        <v>2013</v>
      </c>
      <c r="C15">
        <v>3704.1</v>
      </c>
      <c r="D15">
        <v>6392.3</v>
      </c>
      <c r="E15">
        <v>321.89999999999998</v>
      </c>
      <c r="F15">
        <v>1788.1</v>
      </c>
      <c r="G15">
        <v>1140</v>
      </c>
      <c r="H15">
        <v>74876.600000000006</v>
      </c>
      <c r="I15">
        <f t="shared" si="0"/>
        <v>0.14779517232352962</v>
      </c>
    </row>
    <row r="16" spans="1:19" x14ac:dyDescent="0.35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 t="shared" si="0"/>
        <v>0.14288333346522847</v>
      </c>
    </row>
    <row r="17" spans="1:13" x14ac:dyDescent="0.35">
      <c r="A17" t="s">
        <v>3</v>
      </c>
      <c r="B17">
        <v>2015</v>
      </c>
      <c r="C17">
        <v>4212.3999999999996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 t="shared" si="0"/>
        <v>0.15515944808249907</v>
      </c>
      <c r="K17" t="s">
        <v>159</v>
      </c>
      <c r="L17" t="s">
        <v>117</v>
      </c>
      <c r="M17" t="s">
        <v>158</v>
      </c>
    </row>
    <row r="18" spans="1:13" x14ac:dyDescent="0.35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 t="shared" si="0"/>
        <v>0.15546366398225395</v>
      </c>
      <c r="K18" t="s">
        <v>159</v>
      </c>
      <c r="L18" t="s">
        <v>118</v>
      </c>
      <c r="M18" t="s">
        <v>160</v>
      </c>
    </row>
    <row r="19" spans="1:13" x14ac:dyDescent="0.35">
      <c r="A19" t="s">
        <v>3</v>
      </c>
      <c r="B19">
        <v>2017</v>
      </c>
      <c r="C19">
        <v>4446.8999999999996</v>
      </c>
      <c r="D19">
        <v>7745.9</v>
      </c>
      <c r="E19">
        <v>379.7</v>
      </c>
      <c r="F19">
        <v>2009.9</v>
      </c>
      <c r="G19">
        <v>1321</v>
      </c>
      <c r="H19">
        <v>87584.9</v>
      </c>
      <c r="I19">
        <f t="shared" si="0"/>
        <v>0.1514119442963342</v>
      </c>
      <c r="K19" t="s">
        <v>174</v>
      </c>
      <c r="L19" t="s">
        <v>171</v>
      </c>
      <c r="M19" t="s">
        <v>175</v>
      </c>
    </row>
    <row r="20" spans="1:13" x14ac:dyDescent="0.35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 t="shared" si="0"/>
        <v>0.15970830024254651</v>
      </c>
      <c r="K20" t="s">
        <v>174</v>
      </c>
      <c r="L20" t="s">
        <v>172</v>
      </c>
      <c r="M20" t="s">
        <v>176</v>
      </c>
    </row>
    <row r="21" spans="1:13" x14ac:dyDescent="0.35">
      <c r="A21" t="s">
        <v>3</v>
      </c>
      <c r="B21">
        <v>2019</v>
      </c>
      <c r="C21">
        <v>5047.7</v>
      </c>
      <c r="D21">
        <v>10752.8</v>
      </c>
      <c r="E21">
        <v>148.30000000000001</v>
      </c>
      <c r="F21">
        <v>2671.2</v>
      </c>
      <c r="G21">
        <v>1861.9</v>
      </c>
      <c r="H21">
        <v>99243.7</v>
      </c>
      <c r="I21">
        <f t="shared" si="0"/>
        <v>0.16885807361071786</v>
      </c>
      <c r="K21" t="s">
        <v>174</v>
      </c>
      <c r="L21" t="s">
        <v>173</v>
      </c>
      <c r="M21" t="s">
        <v>177</v>
      </c>
    </row>
    <row r="22" spans="1:13" x14ac:dyDescent="0.35">
      <c r="A22" t="s">
        <v>3</v>
      </c>
      <c r="B22">
        <v>2020</v>
      </c>
      <c r="C22">
        <v>4442.6000000000004</v>
      </c>
      <c r="D22">
        <v>10807.8</v>
      </c>
      <c r="E22">
        <v>377.9</v>
      </c>
      <c r="F22">
        <v>2504.1</v>
      </c>
      <c r="G22">
        <v>1809.1</v>
      </c>
      <c r="H22">
        <v>95590.1</v>
      </c>
      <c r="I22">
        <f t="shared" si="0"/>
        <v>0.17076349956742379</v>
      </c>
      <c r="K22" t="s">
        <v>159</v>
      </c>
      <c r="L22" t="s">
        <v>119</v>
      </c>
      <c r="M22" t="s">
        <v>178</v>
      </c>
    </row>
    <row r="23" spans="1:13" x14ac:dyDescent="0.35">
      <c r="A23" t="s">
        <v>3</v>
      </c>
      <c r="B23">
        <v>2021</v>
      </c>
      <c r="C23">
        <v>4405.6000000000004</v>
      </c>
      <c r="D23">
        <v>10899.8</v>
      </c>
      <c r="E23">
        <v>179.2</v>
      </c>
      <c r="F23">
        <v>2373</v>
      </c>
      <c r="G23">
        <v>1467.5</v>
      </c>
      <c r="H23">
        <v>105070.39999999999</v>
      </c>
      <c r="I23">
        <f t="shared" si="0"/>
        <v>0.15599160182125507</v>
      </c>
    </row>
    <row r="24" spans="1:13" x14ac:dyDescent="0.35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 t="shared" si="0"/>
        <v>0.15603500394963879</v>
      </c>
    </row>
    <row r="25" spans="1:13" x14ac:dyDescent="0.35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117966.39999999999</v>
      </c>
      <c r="I25">
        <f t="shared" si="0"/>
        <v>0.1673103527784183</v>
      </c>
    </row>
    <row r="26" spans="1:13" x14ac:dyDescent="0.35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 t="shared" si="0"/>
        <v>0.17496495406425419</v>
      </c>
    </row>
    <row r="29" spans="1:13" x14ac:dyDescent="0.35">
      <c r="A29" t="s">
        <v>110</v>
      </c>
      <c r="B29">
        <v>2000</v>
      </c>
      <c r="C29">
        <v>4344.3999999999996</v>
      </c>
      <c r="D29">
        <v>2605.1999999999998</v>
      </c>
      <c r="E29">
        <v>212.3</v>
      </c>
      <c r="F29">
        <v>641.70000000000005</v>
      </c>
      <c r="G29">
        <v>259.7</v>
      </c>
      <c r="H29">
        <v>57702.8</v>
      </c>
      <c r="I29">
        <f t="shared" ref="I29:I53" si="1">(C29+D29+E29+F29-G29)/H29</f>
        <v>0.13073715660245255</v>
      </c>
    </row>
    <row r="30" spans="1:13" x14ac:dyDescent="0.35">
      <c r="A30" t="s">
        <v>110</v>
      </c>
      <c r="B30">
        <v>2001</v>
      </c>
      <c r="C30">
        <v>4962</v>
      </c>
      <c r="D30">
        <v>2903.7</v>
      </c>
      <c r="E30">
        <v>220.9</v>
      </c>
      <c r="F30">
        <v>762</v>
      </c>
      <c r="G30">
        <v>358.9</v>
      </c>
      <c r="H30">
        <v>59185.3</v>
      </c>
      <c r="I30">
        <f t="shared" si="1"/>
        <v>0.14344271297095729</v>
      </c>
    </row>
    <row r="31" spans="1:13" x14ac:dyDescent="0.35">
      <c r="A31" t="s">
        <v>110</v>
      </c>
      <c r="B31">
        <v>2002</v>
      </c>
      <c r="C31">
        <v>4263.7</v>
      </c>
      <c r="D31">
        <v>2898.2</v>
      </c>
      <c r="E31">
        <v>155.80000000000001</v>
      </c>
      <c r="F31">
        <v>895.2</v>
      </c>
      <c r="G31">
        <v>369</v>
      </c>
      <c r="H31">
        <v>56554.2</v>
      </c>
      <c r="I31">
        <f t="shared" si="1"/>
        <v>0.1386970375321373</v>
      </c>
    </row>
    <row r="32" spans="1:13" x14ac:dyDescent="0.35">
      <c r="A32" t="s">
        <v>110</v>
      </c>
      <c r="B32">
        <v>2003</v>
      </c>
      <c r="C32">
        <v>4145.7</v>
      </c>
      <c r="D32">
        <v>3111.2</v>
      </c>
      <c r="E32">
        <v>144.5</v>
      </c>
      <c r="F32">
        <v>1047.8</v>
      </c>
      <c r="G32">
        <v>558.29999999999995</v>
      </c>
      <c r="H32">
        <v>57629.7</v>
      </c>
      <c r="I32">
        <f t="shared" si="1"/>
        <v>0.13692419013113027</v>
      </c>
    </row>
    <row r="33" spans="1:9" x14ac:dyDescent="0.35">
      <c r="A33" t="s">
        <v>110</v>
      </c>
      <c r="B33">
        <v>2004</v>
      </c>
      <c r="C33">
        <v>3598.4</v>
      </c>
      <c r="D33">
        <v>3484</v>
      </c>
      <c r="E33">
        <v>219.8</v>
      </c>
      <c r="F33">
        <v>966.8</v>
      </c>
      <c r="G33">
        <v>531.79999999999995</v>
      </c>
      <c r="H33">
        <v>63703</v>
      </c>
      <c r="I33">
        <f t="shared" si="1"/>
        <v>0.12145738819207887</v>
      </c>
    </row>
    <row r="34" spans="1:9" x14ac:dyDescent="0.35">
      <c r="A34" t="s">
        <v>110</v>
      </c>
      <c r="B34">
        <v>2005</v>
      </c>
      <c r="C34">
        <v>4215.2</v>
      </c>
      <c r="D34">
        <v>3589.7</v>
      </c>
      <c r="E34">
        <v>149.5</v>
      </c>
      <c r="F34">
        <v>1084.0999999999999</v>
      </c>
      <c r="G34">
        <v>613.70000000000005</v>
      </c>
      <c r="H34">
        <v>68685.399999999994</v>
      </c>
      <c r="I34">
        <f t="shared" si="1"/>
        <v>0.12265779918294135</v>
      </c>
    </row>
    <row r="35" spans="1:9" x14ac:dyDescent="0.35">
      <c r="A35" t="s">
        <v>110</v>
      </c>
      <c r="B35">
        <v>2006</v>
      </c>
      <c r="C35">
        <v>4421.2</v>
      </c>
      <c r="D35">
        <v>3750.6</v>
      </c>
      <c r="E35">
        <v>147.69999999999999</v>
      </c>
      <c r="F35">
        <v>1041.3</v>
      </c>
      <c r="G35">
        <v>590.6</v>
      </c>
      <c r="H35">
        <v>72591.5</v>
      </c>
      <c r="I35">
        <f t="shared" si="1"/>
        <v>0.12081579799287794</v>
      </c>
    </row>
    <row r="36" spans="1:9" x14ac:dyDescent="0.35">
      <c r="A36" t="s">
        <v>110</v>
      </c>
      <c r="B36">
        <v>2007</v>
      </c>
      <c r="C36">
        <v>4594.3999999999996</v>
      </c>
      <c r="D36">
        <v>4059.3</v>
      </c>
      <c r="E36">
        <v>168.2</v>
      </c>
      <c r="F36">
        <v>1258.5</v>
      </c>
      <c r="G36">
        <v>724.1</v>
      </c>
      <c r="H36">
        <v>80039.199999999997</v>
      </c>
      <c r="I36">
        <f t="shared" si="1"/>
        <v>0.11689647072934264</v>
      </c>
    </row>
    <row r="37" spans="1:9" x14ac:dyDescent="0.35">
      <c r="A37" t="s">
        <v>110</v>
      </c>
      <c r="B37">
        <v>2008</v>
      </c>
      <c r="C37">
        <v>4864.3</v>
      </c>
      <c r="D37">
        <v>4200.8999999999996</v>
      </c>
      <c r="E37">
        <v>158</v>
      </c>
      <c r="F37">
        <v>1304.3</v>
      </c>
      <c r="G37">
        <v>768.6</v>
      </c>
      <c r="H37">
        <v>84833.9</v>
      </c>
      <c r="I37">
        <f t="shared" si="1"/>
        <v>0.1150353809031531</v>
      </c>
    </row>
    <row r="38" spans="1:9" x14ac:dyDescent="0.35">
      <c r="A38" t="s">
        <v>110</v>
      </c>
      <c r="B38">
        <v>2009</v>
      </c>
      <c r="C38">
        <v>4318.3</v>
      </c>
      <c r="D38">
        <v>4849.5</v>
      </c>
      <c r="E38">
        <v>190.4</v>
      </c>
      <c r="F38">
        <v>1661.8</v>
      </c>
      <c r="G38">
        <v>878.6</v>
      </c>
      <c r="H38">
        <v>78414.399999999994</v>
      </c>
      <c r="I38">
        <f t="shared" si="1"/>
        <v>0.1293308371931686</v>
      </c>
    </row>
    <row r="39" spans="1:9" x14ac:dyDescent="0.35">
      <c r="A39" t="s">
        <v>110</v>
      </c>
      <c r="B39">
        <v>2010</v>
      </c>
      <c r="C39">
        <v>4748.3999999999996</v>
      </c>
      <c r="D39">
        <v>5261.3</v>
      </c>
      <c r="E39">
        <v>211.6</v>
      </c>
      <c r="F39">
        <v>1865.6</v>
      </c>
      <c r="G39">
        <v>1033.5999999999999</v>
      </c>
      <c r="H39">
        <v>79689</v>
      </c>
      <c r="I39">
        <f t="shared" si="1"/>
        <v>0.13870546750492541</v>
      </c>
    </row>
    <row r="40" spans="1:9" x14ac:dyDescent="0.35">
      <c r="A40" t="s">
        <v>110</v>
      </c>
      <c r="B40">
        <v>2011</v>
      </c>
      <c r="C40">
        <v>4766.7</v>
      </c>
      <c r="D40">
        <v>5622.1</v>
      </c>
      <c r="E40">
        <v>238</v>
      </c>
      <c r="F40">
        <v>2011</v>
      </c>
      <c r="G40">
        <v>1082.5</v>
      </c>
      <c r="H40">
        <v>86316.1</v>
      </c>
      <c r="I40">
        <f t="shared" si="1"/>
        <v>0.13387189643647013</v>
      </c>
    </row>
    <row r="41" spans="1:9" x14ac:dyDescent="0.35">
      <c r="A41" t="s">
        <v>110</v>
      </c>
      <c r="B41">
        <v>2012</v>
      </c>
      <c r="C41">
        <v>4853</v>
      </c>
      <c r="D41">
        <v>5737.3</v>
      </c>
      <c r="E41">
        <v>240.3</v>
      </c>
      <c r="F41">
        <v>2121.1</v>
      </c>
      <c r="G41">
        <v>1046.8</v>
      </c>
      <c r="H41">
        <v>88540.800000000003</v>
      </c>
      <c r="I41">
        <f t="shared" si="1"/>
        <v>0.1344566572698688</v>
      </c>
    </row>
    <row r="42" spans="1:9" x14ac:dyDescent="0.35">
      <c r="A42" t="s">
        <v>110</v>
      </c>
      <c r="B42">
        <v>2013</v>
      </c>
      <c r="C42">
        <v>5038.3999999999996</v>
      </c>
      <c r="D42">
        <v>5831.3</v>
      </c>
      <c r="E42">
        <v>251.7</v>
      </c>
      <c r="F42">
        <v>2198.8000000000002</v>
      </c>
      <c r="G42">
        <v>1022.2</v>
      </c>
      <c r="H42">
        <v>87430.6</v>
      </c>
      <c r="I42">
        <f t="shared" si="1"/>
        <v>0.14066013500993929</v>
      </c>
    </row>
    <row r="43" spans="1:9" x14ac:dyDescent="0.35">
      <c r="A43" t="s">
        <v>110</v>
      </c>
      <c r="B43">
        <v>2014</v>
      </c>
      <c r="C43">
        <v>5447.3</v>
      </c>
      <c r="D43">
        <v>5983.7</v>
      </c>
      <c r="E43">
        <v>264.60000000000002</v>
      </c>
      <c r="F43">
        <v>2216.9</v>
      </c>
      <c r="G43">
        <v>1135.8</v>
      </c>
      <c r="H43">
        <v>92496.2</v>
      </c>
      <c r="I43">
        <f t="shared" si="1"/>
        <v>0.13813216110499676</v>
      </c>
    </row>
    <row r="44" spans="1:9" x14ac:dyDescent="0.35">
      <c r="A44" t="s">
        <v>110</v>
      </c>
      <c r="B44">
        <v>2015</v>
      </c>
      <c r="C44">
        <v>5224.8999999999996</v>
      </c>
      <c r="D44">
        <v>6120.7</v>
      </c>
      <c r="E44">
        <v>185.3</v>
      </c>
      <c r="F44">
        <v>2315</v>
      </c>
      <c r="G44">
        <v>1120.5</v>
      </c>
      <c r="H44">
        <v>96205.3</v>
      </c>
      <c r="I44">
        <f t="shared" si="1"/>
        <v>0.13227337787003415</v>
      </c>
    </row>
    <row r="45" spans="1:9" x14ac:dyDescent="0.35">
      <c r="A45" t="s">
        <v>110</v>
      </c>
      <c r="B45">
        <v>2016</v>
      </c>
      <c r="C45">
        <v>5388.3</v>
      </c>
      <c r="D45">
        <v>6324.3</v>
      </c>
      <c r="E45">
        <v>190.1</v>
      </c>
      <c r="F45">
        <v>2590.4</v>
      </c>
      <c r="G45">
        <v>1130.2</v>
      </c>
      <c r="H45">
        <v>100774.7</v>
      </c>
      <c r="I45">
        <f t="shared" si="1"/>
        <v>0.13260173436388301</v>
      </c>
    </row>
    <row r="46" spans="1:9" x14ac:dyDescent="0.35">
      <c r="A46" t="s">
        <v>110</v>
      </c>
      <c r="B46">
        <v>2017</v>
      </c>
      <c r="C46">
        <v>5664.1</v>
      </c>
      <c r="D46">
        <v>7016.5</v>
      </c>
      <c r="E46">
        <v>209.5</v>
      </c>
      <c r="F46">
        <v>2810.8</v>
      </c>
      <c r="G46">
        <v>1184.5</v>
      </c>
      <c r="H46">
        <v>104219.1</v>
      </c>
      <c r="I46">
        <f t="shared" si="1"/>
        <v>0.1392873283304116</v>
      </c>
    </row>
    <row r="47" spans="1:9" x14ac:dyDescent="0.35">
      <c r="A47" t="s">
        <v>110</v>
      </c>
      <c r="B47">
        <v>2018</v>
      </c>
      <c r="C47">
        <v>5967.4</v>
      </c>
      <c r="D47">
        <v>7445.4</v>
      </c>
      <c r="E47">
        <v>342.3</v>
      </c>
      <c r="F47">
        <v>2658.9</v>
      </c>
      <c r="G47">
        <v>1172</v>
      </c>
      <c r="H47">
        <v>109244.1</v>
      </c>
      <c r="I47">
        <f t="shared" si="1"/>
        <v>0.13952240899050841</v>
      </c>
    </row>
    <row r="48" spans="1:9" x14ac:dyDescent="0.35">
      <c r="A48" t="s">
        <v>110</v>
      </c>
      <c r="B48">
        <v>2019</v>
      </c>
      <c r="C48">
        <v>6243.9</v>
      </c>
      <c r="D48">
        <v>8023.8</v>
      </c>
      <c r="E48">
        <v>348</v>
      </c>
      <c r="F48">
        <v>3044.6</v>
      </c>
      <c r="G48">
        <v>1234.7</v>
      </c>
      <c r="H48">
        <v>116175.3</v>
      </c>
      <c r="I48">
        <f t="shared" si="1"/>
        <v>0.14138633599396772</v>
      </c>
    </row>
    <row r="49" spans="1:9" x14ac:dyDescent="0.35">
      <c r="A49" t="s">
        <v>110</v>
      </c>
      <c r="B49">
        <v>2020</v>
      </c>
      <c r="C49">
        <v>5782.6</v>
      </c>
      <c r="D49">
        <v>8426</v>
      </c>
      <c r="E49">
        <v>344.7</v>
      </c>
      <c r="F49">
        <v>2852.1</v>
      </c>
      <c r="G49">
        <v>1298</v>
      </c>
      <c r="H49">
        <v>111457.3</v>
      </c>
      <c r="I49">
        <f t="shared" si="1"/>
        <v>0.14451633046915727</v>
      </c>
    </row>
    <row r="50" spans="1:9" x14ac:dyDescent="0.35">
      <c r="A50" t="s">
        <v>110</v>
      </c>
      <c r="B50">
        <v>2021</v>
      </c>
      <c r="C50">
        <v>5993.6</v>
      </c>
      <c r="D50">
        <v>9366.2999999999993</v>
      </c>
      <c r="E50">
        <v>411.6</v>
      </c>
      <c r="F50">
        <v>3506.1</v>
      </c>
      <c r="G50">
        <v>1562.1</v>
      </c>
      <c r="H50">
        <v>121028.2</v>
      </c>
      <c r="I50">
        <f t="shared" si="1"/>
        <v>0.14637497707145938</v>
      </c>
    </row>
    <row r="51" spans="1:9" x14ac:dyDescent="0.35">
      <c r="A51" t="s">
        <v>110</v>
      </c>
      <c r="B51">
        <v>2022</v>
      </c>
      <c r="C51">
        <v>6634.8</v>
      </c>
      <c r="D51">
        <v>10496</v>
      </c>
      <c r="E51">
        <v>507.1</v>
      </c>
      <c r="F51">
        <v>4076.9</v>
      </c>
      <c r="G51">
        <v>1823.9</v>
      </c>
      <c r="H51">
        <v>134341.6</v>
      </c>
      <c r="I51">
        <f t="shared" si="1"/>
        <v>0.14806210436677839</v>
      </c>
    </row>
    <row r="52" spans="1:9" x14ac:dyDescent="0.35">
      <c r="A52" t="s">
        <v>110</v>
      </c>
      <c r="B52">
        <v>2023</v>
      </c>
      <c r="C52">
        <v>7207.2</v>
      </c>
      <c r="D52">
        <v>11207.9</v>
      </c>
      <c r="E52">
        <v>555</v>
      </c>
      <c r="F52">
        <v>4422.6000000000004</v>
      </c>
      <c r="G52">
        <v>2007.7</v>
      </c>
      <c r="H52">
        <v>145570.9</v>
      </c>
      <c r="I52">
        <f t="shared" si="1"/>
        <v>0.14690436069296814</v>
      </c>
    </row>
    <row r="53" spans="1:9" x14ac:dyDescent="0.35">
      <c r="A53" t="s">
        <v>110</v>
      </c>
      <c r="B53">
        <v>2024</v>
      </c>
      <c r="C53">
        <v>9131.1</v>
      </c>
      <c r="D53">
        <v>12273</v>
      </c>
      <c r="E53">
        <v>865.1</v>
      </c>
      <c r="F53">
        <v>4613</v>
      </c>
      <c r="G53">
        <v>2148.6999999999998</v>
      </c>
      <c r="H53">
        <v>150401.5</v>
      </c>
      <c r="I53">
        <f t="shared" si="1"/>
        <v>0.16444982264139651</v>
      </c>
    </row>
    <row r="56" spans="1:9" x14ac:dyDescent="0.35">
      <c r="A56" t="s">
        <v>111</v>
      </c>
      <c r="B56">
        <v>2000</v>
      </c>
      <c r="C56">
        <v>35016</v>
      </c>
      <c r="D56">
        <v>13620</v>
      </c>
      <c r="E56">
        <v>2344</v>
      </c>
      <c r="F56">
        <v>9525</v>
      </c>
      <c r="G56">
        <v>3116</v>
      </c>
      <c r="H56">
        <v>487329</v>
      </c>
      <c r="I56">
        <f t="shared" ref="I56:I80" si="2">(C56+D56+E56+F56-G56)/H56</f>
        <v>0.11776233304400108</v>
      </c>
    </row>
    <row r="57" spans="1:9" x14ac:dyDescent="0.35">
      <c r="A57" t="s">
        <v>111</v>
      </c>
      <c r="B57">
        <v>2001</v>
      </c>
      <c r="C57">
        <v>33543</v>
      </c>
      <c r="D57">
        <v>14161</v>
      </c>
      <c r="E57">
        <v>2822</v>
      </c>
      <c r="F57">
        <v>9911</v>
      </c>
      <c r="G57">
        <v>3449</v>
      </c>
      <c r="H57">
        <v>472991</v>
      </c>
      <c r="I57">
        <f t="shared" si="2"/>
        <v>0.12048432211183722</v>
      </c>
    </row>
    <row r="58" spans="1:9" x14ac:dyDescent="0.35">
      <c r="A58" t="s">
        <v>111</v>
      </c>
      <c r="B58">
        <v>2002</v>
      </c>
      <c r="C58">
        <v>28361</v>
      </c>
      <c r="D58">
        <v>14076</v>
      </c>
      <c r="E58">
        <v>1881</v>
      </c>
      <c r="F58">
        <v>9250</v>
      </c>
      <c r="G58">
        <v>3431</v>
      </c>
      <c r="H58">
        <v>442153</v>
      </c>
      <c r="I58">
        <f t="shared" si="2"/>
        <v>0.11339287531691518</v>
      </c>
    </row>
    <row r="59" spans="1:9" x14ac:dyDescent="0.35">
      <c r="A59" t="s">
        <v>111</v>
      </c>
      <c r="B59">
        <v>2003</v>
      </c>
      <c r="C59">
        <v>23573</v>
      </c>
      <c r="D59">
        <v>13595</v>
      </c>
      <c r="E59">
        <v>2002</v>
      </c>
      <c r="F59">
        <v>8623</v>
      </c>
      <c r="G59">
        <v>3110</v>
      </c>
      <c r="H59">
        <v>431667</v>
      </c>
      <c r="I59">
        <f t="shared" si="2"/>
        <v>0.10351266138018426</v>
      </c>
    </row>
    <row r="60" spans="1:9" x14ac:dyDescent="0.35">
      <c r="A60" t="s">
        <v>111</v>
      </c>
      <c r="B60">
        <v>2004</v>
      </c>
      <c r="C60">
        <v>21638</v>
      </c>
      <c r="D60">
        <v>13986</v>
      </c>
      <c r="E60">
        <v>1676</v>
      </c>
      <c r="F60">
        <v>9262</v>
      </c>
      <c r="G60">
        <v>3401</v>
      </c>
      <c r="H60">
        <v>431813</v>
      </c>
      <c r="I60">
        <f t="shared" si="2"/>
        <v>9.9952988909551121E-2</v>
      </c>
    </row>
    <row r="61" spans="1:9" x14ac:dyDescent="0.35">
      <c r="A61" t="s">
        <v>111</v>
      </c>
      <c r="B61">
        <v>2005</v>
      </c>
      <c r="C61">
        <v>23760</v>
      </c>
      <c r="D61">
        <v>14641</v>
      </c>
      <c r="E61">
        <v>2034</v>
      </c>
      <c r="F61">
        <v>9597</v>
      </c>
      <c r="G61">
        <v>3734</v>
      </c>
      <c r="H61">
        <v>436406</v>
      </c>
      <c r="I61">
        <f t="shared" si="2"/>
        <v>0.10608928383202798</v>
      </c>
    </row>
    <row r="62" spans="1:9" x14ac:dyDescent="0.35">
      <c r="A62" t="s">
        <v>111</v>
      </c>
      <c r="B62">
        <v>2006</v>
      </c>
      <c r="C62">
        <v>25588</v>
      </c>
      <c r="D62">
        <v>15641</v>
      </c>
      <c r="E62">
        <v>1012</v>
      </c>
      <c r="F62">
        <v>10006</v>
      </c>
      <c r="G62">
        <v>4192</v>
      </c>
      <c r="H62">
        <v>472193</v>
      </c>
      <c r="I62">
        <f t="shared" si="2"/>
        <v>0.10176982716812828</v>
      </c>
    </row>
    <row r="63" spans="1:9" x14ac:dyDescent="0.35">
      <c r="A63" t="s">
        <v>111</v>
      </c>
      <c r="B63">
        <v>2007</v>
      </c>
      <c r="C63">
        <v>24574</v>
      </c>
      <c r="D63">
        <v>16582</v>
      </c>
      <c r="E63">
        <v>1167</v>
      </c>
      <c r="F63">
        <v>9742</v>
      </c>
      <c r="G63">
        <v>3960</v>
      </c>
      <c r="H63">
        <v>501203</v>
      </c>
      <c r="I63">
        <f t="shared" si="2"/>
        <v>9.597907434712083E-2</v>
      </c>
    </row>
    <row r="64" spans="1:9" x14ac:dyDescent="0.35">
      <c r="A64" t="s">
        <v>111</v>
      </c>
      <c r="B64">
        <v>2008</v>
      </c>
      <c r="C64">
        <v>22599</v>
      </c>
      <c r="D64">
        <v>17656</v>
      </c>
      <c r="E64">
        <v>627</v>
      </c>
      <c r="F64">
        <v>10888</v>
      </c>
      <c r="G64">
        <v>4876</v>
      </c>
      <c r="H64">
        <v>516899</v>
      </c>
      <c r="I64">
        <f t="shared" si="2"/>
        <v>9.0721785106955125E-2</v>
      </c>
    </row>
    <row r="65" spans="1:9" x14ac:dyDescent="0.35">
      <c r="A65" t="s">
        <v>111</v>
      </c>
      <c r="B65">
        <v>2009</v>
      </c>
      <c r="C65">
        <v>18440</v>
      </c>
      <c r="D65">
        <v>17079</v>
      </c>
      <c r="E65">
        <v>731</v>
      </c>
      <c r="F65">
        <v>10891</v>
      </c>
      <c r="G65">
        <v>4558</v>
      </c>
      <c r="H65">
        <v>469819</v>
      </c>
      <c r="I65">
        <f t="shared" si="2"/>
        <v>9.0637032559347325E-2</v>
      </c>
    </row>
    <row r="66" spans="1:9" x14ac:dyDescent="0.35">
      <c r="A66" t="s">
        <v>111</v>
      </c>
      <c r="B66">
        <v>2010</v>
      </c>
      <c r="C66">
        <v>20635</v>
      </c>
      <c r="D66">
        <v>17999</v>
      </c>
      <c r="E66">
        <v>750</v>
      </c>
      <c r="F66">
        <v>10029</v>
      </c>
      <c r="G66">
        <v>4215</v>
      </c>
      <c r="H66">
        <v>501768</v>
      </c>
      <c r="I66">
        <f t="shared" si="2"/>
        <v>9.0077486009470506E-2</v>
      </c>
    </row>
    <row r="67" spans="1:9" x14ac:dyDescent="0.35">
      <c r="A67" t="s">
        <v>111</v>
      </c>
      <c r="B67">
        <v>2011</v>
      </c>
      <c r="C67">
        <v>19547</v>
      </c>
      <c r="D67">
        <v>20929</v>
      </c>
      <c r="E67">
        <v>478</v>
      </c>
      <c r="F67">
        <v>13402</v>
      </c>
      <c r="G67">
        <v>7097</v>
      </c>
      <c r="H67">
        <v>549605</v>
      </c>
      <c r="I67">
        <f t="shared" si="2"/>
        <v>8.5987208995551345E-2</v>
      </c>
    </row>
    <row r="68" spans="1:9" x14ac:dyDescent="0.35">
      <c r="A68" t="s">
        <v>111</v>
      </c>
      <c r="B68">
        <v>2012</v>
      </c>
      <c r="C68">
        <v>18916</v>
      </c>
      <c r="D68">
        <v>18572</v>
      </c>
      <c r="E68">
        <v>496</v>
      </c>
      <c r="F68">
        <v>11219</v>
      </c>
      <c r="G68">
        <v>4658</v>
      </c>
      <c r="H68">
        <v>558913</v>
      </c>
      <c r="I68">
        <f t="shared" si="2"/>
        <v>7.9699344978556588E-2</v>
      </c>
    </row>
    <row r="69" spans="1:9" x14ac:dyDescent="0.35">
      <c r="A69" t="s">
        <v>111</v>
      </c>
      <c r="B69">
        <v>2013</v>
      </c>
      <c r="C69">
        <v>17285</v>
      </c>
      <c r="D69">
        <v>19679</v>
      </c>
      <c r="E69">
        <v>493</v>
      </c>
      <c r="F69">
        <v>12591</v>
      </c>
      <c r="G69">
        <v>5450</v>
      </c>
      <c r="H69">
        <v>561175</v>
      </c>
      <c r="I69">
        <f t="shared" si="2"/>
        <v>7.9472535305386019E-2</v>
      </c>
    </row>
    <row r="70" spans="1:9" x14ac:dyDescent="0.35">
      <c r="A70" t="s">
        <v>111</v>
      </c>
      <c r="B70">
        <v>2014</v>
      </c>
      <c r="C70">
        <v>18872</v>
      </c>
      <c r="D70">
        <v>20952</v>
      </c>
      <c r="E70">
        <v>585</v>
      </c>
      <c r="F70">
        <v>12567</v>
      </c>
      <c r="G70">
        <v>5542</v>
      </c>
      <c r="H70">
        <v>590405</v>
      </c>
      <c r="I70">
        <f t="shared" si="2"/>
        <v>8.0341460522861424E-2</v>
      </c>
    </row>
    <row r="71" spans="1:9" x14ac:dyDescent="0.35">
      <c r="A71" t="s">
        <v>111</v>
      </c>
      <c r="B71">
        <v>2015</v>
      </c>
      <c r="C71">
        <v>20453</v>
      </c>
      <c r="D71">
        <v>23846</v>
      </c>
      <c r="E71">
        <v>674</v>
      </c>
      <c r="F71">
        <v>14699</v>
      </c>
      <c r="G71">
        <v>7964</v>
      </c>
      <c r="H71">
        <v>609619</v>
      </c>
      <c r="I71">
        <f t="shared" si="2"/>
        <v>8.4820190971738083E-2</v>
      </c>
    </row>
    <row r="72" spans="1:9" x14ac:dyDescent="0.35">
      <c r="A72" t="s">
        <v>111</v>
      </c>
      <c r="B72">
        <v>2016</v>
      </c>
      <c r="C72">
        <v>21121</v>
      </c>
      <c r="D72">
        <v>23651</v>
      </c>
      <c r="E72">
        <v>833</v>
      </c>
      <c r="F72">
        <v>14843</v>
      </c>
      <c r="G72">
        <v>6877</v>
      </c>
      <c r="H72">
        <v>640443</v>
      </c>
      <c r="I72">
        <f t="shared" si="2"/>
        <v>8.3646788238765979E-2</v>
      </c>
    </row>
    <row r="73" spans="1:9" x14ac:dyDescent="0.35">
      <c r="A73" t="s">
        <v>111</v>
      </c>
      <c r="B73">
        <v>2017</v>
      </c>
      <c r="C73">
        <v>22460</v>
      </c>
      <c r="D73">
        <v>24790</v>
      </c>
      <c r="E73">
        <v>1039</v>
      </c>
      <c r="F73">
        <v>12999</v>
      </c>
      <c r="G73">
        <v>6700</v>
      </c>
      <c r="H73">
        <v>671086</v>
      </c>
      <c r="I73">
        <f t="shared" si="2"/>
        <v>8.1342778719866005E-2</v>
      </c>
    </row>
    <row r="74" spans="1:9" x14ac:dyDescent="0.35">
      <c r="A74" t="s">
        <v>111</v>
      </c>
      <c r="B74">
        <v>2018</v>
      </c>
      <c r="C74">
        <v>23337</v>
      </c>
      <c r="D74">
        <v>26302</v>
      </c>
      <c r="E74">
        <v>1125</v>
      </c>
      <c r="F74">
        <v>14541</v>
      </c>
      <c r="G74">
        <v>6885</v>
      </c>
      <c r="H74">
        <v>714880</v>
      </c>
      <c r="I74">
        <f t="shared" si="2"/>
        <v>8.1720008952551479E-2</v>
      </c>
    </row>
    <row r="75" spans="1:9" x14ac:dyDescent="0.35">
      <c r="A75" t="s">
        <v>111</v>
      </c>
      <c r="B75">
        <v>2019</v>
      </c>
      <c r="C75">
        <v>23280</v>
      </c>
      <c r="D75">
        <v>28754</v>
      </c>
      <c r="E75">
        <v>1245</v>
      </c>
      <c r="F75">
        <v>18117</v>
      </c>
      <c r="G75">
        <v>9402</v>
      </c>
      <c r="H75">
        <v>748216</v>
      </c>
      <c r="I75">
        <f t="shared" si="2"/>
        <v>8.2855752884193876E-2</v>
      </c>
    </row>
    <row r="76" spans="1:9" x14ac:dyDescent="0.35">
      <c r="A76" t="s">
        <v>111</v>
      </c>
      <c r="B76">
        <v>2020</v>
      </c>
      <c r="C76">
        <v>24080</v>
      </c>
      <c r="D76">
        <v>26417</v>
      </c>
      <c r="E76">
        <v>1728</v>
      </c>
      <c r="F76">
        <v>16154</v>
      </c>
      <c r="G76">
        <v>8124</v>
      </c>
      <c r="H76">
        <v>736476</v>
      </c>
      <c r="I76">
        <f t="shared" si="2"/>
        <v>8.1815293370048725E-2</v>
      </c>
    </row>
    <row r="77" spans="1:9" x14ac:dyDescent="0.35">
      <c r="A77" t="s">
        <v>111</v>
      </c>
      <c r="B77">
        <v>2021</v>
      </c>
      <c r="C77">
        <v>25376</v>
      </c>
      <c r="D77">
        <v>28180</v>
      </c>
      <c r="E77">
        <v>1907</v>
      </c>
      <c r="F77">
        <v>17990</v>
      </c>
      <c r="G77">
        <v>8148</v>
      </c>
      <c r="H77">
        <v>779975</v>
      </c>
      <c r="I77">
        <f t="shared" si="2"/>
        <v>8.3727042533414536E-2</v>
      </c>
    </row>
    <row r="78" spans="1:9" x14ac:dyDescent="0.35">
      <c r="A78" t="s">
        <v>111</v>
      </c>
      <c r="B78">
        <v>2022</v>
      </c>
      <c r="C78">
        <v>27238</v>
      </c>
      <c r="D78">
        <v>32990</v>
      </c>
      <c r="E78">
        <v>1912</v>
      </c>
      <c r="F78">
        <v>21211</v>
      </c>
      <c r="G78">
        <v>10512</v>
      </c>
      <c r="H78">
        <v>861750</v>
      </c>
      <c r="I78">
        <f t="shared" si="2"/>
        <v>8.4524514070205975E-2</v>
      </c>
    </row>
    <row r="79" spans="1:9" x14ac:dyDescent="0.35">
      <c r="A79" t="s">
        <v>111</v>
      </c>
      <c r="B79">
        <v>2023</v>
      </c>
      <c r="C79">
        <v>25951</v>
      </c>
      <c r="D79">
        <v>32973</v>
      </c>
      <c r="E79">
        <v>1456</v>
      </c>
      <c r="F79">
        <v>21089</v>
      </c>
      <c r="G79">
        <v>8929</v>
      </c>
      <c r="H79">
        <v>894143</v>
      </c>
      <c r="I79">
        <f t="shared" si="2"/>
        <v>8.1127962753161406E-2</v>
      </c>
    </row>
    <row r="80" spans="1:9" x14ac:dyDescent="0.35">
      <c r="A80" t="s">
        <v>111</v>
      </c>
      <c r="B80">
        <v>2024</v>
      </c>
      <c r="C80">
        <v>27729</v>
      </c>
      <c r="D80">
        <v>35187</v>
      </c>
      <c r="E80">
        <v>1451</v>
      </c>
      <c r="F80">
        <v>22242</v>
      </c>
      <c r="G80">
        <v>9625</v>
      </c>
      <c r="H80">
        <v>885721</v>
      </c>
      <c r="I80">
        <f t="shared" si="2"/>
        <v>8.6916760469719023E-2</v>
      </c>
    </row>
    <row r="83" spans="1:9" x14ac:dyDescent="0.35">
      <c r="A83" t="s">
        <v>112</v>
      </c>
      <c r="B83">
        <v>2000</v>
      </c>
      <c r="C83">
        <v>6092</v>
      </c>
      <c r="D83">
        <v>5163</v>
      </c>
      <c r="E83">
        <v>2549</v>
      </c>
      <c r="F83">
        <v>2059</v>
      </c>
      <c r="G83">
        <v>1400</v>
      </c>
      <c r="H83">
        <v>168191</v>
      </c>
      <c r="I83">
        <f t="shared" ref="I83:I107" si="3">(C83+D83+E83+F83-G83)/H83</f>
        <v>8.5991521543958949E-2</v>
      </c>
    </row>
    <row r="84" spans="1:9" x14ac:dyDescent="0.35">
      <c r="A84" t="s">
        <v>112</v>
      </c>
      <c r="B84">
        <v>2001</v>
      </c>
      <c r="C84">
        <v>6014</v>
      </c>
      <c r="D84">
        <v>6069</v>
      </c>
      <c r="E84">
        <v>2482</v>
      </c>
      <c r="F84">
        <v>2397</v>
      </c>
      <c r="G84">
        <v>1713</v>
      </c>
      <c r="H84">
        <v>181553</v>
      </c>
      <c r="I84">
        <f t="shared" si="3"/>
        <v>8.3992002335406185E-2</v>
      </c>
    </row>
    <row r="85" spans="1:9" x14ac:dyDescent="0.35">
      <c r="A85" t="s">
        <v>112</v>
      </c>
      <c r="B85">
        <v>2002</v>
      </c>
      <c r="C85">
        <v>5677</v>
      </c>
      <c r="D85">
        <v>6940</v>
      </c>
      <c r="E85">
        <v>2559</v>
      </c>
      <c r="F85">
        <v>2752</v>
      </c>
      <c r="G85">
        <v>1876</v>
      </c>
      <c r="H85">
        <v>196263</v>
      </c>
      <c r="I85">
        <f t="shared" si="3"/>
        <v>8.1788212755333406E-2</v>
      </c>
    </row>
    <row r="86" spans="1:9" x14ac:dyDescent="0.35">
      <c r="A86" t="s">
        <v>112</v>
      </c>
      <c r="B86">
        <v>2003</v>
      </c>
      <c r="C86">
        <v>5796</v>
      </c>
      <c r="D86">
        <v>7964</v>
      </c>
      <c r="E86">
        <v>2310</v>
      </c>
      <c r="F86">
        <v>3341</v>
      </c>
      <c r="G86">
        <v>2310</v>
      </c>
      <c r="H86">
        <v>217719</v>
      </c>
      <c r="I86">
        <f t="shared" si="3"/>
        <v>7.8546199458935595E-2</v>
      </c>
    </row>
    <row r="87" spans="1:9" x14ac:dyDescent="0.35">
      <c r="A87" t="s">
        <v>112</v>
      </c>
      <c r="B87">
        <v>2004</v>
      </c>
      <c r="C87">
        <v>5967</v>
      </c>
      <c r="D87">
        <v>8902</v>
      </c>
      <c r="E87">
        <v>2804</v>
      </c>
      <c r="F87">
        <v>3185</v>
      </c>
      <c r="G87">
        <v>2178</v>
      </c>
      <c r="H87">
        <v>239314</v>
      </c>
      <c r="I87">
        <f t="shared" si="3"/>
        <v>7.8056444671017994E-2</v>
      </c>
    </row>
    <row r="88" spans="1:9" x14ac:dyDescent="0.35">
      <c r="A88" t="s">
        <v>112</v>
      </c>
      <c r="B88">
        <v>2005</v>
      </c>
      <c r="C88">
        <v>6642</v>
      </c>
      <c r="D88">
        <v>9340</v>
      </c>
      <c r="E88">
        <v>2891</v>
      </c>
      <c r="F88">
        <v>3406</v>
      </c>
      <c r="G88">
        <v>2253</v>
      </c>
      <c r="H88">
        <v>269419</v>
      </c>
      <c r="I88">
        <f t="shared" si="3"/>
        <v>7.4330318203244761E-2</v>
      </c>
    </row>
    <row r="89" spans="1:9" x14ac:dyDescent="0.35">
      <c r="A89" t="s">
        <v>112</v>
      </c>
      <c r="B89">
        <v>2006</v>
      </c>
      <c r="C89">
        <v>7275</v>
      </c>
      <c r="D89">
        <v>10582</v>
      </c>
      <c r="E89">
        <v>2306</v>
      </c>
      <c r="F89">
        <v>3737</v>
      </c>
      <c r="G89">
        <v>2391</v>
      </c>
      <c r="H89">
        <v>301950</v>
      </c>
      <c r="I89">
        <f t="shared" si="3"/>
        <v>7.1233647954959428E-2</v>
      </c>
    </row>
    <row r="90" spans="1:9" x14ac:dyDescent="0.35">
      <c r="A90" t="s">
        <v>112</v>
      </c>
      <c r="B90">
        <v>2007</v>
      </c>
      <c r="C90">
        <v>8322</v>
      </c>
      <c r="D90">
        <v>12254</v>
      </c>
      <c r="E90">
        <v>1827</v>
      </c>
      <c r="F90">
        <v>4592</v>
      </c>
      <c r="G90">
        <v>3112</v>
      </c>
      <c r="H90">
        <v>321924</v>
      </c>
      <c r="I90">
        <f t="shared" si="3"/>
        <v>7.4188317739590712E-2</v>
      </c>
    </row>
    <row r="91" spans="1:9" x14ac:dyDescent="0.35">
      <c r="A91" t="s">
        <v>112</v>
      </c>
      <c r="B91">
        <v>2008</v>
      </c>
      <c r="C91">
        <v>8438</v>
      </c>
      <c r="D91">
        <v>13398</v>
      </c>
      <c r="E91">
        <v>2216</v>
      </c>
      <c r="F91">
        <v>4533</v>
      </c>
      <c r="G91">
        <v>3061</v>
      </c>
      <c r="H91">
        <v>309886</v>
      </c>
      <c r="I91">
        <f t="shared" si="3"/>
        <v>8.2365773219829228E-2</v>
      </c>
    </row>
    <row r="92" spans="1:9" x14ac:dyDescent="0.35">
      <c r="A92" t="s">
        <v>112</v>
      </c>
      <c r="B92">
        <v>2009</v>
      </c>
      <c r="C92">
        <v>6896</v>
      </c>
      <c r="D92">
        <v>12520</v>
      </c>
      <c r="E92">
        <v>2304</v>
      </c>
      <c r="F92">
        <v>3902</v>
      </c>
      <c r="G92">
        <v>2481</v>
      </c>
      <c r="H92">
        <v>248528</v>
      </c>
      <c r="I92">
        <f t="shared" si="3"/>
        <v>9.311224489795919E-2</v>
      </c>
    </row>
    <row r="93" spans="1:9" x14ac:dyDescent="0.35">
      <c r="A93" t="s">
        <v>112</v>
      </c>
      <c r="B93">
        <v>2010</v>
      </c>
      <c r="C93">
        <v>7685</v>
      </c>
      <c r="D93">
        <v>14177</v>
      </c>
      <c r="E93">
        <v>1987</v>
      </c>
      <c r="F93">
        <v>5813</v>
      </c>
      <c r="G93">
        <v>4351</v>
      </c>
      <c r="H93">
        <v>235617</v>
      </c>
      <c r="I93">
        <f t="shared" si="3"/>
        <v>0.1074243369536154</v>
      </c>
    </row>
    <row r="94" spans="1:9" x14ac:dyDescent="0.35">
      <c r="A94" t="s">
        <v>112</v>
      </c>
      <c r="B94">
        <v>2011</v>
      </c>
      <c r="C94">
        <v>7099</v>
      </c>
      <c r="D94">
        <v>15022</v>
      </c>
      <c r="E94">
        <v>2373</v>
      </c>
      <c r="F94">
        <v>6151</v>
      </c>
      <c r="G94">
        <v>4543</v>
      </c>
      <c r="H94">
        <v>215309</v>
      </c>
      <c r="I94">
        <f t="shared" si="3"/>
        <v>0.12123041767877794</v>
      </c>
    </row>
    <row r="95" spans="1:9" x14ac:dyDescent="0.35">
      <c r="A95" t="s">
        <v>112</v>
      </c>
      <c r="B95">
        <v>2012</v>
      </c>
      <c r="C95">
        <v>6880</v>
      </c>
      <c r="D95">
        <v>16398</v>
      </c>
      <c r="E95">
        <v>2131</v>
      </c>
      <c r="F95">
        <v>6498</v>
      </c>
      <c r="G95">
        <v>5065</v>
      </c>
      <c r="H95">
        <v>193835</v>
      </c>
      <c r="I95">
        <f t="shared" si="3"/>
        <v>0.13847860293548636</v>
      </c>
    </row>
    <row r="96" spans="1:9" x14ac:dyDescent="0.35">
      <c r="A96" t="s">
        <v>112</v>
      </c>
      <c r="B96">
        <v>2013</v>
      </c>
      <c r="C96">
        <v>6868</v>
      </c>
      <c r="D96">
        <v>16599</v>
      </c>
      <c r="E96">
        <v>226</v>
      </c>
      <c r="F96">
        <v>6467</v>
      </c>
      <c r="G96">
        <v>4950</v>
      </c>
      <c r="H96">
        <v>180498</v>
      </c>
      <c r="I96">
        <f t="shared" si="3"/>
        <v>0.13966913760817296</v>
      </c>
    </row>
    <row r="97" spans="1:9" x14ac:dyDescent="0.35">
      <c r="A97" t="s">
        <v>112</v>
      </c>
      <c r="B97">
        <v>2014</v>
      </c>
      <c r="C97">
        <v>7371</v>
      </c>
      <c r="D97">
        <v>17622</v>
      </c>
      <c r="E97">
        <v>622</v>
      </c>
      <c r="F97">
        <v>6147</v>
      </c>
      <c r="G97">
        <v>4529</v>
      </c>
      <c r="H97">
        <v>187322</v>
      </c>
      <c r="I97">
        <f t="shared" si="3"/>
        <v>0.14538068139353627</v>
      </c>
    </row>
    <row r="98" spans="1:9" x14ac:dyDescent="0.35">
      <c r="A98" t="s">
        <v>112</v>
      </c>
      <c r="B98">
        <v>2015</v>
      </c>
      <c r="C98">
        <v>7972</v>
      </c>
      <c r="D98">
        <v>19210</v>
      </c>
      <c r="E98">
        <v>2720</v>
      </c>
      <c r="F98">
        <v>8623</v>
      </c>
      <c r="G98">
        <v>7233</v>
      </c>
      <c r="H98">
        <v>198930</v>
      </c>
      <c r="I98">
        <f t="shared" si="3"/>
        <v>0.15730156336399739</v>
      </c>
    </row>
    <row r="99" spans="1:9" x14ac:dyDescent="0.35">
      <c r="A99" t="s">
        <v>112</v>
      </c>
      <c r="B99">
        <v>2016</v>
      </c>
      <c r="C99">
        <v>8177</v>
      </c>
      <c r="D99">
        <v>20886</v>
      </c>
      <c r="E99">
        <v>1145</v>
      </c>
      <c r="F99">
        <v>8511</v>
      </c>
      <c r="G99">
        <v>6422</v>
      </c>
      <c r="H99">
        <v>204287</v>
      </c>
      <c r="I99">
        <f t="shared" si="3"/>
        <v>0.15809620778610484</v>
      </c>
    </row>
    <row r="100" spans="1:9" x14ac:dyDescent="0.35">
      <c r="A100" t="s">
        <v>112</v>
      </c>
      <c r="B100">
        <v>2017</v>
      </c>
      <c r="C100">
        <v>8889</v>
      </c>
      <c r="D100">
        <v>21386</v>
      </c>
      <c r="E100">
        <v>1043</v>
      </c>
      <c r="F100">
        <v>7361</v>
      </c>
      <c r="G100">
        <v>5451</v>
      </c>
      <c r="H100">
        <v>221207</v>
      </c>
      <c r="I100">
        <f t="shared" si="3"/>
        <v>0.15021224463963617</v>
      </c>
    </row>
    <row r="101" spans="1:9" x14ac:dyDescent="0.35">
      <c r="A101" t="s">
        <v>112</v>
      </c>
      <c r="B101">
        <v>2018</v>
      </c>
      <c r="C101">
        <v>10567</v>
      </c>
      <c r="D101">
        <v>21436</v>
      </c>
      <c r="E101">
        <v>1014</v>
      </c>
      <c r="F101">
        <v>6771</v>
      </c>
      <c r="G101">
        <v>4500</v>
      </c>
      <c r="H101">
        <v>238502</v>
      </c>
      <c r="I101">
        <f t="shared" si="3"/>
        <v>0.1479568305506872</v>
      </c>
    </row>
    <row r="102" spans="1:9" x14ac:dyDescent="0.35">
      <c r="A102" t="s">
        <v>112</v>
      </c>
      <c r="B102">
        <v>2019</v>
      </c>
      <c r="C102">
        <v>10241</v>
      </c>
      <c r="D102">
        <v>22185</v>
      </c>
      <c r="E102">
        <v>1202</v>
      </c>
      <c r="F102">
        <v>7598</v>
      </c>
      <c r="G102">
        <v>5512</v>
      </c>
      <c r="H102">
        <v>254566</v>
      </c>
      <c r="I102">
        <f t="shared" si="3"/>
        <v>0.14029367629612752</v>
      </c>
    </row>
    <row r="103" spans="1:9" x14ac:dyDescent="0.35">
      <c r="A103" t="s">
        <v>112</v>
      </c>
      <c r="B103">
        <v>2020</v>
      </c>
      <c r="C103">
        <v>9319</v>
      </c>
      <c r="D103">
        <v>21405</v>
      </c>
      <c r="E103">
        <v>955</v>
      </c>
      <c r="F103">
        <v>7838</v>
      </c>
      <c r="G103">
        <v>5915</v>
      </c>
      <c r="H103">
        <v>232798</v>
      </c>
      <c r="I103">
        <f t="shared" si="3"/>
        <v>0.14433972800453612</v>
      </c>
    </row>
    <row r="104" spans="1:9" x14ac:dyDescent="0.35">
      <c r="A104" t="s">
        <v>112</v>
      </c>
      <c r="B104">
        <v>2021</v>
      </c>
      <c r="C104">
        <v>9814</v>
      </c>
      <c r="D104">
        <v>23687</v>
      </c>
      <c r="E104">
        <v>1759</v>
      </c>
      <c r="F104">
        <v>8553</v>
      </c>
      <c r="G104">
        <v>5774</v>
      </c>
      <c r="H104">
        <v>249560</v>
      </c>
      <c r="I104">
        <f t="shared" si="3"/>
        <v>0.15242426670940856</v>
      </c>
    </row>
    <row r="105" spans="1:9" x14ac:dyDescent="0.35">
      <c r="A105" t="s">
        <v>112</v>
      </c>
      <c r="B105">
        <v>2022</v>
      </c>
      <c r="C105">
        <v>10476</v>
      </c>
      <c r="D105">
        <v>26096</v>
      </c>
      <c r="E105">
        <v>1212</v>
      </c>
      <c r="F105">
        <v>10206</v>
      </c>
      <c r="G105">
        <v>7371</v>
      </c>
      <c r="H105">
        <v>281890</v>
      </c>
      <c r="I105">
        <f t="shared" si="3"/>
        <v>0.14409521444535103</v>
      </c>
    </row>
    <row r="106" spans="1:9" x14ac:dyDescent="0.35">
      <c r="A106" t="s">
        <v>112</v>
      </c>
      <c r="B106">
        <v>2023</v>
      </c>
      <c r="C106">
        <v>10493</v>
      </c>
      <c r="D106">
        <v>31417</v>
      </c>
      <c r="E106">
        <v>1039</v>
      </c>
      <c r="F106">
        <v>15344</v>
      </c>
      <c r="G106">
        <v>12396</v>
      </c>
      <c r="H106">
        <v>306529</v>
      </c>
      <c r="I106">
        <f t="shared" si="3"/>
        <v>0.14973134678937391</v>
      </c>
    </row>
    <row r="107" spans="1:9" x14ac:dyDescent="0.35">
      <c r="A107" t="s">
        <v>112</v>
      </c>
      <c r="B107">
        <v>2024</v>
      </c>
      <c r="C107">
        <v>10861</v>
      </c>
      <c r="D107">
        <v>33128</v>
      </c>
      <c r="E107">
        <v>1114</v>
      </c>
      <c r="F107">
        <v>16572</v>
      </c>
      <c r="G107">
        <v>13295</v>
      </c>
      <c r="H107">
        <v>323455</v>
      </c>
      <c r="I107">
        <f t="shared" si="3"/>
        <v>0.14957258351238967</v>
      </c>
    </row>
    <row r="110" spans="1:9" x14ac:dyDescent="0.35">
      <c r="A110" t="s">
        <v>113</v>
      </c>
      <c r="B110">
        <v>2000</v>
      </c>
      <c r="C110">
        <v>7175</v>
      </c>
      <c r="D110">
        <v>24783.8</v>
      </c>
      <c r="E110">
        <v>1823</v>
      </c>
      <c r="F110">
        <v>6822.4</v>
      </c>
      <c r="G110">
        <v>3804.4</v>
      </c>
      <c r="H110">
        <v>307691.59999999998</v>
      </c>
      <c r="I110">
        <f t="shared" ref="I110:I134" si="4">(C110+D110+E110+F110-G110)/H110</f>
        <v>0.1195996250791377</v>
      </c>
    </row>
    <row r="111" spans="1:9" x14ac:dyDescent="0.35">
      <c r="A111" t="s">
        <v>113</v>
      </c>
      <c r="B111">
        <v>2001</v>
      </c>
      <c r="C111">
        <v>7904</v>
      </c>
      <c r="D111">
        <v>27452.5</v>
      </c>
      <c r="E111">
        <v>2120.1</v>
      </c>
      <c r="F111">
        <v>8394.9</v>
      </c>
      <c r="G111">
        <v>4671.3</v>
      </c>
      <c r="H111">
        <v>319177.2</v>
      </c>
      <c r="I111">
        <f t="shared" si="4"/>
        <v>0.12908252845128035</v>
      </c>
    </row>
    <row r="112" spans="1:9" x14ac:dyDescent="0.35">
      <c r="A112" t="s">
        <v>113</v>
      </c>
      <c r="B112">
        <v>2002</v>
      </c>
      <c r="C112">
        <v>6904.8</v>
      </c>
      <c r="D112">
        <v>26926</v>
      </c>
      <c r="E112">
        <v>2137.1</v>
      </c>
      <c r="F112">
        <v>8437.5</v>
      </c>
      <c r="G112">
        <v>4611.1000000000004</v>
      </c>
      <c r="H112">
        <v>320974.5</v>
      </c>
      <c r="I112">
        <f t="shared" si="4"/>
        <v>0.12397963078063835</v>
      </c>
    </row>
    <row r="113" spans="1:9" x14ac:dyDescent="0.35">
      <c r="A113" t="s">
        <v>113</v>
      </c>
      <c r="B113">
        <v>2003</v>
      </c>
      <c r="C113">
        <v>6991.5</v>
      </c>
      <c r="D113">
        <v>26857.599999999999</v>
      </c>
      <c r="E113">
        <v>2159.3000000000002</v>
      </c>
      <c r="F113">
        <v>8368.2999999999993</v>
      </c>
      <c r="G113">
        <v>4575.6000000000004</v>
      </c>
      <c r="H113">
        <v>332557.09999999998</v>
      </c>
      <c r="I113">
        <f t="shared" si="4"/>
        <v>0.11968200348150738</v>
      </c>
    </row>
    <row r="114" spans="1:9" x14ac:dyDescent="0.35">
      <c r="A114" t="s">
        <v>113</v>
      </c>
      <c r="B114">
        <v>2004</v>
      </c>
      <c r="C114">
        <v>6895.9</v>
      </c>
      <c r="D114">
        <v>27779.9</v>
      </c>
      <c r="E114">
        <v>2284.8000000000002</v>
      </c>
      <c r="F114">
        <v>8573</v>
      </c>
      <c r="G114">
        <v>4766.2</v>
      </c>
      <c r="H114">
        <v>353422.7</v>
      </c>
      <c r="I114">
        <f t="shared" si="4"/>
        <v>0.11535025905240384</v>
      </c>
    </row>
    <row r="115" spans="1:9" x14ac:dyDescent="0.35">
      <c r="A115" t="s">
        <v>113</v>
      </c>
      <c r="B115">
        <v>2005</v>
      </c>
      <c r="C115">
        <v>7193</v>
      </c>
      <c r="D115">
        <v>29580.7</v>
      </c>
      <c r="E115">
        <v>2446.1</v>
      </c>
      <c r="F115">
        <v>9444.7999999999993</v>
      </c>
      <c r="G115">
        <v>5156</v>
      </c>
      <c r="H115">
        <v>374527.9</v>
      </c>
      <c r="I115">
        <f t="shared" si="4"/>
        <v>0.11616918258960143</v>
      </c>
    </row>
    <row r="116" spans="1:9" x14ac:dyDescent="0.35">
      <c r="A116" t="s">
        <v>113</v>
      </c>
      <c r="B116">
        <v>2006</v>
      </c>
      <c r="C116">
        <v>7351.7</v>
      </c>
      <c r="D116">
        <v>31875.8</v>
      </c>
      <c r="E116">
        <v>2654.2</v>
      </c>
      <c r="F116">
        <v>10199</v>
      </c>
      <c r="G116">
        <v>5508.1</v>
      </c>
      <c r="H116">
        <v>404237.7</v>
      </c>
      <c r="I116">
        <f t="shared" si="4"/>
        <v>0.11521092664043951</v>
      </c>
    </row>
    <row r="117" spans="1:9" x14ac:dyDescent="0.35">
      <c r="A117" t="s">
        <v>113</v>
      </c>
      <c r="B117">
        <v>2007</v>
      </c>
      <c r="C117">
        <v>7276.8</v>
      </c>
      <c r="D117">
        <v>33878.5</v>
      </c>
      <c r="E117">
        <v>3003.7</v>
      </c>
      <c r="F117">
        <v>10991.5</v>
      </c>
      <c r="G117">
        <v>5885.1</v>
      </c>
      <c r="H117">
        <v>437683.1</v>
      </c>
      <c r="I117">
        <f t="shared" si="4"/>
        <v>0.11255952080397896</v>
      </c>
    </row>
    <row r="118" spans="1:9" x14ac:dyDescent="0.35">
      <c r="A118" t="s">
        <v>113</v>
      </c>
      <c r="B118">
        <v>2008</v>
      </c>
      <c r="C118">
        <v>7397.3</v>
      </c>
      <c r="D118">
        <v>36886.699999999997</v>
      </c>
      <c r="E118">
        <v>3305.4</v>
      </c>
      <c r="F118">
        <v>11828.2</v>
      </c>
      <c r="G118">
        <v>6565.5</v>
      </c>
      <c r="H118">
        <v>456366.9</v>
      </c>
      <c r="I118">
        <f t="shared" si="4"/>
        <v>0.11581054629509722</v>
      </c>
    </row>
    <row r="119" spans="1:9" x14ac:dyDescent="0.35">
      <c r="A119" t="s">
        <v>113</v>
      </c>
      <c r="B119">
        <v>2009</v>
      </c>
      <c r="C119">
        <v>6252.9</v>
      </c>
      <c r="D119">
        <v>34615.599999999999</v>
      </c>
      <c r="E119">
        <v>3010.3</v>
      </c>
      <c r="F119">
        <v>11507</v>
      </c>
      <c r="G119">
        <v>6349.8</v>
      </c>
      <c r="H119">
        <v>415228.5</v>
      </c>
      <c r="I119">
        <f t="shared" si="4"/>
        <v>0.11809401329629349</v>
      </c>
    </row>
    <row r="120" spans="1:9" x14ac:dyDescent="0.35">
      <c r="A120" t="s">
        <v>113</v>
      </c>
      <c r="B120">
        <v>2010</v>
      </c>
      <c r="C120">
        <v>6820.6</v>
      </c>
      <c r="D120">
        <v>36075.800000000003</v>
      </c>
      <c r="E120">
        <v>3325.3</v>
      </c>
      <c r="F120">
        <v>12144</v>
      </c>
      <c r="G120">
        <v>6694.6</v>
      </c>
      <c r="H120">
        <v>428800.2</v>
      </c>
      <c r="I120">
        <f t="shared" si="4"/>
        <v>0.12050157625859317</v>
      </c>
    </row>
    <row r="121" spans="1:9" x14ac:dyDescent="0.35">
      <c r="A121" t="s">
        <v>113</v>
      </c>
      <c r="B121">
        <v>2011</v>
      </c>
      <c r="C121">
        <v>6919.8</v>
      </c>
      <c r="D121">
        <v>37738.199999999997</v>
      </c>
      <c r="E121">
        <v>2976.6</v>
      </c>
      <c r="F121">
        <v>12810.9</v>
      </c>
      <c r="G121">
        <v>7027</v>
      </c>
      <c r="H121">
        <v>447470.1</v>
      </c>
      <c r="I121">
        <f t="shared" si="4"/>
        <v>0.11937892610031375</v>
      </c>
    </row>
    <row r="122" spans="1:9" x14ac:dyDescent="0.35">
      <c r="A122" t="s">
        <v>113</v>
      </c>
      <c r="B122">
        <v>2012</v>
      </c>
      <c r="C122">
        <v>7415.2</v>
      </c>
      <c r="D122">
        <v>39876.400000000001</v>
      </c>
      <c r="E122">
        <v>3448.5</v>
      </c>
      <c r="F122">
        <v>13373.4</v>
      </c>
      <c r="G122">
        <v>7539.3</v>
      </c>
      <c r="H122">
        <v>452237.8</v>
      </c>
      <c r="I122">
        <f t="shared" si="4"/>
        <v>0.12509834427816516</v>
      </c>
    </row>
    <row r="123" spans="1:9" x14ac:dyDescent="0.35">
      <c r="A123" t="s">
        <v>113</v>
      </c>
      <c r="B123">
        <v>2013</v>
      </c>
      <c r="C123">
        <v>6848.1</v>
      </c>
      <c r="D123">
        <v>40877.199999999997</v>
      </c>
      <c r="E123">
        <v>3528.7</v>
      </c>
      <c r="F123">
        <v>13686</v>
      </c>
      <c r="G123">
        <v>7780.5</v>
      </c>
      <c r="H123">
        <v>450989.6</v>
      </c>
      <c r="I123">
        <f t="shared" si="4"/>
        <v>0.12674239051188763</v>
      </c>
    </row>
    <row r="124" spans="1:9" x14ac:dyDescent="0.35">
      <c r="A124" t="s">
        <v>113</v>
      </c>
      <c r="B124">
        <v>2014</v>
      </c>
      <c r="C124">
        <v>7208.7</v>
      </c>
      <c r="D124">
        <v>42897.1</v>
      </c>
      <c r="E124">
        <v>3057.9</v>
      </c>
      <c r="F124">
        <v>14386.5</v>
      </c>
      <c r="G124">
        <v>8178.6</v>
      </c>
      <c r="H124">
        <v>451387.7</v>
      </c>
      <c r="I124">
        <f t="shared" si="4"/>
        <v>0.13153127566391373</v>
      </c>
    </row>
    <row r="125" spans="1:9" x14ac:dyDescent="0.35">
      <c r="A125" t="s">
        <v>113</v>
      </c>
      <c r="B125">
        <v>2015</v>
      </c>
      <c r="C125">
        <v>8323.1</v>
      </c>
      <c r="D125">
        <v>44804.1</v>
      </c>
      <c r="E125">
        <v>2980.8</v>
      </c>
      <c r="F125">
        <v>14685.1</v>
      </c>
      <c r="G125">
        <v>8492.1</v>
      </c>
      <c r="H125">
        <v>452605.3</v>
      </c>
      <c r="I125">
        <f t="shared" si="4"/>
        <v>0.13764973587361881</v>
      </c>
    </row>
    <row r="126" spans="1:9" x14ac:dyDescent="0.35">
      <c r="A126" t="s">
        <v>113</v>
      </c>
      <c r="B126">
        <v>2016</v>
      </c>
      <c r="C126">
        <v>8293.7999999999993</v>
      </c>
      <c r="D126">
        <v>47584.5</v>
      </c>
      <c r="E126">
        <v>3349.5</v>
      </c>
      <c r="F126">
        <v>15707.1</v>
      </c>
      <c r="G126">
        <v>9032.9</v>
      </c>
      <c r="H126">
        <v>466924.7</v>
      </c>
      <c r="I126">
        <f t="shared" si="4"/>
        <v>0.14114053079650749</v>
      </c>
    </row>
    <row r="127" spans="1:9" x14ac:dyDescent="0.35">
      <c r="A127" t="s">
        <v>113</v>
      </c>
      <c r="B127">
        <v>2017</v>
      </c>
      <c r="C127">
        <v>9428.6</v>
      </c>
      <c r="D127">
        <v>52420.4</v>
      </c>
      <c r="E127">
        <v>3631.8</v>
      </c>
      <c r="F127">
        <v>16485.099999999999</v>
      </c>
      <c r="G127">
        <v>9949</v>
      </c>
      <c r="H127">
        <v>490887.9</v>
      </c>
      <c r="I127">
        <f t="shared" si="4"/>
        <v>0.14670742546312507</v>
      </c>
    </row>
    <row r="128" spans="1:9" x14ac:dyDescent="0.35">
      <c r="A128" t="s">
        <v>113</v>
      </c>
      <c r="B128">
        <v>2018</v>
      </c>
      <c r="C128">
        <v>9284.9</v>
      </c>
      <c r="D128">
        <v>57848.1</v>
      </c>
      <c r="E128">
        <v>4290.8999999999996</v>
      </c>
      <c r="F128">
        <v>17838.8</v>
      </c>
      <c r="G128">
        <v>11109.2</v>
      </c>
      <c r="H128">
        <v>515244.79999999999</v>
      </c>
      <c r="I128">
        <f t="shared" si="4"/>
        <v>0.15168226831207224</v>
      </c>
    </row>
    <row r="129" spans="1:9" x14ac:dyDescent="0.35">
      <c r="A129" t="s">
        <v>113</v>
      </c>
      <c r="B129">
        <v>2019</v>
      </c>
      <c r="C129">
        <v>9905.1</v>
      </c>
      <c r="D129">
        <v>63311.3</v>
      </c>
      <c r="E129">
        <v>3898.7</v>
      </c>
      <c r="F129">
        <v>19039</v>
      </c>
      <c r="G129">
        <v>12302.3</v>
      </c>
      <c r="H129">
        <v>545205.80000000005</v>
      </c>
      <c r="I129">
        <f t="shared" si="4"/>
        <v>0.15379843721398415</v>
      </c>
    </row>
    <row r="130" spans="1:9" x14ac:dyDescent="0.35">
      <c r="A130" t="s">
        <v>113</v>
      </c>
      <c r="B130">
        <v>2020</v>
      </c>
      <c r="C130">
        <v>10184.4</v>
      </c>
      <c r="D130">
        <v>65860</v>
      </c>
      <c r="E130">
        <v>3852.1</v>
      </c>
      <c r="F130">
        <v>19676.3</v>
      </c>
      <c r="G130">
        <v>13297.4</v>
      </c>
      <c r="H130">
        <v>520133.8</v>
      </c>
      <c r="I130">
        <f t="shared" si="4"/>
        <v>0.16587155074328955</v>
      </c>
    </row>
    <row r="131" spans="1:9" x14ac:dyDescent="0.35">
      <c r="A131" t="s">
        <v>113</v>
      </c>
      <c r="B131">
        <v>2021</v>
      </c>
      <c r="C131">
        <v>11502</v>
      </c>
      <c r="D131">
        <v>71860.899999999994</v>
      </c>
      <c r="E131">
        <v>4969.7</v>
      </c>
      <c r="F131">
        <v>21950.5</v>
      </c>
      <c r="G131">
        <v>14825.2</v>
      </c>
      <c r="H131">
        <v>588983.4</v>
      </c>
      <c r="I131">
        <f t="shared" si="4"/>
        <v>0.16207230967799771</v>
      </c>
    </row>
    <row r="132" spans="1:9" x14ac:dyDescent="0.35">
      <c r="A132" t="s">
        <v>113</v>
      </c>
      <c r="B132">
        <v>2022</v>
      </c>
      <c r="C132">
        <v>12029.5</v>
      </c>
      <c r="D132">
        <v>80625.8</v>
      </c>
      <c r="E132">
        <v>5030</v>
      </c>
      <c r="F132">
        <v>23789.9</v>
      </c>
      <c r="G132">
        <v>16370.4</v>
      </c>
      <c r="H132">
        <v>623311.69999999995</v>
      </c>
      <c r="I132">
        <f t="shared" si="4"/>
        <v>0.1686231784194008</v>
      </c>
    </row>
    <row r="133" spans="1:9" x14ac:dyDescent="0.35">
      <c r="A133" t="s">
        <v>113</v>
      </c>
      <c r="B133">
        <v>2023</v>
      </c>
      <c r="C133">
        <v>11700.9</v>
      </c>
      <c r="D133">
        <v>87644.4</v>
      </c>
      <c r="E133">
        <v>4824.3</v>
      </c>
      <c r="F133">
        <v>26018.3</v>
      </c>
      <c r="G133">
        <v>18209.7</v>
      </c>
      <c r="H133">
        <v>645425.69999999995</v>
      </c>
      <c r="I133">
        <f t="shared" si="4"/>
        <v>0.17349510563338275</v>
      </c>
    </row>
    <row r="134" spans="1:9" x14ac:dyDescent="0.35">
      <c r="A134" t="s">
        <v>113</v>
      </c>
      <c r="B134">
        <v>2024</v>
      </c>
      <c r="C134">
        <v>12314</v>
      </c>
      <c r="D134">
        <v>93190.9</v>
      </c>
      <c r="E134">
        <v>4843.3</v>
      </c>
      <c r="F134">
        <v>28213.3</v>
      </c>
      <c r="G134">
        <v>20022</v>
      </c>
      <c r="H134">
        <v>645205.80000000005</v>
      </c>
      <c r="I134">
        <f t="shared" si="4"/>
        <v>0.18372354991229153</v>
      </c>
    </row>
    <row r="137" spans="1:9" x14ac:dyDescent="0.35">
      <c r="A137" t="s">
        <v>114</v>
      </c>
      <c r="B137">
        <v>2000</v>
      </c>
      <c r="C137">
        <v>13266.4</v>
      </c>
      <c r="D137">
        <v>17549.5</v>
      </c>
      <c r="E137">
        <v>1574.4</v>
      </c>
      <c r="F137">
        <v>6378.8</v>
      </c>
      <c r="G137">
        <v>4518.1000000000004</v>
      </c>
      <c r="H137">
        <v>264206.40000000002</v>
      </c>
      <c r="I137">
        <f t="shared" ref="I137:I162" si="5">(C137+D137+E137+F137-G137)/H137</f>
        <v>0.12963728357829335</v>
      </c>
    </row>
    <row r="138" spans="1:9" x14ac:dyDescent="0.35">
      <c r="A138" t="s">
        <v>114</v>
      </c>
      <c r="B138">
        <v>2001</v>
      </c>
      <c r="C138">
        <v>12798.5</v>
      </c>
      <c r="D138">
        <v>18903</v>
      </c>
      <c r="E138">
        <v>2331.1999999999998</v>
      </c>
      <c r="F138">
        <v>6522.9</v>
      </c>
      <c r="G138">
        <v>4728.8</v>
      </c>
      <c r="H138">
        <v>277322</v>
      </c>
      <c r="I138">
        <f t="shared" si="5"/>
        <v>0.12918845241271878</v>
      </c>
    </row>
    <row r="139" spans="1:9" x14ac:dyDescent="0.35">
      <c r="A139" t="s">
        <v>114</v>
      </c>
      <c r="B139">
        <v>2002</v>
      </c>
      <c r="C139">
        <v>12997.1</v>
      </c>
      <c r="D139">
        <v>19853.3</v>
      </c>
      <c r="E139">
        <v>1600.3</v>
      </c>
      <c r="F139">
        <v>6729.4</v>
      </c>
      <c r="G139">
        <v>4861.7</v>
      </c>
      <c r="H139">
        <v>295667.7</v>
      </c>
      <c r="I139">
        <f t="shared" si="5"/>
        <v>0.12283519640461237</v>
      </c>
    </row>
    <row r="140" spans="1:9" x14ac:dyDescent="0.35">
      <c r="A140" t="s">
        <v>114</v>
      </c>
      <c r="B140">
        <v>2003</v>
      </c>
      <c r="C140">
        <v>12188.5</v>
      </c>
      <c r="D140">
        <v>19090.900000000001</v>
      </c>
      <c r="E140">
        <v>1785.2</v>
      </c>
      <c r="F140">
        <v>7396.5</v>
      </c>
      <c r="G140">
        <v>5403.5</v>
      </c>
      <c r="H140">
        <v>297848.59999999998</v>
      </c>
      <c r="I140">
        <f t="shared" si="5"/>
        <v>0.11770275233793277</v>
      </c>
    </row>
    <row r="141" spans="1:9" x14ac:dyDescent="0.35">
      <c r="A141" t="s">
        <v>114</v>
      </c>
      <c r="B141">
        <v>2004</v>
      </c>
      <c r="C141">
        <v>13790.2</v>
      </c>
      <c r="D141">
        <v>18144.7</v>
      </c>
      <c r="E141">
        <v>1939.1</v>
      </c>
      <c r="F141">
        <v>6459.1</v>
      </c>
      <c r="G141">
        <v>4395</v>
      </c>
      <c r="H141">
        <v>311288.40000000002</v>
      </c>
      <c r="I141">
        <f t="shared" si="5"/>
        <v>0.11544953168829933</v>
      </c>
    </row>
    <row r="142" spans="1:9" x14ac:dyDescent="0.35">
      <c r="A142" t="s">
        <v>114</v>
      </c>
      <c r="B142">
        <v>2005</v>
      </c>
      <c r="C142">
        <v>14574.4</v>
      </c>
      <c r="D142">
        <v>18591.8</v>
      </c>
      <c r="E142">
        <v>2421.4</v>
      </c>
      <c r="F142">
        <v>6782.8</v>
      </c>
      <c r="G142">
        <v>4694.2</v>
      </c>
      <c r="H142">
        <v>324900.7</v>
      </c>
      <c r="I142">
        <f t="shared" si="5"/>
        <v>0.11596220014299755</v>
      </c>
    </row>
    <row r="143" spans="1:9" x14ac:dyDescent="0.35">
      <c r="A143" t="s">
        <v>114</v>
      </c>
      <c r="B143">
        <v>2006</v>
      </c>
      <c r="C143">
        <v>13499.2</v>
      </c>
      <c r="D143">
        <v>19057.2</v>
      </c>
      <c r="E143">
        <v>2373.6999999999998</v>
      </c>
      <c r="F143">
        <v>6760.6</v>
      </c>
      <c r="G143">
        <v>4632.3999999999996</v>
      </c>
      <c r="H143">
        <v>341988.4</v>
      </c>
      <c r="I143">
        <f t="shared" si="5"/>
        <v>0.10836127775094125</v>
      </c>
    </row>
    <row r="144" spans="1:9" x14ac:dyDescent="0.35">
      <c r="A144" t="s">
        <v>114</v>
      </c>
      <c r="B144">
        <v>2007</v>
      </c>
      <c r="C144">
        <v>13967.5</v>
      </c>
      <c r="D144">
        <v>20015</v>
      </c>
      <c r="E144">
        <v>2278.8000000000002</v>
      </c>
      <c r="F144">
        <v>7594.4</v>
      </c>
      <c r="G144">
        <v>5222.3</v>
      </c>
      <c r="H144">
        <v>356687.6</v>
      </c>
      <c r="I144">
        <f t="shared" si="5"/>
        <v>0.10831158694611195</v>
      </c>
    </row>
    <row r="145" spans="1:9" x14ac:dyDescent="0.35">
      <c r="A145" t="s">
        <v>114</v>
      </c>
      <c r="B145">
        <v>2008</v>
      </c>
      <c r="C145">
        <v>13209.2</v>
      </c>
      <c r="D145">
        <v>19877.7</v>
      </c>
      <c r="E145">
        <v>1909.9</v>
      </c>
      <c r="F145">
        <v>7504.2</v>
      </c>
      <c r="G145">
        <v>4971.8999999999996</v>
      </c>
      <c r="H145">
        <v>354419.4</v>
      </c>
      <c r="I145">
        <f t="shared" si="5"/>
        <v>0.10588895528856489</v>
      </c>
    </row>
    <row r="146" spans="1:9" x14ac:dyDescent="0.35">
      <c r="A146" t="s">
        <v>114</v>
      </c>
      <c r="B146">
        <v>2009</v>
      </c>
      <c r="C146">
        <v>11088.7</v>
      </c>
      <c r="D146">
        <v>19211.2</v>
      </c>
      <c r="E146">
        <v>1515.2</v>
      </c>
      <c r="F146">
        <v>7071.5</v>
      </c>
      <c r="G146">
        <v>4417.3</v>
      </c>
      <c r="H146">
        <v>321826.5</v>
      </c>
      <c r="I146">
        <f t="shared" si="5"/>
        <v>0.10710522595249304</v>
      </c>
    </row>
    <row r="147" spans="1:9" x14ac:dyDescent="0.35">
      <c r="A147" t="s">
        <v>114</v>
      </c>
      <c r="B147">
        <v>2010</v>
      </c>
      <c r="C147">
        <v>13344.3</v>
      </c>
      <c r="D147">
        <v>19721.900000000001</v>
      </c>
      <c r="E147">
        <v>1988.3</v>
      </c>
      <c r="F147">
        <v>7568.8</v>
      </c>
      <c r="G147">
        <v>4839.5</v>
      </c>
      <c r="H147">
        <v>327450.40000000002</v>
      </c>
      <c r="I147">
        <f t="shared" si="5"/>
        <v>0.1153878572144056</v>
      </c>
    </row>
    <row r="148" spans="1:9" x14ac:dyDescent="0.35">
      <c r="A148" t="s">
        <v>114</v>
      </c>
      <c r="B148">
        <v>2011</v>
      </c>
      <c r="C148">
        <v>13490.8</v>
      </c>
      <c r="D148">
        <v>19015.5</v>
      </c>
      <c r="E148">
        <v>2136.4</v>
      </c>
      <c r="F148">
        <v>7303.5</v>
      </c>
      <c r="G148">
        <v>4703.5</v>
      </c>
      <c r="H148">
        <v>329961.7</v>
      </c>
      <c r="I148">
        <f t="shared" si="5"/>
        <v>0.11286976640016097</v>
      </c>
    </row>
    <row r="149" spans="1:9" x14ac:dyDescent="0.35">
      <c r="A149" t="s">
        <v>114</v>
      </c>
      <c r="B149">
        <v>2012</v>
      </c>
      <c r="C149">
        <v>13053.9</v>
      </c>
      <c r="D149">
        <v>20104.5</v>
      </c>
      <c r="E149">
        <v>1964.6</v>
      </c>
      <c r="F149">
        <v>8473</v>
      </c>
      <c r="G149">
        <v>5946.1</v>
      </c>
      <c r="H149">
        <v>301798.7</v>
      </c>
      <c r="I149">
        <f t="shared" si="5"/>
        <v>0.12475169707490456</v>
      </c>
    </row>
    <row r="150" spans="1:9" x14ac:dyDescent="0.35">
      <c r="A150" t="s">
        <v>114</v>
      </c>
      <c r="B150">
        <v>2013</v>
      </c>
      <c r="C150">
        <v>12281.2</v>
      </c>
      <c r="D150">
        <v>20913</v>
      </c>
      <c r="E150">
        <v>1418.9</v>
      </c>
      <c r="F150">
        <v>8567.7000000000007</v>
      </c>
      <c r="G150">
        <v>6151.9</v>
      </c>
      <c r="H150">
        <v>280671</v>
      </c>
      <c r="I150">
        <f t="shared" si="5"/>
        <v>0.13192991082085431</v>
      </c>
    </row>
    <row r="151" spans="1:9" x14ac:dyDescent="0.35">
      <c r="A151" t="s">
        <v>114</v>
      </c>
      <c r="B151">
        <v>2014</v>
      </c>
      <c r="C151">
        <v>12138.2</v>
      </c>
      <c r="D151">
        <v>22853.200000000001</v>
      </c>
      <c r="E151">
        <v>2256.5</v>
      </c>
      <c r="F151">
        <v>8568.4</v>
      </c>
      <c r="G151">
        <v>6487.5</v>
      </c>
      <c r="H151">
        <v>275476.2</v>
      </c>
      <c r="I151">
        <f t="shared" si="5"/>
        <v>0.14276659834860508</v>
      </c>
    </row>
    <row r="152" spans="1:9" x14ac:dyDescent="0.35">
      <c r="A152" t="s">
        <v>114</v>
      </c>
      <c r="B152">
        <v>2015</v>
      </c>
      <c r="C152">
        <v>13565.8</v>
      </c>
      <c r="D152">
        <v>23990.2</v>
      </c>
      <c r="E152">
        <v>2190.6</v>
      </c>
      <c r="F152">
        <v>10367.200000000001</v>
      </c>
      <c r="G152">
        <v>7933.1</v>
      </c>
      <c r="H152">
        <v>284103.09999999998</v>
      </c>
      <c r="I152">
        <f t="shared" si="5"/>
        <v>0.14846969286853964</v>
      </c>
    </row>
    <row r="153" spans="1:9" x14ac:dyDescent="0.35">
      <c r="A153" t="s">
        <v>114</v>
      </c>
      <c r="B153">
        <v>2016</v>
      </c>
      <c r="C153">
        <v>13668.1</v>
      </c>
      <c r="D153">
        <v>25006.3</v>
      </c>
      <c r="E153">
        <v>2980.3</v>
      </c>
      <c r="F153">
        <v>10395.9</v>
      </c>
      <c r="G153">
        <v>7786.3</v>
      </c>
      <c r="H153">
        <v>294828.79999999999</v>
      </c>
      <c r="I153">
        <f t="shared" si="5"/>
        <v>0.15013560412008597</v>
      </c>
    </row>
    <row r="154" spans="1:9" x14ac:dyDescent="0.35">
      <c r="A154" t="s">
        <v>114</v>
      </c>
      <c r="B154">
        <v>2017</v>
      </c>
      <c r="C154">
        <v>14868.3</v>
      </c>
      <c r="D154">
        <v>24893</v>
      </c>
      <c r="E154">
        <v>3462.2</v>
      </c>
      <c r="F154">
        <v>9743.7999999999993</v>
      </c>
      <c r="G154">
        <v>7122.7</v>
      </c>
      <c r="H154">
        <v>306672.5</v>
      </c>
      <c r="I154">
        <f t="shared" si="5"/>
        <v>0.14949041730184481</v>
      </c>
    </row>
    <row r="155" spans="1:9" x14ac:dyDescent="0.35">
      <c r="A155" t="s">
        <v>114</v>
      </c>
      <c r="B155">
        <v>2018</v>
      </c>
      <c r="C155">
        <v>14703.4</v>
      </c>
      <c r="D155">
        <v>25684.799999999999</v>
      </c>
      <c r="E155">
        <v>3409.3</v>
      </c>
      <c r="F155">
        <v>9069.7999999999993</v>
      </c>
      <c r="G155">
        <v>6253.3</v>
      </c>
      <c r="H155">
        <v>319499.8</v>
      </c>
      <c r="I155">
        <f t="shared" si="5"/>
        <v>0.14589680494322688</v>
      </c>
    </row>
    <row r="156" spans="1:9" x14ac:dyDescent="0.35">
      <c r="A156" t="s">
        <v>114</v>
      </c>
      <c r="B156">
        <v>2019</v>
      </c>
      <c r="C156">
        <v>15092</v>
      </c>
      <c r="D156">
        <v>26136.3</v>
      </c>
      <c r="E156">
        <v>4088.3</v>
      </c>
      <c r="F156">
        <v>8680.9</v>
      </c>
      <c r="G156">
        <v>5791.6</v>
      </c>
      <c r="H156">
        <v>327062.5</v>
      </c>
      <c r="I156">
        <f t="shared" si="5"/>
        <v>0.14739048347028474</v>
      </c>
    </row>
    <row r="157" spans="1:9" x14ac:dyDescent="0.35">
      <c r="A157" t="s">
        <v>114</v>
      </c>
      <c r="B157">
        <v>2020</v>
      </c>
      <c r="C157">
        <v>14314.5</v>
      </c>
      <c r="D157">
        <v>26695.4</v>
      </c>
      <c r="E157">
        <v>3580.3</v>
      </c>
      <c r="F157">
        <v>10416.200000000001</v>
      </c>
      <c r="G157">
        <v>7664</v>
      </c>
      <c r="H157">
        <v>303972.5</v>
      </c>
      <c r="I157">
        <f t="shared" si="5"/>
        <v>0.15574566778244744</v>
      </c>
    </row>
    <row r="158" spans="1:9" x14ac:dyDescent="0.35">
      <c r="A158" t="s">
        <v>114</v>
      </c>
      <c r="B158">
        <v>2021</v>
      </c>
      <c r="C158">
        <v>15291.6</v>
      </c>
      <c r="D158">
        <v>28303.5</v>
      </c>
      <c r="E158">
        <v>2634.9</v>
      </c>
      <c r="F158">
        <v>9741.2000000000007</v>
      </c>
      <c r="G158">
        <v>7040.2</v>
      </c>
      <c r="H158">
        <v>382698.4</v>
      </c>
      <c r="I158">
        <f t="shared" si="5"/>
        <v>0.12785786405169186</v>
      </c>
    </row>
    <row r="159" spans="1:9" x14ac:dyDescent="0.35">
      <c r="A159" t="s">
        <v>114</v>
      </c>
      <c r="B159">
        <v>2022</v>
      </c>
      <c r="C159">
        <v>15976.3</v>
      </c>
      <c r="D159">
        <v>30594.1</v>
      </c>
      <c r="E159">
        <v>3552.9</v>
      </c>
      <c r="F159">
        <v>10827.7</v>
      </c>
      <c r="G159">
        <v>7726.4</v>
      </c>
      <c r="H159">
        <v>435095</v>
      </c>
      <c r="I159">
        <f t="shared" si="5"/>
        <v>0.12232868683850653</v>
      </c>
    </row>
    <row r="160" spans="1:9" x14ac:dyDescent="0.35">
      <c r="A160" t="s">
        <v>114</v>
      </c>
      <c r="B160">
        <v>2023</v>
      </c>
      <c r="C160">
        <v>16433.2</v>
      </c>
      <c r="D160">
        <v>29966</v>
      </c>
      <c r="E160">
        <v>2411.9</v>
      </c>
      <c r="F160">
        <v>9742.2000000000007</v>
      </c>
      <c r="G160">
        <v>6568.3</v>
      </c>
      <c r="H160">
        <v>485410.2</v>
      </c>
      <c r="I160">
        <f t="shared" si="5"/>
        <v>0.10709498893925179</v>
      </c>
    </row>
    <row r="161" spans="1:19" x14ac:dyDescent="0.35">
      <c r="A161" t="s">
        <v>114</v>
      </c>
      <c r="B161">
        <v>2024</v>
      </c>
      <c r="C161">
        <v>16549.400000000001</v>
      </c>
      <c r="D161">
        <v>32223.1</v>
      </c>
      <c r="E161">
        <v>3870.8</v>
      </c>
      <c r="F161">
        <v>10368.200000000001</v>
      </c>
      <c r="G161">
        <v>7020.8</v>
      </c>
      <c r="H161">
        <v>473721.8</v>
      </c>
      <c r="I161">
        <f t="shared" si="5"/>
        <v>0.1181932096010781</v>
      </c>
    </row>
    <row r="162" spans="1:19" x14ac:dyDescent="0.35">
      <c r="A162" t="s">
        <v>114</v>
      </c>
      <c r="B162">
        <v>2025</v>
      </c>
      <c r="C162">
        <v>17031.900000000001</v>
      </c>
      <c r="D162">
        <v>33444.6</v>
      </c>
      <c r="E162">
        <v>4233.6000000000004</v>
      </c>
      <c r="F162">
        <v>10625.2</v>
      </c>
      <c r="G162">
        <v>7121.4</v>
      </c>
      <c r="H162">
        <v>493039</v>
      </c>
      <c r="I162">
        <f t="shared" si="5"/>
        <v>0.11807159271376098</v>
      </c>
    </row>
    <row r="165" spans="1:19" x14ac:dyDescent="0.35">
      <c r="A165" t="s">
        <v>115</v>
      </c>
      <c r="B165">
        <v>2000</v>
      </c>
      <c r="C165">
        <v>4661</v>
      </c>
      <c r="D165">
        <v>8716</v>
      </c>
      <c r="E165">
        <v>1907</v>
      </c>
      <c r="F165">
        <v>1366</v>
      </c>
      <c r="G165">
        <v>992</v>
      </c>
      <c r="H165">
        <v>101869</v>
      </c>
      <c r="I165">
        <f t="shared" ref="I165:I188" si="6">(C165+D165+E165+F165-G165)/H165</f>
        <v>0.15370721220390896</v>
      </c>
      <c r="S165">
        <f>D165-G165</f>
        <v>7724</v>
      </c>
    </row>
    <row r="166" spans="1:19" x14ac:dyDescent="0.35">
      <c r="A166" t="s">
        <v>115</v>
      </c>
      <c r="B166">
        <v>2001</v>
      </c>
      <c r="C166">
        <v>4681</v>
      </c>
      <c r="D166">
        <v>9131</v>
      </c>
      <c r="E166">
        <v>1658</v>
      </c>
      <c r="F166">
        <v>1445</v>
      </c>
      <c r="G166">
        <v>999</v>
      </c>
      <c r="H166">
        <v>106692</v>
      </c>
      <c r="I166">
        <f t="shared" si="6"/>
        <v>0.14917707044576914</v>
      </c>
      <c r="S166">
        <f t="shared" ref="S166:S189" si="7">D166-G166</f>
        <v>8132</v>
      </c>
    </row>
    <row r="167" spans="1:19" x14ac:dyDescent="0.35">
      <c r="A167" t="s">
        <v>115</v>
      </c>
      <c r="B167">
        <v>2002</v>
      </c>
      <c r="C167">
        <v>4270</v>
      </c>
      <c r="D167">
        <v>9044</v>
      </c>
      <c r="E167">
        <v>894</v>
      </c>
      <c r="F167">
        <v>1418</v>
      </c>
      <c r="G167">
        <v>982</v>
      </c>
      <c r="H167">
        <v>105682</v>
      </c>
      <c r="I167">
        <f t="shared" si="6"/>
        <v>0.13856664332620502</v>
      </c>
      <c r="S167">
        <f t="shared" si="7"/>
        <v>8062</v>
      </c>
    </row>
    <row r="168" spans="1:19" x14ac:dyDescent="0.35">
      <c r="A168" t="s">
        <v>115</v>
      </c>
      <c r="B168">
        <v>2003</v>
      </c>
      <c r="C168">
        <v>4486</v>
      </c>
      <c r="D168">
        <v>9023</v>
      </c>
      <c r="E168">
        <v>689</v>
      </c>
      <c r="F168">
        <v>1362</v>
      </c>
      <c r="G168">
        <v>938</v>
      </c>
      <c r="H168">
        <v>105638</v>
      </c>
      <c r="I168">
        <f t="shared" si="6"/>
        <v>0.13841610026694939</v>
      </c>
      <c r="S168">
        <f t="shared" si="7"/>
        <v>8085</v>
      </c>
    </row>
    <row r="169" spans="1:19" x14ac:dyDescent="0.35">
      <c r="A169" t="s">
        <v>115</v>
      </c>
      <c r="B169">
        <v>2004</v>
      </c>
      <c r="C169">
        <v>4437</v>
      </c>
      <c r="D169">
        <v>10000</v>
      </c>
      <c r="E169">
        <v>823</v>
      </c>
      <c r="F169">
        <v>1537</v>
      </c>
      <c r="G169">
        <v>1061</v>
      </c>
      <c r="H169">
        <v>107266</v>
      </c>
      <c r="I169">
        <f t="shared" si="6"/>
        <v>0.1467007252997222</v>
      </c>
      <c r="S169">
        <f t="shared" si="7"/>
        <v>8939</v>
      </c>
    </row>
    <row r="170" spans="1:19" x14ac:dyDescent="0.35">
      <c r="A170" t="s">
        <v>115</v>
      </c>
      <c r="B170">
        <v>2005</v>
      </c>
      <c r="C170">
        <v>4576</v>
      </c>
      <c r="D170">
        <v>11140</v>
      </c>
      <c r="E170">
        <v>1051</v>
      </c>
      <c r="F170">
        <v>1688</v>
      </c>
      <c r="G170">
        <v>1223</v>
      </c>
      <c r="H170">
        <v>112352</v>
      </c>
      <c r="I170">
        <f t="shared" si="6"/>
        <v>0.15337510680717745</v>
      </c>
      <c r="S170">
        <f t="shared" si="7"/>
        <v>9917</v>
      </c>
    </row>
    <row r="171" spans="1:19" x14ac:dyDescent="0.35">
      <c r="A171" t="s">
        <v>115</v>
      </c>
      <c r="B171">
        <v>2006</v>
      </c>
      <c r="C171">
        <v>4677</v>
      </c>
      <c r="D171">
        <v>12514</v>
      </c>
      <c r="E171">
        <v>1135</v>
      </c>
      <c r="F171">
        <v>1877</v>
      </c>
      <c r="G171">
        <v>1329</v>
      </c>
      <c r="H171">
        <v>122832</v>
      </c>
      <c r="I171">
        <f t="shared" si="6"/>
        <v>0.15365702748469454</v>
      </c>
      <c r="S171">
        <f t="shared" si="7"/>
        <v>11185</v>
      </c>
    </row>
    <row r="172" spans="1:19" x14ac:dyDescent="0.35">
      <c r="A172" t="s">
        <v>115</v>
      </c>
      <c r="B172">
        <v>2007</v>
      </c>
      <c r="C172">
        <v>5099</v>
      </c>
      <c r="D172">
        <v>15793</v>
      </c>
      <c r="E172">
        <v>1727</v>
      </c>
      <c r="F172">
        <v>2132</v>
      </c>
      <c r="G172">
        <v>1633</v>
      </c>
      <c r="H172">
        <v>143885</v>
      </c>
      <c r="I172">
        <f t="shared" si="6"/>
        <v>0.16066997949751538</v>
      </c>
      <c r="S172">
        <f t="shared" si="7"/>
        <v>14160</v>
      </c>
    </row>
    <row r="173" spans="1:19" x14ac:dyDescent="0.35">
      <c r="A173" t="s">
        <v>115</v>
      </c>
      <c r="B173">
        <v>2008</v>
      </c>
      <c r="C173">
        <v>5098</v>
      </c>
      <c r="D173">
        <v>14809</v>
      </c>
      <c r="E173">
        <v>1246</v>
      </c>
      <c r="F173">
        <v>2229</v>
      </c>
      <c r="G173">
        <v>1668</v>
      </c>
      <c r="H173">
        <v>142837</v>
      </c>
      <c r="I173">
        <f t="shared" si="6"/>
        <v>0.15201943474029839</v>
      </c>
      <c r="S173">
        <f t="shared" si="7"/>
        <v>13141</v>
      </c>
    </row>
    <row r="174" spans="1:19" x14ac:dyDescent="0.35">
      <c r="A174" t="s">
        <v>115</v>
      </c>
      <c r="B174">
        <v>2009</v>
      </c>
      <c r="C174">
        <v>4989</v>
      </c>
      <c r="D174">
        <v>14435</v>
      </c>
      <c r="E174">
        <v>1071</v>
      </c>
      <c r="F174">
        <v>2217</v>
      </c>
      <c r="G174">
        <v>1680</v>
      </c>
      <c r="H174">
        <v>132856</v>
      </c>
      <c r="I174">
        <f t="shared" si="6"/>
        <v>0.15830673812247847</v>
      </c>
      <c r="S174">
        <f t="shared" si="7"/>
        <v>12755</v>
      </c>
    </row>
    <row r="175" spans="1:19" x14ac:dyDescent="0.35">
      <c r="A175" t="s">
        <v>115</v>
      </c>
      <c r="B175">
        <v>2010</v>
      </c>
      <c r="C175">
        <v>4806</v>
      </c>
      <c r="D175">
        <v>15779</v>
      </c>
      <c r="E175">
        <v>1023</v>
      </c>
      <c r="F175">
        <v>2329</v>
      </c>
      <c r="G175">
        <v>1735</v>
      </c>
      <c r="H175">
        <v>125004</v>
      </c>
      <c r="I175">
        <f t="shared" si="6"/>
        <v>0.17761031646987296</v>
      </c>
      <c r="S175">
        <f t="shared" si="7"/>
        <v>14044</v>
      </c>
    </row>
    <row r="176" spans="1:19" x14ac:dyDescent="0.35">
      <c r="A176" t="s">
        <v>115</v>
      </c>
      <c r="B176">
        <v>2011</v>
      </c>
      <c r="C176">
        <v>5270</v>
      </c>
      <c r="D176">
        <v>15387</v>
      </c>
      <c r="E176">
        <v>1109</v>
      </c>
      <c r="F176">
        <v>2310</v>
      </c>
      <c r="G176">
        <v>1639</v>
      </c>
      <c r="H176">
        <v>130753</v>
      </c>
      <c r="I176">
        <f t="shared" si="6"/>
        <v>0.1715983572078652</v>
      </c>
      <c r="S176">
        <f t="shared" si="7"/>
        <v>13748</v>
      </c>
    </row>
    <row r="177" spans="1:19" x14ac:dyDescent="0.35">
      <c r="A177" t="s">
        <v>115</v>
      </c>
      <c r="B177">
        <v>2012</v>
      </c>
      <c r="C177">
        <v>5278</v>
      </c>
      <c r="D177">
        <v>15482</v>
      </c>
      <c r="E177">
        <v>1363</v>
      </c>
      <c r="F177">
        <v>2351</v>
      </c>
      <c r="G177">
        <v>1629</v>
      </c>
      <c r="H177">
        <v>122368</v>
      </c>
      <c r="I177">
        <f t="shared" si="6"/>
        <v>0.18669096495815898</v>
      </c>
      <c r="S177">
        <f t="shared" si="7"/>
        <v>13853</v>
      </c>
    </row>
    <row r="178" spans="1:19" x14ac:dyDescent="0.35">
      <c r="A178" t="s">
        <v>115</v>
      </c>
      <c r="B178">
        <v>2013</v>
      </c>
      <c r="C178">
        <v>5256</v>
      </c>
      <c r="D178">
        <v>17538</v>
      </c>
      <c r="E178">
        <v>1758</v>
      </c>
      <c r="F178">
        <v>2370</v>
      </c>
      <c r="G178">
        <v>1575</v>
      </c>
      <c r="H178">
        <v>121128</v>
      </c>
      <c r="I178">
        <f t="shared" si="6"/>
        <v>0.20925797503467405</v>
      </c>
      <c r="S178">
        <f t="shared" si="7"/>
        <v>15963</v>
      </c>
    </row>
    <row r="179" spans="1:19" x14ac:dyDescent="0.35">
      <c r="A179" t="s">
        <v>115</v>
      </c>
      <c r="B179">
        <v>2014</v>
      </c>
      <c r="C179">
        <v>5253</v>
      </c>
      <c r="D179">
        <v>16193</v>
      </c>
      <c r="E179">
        <v>1772</v>
      </c>
      <c r="F179">
        <v>2583</v>
      </c>
      <c r="G179">
        <v>1725</v>
      </c>
      <c r="H179">
        <v>118012</v>
      </c>
      <c r="I179">
        <f t="shared" si="6"/>
        <v>0.20401315120496222</v>
      </c>
      <c r="S179">
        <f t="shared" si="7"/>
        <v>14468</v>
      </c>
    </row>
    <row r="180" spans="1:19" x14ac:dyDescent="0.35">
      <c r="A180" t="s">
        <v>115</v>
      </c>
      <c r="B180">
        <v>2015</v>
      </c>
      <c r="C180">
        <v>5247</v>
      </c>
      <c r="D180">
        <v>22764</v>
      </c>
      <c r="E180">
        <v>1465</v>
      </c>
      <c r="F180">
        <v>2943</v>
      </c>
      <c r="G180">
        <v>1949</v>
      </c>
      <c r="H180">
        <v>152468</v>
      </c>
      <c r="I180">
        <f t="shared" si="6"/>
        <v>0.19984521342183278</v>
      </c>
      <c r="S180">
        <f t="shared" si="7"/>
        <v>20815</v>
      </c>
    </row>
    <row r="181" spans="1:19" x14ac:dyDescent="0.35">
      <c r="A181" t="s">
        <v>115</v>
      </c>
      <c r="B181">
        <v>2016</v>
      </c>
      <c r="C181">
        <v>5019</v>
      </c>
      <c r="D181">
        <v>18271</v>
      </c>
      <c r="E181">
        <v>2114</v>
      </c>
      <c r="F181">
        <v>3069</v>
      </c>
      <c r="G181">
        <v>1988</v>
      </c>
      <c r="H181">
        <v>138952</v>
      </c>
      <c r="I181">
        <f t="shared" si="6"/>
        <v>0.19060538891127871</v>
      </c>
      <c r="S181">
        <f t="shared" si="7"/>
        <v>16283</v>
      </c>
    </row>
    <row r="182" spans="1:19" x14ac:dyDescent="0.35">
      <c r="A182" t="s">
        <v>115</v>
      </c>
      <c r="B182">
        <v>2017</v>
      </c>
      <c r="C182">
        <v>5159</v>
      </c>
      <c r="D182">
        <v>18567</v>
      </c>
      <c r="E182">
        <v>1893</v>
      </c>
      <c r="F182">
        <v>3287</v>
      </c>
      <c r="G182">
        <v>1952</v>
      </c>
      <c r="H182">
        <v>148357</v>
      </c>
      <c r="I182">
        <f t="shared" si="6"/>
        <v>0.18168337186651118</v>
      </c>
      <c r="S182">
        <f t="shared" si="7"/>
        <v>16615</v>
      </c>
    </row>
    <row r="183" spans="1:19" x14ac:dyDescent="0.35">
      <c r="A183" t="s">
        <v>115</v>
      </c>
      <c r="B183">
        <v>2018</v>
      </c>
      <c r="C183">
        <v>5339</v>
      </c>
      <c r="D183">
        <v>18997</v>
      </c>
      <c r="E183">
        <v>1670</v>
      </c>
      <c r="F183">
        <v>3332</v>
      </c>
      <c r="G183">
        <v>1967</v>
      </c>
      <c r="H183">
        <v>157069</v>
      </c>
      <c r="I183">
        <f t="shared" si="6"/>
        <v>0.17426099357607167</v>
      </c>
      <c r="S183">
        <f t="shared" si="7"/>
        <v>17030</v>
      </c>
    </row>
    <row r="184" spans="1:19" x14ac:dyDescent="0.35">
      <c r="A184" t="s">
        <v>115</v>
      </c>
      <c r="B184">
        <v>2019</v>
      </c>
      <c r="C184">
        <v>6464</v>
      </c>
      <c r="D184">
        <v>19749</v>
      </c>
      <c r="E184">
        <v>2299</v>
      </c>
      <c r="F184">
        <v>3552</v>
      </c>
      <c r="G184">
        <v>2028</v>
      </c>
      <c r="H184">
        <v>173484</v>
      </c>
      <c r="I184">
        <f t="shared" si="6"/>
        <v>0.17313412187867469</v>
      </c>
      <c r="S184">
        <f t="shared" si="7"/>
        <v>17721</v>
      </c>
    </row>
    <row r="185" spans="1:19" x14ac:dyDescent="0.35">
      <c r="A185" t="s">
        <v>115</v>
      </c>
      <c r="B185">
        <v>2020</v>
      </c>
      <c r="C185">
        <v>6747</v>
      </c>
      <c r="D185">
        <v>19869</v>
      </c>
      <c r="E185">
        <v>3223</v>
      </c>
      <c r="F185">
        <v>3482</v>
      </c>
      <c r="G185">
        <v>1997</v>
      </c>
      <c r="H185">
        <v>173694</v>
      </c>
      <c r="I185">
        <f t="shared" si="6"/>
        <v>0.18034013840432025</v>
      </c>
      <c r="S185">
        <f t="shared" si="7"/>
        <v>17872</v>
      </c>
    </row>
    <row r="186" spans="1:19" x14ac:dyDescent="0.35">
      <c r="A186" t="s">
        <v>115</v>
      </c>
      <c r="B186">
        <v>2021</v>
      </c>
      <c r="C186">
        <v>6745</v>
      </c>
      <c r="D186">
        <v>20361</v>
      </c>
      <c r="E186">
        <v>2797</v>
      </c>
      <c r="F186">
        <v>3560</v>
      </c>
      <c r="G186">
        <v>1999</v>
      </c>
      <c r="H186">
        <v>184425</v>
      </c>
      <c r="I186">
        <f t="shared" si="6"/>
        <v>0.17060593737291582</v>
      </c>
      <c r="S186">
        <f t="shared" si="7"/>
        <v>18362</v>
      </c>
    </row>
    <row r="187" spans="1:19" x14ac:dyDescent="0.35">
      <c r="A187" t="s">
        <v>115</v>
      </c>
      <c r="B187">
        <v>2022</v>
      </c>
      <c r="C187">
        <v>7787</v>
      </c>
      <c r="D187">
        <v>22352</v>
      </c>
      <c r="E187">
        <v>3173</v>
      </c>
      <c r="F187">
        <v>3806</v>
      </c>
      <c r="G187">
        <v>2049</v>
      </c>
      <c r="H187">
        <v>203422</v>
      </c>
      <c r="I187">
        <f t="shared" si="6"/>
        <v>0.1723953161408304</v>
      </c>
      <c r="S187">
        <f t="shared" si="7"/>
        <v>20303</v>
      </c>
    </row>
    <row r="188" spans="1:19" x14ac:dyDescent="0.35">
      <c r="A188" t="s">
        <v>115</v>
      </c>
      <c r="B188">
        <v>2023</v>
      </c>
      <c r="C188">
        <v>7873</v>
      </c>
      <c r="D188">
        <v>23874</v>
      </c>
      <c r="E188">
        <v>2444</v>
      </c>
      <c r="F188">
        <v>4012</v>
      </c>
      <c r="G188">
        <v>2189</v>
      </c>
      <c r="H188">
        <v>213665</v>
      </c>
      <c r="I188">
        <f t="shared" si="6"/>
        <v>0.16855357686097394</v>
      </c>
      <c r="S188">
        <f t="shared" si="7"/>
        <v>21685</v>
      </c>
    </row>
    <row r="189" spans="1:19" x14ac:dyDescent="0.35">
      <c r="A189" t="s">
        <v>115</v>
      </c>
      <c r="B189">
        <v>2024</v>
      </c>
      <c r="C189">
        <v>8359</v>
      </c>
      <c r="D189">
        <v>24651</v>
      </c>
      <c r="E189">
        <v>2491</v>
      </c>
      <c r="F189">
        <v>4258</v>
      </c>
      <c r="G189">
        <v>2285</v>
      </c>
      <c r="H189">
        <v>222797</v>
      </c>
      <c r="I189">
        <f>(C189+D189+E189+F189-G189)/H189</f>
        <v>0.16819795598684004</v>
      </c>
      <c r="S189">
        <f t="shared" si="7"/>
        <v>22366</v>
      </c>
    </row>
    <row r="192" spans="1:19" x14ac:dyDescent="0.35">
      <c r="A192" t="s">
        <v>155</v>
      </c>
      <c r="B192">
        <v>2000</v>
      </c>
      <c r="C192">
        <v>915</v>
      </c>
      <c r="D192">
        <v>1434</v>
      </c>
      <c r="E192">
        <v>512</v>
      </c>
      <c r="F192">
        <v>636</v>
      </c>
      <c r="G192">
        <v>287</v>
      </c>
      <c r="H192">
        <v>31460</v>
      </c>
      <c r="I192">
        <f t="shared" ref="I192:I217" si="8">(C192+D192+E192+F192-G192)/H192</f>
        <v>0.10203432930705658</v>
      </c>
    </row>
    <row r="193" spans="1:9" x14ac:dyDescent="0.35">
      <c r="A193" t="s">
        <v>155</v>
      </c>
      <c r="B193">
        <v>2001</v>
      </c>
      <c r="C193">
        <v>689</v>
      </c>
      <c r="D193">
        <v>1646</v>
      </c>
      <c r="E193">
        <v>523</v>
      </c>
      <c r="F193">
        <v>688</v>
      </c>
      <c r="G193">
        <v>319</v>
      </c>
      <c r="H193">
        <v>33084</v>
      </c>
      <c r="I193">
        <f t="shared" si="8"/>
        <v>9.7539596179422081E-2</v>
      </c>
    </row>
    <row r="194" spans="1:9" x14ac:dyDescent="0.35">
      <c r="A194" t="s">
        <v>155</v>
      </c>
      <c r="B194">
        <v>2002</v>
      </c>
      <c r="C194">
        <v>542</v>
      </c>
      <c r="D194">
        <v>1542</v>
      </c>
      <c r="E194">
        <v>421</v>
      </c>
      <c r="F194">
        <v>763</v>
      </c>
      <c r="G194">
        <v>295</v>
      </c>
      <c r="H194">
        <v>32076</v>
      </c>
      <c r="I194">
        <f t="shared" si="8"/>
        <v>9.2686120463898236E-2</v>
      </c>
    </row>
    <row r="195" spans="1:9" x14ac:dyDescent="0.35">
      <c r="A195" t="s">
        <v>155</v>
      </c>
      <c r="B195">
        <v>2003</v>
      </c>
      <c r="C195">
        <v>781</v>
      </c>
      <c r="D195">
        <v>1913</v>
      </c>
      <c r="E195">
        <v>334</v>
      </c>
      <c r="F195">
        <v>827</v>
      </c>
      <c r="G195">
        <v>379</v>
      </c>
      <c r="H195">
        <v>33056</v>
      </c>
      <c r="I195">
        <f t="shared" si="8"/>
        <v>0.10515488867376573</v>
      </c>
    </row>
    <row r="196" spans="1:9" x14ac:dyDescent="0.35">
      <c r="A196" t="s">
        <v>155</v>
      </c>
      <c r="B196">
        <v>2004</v>
      </c>
      <c r="C196">
        <v>919</v>
      </c>
      <c r="D196">
        <v>1871</v>
      </c>
      <c r="E196">
        <v>113</v>
      </c>
      <c r="F196">
        <v>715</v>
      </c>
      <c r="G196">
        <v>307</v>
      </c>
      <c r="H196">
        <v>35336</v>
      </c>
      <c r="I196">
        <f t="shared" si="8"/>
        <v>9.3700475435816166E-2</v>
      </c>
    </row>
    <row r="197" spans="1:9" x14ac:dyDescent="0.35">
      <c r="A197" t="s">
        <v>155</v>
      </c>
      <c r="B197">
        <v>2005</v>
      </c>
      <c r="C197">
        <v>897</v>
      </c>
      <c r="D197">
        <v>2153</v>
      </c>
      <c r="E197">
        <v>98</v>
      </c>
      <c r="F197">
        <v>888</v>
      </c>
      <c r="G197">
        <v>420</v>
      </c>
      <c r="H197">
        <v>37743</v>
      </c>
      <c r="I197">
        <f t="shared" si="8"/>
        <v>9.5805844792411832E-2</v>
      </c>
    </row>
    <row r="198" spans="1:9" x14ac:dyDescent="0.35">
      <c r="A198" t="s">
        <v>155</v>
      </c>
      <c r="B198">
        <v>2006</v>
      </c>
      <c r="C198">
        <v>990</v>
      </c>
      <c r="D198">
        <v>2268</v>
      </c>
      <c r="E198">
        <v>150</v>
      </c>
      <c r="F198">
        <v>824</v>
      </c>
      <c r="G198">
        <v>422</v>
      </c>
      <c r="H198">
        <v>39358</v>
      </c>
      <c r="I198">
        <f t="shared" si="8"/>
        <v>9.6803699374968244E-2</v>
      </c>
    </row>
    <row r="199" spans="1:9" x14ac:dyDescent="0.35">
      <c r="A199" t="s">
        <v>155</v>
      </c>
      <c r="B199">
        <v>2007</v>
      </c>
      <c r="C199">
        <v>1256</v>
      </c>
      <c r="D199">
        <v>2413</v>
      </c>
      <c r="E199">
        <v>149</v>
      </c>
      <c r="F199">
        <v>1084</v>
      </c>
      <c r="G199">
        <v>485</v>
      </c>
      <c r="H199">
        <v>45263</v>
      </c>
      <c r="I199">
        <f t="shared" si="8"/>
        <v>9.7585224134502796E-2</v>
      </c>
    </row>
    <row r="200" spans="1:9" x14ac:dyDescent="0.35">
      <c r="A200" t="s">
        <v>155</v>
      </c>
      <c r="B200">
        <v>2008</v>
      </c>
      <c r="C200">
        <v>1334</v>
      </c>
      <c r="D200">
        <v>2518</v>
      </c>
      <c r="E200">
        <v>155</v>
      </c>
      <c r="F200">
        <v>955</v>
      </c>
      <c r="G200">
        <v>438</v>
      </c>
      <c r="H200">
        <v>47583</v>
      </c>
      <c r="I200">
        <f t="shared" si="8"/>
        <v>9.5075972511190973E-2</v>
      </c>
    </row>
    <row r="201" spans="1:9" x14ac:dyDescent="0.35">
      <c r="A201" t="s">
        <v>155</v>
      </c>
      <c r="B201">
        <v>2009</v>
      </c>
      <c r="C201">
        <v>994</v>
      </c>
      <c r="D201">
        <v>2537</v>
      </c>
      <c r="E201">
        <v>155</v>
      </c>
      <c r="F201">
        <v>920</v>
      </c>
      <c r="G201">
        <v>448</v>
      </c>
      <c r="H201">
        <v>41720</v>
      </c>
      <c r="I201">
        <f t="shared" si="8"/>
        <v>9.966442953020134E-2</v>
      </c>
    </row>
    <row r="202" spans="1:9" x14ac:dyDescent="0.35">
      <c r="A202" t="s">
        <v>155</v>
      </c>
      <c r="B202">
        <v>2010</v>
      </c>
      <c r="C202">
        <v>934</v>
      </c>
      <c r="D202">
        <v>2590</v>
      </c>
      <c r="E202">
        <v>180</v>
      </c>
      <c r="F202">
        <v>972</v>
      </c>
      <c r="G202">
        <v>420</v>
      </c>
      <c r="H202">
        <v>42937</v>
      </c>
      <c r="I202">
        <f t="shared" si="8"/>
        <v>9.9121969397023543E-2</v>
      </c>
    </row>
    <row r="203" spans="1:9" x14ac:dyDescent="0.35">
      <c r="A203" t="s">
        <v>155</v>
      </c>
      <c r="B203">
        <v>2011</v>
      </c>
      <c r="C203">
        <v>1070</v>
      </c>
      <c r="D203">
        <v>2592</v>
      </c>
      <c r="E203">
        <v>189</v>
      </c>
      <c r="F203">
        <v>971</v>
      </c>
      <c r="G203">
        <v>394</v>
      </c>
      <c r="H203">
        <v>45280</v>
      </c>
      <c r="I203">
        <f t="shared" si="8"/>
        <v>9.7791519434628979E-2</v>
      </c>
    </row>
    <row r="204" spans="1:9" x14ac:dyDescent="0.35">
      <c r="A204" t="s">
        <v>155</v>
      </c>
      <c r="B204">
        <v>2012</v>
      </c>
      <c r="C204">
        <v>1086</v>
      </c>
      <c r="D204">
        <v>2607</v>
      </c>
      <c r="E204">
        <v>148</v>
      </c>
      <c r="F204">
        <v>1041</v>
      </c>
      <c r="G204">
        <v>369</v>
      </c>
      <c r="H204">
        <v>46718</v>
      </c>
      <c r="I204">
        <f t="shared" si="8"/>
        <v>9.6600881887067086E-2</v>
      </c>
    </row>
    <row r="205" spans="1:9" x14ac:dyDescent="0.35">
      <c r="A205" t="s">
        <v>155</v>
      </c>
      <c r="B205">
        <v>2013</v>
      </c>
      <c r="C205">
        <v>963</v>
      </c>
      <c r="D205">
        <v>2691</v>
      </c>
      <c r="E205">
        <v>226</v>
      </c>
      <c r="F205">
        <v>1225</v>
      </c>
      <c r="G205">
        <v>463</v>
      </c>
      <c r="H205">
        <v>45444</v>
      </c>
      <c r="I205">
        <f t="shared" si="8"/>
        <v>0.10214769826599771</v>
      </c>
    </row>
    <row r="206" spans="1:9" x14ac:dyDescent="0.35">
      <c r="A206" t="s">
        <v>155</v>
      </c>
      <c r="B206">
        <v>2014</v>
      </c>
      <c r="C206">
        <v>1025</v>
      </c>
      <c r="D206">
        <v>2994</v>
      </c>
      <c r="E206">
        <v>437</v>
      </c>
      <c r="F206">
        <v>1194</v>
      </c>
      <c r="G206">
        <v>509</v>
      </c>
      <c r="H206">
        <v>44705</v>
      </c>
      <c r="I206">
        <f t="shared" si="8"/>
        <v>0.11499832233530925</v>
      </c>
    </row>
    <row r="207" spans="1:9" x14ac:dyDescent="0.35">
      <c r="A207" t="s">
        <v>155</v>
      </c>
      <c r="B207">
        <v>2015</v>
      </c>
      <c r="C207">
        <v>1219</v>
      </c>
      <c r="D207">
        <v>2937</v>
      </c>
      <c r="E207">
        <v>400</v>
      </c>
      <c r="F207">
        <v>1127</v>
      </c>
      <c r="G207">
        <v>536</v>
      </c>
      <c r="H207">
        <v>45023</v>
      </c>
      <c r="I207">
        <f t="shared" si="8"/>
        <v>0.11431934788885681</v>
      </c>
    </row>
    <row r="208" spans="1:9" x14ac:dyDescent="0.35">
      <c r="A208" t="s">
        <v>155</v>
      </c>
      <c r="B208">
        <v>2016</v>
      </c>
      <c r="C208">
        <v>1271</v>
      </c>
      <c r="D208">
        <v>3015</v>
      </c>
      <c r="E208">
        <v>229</v>
      </c>
      <c r="F208">
        <v>1235</v>
      </c>
      <c r="G208">
        <v>568</v>
      </c>
      <c r="H208">
        <v>49728</v>
      </c>
      <c r="I208">
        <f t="shared" si="8"/>
        <v>0.10420688545688546</v>
      </c>
    </row>
    <row r="209" spans="1:9" x14ac:dyDescent="0.35">
      <c r="A209" t="s">
        <v>155</v>
      </c>
      <c r="B209">
        <v>2017</v>
      </c>
      <c r="C209">
        <v>1405</v>
      </c>
      <c r="D209">
        <v>3206</v>
      </c>
      <c r="E209">
        <v>272</v>
      </c>
      <c r="F209">
        <v>1331</v>
      </c>
      <c r="G209">
        <v>561</v>
      </c>
      <c r="H209">
        <v>53231</v>
      </c>
      <c r="I209">
        <f t="shared" si="8"/>
        <v>0.10619751648475513</v>
      </c>
    </row>
    <row r="210" spans="1:9" x14ac:dyDescent="0.35">
      <c r="A210" t="s">
        <v>155</v>
      </c>
      <c r="B210">
        <v>2018</v>
      </c>
      <c r="C210">
        <v>1640</v>
      </c>
      <c r="D210">
        <v>3615</v>
      </c>
      <c r="E210">
        <v>330</v>
      </c>
      <c r="F210">
        <v>1419</v>
      </c>
      <c r="G210">
        <v>735</v>
      </c>
      <c r="H210">
        <v>57033</v>
      </c>
      <c r="I210">
        <f t="shared" si="8"/>
        <v>0.10991881892939176</v>
      </c>
    </row>
    <row r="211" spans="1:9" x14ac:dyDescent="0.35">
      <c r="A211" t="s">
        <v>155</v>
      </c>
      <c r="B211">
        <v>2019</v>
      </c>
      <c r="C211">
        <v>1153</v>
      </c>
      <c r="D211">
        <v>3993</v>
      </c>
      <c r="E211">
        <v>334</v>
      </c>
      <c r="F211">
        <v>1424</v>
      </c>
      <c r="G211">
        <v>751</v>
      </c>
      <c r="H211">
        <v>58248</v>
      </c>
      <c r="I211">
        <f t="shared" si="8"/>
        <v>0.10563452822414504</v>
      </c>
    </row>
    <row r="212" spans="1:9" x14ac:dyDescent="0.35">
      <c r="A212" t="s">
        <v>155</v>
      </c>
      <c r="B212">
        <v>2020</v>
      </c>
      <c r="C212">
        <v>1059</v>
      </c>
      <c r="D212">
        <v>3835</v>
      </c>
      <c r="E212">
        <v>618</v>
      </c>
      <c r="F212">
        <v>1446</v>
      </c>
      <c r="G212">
        <v>700</v>
      </c>
      <c r="H212">
        <v>58284</v>
      </c>
      <c r="I212">
        <f t="shared" si="8"/>
        <v>0.10737080502367717</v>
      </c>
    </row>
    <row r="213" spans="1:9" x14ac:dyDescent="0.35">
      <c r="A213" t="s">
        <v>155</v>
      </c>
      <c r="B213">
        <v>2021</v>
      </c>
      <c r="C213">
        <v>1104</v>
      </c>
      <c r="D213">
        <v>4047</v>
      </c>
      <c r="E213">
        <v>357</v>
      </c>
      <c r="F213">
        <v>1741</v>
      </c>
      <c r="G213">
        <v>820</v>
      </c>
      <c r="H213">
        <v>60750</v>
      </c>
      <c r="I213">
        <f t="shared" si="8"/>
        <v>0.10582716049382716</v>
      </c>
    </row>
    <row r="214" spans="1:9" x14ac:dyDescent="0.35">
      <c r="A214" t="s">
        <v>155</v>
      </c>
      <c r="B214">
        <v>2022</v>
      </c>
      <c r="C214">
        <v>1017</v>
      </c>
      <c r="D214">
        <v>4270</v>
      </c>
      <c r="E214">
        <v>245</v>
      </c>
      <c r="F214">
        <v>1720</v>
      </c>
      <c r="G214">
        <v>726</v>
      </c>
      <c r="H214">
        <v>65640</v>
      </c>
      <c r="I214">
        <f t="shared" si="8"/>
        <v>9.9421084704448506E-2</v>
      </c>
    </row>
    <row r="215" spans="1:9" x14ac:dyDescent="0.35">
      <c r="A215" t="s">
        <v>155</v>
      </c>
      <c r="B215">
        <v>2023</v>
      </c>
      <c r="C215">
        <v>913</v>
      </c>
      <c r="D215">
        <v>4916</v>
      </c>
      <c r="E215">
        <v>275</v>
      </c>
      <c r="F215">
        <v>2144</v>
      </c>
      <c r="G215">
        <v>1014</v>
      </c>
      <c r="H215">
        <v>63879</v>
      </c>
      <c r="I215">
        <f t="shared" si="8"/>
        <v>0.11324535449834844</v>
      </c>
    </row>
    <row r="216" spans="1:9" x14ac:dyDescent="0.35">
      <c r="A216" t="s">
        <v>155</v>
      </c>
      <c r="B216">
        <v>2024</v>
      </c>
      <c r="C216">
        <v>1343</v>
      </c>
      <c r="D216">
        <v>5530</v>
      </c>
      <c r="E216">
        <v>415</v>
      </c>
      <c r="F216">
        <v>2482</v>
      </c>
      <c r="G216">
        <v>1212</v>
      </c>
      <c r="H216">
        <v>60816</v>
      </c>
      <c r="I216">
        <f t="shared" si="8"/>
        <v>0.14071954748750329</v>
      </c>
    </row>
    <row r="217" spans="1:9" x14ac:dyDescent="0.35">
      <c r="A217" t="s">
        <v>155</v>
      </c>
      <c r="B217">
        <v>2025</v>
      </c>
      <c r="C217">
        <v>1494</v>
      </c>
      <c r="D217">
        <v>5032</v>
      </c>
      <c r="E217">
        <v>1150</v>
      </c>
      <c r="F217">
        <v>2490</v>
      </c>
      <c r="G217">
        <v>1193</v>
      </c>
      <c r="H217">
        <v>61739</v>
      </c>
      <c r="I217">
        <f t="shared" si="8"/>
        <v>0.14533763099499505</v>
      </c>
    </row>
    <row r="220" spans="1:9" x14ac:dyDescent="0.35">
      <c r="A220" t="s">
        <v>156</v>
      </c>
      <c r="B220">
        <v>2000</v>
      </c>
      <c r="C220">
        <v>1204.4000000000001</v>
      </c>
      <c r="D220">
        <v>460.3</v>
      </c>
      <c r="E220">
        <v>217.7</v>
      </c>
      <c r="F220">
        <v>470.5</v>
      </c>
      <c r="H220">
        <v>25759</v>
      </c>
      <c r="I220">
        <f t="shared" ref="I220:I244" si="9">(C220+D220+E220+F220-G220)/H220</f>
        <v>9.1342831631662721E-2</v>
      </c>
    </row>
    <row r="221" spans="1:9" x14ac:dyDescent="0.35">
      <c r="A221" t="s">
        <v>156</v>
      </c>
      <c r="B221">
        <v>2001</v>
      </c>
      <c r="C221">
        <v>1088.8</v>
      </c>
      <c r="D221">
        <v>647.9</v>
      </c>
      <c r="E221">
        <v>254.9</v>
      </c>
      <c r="F221">
        <v>936.4</v>
      </c>
      <c r="H221">
        <v>29223.7</v>
      </c>
      <c r="I221">
        <f t="shared" si="9"/>
        <v>0.10019265185448796</v>
      </c>
    </row>
    <row r="222" spans="1:9" x14ac:dyDescent="0.35">
      <c r="A222" t="s">
        <v>156</v>
      </c>
      <c r="B222">
        <v>2002</v>
      </c>
      <c r="C222">
        <v>915.5</v>
      </c>
      <c r="D222">
        <v>571.6</v>
      </c>
      <c r="E222">
        <v>290.2</v>
      </c>
      <c r="F222">
        <v>1263</v>
      </c>
      <c r="H222">
        <v>32086.1</v>
      </c>
      <c r="I222">
        <f t="shared" si="9"/>
        <v>9.4754426371544076E-2</v>
      </c>
    </row>
    <row r="223" spans="1:9" x14ac:dyDescent="0.35">
      <c r="A223" t="s">
        <v>156</v>
      </c>
      <c r="B223">
        <v>2003</v>
      </c>
      <c r="C223">
        <v>820.1</v>
      </c>
      <c r="D223">
        <v>607.9</v>
      </c>
      <c r="E223">
        <v>294.8</v>
      </c>
      <c r="F223">
        <v>1227.9000000000001</v>
      </c>
      <c r="H223">
        <v>36264.800000000003</v>
      </c>
      <c r="I223">
        <f t="shared" si="9"/>
        <v>8.1365401160353831E-2</v>
      </c>
    </row>
    <row r="224" spans="1:9" x14ac:dyDescent="0.35">
      <c r="A224" t="s">
        <v>156</v>
      </c>
      <c r="B224">
        <v>2004</v>
      </c>
      <c r="C224">
        <v>888.6</v>
      </c>
      <c r="D224">
        <v>676.9</v>
      </c>
      <c r="E224">
        <v>307.60000000000002</v>
      </c>
      <c r="F224">
        <v>1554.8</v>
      </c>
      <c r="H224">
        <v>42112.5</v>
      </c>
      <c r="I224">
        <f t="shared" si="9"/>
        <v>8.139863460967646E-2</v>
      </c>
    </row>
    <row r="225" spans="1:9" x14ac:dyDescent="0.35">
      <c r="A225" t="s">
        <v>156</v>
      </c>
      <c r="B225">
        <v>2005</v>
      </c>
      <c r="C225">
        <v>795.1</v>
      </c>
      <c r="D225">
        <v>703.6</v>
      </c>
      <c r="E225">
        <v>277.39999999999998</v>
      </c>
      <c r="F225">
        <v>1436.7</v>
      </c>
      <c r="H225">
        <v>50800.7</v>
      </c>
      <c r="I225">
        <f t="shared" si="9"/>
        <v>6.3243223026454368E-2</v>
      </c>
    </row>
    <row r="226" spans="1:9" x14ac:dyDescent="0.35">
      <c r="A226" t="s">
        <v>156</v>
      </c>
      <c r="B226">
        <v>2006</v>
      </c>
      <c r="C226">
        <v>1072.5999999999999</v>
      </c>
      <c r="D226">
        <v>776.6</v>
      </c>
      <c r="E226">
        <v>343</v>
      </c>
      <c r="F226">
        <v>1672.1</v>
      </c>
      <c r="H226">
        <v>57299.4</v>
      </c>
      <c r="I226">
        <f t="shared" si="9"/>
        <v>6.744049675912836E-2</v>
      </c>
    </row>
    <row r="227" spans="1:9" x14ac:dyDescent="0.35">
      <c r="A227" t="s">
        <v>156</v>
      </c>
      <c r="B227">
        <v>2007</v>
      </c>
      <c r="C227">
        <v>1335.7</v>
      </c>
      <c r="D227">
        <v>919.9</v>
      </c>
      <c r="E227">
        <v>379.3</v>
      </c>
      <c r="F227">
        <v>1587.9</v>
      </c>
      <c r="H227">
        <v>56572.9</v>
      </c>
      <c r="I227">
        <f t="shared" si="9"/>
        <v>7.464351306014011E-2</v>
      </c>
    </row>
    <row r="228" spans="1:9" x14ac:dyDescent="0.35">
      <c r="A228" t="s">
        <v>156</v>
      </c>
      <c r="B228">
        <v>2008</v>
      </c>
      <c r="C228">
        <v>1136.5</v>
      </c>
      <c r="D228">
        <v>920.5</v>
      </c>
      <c r="E228">
        <v>448.1</v>
      </c>
      <c r="F228">
        <v>1927.2</v>
      </c>
      <c r="H228">
        <v>46525.1</v>
      </c>
      <c r="I228">
        <f t="shared" si="9"/>
        <v>9.5266855955172591E-2</v>
      </c>
    </row>
    <row r="229" spans="1:9" x14ac:dyDescent="0.35">
      <c r="A229" t="s">
        <v>156</v>
      </c>
      <c r="B229">
        <v>2009</v>
      </c>
      <c r="C229">
        <v>1166.7</v>
      </c>
      <c r="D229">
        <v>910</v>
      </c>
      <c r="E229">
        <v>217.7</v>
      </c>
      <c r="F229">
        <v>2313.5</v>
      </c>
      <c r="H229">
        <v>35875.699999999997</v>
      </c>
      <c r="I229">
        <f t="shared" si="9"/>
        <v>0.12844069941492431</v>
      </c>
    </row>
    <row r="230" spans="1:9" x14ac:dyDescent="0.35">
      <c r="A230" t="s">
        <v>156</v>
      </c>
      <c r="B230">
        <v>2010</v>
      </c>
      <c r="C230">
        <v>1156.9000000000001</v>
      </c>
      <c r="D230">
        <v>1037.5</v>
      </c>
      <c r="E230">
        <v>344.1</v>
      </c>
      <c r="F230">
        <v>2505.3000000000002</v>
      </c>
      <c r="H230">
        <v>29422.5</v>
      </c>
      <c r="I230">
        <f t="shared" si="9"/>
        <v>0.17142662928031269</v>
      </c>
    </row>
    <row r="231" spans="1:9" x14ac:dyDescent="0.35">
      <c r="A231" t="s">
        <v>156</v>
      </c>
      <c r="B231">
        <v>2011</v>
      </c>
      <c r="C231">
        <v>1986</v>
      </c>
      <c r="D231">
        <v>1087.2</v>
      </c>
      <c r="E231">
        <v>324.2</v>
      </c>
      <c r="F231">
        <v>2708.2</v>
      </c>
      <c r="H231">
        <v>28677.5</v>
      </c>
      <c r="I231">
        <f t="shared" si="9"/>
        <v>0.21290558800453316</v>
      </c>
    </row>
    <row r="232" spans="1:9" x14ac:dyDescent="0.35">
      <c r="A232" t="s">
        <v>156</v>
      </c>
      <c r="B232">
        <v>2012</v>
      </c>
      <c r="C232">
        <v>1742.3</v>
      </c>
      <c r="D232">
        <v>1295.3</v>
      </c>
      <c r="E232">
        <v>379.1</v>
      </c>
      <c r="F232">
        <v>4670.6000000000004</v>
      </c>
      <c r="H232">
        <v>34446.9</v>
      </c>
      <c r="I232">
        <f t="shared" si="9"/>
        <v>0.23477584339955118</v>
      </c>
    </row>
    <row r="233" spans="1:9" x14ac:dyDescent="0.35">
      <c r="A233" t="s">
        <v>156</v>
      </c>
      <c r="B233">
        <v>2013</v>
      </c>
      <c r="C233">
        <v>1855.7</v>
      </c>
      <c r="D233">
        <v>1356.3</v>
      </c>
      <c r="E233">
        <v>540</v>
      </c>
      <c r="F233">
        <v>3163.7</v>
      </c>
      <c r="H233">
        <v>33427.599999999999</v>
      </c>
      <c r="I233">
        <f t="shared" si="9"/>
        <v>0.20688592659957641</v>
      </c>
    </row>
    <row r="234" spans="1:9" x14ac:dyDescent="0.35">
      <c r="A234" t="s">
        <v>156</v>
      </c>
      <c r="B234">
        <v>2014</v>
      </c>
      <c r="C234">
        <v>1786.1</v>
      </c>
      <c r="D234">
        <v>1530.8</v>
      </c>
      <c r="E234">
        <v>736</v>
      </c>
      <c r="F234">
        <v>4420.1000000000004</v>
      </c>
      <c r="H234">
        <v>40503.5</v>
      </c>
      <c r="I234">
        <f t="shared" si="9"/>
        <v>0.20919179823965831</v>
      </c>
    </row>
    <row r="235" spans="1:9" x14ac:dyDescent="0.35">
      <c r="A235" t="s">
        <v>156</v>
      </c>
      <c r="B235">
        <v>2015</v>
      </c>
      <c r="C235">
        <v>1903.1</v>
      </c>
      <c r="D235">
        <v>2500.6</v>
      </c>
      <c r="E235">
        <v>818.3</v>
      </c>
      <c r="F235">
        <v>7372.7</v>
      </c>
      <c r="H235">
        <v>66114.600000000006</v>
      </c>
      <c r="I235">
        <f t="shared" si="9"/>
        <v>0.19049801405438435</v>
      </c>
    </row>
    <row r="236" spans="1:9" x14ac:dyDescent="0.35">
      <c r="A236" t="s">
        <v>156</v>
      </c>
      <c r="B236">
        <v>2016</v>
      </c>
      <c r="C236">
        <v>2190.6999999999998</v>
      </c>
      <c r="D236">
        <v>2247.4</v>
      </c>
      <c r="E236">
        <v>1152.8</v>
      </c>
      <c r="F236">
        <v>9158</v>
      </c>
      <c r="H236">
        <v>94123.4</v>
      </c>
      <c r="I236">
        <f t="shared" si="9"/>
        <v>0.15669748436626812</v>
      </c>
    </row>
    <row r="237" spans="1:9" x14ac:dyDescent="0.35">
      <c r="A237" t="s">
        <v>156</v>
      </c>
      <c r="B237">
        <v>2017</v>
      </c>
      <c r="C237">
        <v>1866.1</v>
      </c>
      <c r="D237">
        <v>2230.8000000000002</v>
      </c>
      <c r="E237">
        <v>752.2</v>
      </c>
      <c r="F237">
        <v>35789.199999999997</v>
      </c>
      <c r="H237">
        <v>100143.2</v>
      </c>
      <c r="I237">
        <f t="shared" si="9"/>
        <v>0.40580189169109832</v>
      </c>
    </row>
    <row r="238" spans="1:9" x14ac:dyDescent="0.35">
      <c r="A238" t="s">
        <v>156</v>
      </c>
      <c r="B238">
        <v>2018</v>
      </c>
      <c r="C238">
        <v>3173.1</v>
      </c>
      <c r="D238">
        <v>2534.6</v>
      </c>
      <c r="E238">
        <v>1536.8</v>
      </c>
      <c r="F238">
        <v>10601.2</v>
      </c>
      <c r="H238">
        <v>93499.199999999997</v>
      </c>
      <c r="I238">
        <f t="shared" si="9"/>
        <v>0.19086473467152662</v>
      </c>
    </row>
    <row r="239" spans="1:9" x14ac:dyDescent="0.35">
      <c r="A239" t="s">
        <v>156</v>
      </c>
      <c r="B239">
        <v>2019</v>
      </c>
      <c r="C239">
        <v>2772.8</v>
      </c>
      <c r="D239">
        <v>2775.7</v>
      </c>
      <c r="E239">
        <v>1668.1</v>
      </c>
      <c r="F239">
        <v>44390.9</v>
      </c>
      <c r="H239">
        <v>193555.20000000001</v>
      </c>
      <c r="I239">
        <f t="shared" si="9"/>
        <v>0.26662936464636444</v>
      </c>
    </row>
    <row r="240" spans="1:9" x14ac:dyDescent="0.35">
      <c r="A240" t="s">
        <v>156</v>
      </c>
      <c r="B240">
        <v>2020</v>
      </c>
      <c r="C240">
        <v>1800.2</v>
      </c>
      <c r="D240">
        <v>3309.3</v>
      </c>
      <c r="E240">
        <v>1258.4000000000001</v>
      </c>
      <c r="F240">
        <v>53357.9</v>
      </c>
      <c r="H240">
        <v>157989.20000000001</v>
      </c>
      <c r="I240">
        <f t="shared" si="9"/>
        <v>0.3780372329247822</v>
      </c>
    </row>
    <row r="241" spans="1:9" x14ac:dyDescent="0.35">
      <c r="A241" t="s">
        <v>156</v>
      </c>
      <c r="B241">
        <v>2021</v>
      </c>
      <c r="C241">
        <v>2553.4</v>
      </c>
      <c r="D241">
        <v>3427.8</v>
      </c>
      <c r="E241">
        <v>1396.9</v>
      </c>
      <c r="F241">
        <v>11943.4</v>
      </c>
      <c r="H241">
        <v>99006.5</v>
      </c>
      <c r="I241">
        <f t="shared" si="9"/>
        <v>0.19515385353486892</v>
      </c>
    </row>
    <row r="242" spans="1:9" x14ac:dyDescent="0.35">
      <c r="A242" t="s">
        <v>156</v>
      </c>
      <c r="B242">
        <v>2022</v>
      </c>
      <c r="C242">
        <v>2414.9</v>
      </c>
      <c r="D242">
        <v>5974.7</v>
      </c>
      <c r="E242">
        <v>1736.6</v>
      </c>
      <c r="F242">
        <v>17595.3</v>
      </c>
      <c r="H242">
        <v>110101</v>
      </c>
      <c r="I242">
        <f t="shared" si="9"/>
        <v>0.25178245429196827</v>
      </c>
    </row>
    <row r="243" spans="1:9" x14ac:dyDescent="0.35">
      <c r="A243" t="s">
        <v>156</v>
      </c>
      <c r="B243">
        <v>2023</v>
      </c>
      <c r="C243">
        <v>2895.8</v>
      </c>
      <c r="D243">
        <v>5521.9</v>
      </c>
      <c r="E243">
        <v>746</v>
      </c>
      <c r="F243">
        <v>16139</v>
      </c>
      <c r="H243">
        <v>130595.9</v>
      </c>
      <c r="I243">
        <f t="shared" si="9"/>
        <v>0.19374804262614678</v>
      </c>
    </row>
    <row r="244" spans="1:9" x14ac:dyDescent="0.35">
      <c r="A244" t="s">
        <v>156</v>
      </c>
      <c r="B244">
        <v>2024</v>
      </c>
      <c r="C244">
        <v>3132</v>
      </c>
      <c r="D244">
        <v>6961.8</v>
      </c>
      <c r="E244">
        <v>859.8</v>
      </c>
      <c r="F244">
        <v>-1579.6</v>
      </c>
      <c r="H244">
        <v>97633.600000000006</v>
      </c>
      <c r="I244">
        <f t="shared" si="9"/>
        <v>9.6012028645875991E-2</v>
      </c>
    </row>
    <row r="247" spans="1:9" x14ac:dyDescent="0.35">
      <c r="A247" t="s">
        <v>157</v>
      </c>
      <c r="B247">
        <v>2000</v>
      </c>
      <c r="C247">
        <v>2344.6</v>
      </c>
      <c r="D247">
        <v>886.9</v>
      </c>
      <c r="E247">
        <v>456.9</v>
      </c>
      <c r="F247">
        <v>403.5</v>
      </c>
      <c r="H247">
        <v>35960</v>
      </c>
      <c r="I247">
        <f t="shared" ref="I247:I271" si="10">(C247+D247+E247+F247-G247)/H247</f>
        <v>0.11379032258064517</v>
      </c>
    </row>
    <row r="248" spans="1:9" x14ac:dyDescent="0.35">
      <c r="A248" t="s">
        <v>157</v>
      </c>
      <c r="B248">
        <v>2001</v>
      </c>
      <c r="C248">
        <v>2347</v>
      </c>
      <c r="D248">
        <v>955.7</v>
      </c>
      <c r="E248">
        <v>571</v>
      </c>
      <c r="F248">
        <v>461.3</v>
      </c>
      <c r="H248">
        <v>37177.4</v>
      </c>
      <c r="I248">
        <f t="shared" si="10"/>
        <v>0.11660309758078832</v>
      </c>
    </row>
    <row r="249" spans="1:9" x14ac:dyDescent="0.35">
      <c r="A249" t="s">
        <v>157</v>
      </c>
      <c r="B249">
        <v>2002</v>
      </c>
      <c r="C249">
        <v>2272.5</v>
      </c>
      <c r="D249">
        <v>1163.7</v>
      </c>
      <c r="E249">
        <v>595.79999999999995</v>
      </c>
      <c r="F249">
        <v>525.70000000000005</v>
      </c>
      <c r="H249">
        <v>36860.400000000001</v>
      </c>
      <c r="I249">
        <f t="shared" si="10"/>
        <v>0.12364760013456175</v>
      </c>
    </row>
    <row r="250" spans="1:9" x14ac:dyDescent="0.35">
      <c r="A250" t="s">
        <v>157</v>
      </c>
      <c r="B250">
        <v>2003</v>
      </c>
      <c r="C250">
        <v>2152.6</v>
      </c>
      <c r="D250">
        <v>1224.4000000000001</v>
      </c>
      <c r="E250">
        <v>424.5</v>
      </c>
      <c r="F250">
        <v>605.20000000000005</v>
      </c>
      <c r="H250">
        <v>34706.400000000001</v>
      </c>
      <c r="I250">
        <f t="shared" si="10"/>
        <v>0.12697081806237465</v>
      </c>
    </row>
    <row r="251" spans="1:9" x14ac:dyDescent="0.35">
      <c r="A251" t="s">
        <v>157</v>
      </c>
      <c r="B251">
        <v>2004</v>
      </c>
      <c r="C251">
        <v>2250.3000000000002</v>
      </c>
      <c r="D251">
        <v>1241.9000000000001</v>
      </c>
      <c r="E251">
        <v>453.9</v>
      </c>
      <c r="F251">
        <v>687.2</v>
      </c>
      <c r="H251">
        <v>35662.800000000003</v>
      </c>
      <c r="I251">
        <f t="shared" si="10"/>
        <v>0.12991969222831634</v>
      </c>
    </row>
    <row r="252" spans="1:9" x14ac:dyDescent="0.35">
      <c r="A252" t="s">
        <v>157</v>
      </c>
      <c r="B252">
        <v>2005</v>
      </c>
      <c r="C252">
        <v>2285.6999999999998</v>
      </c>
      <c r="D252">
        <v>1303</v>
      </c>
      <c r="E252">
        <v>677</v>
      </c>
      <c r="F252">
        <v>739.8</v>
      </c>
      <c r="H252">
        <v>36667.800000000003</v>
      </c>
      <c r="I252">
        <f t="shared" si="10"/>
        <v>0.13650941698165692</v>
      </c>
    </row>
    <row r="253" spans="1:9" x14ac:dyDescent="0.35">
      <c r="A253" t="s">
        <v>157</v>
      </c>
      <c r="B253">
        <v>2006</v>
      </c>
      <c r="C253">
        <v>2280.9</v>
      </c>
      <c r="D253">
        <v>1381.2</v>
      </c>
      <c r="E253">
        <v>502</v>
      </c>
      <c r="F253">
        <v>763</v>
      </c>
      <c r="H253">
        <v>37463.199999999997</v>
      </c>
      <c r="I253">
        <f t="shared" si="10"/>
        <v>0.13151839671998122</v>
      </c>
    </row>
    <row r="254" spans="1:9" x14ac:dyDescent="0.35">
      <c r="A254" t="s">
        <v>157</v>
      </c>
      <c r="B254">
        <v>2007</v>
      </c>
      <c r="C254">
        <v>2349.1</v>
      </c>
      <c r="D254">
        <v>1516</v>
      </c>
      <c r="E254">
        <v>517.1</v>
      </c>
      <c r="F254">
        <v>870.3</v>
      </c>
      <c r="H254">
        <v>39500.699999999997</v>
      </c>
      <c r="I254">
        <f t="shared" si="10"/>
        <v>0.1329723270726848</v>
      </c>
    </row>
    <row r="255" spans="1:9" x14ac:dyDescent="0.35">
      <c r="A255" t="s">
        <v>157</v>
      </c>
      <c r="B255">
        <v>2008</v>
      </c>
      <c r="C255">
        <v>2469.6999999999998</v>
      </c>
      <c r="D255">
        <v>1649.4</v>
      </c>
      <c r="E255">
        <v>11</v>
      </c>
      <c r="F255">
        <v>936.7</v>
      </c>
      <c r="H255">
        <v>40929</v>
      </c>
      <c r="I255">
        <f t="shared" si="10"/>
        <v>0.12379486427716289</v>
      </c>
    </row>
    <row r="256" spans="1:9" x14ac:dyDescent="0.35">
      <c r="A256" t="s">
        <v>157</v>
      </c>
      <c r="B256">
        <v>2009</v>
      </c>
      <c r="C256">
        <v>1938.5</v>
      </c>
      <c r="D256">
        <v>1696.5</v>
      </c>
      <c r="E256">
        <v>-9.6999999999999993</v>
      </c>
      <c r="F256">
        <v>998.2</v>
      </c>
      <c r="H256">
        <v>37191.1</v>
      </c>
      <c r="I256">
        <f t="shared" si="10"/>
        <v>0.12431737700686456</v>
      </c>
    </row>
    <row r="257" spans="1:9" x14ac:dyDescent="0.35">
      <c r="A257" t="s">
        <v>157</v>
      </c>
      <c r="B257">
        <v>2010</v>
      </c>
      <c r="C257">
        <v>1973.2</v>
      </c>
      <c r="D257">
        <v>1754.9</v>
      </c>
      <c r="E257">
        <v>604.1</v>
      </c>
      <c r="F257">
        <v>954.2</v>
      </c>
      <c r="G257">
        <v>491.2</v>
      </c>
      <c r="H257">
        <v>37137.599999999999</v>
      </c>
      <c r="I257">
        <f t="shared" si="10"/>
        <v>0.12911981388134938</v>
      </c>
    </row>
    <row r="258" spans="1:9" x14ac:dyDescent="0.35">
      <c r="A258" t="s">
        <v>157</v>
      </c>
      <c r="B258">
        <v>2011</v>
      </c>
      <c r="C258">
        <v>1657.4</v>
      </c>
      <c r="D258">
        <v>1803.9</v>
      </c>
      <c r="E258">
        <v>343.2</v>
      </c>
      <c r="F258">
        <v>973.2</v>
      </c>
      <c r="G258">
        <v>461.3</v>
      </c>
      <c r="H258">
        <v>32590.799999999999</v>
      </c>
      <c r="I258">
        <f t="shared" si="10"/>
        <v>0.1324422843256379</v>
      </c>
    </row>
    <row r="259" spans="1:9" x14ac:dyDescent="0.35">
      <c r="A259" t="s">
        <v>157</v>
      </c>
      <c r="B259">
        <v>2012</v>
      </c>
      <c r="C259">
        <v>1443.2</v>
      </c>
      <c r="D259">
        <v>1851.2</v>
      </c>
      <c r="E259">
        <v>413.7</v>
      </c>
      <c r="F259">
        <v>912.2</v>
      </c>
      <c r="G259">
        <v>486.2</v>
      </c>
      <c r="H259">
        <v>26760.9</v>
      </c>
      <c r="I259">
        <f t="shared" si="10"/>
        <v>0.15448284624209202</v>
      </c>
    </row>
    <row r="260" spans="1:9" x14ac:dyDescent="0.35">
      <c r="A260" t="s">
        <v>157</v>
      </c>
      <c r="B260">
        <v>2013</v>
      </c>
      <c r="C260">
        <v>1406.9</v>
      </c>
      <c r="D260">
        <v>1829.3</v>
      </c>
      <c r="E260">
        <v>389.9</v>
      </c>
      <c r="F260">
        <v>929.1</v>
      </c>
      <c r="G260">
        <v>536.70000000000005</v>
      </c>
      <c r="H260">
        <v>25312.799999999999</v>
      </c>
      <c r="I260">
        <f t="shared" si="10"/>
        <v>0.15875367403053001</v>
      </c>
    </row>
    <row r="261" spans="1:9" x14ac:dyDescent="0.35">
      <c r="A261" t="s">
        <v>157</v>
      </c>
      <c r="B261">
        <v>2014</v>
      </c>
      <c r="C261">
        <v>1527.4</v>
      </c>
      <c r="D261">
        <v>1921.6</v>
      </c>
      <c r="E261">
        <v>429.6</v>
      </c>
      <c r="F261">
        <v>896.6</v>
      </c>
      <c r="G261">
        <v>534.29999999999995</v>
      </c>
      <c r="H261">
        <v>26169.8</v>
      </c>
      <c r="I261">
        <f t="shared" si="10"/>
        <v>0.16205320636764514</v>
      </c>
    </row>
    <row r="262" spans="1:9" x14ac:dyDescent="0.35">
      <c r="A262" t="s">
        <v>157</v>
      </c>
      <c r="B262">
        <v>2015</v>
      </c>
      <c r="C262">
        <v>1685.2</v>
      </c>
      <c r="D262">
        <v>1907.8</v>
      </c>
      <c r="E262">
        <v>416.7</v>
      </c>
      <c r="F262">
        <v>909.5</v>
      </c>
      <c r="G262">
        <v>551.1</v>
      </c>
      <c r="H262">
        <v>28082.3</v>
      </c>
      <c r="I262">
        <f t="shared" si="10"/>
        <v>0.15554637618713565</v>
      </c>
    </row>
    <row r="263" spans="1:9" x14ac:dyDescent="0.35">
      <c r="A263" t="s">
        <v>157</v>
      </c>
      <c r="B263">
        <v>2016</v>
      </c>
      <c r="C263">
        <v>1492</v>
      </c>
      <c r="D263">
        <v>1991.4</v>
      </c>
      <c r="E263">
        <v>264.7</v>
      </c>
      <c r="F263">
        <v>927.5</v>
      </c>
      <c r="G263">
        <v>533.70000000000005</v>
      </c>
      <c r="H263">
        <v>29311.599999999999</v>
      </c>
      <c r="I263">
        <f t="shared" si="10"/>
        <v>0.14130583113852538</v>
      </c>
    </row>
    <row r="264" spans="1:9" x14ac:dyDescent="0.35">
      <c r="A264" t="s">
        <v>157</v>
      </c>
      <c r="B264">
        <v>2017</v>
      </c>
      <c r="C264">
        <v>1678.3</v>
      </c>
      <c r="D264">
        <v>2260.5</v>
      </c>
      <c r="E264">
        <v>360.4</v>
      </c>
      <c r="F264">
        <v>1104.4000000000001</v>
      </c>
      <c r="G264">
        <v>660.5</v>
      </c>
      <c r="H264">
        <v>33404</v>
      </c>
      <c r="I264">
        <f t="shared" si="10"/>
        <v>0.14199197700874147</v>
      </c>
    </row>
    <row r="265" spans="1:9" x14ac:dyDescent="0.35">
      <c r="A265" t="s">
        <v>157</v>
      </c>
      <c r="B265">
        <v>2018</v>
      </c>
      <c r="C265">
        <v>1741.4</v>
      </c>
      <c r="D265">
        <v>2578.6</v>
      </c>
      <c r="E265">
        <v>327</v>
      </c>
      <c r="F265">
        <v>1163.0999999999999</v>
      </c>
      <c r="G265">
        <v>712.3</v>
      </c>
      <c r="H265">
        <v>36548.6</v>
      </c>
      <c r="I265">
        <f t="shared" si="10"/>
        <v>0.13948003480297469</v>
      </c>
    </row>
    <row r="266" spans="1:9" x14ac:dyDescent="0.35">
      <c r="A266" t="s">
        <v>157</v>
      </c>
      <c r="B266">
        <v>2019</v>
      </c>
      <c r="C266">
        <v>1770.6</v>
      </c>
      <c r="D266">
        <v>2922.3</v>
      </c>
      <c r="E266">
        <v>276.8</v>
      </c>
      <c r="F266">
        <v>1423.3</v>
      </c>
      <c r="G266">
        <v>933.6</v>
      </c>
      <c r="H266">
        <v>39536.5</v>
      </c>
      <c r="I266">
        <f t="shared" si="10"/>
        <v>0.13808506064016793</v>
      </c>
    </row>
    <row r="267" spans="1:9" x14ac:dyDescent="0.35">
      <c r="A267" t="s">
        <v>157</v>
      </c>
      <c r="B267">
        <v>2020</v>
      </c>
      <c r="C267">
        <v>1773.5</v>
      </c>
      <c r="D267">
        <v>3190.1</v>
      </c>
      <c r="E267">
        <v>443.2</v>
      </c>
      <c r="F267">
        <v>1399.7</v>
      </c>
      <c r="G267">
        <v>1001.8</v>
      </c>
      <c r="H267">
        <v>39193.9</v>
      </c>
      <c r="I267">
        <f t="shared" si="10"/>
        <v>0.14810212813728665</v>
      </c>
    </row>
    <row r="268" spans="1:9" x14ac:dyDescent="0.35">
      <c r="A268" t="s">
        <v>157</v>
      </c>
      <c r="B268">
        <v>2021</v>
      </c>
      <c r="C268">
        <v>2092</v>
      </c>
      <c r="D268">
        <v>3516.3</v>
      </c>
      <c r="E268">
        <v>732.4</v>
      </c>
      <c r="F268">
        <v>1407.7</v>
      </c>
      <c r="G268">
        <v>1004.4</v>
      </c>
      <c r="H268">
        <v>44387.7</v>
      </c>
      <c r="I268">
        <f t="shared" si="10"/>
        <v>0.15193398171114972</v>
      </c>
    </row>
    <row r="269" spans="1:9" x14ac:dyDescent="0.35">
      <c r="A269" t="s">
        <v>157</v>
      </c>
      <c r="B269">
        <v>2022</v>
      </c>
      <c r="C269">
        <v>2211.6</v>
      </c>
      <c r="D269">
        <v>3954.4</v>
      </c>
      <c r="E269">
        <v>600.20000000000005</v>
      </c>
      <c r="F269">
        <v>1667.8</v>
      </c>
      <c r="G269">
        <v>1175.8</v>
      </c>
      <c r="H269">
        <v>50189.9</v>
      </c>
      <c r="I269">
        <f t="shared" si="10"/>
        <v>0.14461475316746994</v>
      </c>
    </row>
    <row r="270" spans="1:9" x14ac:dyDescent="0.35">
      <c r="A270" t="s">
        <v>157</v>
      </c>
      <c r="B270">
        <v>2023</v>
      </c>
      <c r="C270">
        <v>2148.9</v>
      </c>
      <c r="D270">
        <v>4352.6000000000004</v>
      </c>
      <c r="E270">
        <v>562.4</v>
      </c>
      <c r="F270">
        <v>2081.5</v>
      </c>
      <c r="G270">
        <v>1553.7</v>
      </c>
      <c r="H270">
        <v>55384.3</v>
      </c>
      <c r="I270">
        <f t="shared" si="10"/>
        <v>0.13707314166650114</v>
      </c>
    </row>
    <row r="271" spans="1:9" x14ac:dyDescent="0.35">
      <c r="A271" t="s">
        <v>157</v>
      </c>
      <c r="B271">
        <v>2024</v>
      </c>
      <c r="C271">
        <v>2213</v>
      </c>
      <c r="E271">
        <v>500.6</v>
      </c>
      <c r="F271">
        <v>2423.6999999999998</v>
      </c>
      <c r="H271">
        <v>59197.5</v>
      </c>
      <c r="I271">
        <f t="shared" si="10"/>
        <v>8.6782381012711671E-2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121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110</v>
      </c>
      <c r="B13">
        <v>2015</v>
      </c>
      <c r="C13">
        <v>0</v>
      </c>
    </row>
    <row r="14" spans="1:3" x14ac:dyDescent="0.35">
      <c r="A14" t="s">
        <v>110</v>
      </c>
      <c r="B14">
        <v>2016</v>
      </c>
      <c r="C14">
        <v>2</v>
      </c>
    </row>
    <row r="15" spans="1:3" x14ac:dyDescent="0.35">
      <c r="A15" t="s">
        <v>110</v>
      </c>
      <c r="B15">
        <v>2017</v>
      </c>
      <c r="C15">
        <v>2</v>
      </c>
    </row>
    <row r="16" spans="1:3" x14ac:dyDescent="0.35">
      <c r="A16" t="s">
        <v>110</v>
      </c>
      <c r="B16">
        <v>2018</v>
      </c>
      <c r="C16">
        <v>8</v>
      </c>
    </row>
    <row r="17" spans="1:3" x14ac:dyDescent="0.35">
      <c r="A17" t="s">
        <v>110</v>
      </c>
      <c r="B17">
        <v>2019</v>
      </c>
      <c r="C17">
        <v>2</v>
      </c>
    </row>
    <row r="18" spans="1:3" x14ac:dyDescent="0.35">
      <c r="A18" t="s">
        <v>110</v>
      </c>
      <c r="B18">
        <v>2020</v>
      </c>
      <c r="C18">
        <v>6</v>
      </c>
    </row>
    <row r="19" spans="1:3" x14ac:dyDescent="0.35">
      <c r="A19" t="s">
        <v>110</v>
      </c>
      <c r="B19">
        <v>2021</v>
      </c>
      <c r="C19">
        <v>8</v>
      </c>
    </row>
    <row r="20" spans="1:3" x14ac:dyDescent="0.35">
      <c r="A20" t="s">
        <v>110</v>
      </c>
      <c r="B20">
        <v>2022</v>
      </c>
      <c r="C20">
        <v>8</v>
      </c>
    </row>
    <row r="21" spans="1:3" x14ac:dyDescent="0.35">
      <c r="A21" t="s">
        <v>110</v>
      </c>
      <c r="B21">
        <v>2023</v>
      </c>
      <c r="C21">
        <v>1</v>
      </c>
    </row>
    <row r="22" spans="1:3" x14ac:dyDescent="0.35">
      <c r="A22" t="s">
        <v>110</v>
      </c>
      <c r="B22">
        <v>2024</v>
      </c>
      <c r="C22">
        <v>0</v>
      </c>
    </row>
    <row r="23" spans="1:3" x14ac:dyDescent="0.35">
      <c r="A23" t="s">
        <v>110</v>
      </c>
      <c r="B23">
        <v>2025</v>
      </c>
      <c r="C23">
        <v>0</v>
      </c>
    </row>
    <row r="24" spans="1:3" x14ac:dyDescent="0.35">
      <c r="A24" t="s">
        <v>111</v>
      </c>
      <c r="B24">
        <v>2015</v>
      </c>
      <c r="C24">
        <v>122</v>
      </c>
    </row>
    <row r="25" spans="1:3" x14ac:dyDescent="0.35">
      <c r="A25" t="s">
        <v>111</v>
      </c>
      <c r="B25">
        <v>2016</v>
      </c>
      <c r="C25">
        <v>238</v>
      </c>
    </row>
    <row r="26" spans="1:3" x14ac:dyDescent="0.35">
      <c r="A26" t="s">
        <v>111</v>
      </c>
      <c r="B26">
        <v>2017</v>
      </c>
      <c r="C26">
        <v>410</v>
      </c>
    </row>
    <row r="27" spans="1:3" x14ac:dyDescent="0.35">
      <c r="A27" t="s">
        <v>111</v>
      </c>
      <c r="B27">
        <v>2018</v>
      </c>
      <c r="C27">
        <v>643</v>
      </c>
    </row>
    <row r="28" spans="1:3" x14ac:dyDescent="0.35">
      <c r="A28" t="s">
        <v>111</v>
      </c>
      <c r="B28">
        <v>2019</v>
      </c>
      <c r="C28">
        <v>865</v>
      </c>
    </row>
    <row r="29" spans="1:3" x14ac:dyDescent="0.35">
      <c r="A29" t="s">
        <v>111</v>
      </c>
      <c r="B29">
        <v>2020</v>
      </c>
      <c r="C29">
        <v>1038</v>
      </c>
    </row>
    <row r="30" spans="1:3" x14ac:dyDescent="0.35">
      <c r="A30" t="s">
        <v>111</v>
      </c>
      <c r="B30">
        <v>2021</v>
      </c>
      <c r="C30">
        <v>994</v>
      </c>
    </row>
    <row r="31" spans="1:3" x14ac:dyDescent="0.35">
      <c r="A31" t="s">
        <v>111</v>
      </c>
      <c r="B31">
        <v>2022</v>
      </c>
      <c r="C31">
        <v>1180</v>
      </c>
    </row>
    <row r="32" spans="1:3" x14ac:dyDescent="0.35">
      <c r="A32" t="s">
        <v>111</v>
      </c>
      <c r="B32">
        <v>2023</v>
      </c>
      <c r="C32">
        <v>153</v>
      </c>
    </row>
    <row r="33" spans="1:3" x14ac:dyDescent="0.35">
      <c r="A33" t="s">
        <v>111</v>
      </c>
      <c r="B33">
        <v>2024</v>
      </c>
      <c r="C33">
        <v>32</v>
      </c>
    </row>
    <row r="34" spans="1:3" x14ac:dyDescent="0.35">
      <c r="A34" t="s">
        <v>111</v>
      </c>
      <c r="B34">
        <v>2025</v>
      </c>
      <c r="C34">
        <v>0</v>
      </c>
    </row>
    <row r="35" spans="1:3" x14ac:dyDescent="0.35">
      <c r="A35" t="s">
        <v>112</v>
      </c>
      <c r="B35">
        <v>2015</v>
      </c>
      <c r="C35">
        <v>44</v>
      </c>
    </row>
    <row r="36" spans="1:3" x14ac:dyDescent="0.35">
      <c r="A36" t="s">
        <v>112</v>
      </c>
      <c r="B36">
        <v>2016</v>
      </c>
      <c r="C36">
        <v>64</v>
      </c>
    </row>
    <row r="37" spans="1:3" x14ac:dyDescent="0.35">
      <c r="A37" t="s">
        <v>112</v>
      </c>
      <c r="B37">
        <v>2017</v>
      </c>
      <c r="C37">
        <v>96</v>
      </c>
    </row>
    <row r="38" spans="1:3" x14ac:dyDescent="0.35">
      <c r="A38" t="s">
        <v>112</v>
      </c>
      <c r="B38">
        <v>2018</v>
      </c>
      <c r="C38">
        <v>111</v>
      </c>
    </row>
    <row r="39" spans="1:3" x14ac:dyDescent="0.35">
      <c r="A39" t="s">
        <v>112</v>
      </c>
      <c r="B39">
        <v>2019</v>
      </c>
      <c r="C39">
        <v>94</v>
      </c>
    </row>
    <row r="40" spans="1:3" x14ac:dyDescent="0.35">
      <c r="A40" t="s">
        <v>112</v>
      </c>
      <c r="B40">
        <v>2020</v>
      </c>
      <c r="C40">
        <v>88</v>
      </c>
    </row>
    <row r="41" spans="1:3" x14ac:dyDescent="0.35">
      <c r="A41" t="s">
        <v>112</v>
      </c>
      <c r="B41">
        <v>2021</v>
      </c>
      <c r="C41">
        <v>67</v>
      </c>
    </row>
    <row r="42" spans="1:3" x14ac:dyDescent="0.35">
      <c r="A42" t="s">
        <v>112</v>
      </c>
      <c r="B42">
        <v>2022</v>
      </c>
      <c r="C42">
        <v>52</v>
      </c>
    </row>
    <row r="43" spans="1:3" x14ac:dyDescent="0.35">
      <c r="A43" t="s">
        <v>112</v>
      </c>
      <c r="B43">
        <v>2023</v>
      </c>
      <c r="C43">
        <v>12</v>
      </c>
    </row>
    <row r="44" spans="1:3" x14ac:dyDescent="0.35">
      <c r="A44" t="s">
        <v>112</v>
      </c>
      <c r="B44">
        <v>2024</v>
      </c>
      <c r="C44">
        <v>3</v>
      </c>
    </row>
    <row r="45" spans="1:3" x14ac:dyDescent="0.35">
      <c r="A45" t="s">
        <v>112</v>
      </c>
      <c r="B45">
        <v>2025</v>
      </c>
      <c r="C45">
        <v>0</v>
      </c>
    </row>
    <row r="46" spans="1:3" x14ac:dyDescent="0.35">
      <c r="A46" t="s">
        <v>113</v>
      </c>
      <c r="B46">
        <v>2015</v>
      </c>
      <c r="C46">
        <v>35</v>
      </c>
    </row>
    <row r="47" spans="1:3" x14ac:dyDescent="0.35">
      <c r="A47" t="s">
        <v>113</v>
      </c>
      <c r="B47">
        <v>2016</v>
      </c>
      <c r="C47">
        <v>66</v>
      </c>
    </row>
    <row r="48" spans="1:3" x14ac:dyDescent="0.35">
      <c r="A48" t="s">
        <v>113</v>
      </c>
      <c r="B48">
        <v>2017</v>
      </c>
      <c r="C48">
        <v>97</v>
      </c>
    </row>
    <row r="49" spans="1:3" x14ac:dyDescent="0.35">
      <c r="A49" t="s">
        <v>113</v>
      </c>
      <c r="B49">
        <v>2018</v>
      </c>
      <c r="C49">
        <v>184</v>
      </c>
    </row>
    <row r="50" spans="1:3" x14ac:dyDescent="0.35">
      <c r="A50" t="s">
        <v>113</v>
      </c>
      <c r="B50">
        <v>2019</v>
      </c>
      <c r="C50">
        <v>221</v>
      </c>
    </row>
    <row r="51" spans="1:3" x14ac:dyDescent="0.35">
      <c r="A51" t="s">
        <v>113</v>
      </c>
      <c r="B51">
        <v>2020</v>
      </c>
      <c r="C51">
        <v>283</v>
      </c>
    </row>
    <row r="52" spans="1:3" x14ac:dyDescent="0.35">
      <c r="A52" t="s">
        <v>113</v>
      </c>
      <c r="B52">
        <v>2021</v>
      </c>
      <c r="C52">
        <v>292</v>
      </c>
    </row>
    <row r="53" spans="1:3" x14ac:dyDescent="0.35">
      <c r="A53" t="s">
        <v>113</v>
      </c>
      <c r="B53">
        <v>2022</v>
      </c>
      <c r="C53">
        <v>284</v>
      </c>
    </row>
    <row r="54" spans="1:3" x14ac:dyDescent="0.35">
      <c r="A54" t="s">
        <v>113</v>
      </c>
      <c r="B54">
        <v>2023</v>
      </c>
      <c r="C54">
        <v>12</v>
      </c>
    </row>
    <row r="55" spans="1:3" x14ac:dyDescent="0.35">
      <c r="A55" t="s">
        <v>113</v>
      </c>
      <c r="B55">
        <v>2024</v>
      </c>
      <c r="C55">
        <v>0</v>
      </c>
    </row>
    <row r="56" spans="1:3" x14ac:dyDescent="0.35">
      <c r="A56" t="s">
        <v>113</v>
      </c>
      <c r="B56">
        <v>2025</v>
      </c>
      <c r="C56">
        <v>0</v>
      </c>
    </row>
    <row r="57" spans="1:3" x14ac:dyDescent="0.35">
      <c r="A57" t="s">
        <v>114</v>
      </c>
      <c r="B57">
        <v>2015</v>
      </c>
      <c r="C57">
        <v>11</v>
      </c>
    </row>
    <row r="58" spans="1:3" x14ac:dyDescent="0.35">
      <c r="A58" t="s">
        <v>114</v>
      </c>
      <c r="B58">
        <v>2016</v>
      </c>
      <c r="C58">
        <v>21</v>
      </c>
    </row>
    <row r="59" spans="1:3" x14ac:dyDescent="0.35">
      <c r="A59" t="s">
        <v>114</v>
      </c>
      <c r="B59">
        <v>2017</v>
      </c>
      <c r="C59">
        <v>29</v>
      </c>
    </row>
    <row r="60" spans="1:3" x14ac:dyDescent="0.35">
      <c r="A60" t="s">
        <v>114</v>
      </c>
      <c r="B60">
        <v>2018</v>
      </c>
      <c r="C60">
        <v>42</v>
      </c>
    </row>
    <row r="61" spans="1:3" x14ac:dyDescent="0.35">
      <c r="A61" t="s">
        <v>114</v>
      </c>
      <c r="B61">
        <v>2019</v>
      </c>
      <c r="C61">
        <v>61</v>
      </c>
    </row>
    <row r="62" spans="1:3" x14ac:dyDescent="0.35">
      <c r="A62" t="s">
        <v>114</v>
      </c>
      <c r="B62">
        <v>2020</v>
      </c>
      <c r="C62">
        <v>65</v>
      </c>
    </row>
    <row r="63" spans="1:3" x14ac:dyDescent="0.35">
      <c r="A63" t="s">
        <v>114</v>
      </c>
      <c r="B63">
        <v>2021</v>
      </c>
      <c r="C63">
        <v>95</v>
      </c>
    </row>
    <row r="64" spans="1:3" x14ac:dyDescent="0.35">
      <c r="A64" t="s">
        <v>114</v>
      </c>
      <c r="B64">
        <v>2022</v>
      </c>
      <c r="C64">
        <v>63</v>
      </c>
    </row>
    <row r="65" spans="1:3" x14ac:dyDescent="0.35">
      <c r="A65" t="s">
        <v>114</v>
      </c>
      <c r="B65">
        <v>2023</v>
      </c>
      <c r="C65">
        <v>4</v>
      </c>
    </row>
    <row r="66" spans="1:3" x14ac:dyDescent="0.35">
      <c r="A66" t="s">
        <v>114</v>
      </c>
      <c r="B66">
        <v>2024</v>
      </c>
      <c r="C66">
        <v>0</v>
      </c>
    </row>
    <row r="67" spans="1:3" x14ac:dyDescent="0.35">
      <c r="A67" t="s">
        <v>114</v>
      </c>
      <c r="B67">
        <v>2025</v>
      </c>
      <c r="C67">
        <v>0</v>
      </c>
    </row>
    <row r="68" spans="1:3" x14ac:dyDescent="0.35">
      <c r="A68" t="s">
        <v>115</v>
      </c>
      <c r="B68">
        <v>2015</v>
      </c>
      <c r="C68">
        <v>5</v>
      </c>
    </row>
    <row r="69" spans="1:3" x14ac:dyDescent="0.35">
      <c r="A69" t="s">
        <v>115</v>
      </c>
      <c r="B69">
        <v>2016</v>
      </c>
      <c r="C69">
        <v>6</v>
      </c>
    </row>
    <row r="70" spans="1:3" x14ac:dyDescent="0.35">
      <c r="A70" t="s">
        <v>115</v>
      </c>
      <c r="B70">
        <v>2017</v>
      </c>
      <c r="C70">
        <v>5</v>
      </c>
    </row>
    <row r="71" spans="1:3" x14ac:dyDescent="0.35">
      <c r="A71" t="s">
        <v>115</v>
      </c>
      <c r="B71">
        <v>2018</v>
      </c>
      <c r="C71">
        <v>13</v>
      </c>
    </row>
    <row r="72" spans="1:3" x14ac:dyDescent="0.35">
      <c r="A72" t="s">
        <v>115</v>
      </c>
      <c r="B72">
        <v>2019</v>
      </c>
      <c r="C72">
        <v>24</v>
      </c>
    </row>
    <row r="73" spans="1:3" x14ac:dyDescent="0.35">
      <c r="A73" t="s">
        <v>115</v>
      </c>
      <c r="B73">
        <v>2020</v>
      </c>
      <c r="C73">
        <v>19</v>
      </c>
    </row>
    <row r="74" spans="1:3" x14ac:dyDescent="0.35">
      <c r="A74" t="s">
        <v>115</v>
      </c>
      <c r="B74">
        <v>2021</v>
      </c>
      <c r="C74">
        <v>45</v>
      </c>
    </row>
    <row r="75" spans="1:3" x14ac:dyDescent="0.35">
      <c r="A75" t="s">
        <v>115</v>
      </c>
      <c r="B75">
        <v>2022</v>
      </c>
      <c r="C75">
        <v>63</v>
      </c>
    </row>
    <row r="76" spans="1:3" x14ac:dyDescent="0.35">
      <c r="A76" t="s">
        <v>115</v>
      </c>
      <c r="B76">
        <v>2023</v>
      </c>
      <c r="C76">
        <v>3</v>
      </c>
    </row>
    <row r="77" spans="1:3" x14ac:dyDescent="0.35">
      <c r="A77" t="s">
        <v>115</v>
      </c>
      <c r="B77">
        <v>2024</v>
      </c>
      <c r="C77">
        <v>5</v>
      </c>
    </row>
    <row r="78" spans="1:3" x14ac:dyDescent="0.35">
      <c r="A78" t="s">
        <v>115</v>
      </c>
      <c r="B78">
        <v>2025</v>
      </c>
      <c r="C78">
        <v>0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workbookViewId="0">
      <selection activeCell="O12" sqref="O12"/>
    </sheetView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122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21</v>
      </c>
    </row>
    <row r="4" spans="1:3" x14ac:dyDescent="0.35">
      <c r="A4" t="s">
        <v>3</v>
      </c>
      <c r="B4">
        <v>2017</v>
      </c>
      <c r="C4">
        <v>24</v>
      </c>
    </row>
    <row r="5" spans="1:3" x14ac:dyDescent="0.35">
      <c r="A5" t="s">
        <v>3</v>
      </c>
      <c r="B5">
        <v>2018</v>
      </c>
      <c r="C5">
        <v>39</v>
      </c>
    </row>
    <row r="6" spans="1:3" x14ac:dyDescent="0.35">
      <c r="A6" t="s">
        <v>3</v>
      </c>
      <c r="B6">
        <v>2019</v>
      </c>
      <c r="C6">
        <v>43</v>
      </c>
    </row>
    <row r="7" spans="1:3" x14ac:dyDescent="0.35">
      <c r="A7" t="s">
        <v>3</v>
      </c>
      <c r="B7">
        <v>2020</v>
      </c>
      <c r="C7">
        <v>47</v>
      </c>
    </row>
    <row r="8" spans="1:3" x14ac:dyDescent="0.35">
      <c r="A8" t="s">
        <v>3</v>
      </c>
      <c r="B8">
        <v>2021</v>
      </c>
      <c r="C8">
        <v>67</v>
      </c>
    </row>
    <row r="9" spans="1:3" x14ac:dyDescent="0.35">
      <c r="A9" t="s">
        <v>3</v>
      </c>
      <c r="B9">
        <v>2022</v>
      </c>
      <c r="C9">
        <v>68</v>
      </c>
    </row>
    <row r="10" spans="1:3" x14ac:dyDescent="0.35">
      <c r="A10" t="s">
        <v>3</v>
      </c>
      <c r="B10">
        <v>2023</v>
      </c>
      <c r="C10">
        <v>149</v>
      </c>
    </row>
    <row r="11" spans="1:3" x14ac:dyDescent="0.35">
      <c r="A11" t="s">
        <v>3</v>
      </c>
      <c r="B11">
        <v>2024</v>
      </c>
      <c r="C11">
        <v>133</v>
      </c>
    </row>
    <row r="12" spans="1:3" x14ac:dyDescent="0.35">
      <c r="A12" t="s">
        <v>3</v>
      </c>
      <c r="B12">
        <v>2025</v>
      </c>
      <c r="C12">
        <v>75</v>
      </c>
    </row>
    <row r="13" spans="1:3" x14ac:dyDescent="0.35">
      <c r="A13" t="s">
        <v>110</v>
      </c>
      <c r="B13">
        <v>2015</v>
      </c>
      <c r="C13">
        <v>38</v>
      </c>
    </row>
    <row r="14" spans="1:3" x14ac:dyDescent="0.35">
      <c r="A14" t="s">
        <v>110</v>
      </c>
      <c r="B14">
        <v>2016</v>
      </c>
      <c r="C14">
        <v>12</v>
      </c>
    </row>
    <row r="15" spans="1:3" x14ac:dyDescent="0.35">
      <c r="A15" t="s">
        <v>110</v>
      </c>
      <c r="B15">
        <v>2017</v>
      </c>
      <c r="C15">
        <v>54</v>
      </c>
    </row>
    <row r="16" spans="1:3" x14ac:dyDescent="0.35">
      <c r="A16" t="s">
        <v>110</v>
      </c>
      <c r="B16">
        <v>2018</v>
      </c>
      <c r="C16">
        <v>26</v>
      </c>
    </row>
    <row r="17" spans="1:3" x14ac:dyDescent="0.35">
      <c r="A17" t="s">
        <v>110</v>
      </c>
      <c r="B17">
        <v>2019</v>
      </c>
      <c r="C17">
        <v>30</v>
      </c>
    </row>
    <row r="18" spans="1:3" x14ac:dyDescent="0.35">
      <c r="A18" t="s">
        <v>110</v>
      </c>
      <c r="B18">
        <v>2020</v>
      </c>
      <c r="C18">
        <v>70</v>
      </c>
    </row>
    <row r="19" spans="1:3" x14ac:dyDescent="0.35">
      <c r="A19" t="s">
        <v>110</v>
      </c>
      <c r="B19">
        <v>2021</v>
      </c>
      <c r="C19">
        <v>65</v>
      </c>
    </row>
    <row r="20" spans="1:3" x14ac:dyDescent="0.35">
      <c r="A20" t="s">
        <v>110</v>
      </c>
      <c r="B20">
        <v>2022</v>
      </c>
      <c r="C20">
        <v>79</v>
      </c>
    </row>
    <row r="21" spans="1:3" x14ac:dyDescent="0.35">
      <c r="A21" t="s">
        <v>110</v>
      </c>
      <c r="B21">
        <v>2023</v>
      </c>
      <c r="C21">
        <v>61</v>
      </c>
    </row>
    <row r="22" spans="1:3" x14ac:dyDescent="0.35">
      <c r="A22" t="s">
        <v>110</v>
      </c>
      <c r="B22">
        <v>2024</v>
      </c>
      <c r="C22">
        <v>97</v>
      </c>
    </row>
    <row r="23" spans="1:3" x14ac:dyDescent="0.35">
      <c r="A23" t="s">
        <v>110</v>
      </c>
      <c r="B23">
        <v>2025</v>
      </c>
      <c r="C23">
        <v>121</v>
      </c>
    </row>
    <row r="24" spans="1:3" x14ac:dyDescent="0.35">
      <c r="A24" t="s">
        <v>111</v>
      </c>
      <c r="B24">
        <v>2015</v>
      </c>
      <c r="C24">
        <v>106</v>
      </c>
    </row>
    <row r="25" spans="1:3" x14ac:dyDescent="0.35">
      <c r="A25" t="s">
        <v>111</v>
      </c>
      <c r="B25">
        <v>2016</v>
      </c>
      <c r="C25">
        <v>168</v>
      </c>
    </row>
    <row r="26" spans="1:3" x14ac:dyDescent="0.35">
      <c r="A26" t="s">
        <v>111</v>
      </c>
      <c r="B26">
        <v>2017</v>
      </c>
      <c r="C26">
        <v>245</v>
      </c>
    </row>
    <row r="27" spans="1:3" x14ac:dyDescent="0.35">
      <c r="A27" t="s">
        <v>111</v>
      </c>
      <c r="B27">
        <v>2018</v>
      </c>
      <c r="C27">
        <v>265</v>
      </c>
    </row>
    <row r="28" spans="1:3" x14ac:dyDescent="0.35">
      <c r="A28" t="s">
        <v>111</v>
      </c>
      <c r="B28">
        <v>2019</v>
      </c>
      <c r="C28">
        <v>389</v>
      </c>
    </row>
    <row r="29" spans="1:3" x14ac:dyDescent="0.35">
      <c r="A29" t="s">
        <v>111</v>
      </c>
      <c r="B29">
        <v>2020</v>
      </c>
      <c r="C29">
        <v>404</v>
      </c>
    </row>
    <row r="30" spans="1:3" x14ac:dyDescent="0.35">
      <c r="A30" t="s">
        <v>111</v>
      </c>
      <c r="B30">
        <v>2021</v>
      </c>
      <c r="C30">
        <v>710</v>
      </c>
    </row>
    <row r="31" spans="1:3" x14ac:dyDescent="0.35">
      <c r="A31" t="s">
        <v>111</v>
      </c>
      <c r="B31">
        <v>2022</v>
      </c>
      <c r="C31">
        <v>886</v>
      </c>
    </row>
    <row r="32" spans="1:3" x14ac:dyDescent="0.35">
      <c r="A32" t="s">
        <v>111</v>
      </c>
      <c r="B32">
        <v>2023</v>
      </c>
      <c r="C32">
        <v>846</v>
      </c>
    </row>
    <row r="33" spans="1:3" x14ac:dyDescent="0.35">
      <c r="A33" t="s">
        <v>111</v>
      </c>
      <c r="B33">
        <v>2024</v>
      </c>
      <c r="C33">
        <v>791</v>
      </c>
    </row>
    <row r="34" spans="1:3" x14ac:dyDescent="0.35">
      <c r="A34" t="s">
        <v>111</v>
      </c>
      <c r="B34">
        <v>2025</v>
      </c>
      <c r="C34">
        <v>818</v>
      </c>
    </row>
    <row r="35" spans="1:3" x14ac:dyDescent="0.35">
      <c r="A35" t="s">
        <v>112</v>
      </c>
      <c r="B35">
        <v>2015</v>
      </c>
      <c r="C35">
        <v>67</v>
      </c>
    </row>
    <row r="36" spans="1:3" x14ac:dyDescent="0.35">
      <c r="A36" t="s">
        <v>112</v>
      </c>
      <c r="B36">
        <v>2016</v>
      </c>
      <c r="C36">
        <v>91</v>
      </c>
    </row>
    <row r="37" spans="1:3" x14ac:dyDescent="0.35">
      <c r="A37" t="s">
        <v>112</v>
      </c>
      <c r="B37">
        <v>2017</v>
      </c>
      <c r="C37">
        <v>89</v>
      </c>
    </row>
    <row r="38" spans="1:3" x14ac:dyDescent="0.35">
      <c r="A38" t="s">
        <v>112</v>
      </c>
      <c r="B38">
        <v>2018</v>
      </c>
      <c r="C38">
        <v>109</v>
      </c>
    </row>
    <row r="39" spans="1:3" x14ac:dyDescent="0.35">
      <c r="A39" t="s">
        <v>112</v>
      </c>
      <c r="B39">
        <v>2019</v>
      </c>
      <c r="C39">
        <v>138</v>
      </c>
    </row>
    <row r="40" spans="1:3" x14ac:dyDescent="0.35">
      <c r="A40" t="s">
        <v>112</v>
      </c>
      <c r="B40">
        <v>2020</v>
      </c>
      <c r="C40">
        <v>161</v>
      </c>
    </row>
    <row r="41" spans="1:3" x14ac:dyDescent="0.35">
      <c r="A41" t="s">
        <v>112</v>
      </c>
      <c r="B41">
        <v>2021</v>
      </c>
      <c r="C41">
        <v>272</v>
      </c>
    </row>
    <row r="42" spans="1:3" x14ac:dyDescent="0.35">
      <c r="A42" t="s">
        <v>112</v>
      </c>
      <c r="B42">
        <v>2022</v>
      </c>
      <c r="C42">
        <v>227</v>
      </c>
    </row>
    <row r="43" spans="1:3" x14ac:dyDescent="0.35">
      <c r="A43" t="s">
        <v>112</v>
      </c>
      <c r="B43">
        <v>2023</v>
      </c>
      <c r="C43">
        <v>307</v>
      </c>
    </row>
    <row r="44" spans="1:3" x14ac:dyDescent="0.35">
      <c r="A44" t="s">
        <v>112</v>
      </c>
      <c r="B44">
        <v>2024</v>
      </c>
      <c r="C44">
        <v>258</v>
      </c>
    </row>
    <row r="45" spans="1:3" x14ac:dyDescent="0.35">
      <c r="A45" t="s">
        <v>112</v>
      </c>
      <c r="B45">
        <v>2025</v>
      </c>
      <c r="C45">
        <v>298</v>
      </c>
    </row>
    <row r="46" spans="1:3" x14ac:dyDescent="0.35">
      <c r="A46" t="s">
        <v>113</v>
      </c>
      <c r="B46">
        <v>2015</v>
      </c>
      <c r="C46">
        <v>81</v>
      </c>
    </row>
    <row r="47" spans="1:3" x14ac:dyDescent="0.35">
      <c r="A47" t="s">
        <v>113</v>
      </c>
      <c r="B47">
        <v>2016</v>
      </c>
      <c r="C47">
        <v>172</v>
      </c>
    </row>
    <row r="48" spans="1:3" x14ac:dyDescent="0.35">
      <c r="A48" t="s">
        <v>113</v>
      </c>
      <c r="B48">
        <v>2017</v>
      </c>
      <c r="C48">
        <v>260</v>
      </c>
    </row>
    <row r="49" spans="1:3" x14ac:dyDescent="0.35">
      <c r="A49" t="s">
        <v>113</v>
      </c>
      <c r="B49">
        <v>2018</v>
      </c>
      <c r="C49">
        <v>274</v>
      </c>
    </row>
    <row r="50" spans="1:3" x14ac:dyDescent="0.35">
      <c r="A50" t="s">
        <v>113</v>
      </c>
      <c r="B50">
        <v>2019</v>
      </c>
      <c r="C50">
        <v>264</v>
      </c>
    </row>
    <row r="51" spans="1:3" x14ac:dyDescent="0.35">
      <c r="A51" t="s">
        <v>113</v>
      </c>
      <c r="B51">
        <v>2020</v>
      </c>
      <c r="C51">
        <v>315</v>
      </c>
    </row>
    <row r="52" spans="1:3" x14ac:dyDescent="0.35">
      <c r="A52" t="s">
        <v>113</v>
      </c>
      <c r="B52">
        <v>2021</v>
      </c>
      <c r="C52">
        <v>377</v>
      </c>
    </row>
    <row r="53" spans="1:3" x14ac:dyDescent="0.35">
      <c r="A53" t="s">
        <v>113</v>
      </c>
      <c r="B53">
        <v>2022</v>
      </c>
      <c r="C53">
        <v>496</v>
      </c>
    </row>
    <row r="54" spans="1:3" x14ac:dyDescent="0.35">
      <c r="A54" t="s">
        <v>113</v>
      </c>
      <c r="B54">
        <v>2023</v>
      </c>
      <c r="C54">
        <v>523</v>
      </c>
    </row>
    <row r="55" spans="1:3" x14ac:dyDescent="0.35">
      <c r="A55" t="s">
        <v>113</v>
      </c>
      <c r="B55">
        <v>2024</v>
      </c>
      <c r="C55">
        <v>569</v>
      </c>
    </row>
    <row r="56" spans="1:3" x14ac:dyDescent="0.35">
      <c r="A56" t="s">
        <v>113</v>
      </c>
      <c r="B56">
        <v>2025</v>
      </c>
      <c r="C56">
        <v>527</v>
      </c>
    </row>
    <row r="57" spans="1:3" x14ac:dyDescent="0.35">
      <c r="A57" t="s">
        <v>114</v>
      </c>
      <c r="B57">
        <v>2015</v>
      </c>
      <c r="C57">
        <v>34</v>
      </c>
    </row>
    <row r="58" spans="1:3" x14ac:dyDescent="0.35">
      <c r="A58" t="s">
        <v>114</v>
      </c>
      <c r="B58">
        <v>2016</v>
      </c>
      <c r="C58">
        <v>26</v>
      </c>
    </row>
    <row r="59" spans="1:3" x14ac:dyDescent="0.35">
      <c r="A59" t="s">
        <v>114</v>
      </c>
      <c r="B59">
        <v>2017</v>
      </c>
      <c r="C59">
        <v>26</v>
      </c>
    </row>
    <row r="60" spans="1:3" x14ac:dyDescent="0.35">
      <c r="A60" t="s">
        <v>114</v>
      </c>
      <c r="B60">
        <v>2018</v>
      </c>
      <c r="C60">
        <v>44</v>
      </c>
    </row>
    <row r="61" spans="1:3" x14ac:dyDescent="0.35">
      <c r="A61" t="s">
        <v>114</v>
      </c>
      <c r="B61">
        <v>2019</v>
      </c>
      <c r="C61">
        <v>42</v>
      </c>
    </row>
    <row r="62" spans="1:3" x14ac:dyDescent="0.35">
      <c r="A62" t="s">
        <v>114</v>
      </c>
      <c r="B62">
        <v>2020</v>
      </c>
      <c r="C62">
        <v>55</v>
      </c>
    </row>
    <row r="63" spans="1:3" x14ac:dyDescent="0.35">
      <c r="A63" t="s">
        <v>114</v>
      </c>
      <c r="B63">
        <v>2021</v>
      </c>
      <c r="C63">
        <v>108</v>
      </c>
    </row>
    <row r="64" spans="1:3" x14ac:dyDescent="0.35">
      <c r="A64" t="s">
        <v>114</v>
      </c>
      <c r="B64">
        <v>2022</v>
      </c>
      <c r="C64">
        <v>104</v>
      </c>
    </row>
    <row r="65" spans="1:3" x14ac:dyDescent="0.35">
      <c r="A65" t="s">
        <v>114</v>
      </c>
      <c r="B65">
        <v>2023</v>
      </c>
      <c r="C65">
        <v>103</v>
      </c>
    </row>
    <row r="66" spans="1:3" x14ac:dyDescent="0.35">
      <c r="A66" t="s">
        <v>114</v>
      </c>
      <c r="B66">
        <v>2024</v>
      </c>
      <c r="C66">
        <v>162</v>
      </c>
    </row>
    <row r="67" spans="1:3" x14ac:dyDescent="0.35">
      <c r="A67" t="s">
        <v>114</v>
      </c>
      <c r="B67">
        <v>2025</v>
      </c>
      <c r="C67">
        <v>243</v>
      </c>
    </row>
    <row r="68" spans="1:3" x14ac:dyDescent="0.35">
      <c r="A68" t="s">
        <v>115</v>
      </c>
      <c r="B68">
        <v>2015</v>
      </c>
      <c r="C68">
        <v>38</v>
      </c>
    </row>
    <row r="69" spans="1:3" x14ac:dyDescent="0.35">
      <c r="A69" t="s">
        <v>115</v>
      </c>
      <c r="B69">
        <v>2016</v>
      </c>
      <c r="C69">
        <v>53</v>
      </c>
    </row>
    <row r="70" spans="1:3" x14ac:dyDescent="0.35">
      <c r="A70" t="s">
        <v>115</v>
      </c>
      <c r="B70">
        <v>2017</v>
      </c>
      <c r="C70">
        <v>60</v>
      </c>
    </row>
    <row r="71" spans="1:3" x14ac:dyDescent="0.35">
      <c r="A71" t="s">
        <v>115</v>
      </c>
      <c r="B71">
        <v>2018</v>
      </c>
      <c r="C71">
        <v>76</v>
      </c>
    </row>
    <row r="72" spans="1:3" x14ac:dyDescent="0.35">
      <c r="A72" t="s">
        <v>115</v>
      </c>
      <c r="B72">
        <v>2019</v>
      </c>
      <c r="C72">
        <v>82</v>
      </c>
    </row>
    <row r="73" spans="1:3" x14ac:dyDescent="0.35">
      <c r="A73" t="s">
        <v>115</v>
      </c>
      <c r="B73">
        <v>2020</v>
      </c>
      <c r="C73">
        <v>133</v>
      </c>
    </row>
    <row r="74" spans="1:3" x14ac:dyDescent="0.35">
      <c r="A74" t="s">
        <v>115</v>
      </c>
      <c r="B74">
        <v>2021</v>
      </c>
      <c r="C74">
        <v>150</v>
      </c>
    </row>
    <row r="75" spans="1:3" x14ac:dyDescent="0.35">
      <c r="A75" t="s">
        <v>115</v>
      </c>
      <c r="B75">
        <v>2022</v>
      </c>
      <c r="C75">
        <v>185</v>
      </c>
    </row>
    <row r="76" spans="1:3" x14ac:dyDescent="0.35">
      <c r="A76" t="s">
        <v>115</v>
      </c>
      <c r="B76">
        <v>2023</v>
      </c>
      <c r="C76">
        <v>180</v>
      </c>
    </row>
    <row r="77" spans="1:3" x14ac:dyDescent="0.35">
      <c r="A77" t="s">
        <v>115</v>
      </c>
      <c r="B77">
        <v>2024</v>
      </c>
      <c r="C77">
        <v>183</v>
      </c>
    </row>
    <row r="78" spans="1:3" x14ac:dyDescent="0.35">
      <c r="A78" t="s">
        <v>115</v>
      </c>
      <c r="B78">
        <v>2025</v>
      </c>
      <c r="C78">
        <v>221</v>
      </c>
    </row>
    <row r="79" spans="1:3" x14ac:dyDescent="0.35">
      <c r="A79" t="s">
        <v>155</v>
      </c>
      <c r="B79">
        <v>2015</v>
      </c>
      <c r="C79">
        <v>26</v>
      </c>
    </row>
    <row r="80" spans="1:3" x14ac:dyDescent="0.35">
      <c r="A80" t="s">
        <v>155</v>
      </c>
      <c r="B80">
        <v>2016</v>
      </c>
      <c r="C80">
        <v>23</v>
      </c>
    </row>
    <row r="81" spans="1:3" x14ac:dyDescent="0.35">
      <c r="A81" t="s">
        <v>155</v>
      </c>
      <c r="B81">
        <v>2017</v>
      </c>
      <c r="C81">
        <v>46</v>
      </c>
    </row>
    <row r="82" spans="1:3" x14ac:dyDescent="0.35">
      <c r="A82" t="s">
        <v>155</v>
      </c>
      <c r="B82">
        <v>2018</v>
      </c>
      <c r="C82">
        <v>55</v>
      </c>
    </row>
    <row r="83" spans="1:3" x14ac:dyDescent="0.35">
      <c r="A83" t="s">
        <v>155</v>
      </c>
      <c r="B83">
        <v>2019</v>
      </c>
      <c r="C83">
        <v>77</v>
      </c>
    </row>
    <row r="84" spans="1:3" x14ac:dyDescent="0.35">
      <c r="A84" t="s">
        <v>155</v>
      </c>
      <c r="B84">
        <v>2020</v>
      </c>
      <c r="C84">
        <v>72</v>
      </c>
    </row>
    <row r="85" spans="1:3" x14ac:dyDescent="0.35">
      <c r="A85" t="s">
        <v>155</v>
      </c>
      <c r="B85">
        <v>2021</v>
      </c>
      <c r="C85">
        <v>71</v>
      </c>
    </row>
    <row r="86" spans="1:3" x14ac:dyDescent="0.35">
      <c r="A86" t="s">
        <v>155</v>
      </c>
      <c r="B86">
        <v>2022</v>
      </c>
      <c r="C86">
        <v>70</v>
      </c>
    </row>
    <row r="87" spans="1:3" x14ac:dyDescent="0.35">
      <c r="A87" t="s">
        <v>155</v>
      </c>
      <c r="B87">
        <v>2023</v>
      </c>
      <c r="C87">
        <v>67</v>
      </c>
    </row>
    <row r="88" spans="1:3" x14ac:dyDescent="0.35">
      <c r="A88" t="s">
        <v>155</v>
      </c>
      <c r="B88">
        <v>2024</v>
      </c>
      <c r="C88">
        <v>129</v>
      </c>
    </row>
    <row r="89" spans="1:3" x14ac:dyDescent="0.35">
      <c r="A89" t="s">
        <v>155</v>
      </c>
      <c r="B89">
        <v>2025</v>
      </c>
      <c r="C89">
        <v>70</v>
      </c>
    </row>
    <row r="90" spans="1:3" x14ac:dyDescent="0.35">
      <c r="A90" t="s">
        <v>156</v>
      </c>
      <c r="B90">
        <v>2015</v>
      </c>
      <c r="C90">
        <v>29</v>
      </c>
    </row>
    <row r="91" spans="1:3" x14ac:dyDescent="0.35">
      <c r="A91" t="s">
        <v>156</v>
      </c>
      <c r="B91">
        <v>2016</v>
      </c>
      <c r="C91">
        <v>36</v>
      </c>
    </row>
    <row r="92" spans="1:3" x14ac:dyDescent="0.35">
      <c r="A92" t="s">
        <v>156</v>
      </c>
      <c r="B92">
        <v>2017</v>
      </c>
      <c r="C92">
        <v>55</v>
      </c>
    </row>
    <row r="93" spans="1:3" x14ac:dyDescent="0.35">
      <c r="A93" t="s">
        <v>156</v>
      </c>
      <c r="B93">
        <v>2018</v>
      </c>
      <c r="C93">
        <v>49</v>
      </c>
    </row>
    <row r="94" spans="1:3" x14ac:dyDescent="0.35">
      <c r="A94" t="s">
        <v>156</v>
      </c>
      <c r="B94">
        <v>2019</v>
      </c>
      <c r="C94">
        <v>65</v>
      </c>
    </row>
    <row r="95" spans="1:3" x14ac:dyDescent="0.35">
      <c r="A95" t="s">
        <v>156</v>
      </c>
      <c r="B95">
        <v>2020</v>
      </c>
      <c r="C95">
        <v>61</v>
      </c>
    </row>
    <row r="96" spans="1:3" x14ac:dyDescent="0.35">
      <c r="A96" t="s">
        <v>156</v>
      </c>
      <c r="B96">
        <v>2021</v>
      </c>
      <c r="C96">
        <v>86</v>
      </c>
    </row>
    <row r="97" spans="1:3" x14ac:dyDescent="0.35">
      <c r="A97" t="s">
        <v>156</v>
      </c>
      <c r="B97">
        <v>2022</v>
      </c>
      <c r="C97">
        <v>99</v>
      </c>
    </row>
    <row r="98" spans="1:3" x14ac:dyDescent="0.35">
      <c r="A98" t="s">
        <v>156</v>
      </c>
      <c r="B98">
        <v>2023</v>
      </c>
      <c r="C98">
        <v>64</v>
      </c>
    </row>
    <row r="99" spans="1:3" x14ac:dyDescent="0.35">
      <c r="A99" t="s">
        <v>156</v>
      </c>
      <c r="B99">
        <v>2024</v>
      </c>
      <c r="C99">
        <v>91</v>
      </c>
    </row>
    <row r="100" spans="1:3" x14ac:dyDescent="0.35">
      <c r="A100" t="s">
        <v>156</v>
      </c>
      <c r="B100">
        <v>2025</v>
      </c>
      <c r="C100">
        <v>89</v>
      </c>
    </row>
    <row r="101" spans="1:3" x14ac:dyDescent="0.35">
      <c r="A101" t="s">
        <v>157</v>
      </c>
      <c r="B101">
        <v>2015</v>
      </c>
      <c r="C101">
        <v>23</v>
      </c>
    </row>
    <row r="102" spans="1:3" x14ac:dyDescent="0.35">
      <c r="A102" t="s">
        <v>157</v>
      </c>
      <c r="B102">
        <v>2016</v>
      </c>
      <c r="C102">
        <v>26</v>
      </c>
    </row>
    <row r="103" spans="1:3" x14ac:dyDescent="0.35">
      <c r="A103" t="s">
        <v>157</v>
      </c>
      <c r="B103">
        <v>2017</v>
      </c>
      <c r="C103">
        <v>22</v>
      </c>
    </row>
    <row r="104" spans="1:3" x14ac:dyDescent="0.35">
      <c r="A104" t="s">
        <v>157</v>
      </c>
      <c r="B104">
        <v>2018</v>
      </c>
      <c r="C104">
        <v>40</v>
      </c>
    </row>
    <row r="105" spans="1:3" x14ac:dyDescent="0.35">
      <c r="A105" t="s">
        <v>157</v>
      </c>
      <c r="B105">
        <v>2019</v>
      </c>
      <c r="C105">
        <v>73</v>
      </c>
    </row>
    <row r="106" spans="1:3" x14ac:dyDescent="0.35">
      <c r="A106" t="s">
        <v>157</v>
      </c>
      <c r="B106">
        <v>2020</v>
      </c>
      <c r="C106">
        <v>46</v>
      </c>
    </row>
    <row r="107" spans="1:3" x14ac:dyDescent="0.35">
      <c r="A107" t="s">
        <v>157</v>
      </c>
      <c r="B107">
        <v>2021</v>
      </c>
      <c r="C107">
        <v>80</v>
      </c>
    </row>
    <row r="108" spans="1:3" x14ac:dyDescent="0.35">
      <c r="A108" t="s">
        <v>157</v>
      </c>
      <c r="B108">
        <v>2022</v>
      </c>
      <c r="C108">
        <v>84</v>
      </c>
    </row>
    <row r="109" spans="1:3" x14ac:dyDescent="0.35">
      <c r="A109" t="s">
        <v>157</v>
      </c>
      <c r="B109">
        <v>2023</v>
      </c>
      <c r="C109">
        <v>46</v>
      </c>
    </row>
    <row r="110" spans="1:3" x14ac:dyDescent="0.35">
      <c r="A110" t="s">
        <v>157</v>
      </c>
      <c r="B110">
        <v>2024</v>
      </c>
      <c r="C110">
        <v>60</v>
      </c>
    </row>
    <row r="111" spans="1:3" x14ac:dyDescent="0.35">
      <c r="A111" t="s">
        <v>157</v>
      </c>
      <c r="B111">
        <v>2025</v>
      </c>
      <c r="C111">
        <v>39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0.39997558519241921"/>
  </sheetPr>
  <dimension ref="A1:V269"/>
  <sheetViews>
    <sheetView workbookViewId="0">
      <selection activeCell="A16" sqref="A16"/>
    </sheetView>
  </sheetViews>
  <sheetFormatPr defaultRowHeight="14.5" x14ac:dyDescent="0.35"/>
  <cols>
    <col min="2" max="2" width="4.81640625" bestFit="1" customWidth="1"/>
  </cols>
  <sheetData>
    <row r="1" spans="1:22" x14ac:dyDescent="0.35">
      <c r="A1" t="s">
        <v>0</v>
      </c>
      <c r="B1" t="s">
        <v>116</v>
      </c>
      <c r="C1" t="s">
        <v>124</v>
      </c>
      <c r="D1" t="s">
        <v>125</v>
      </c>
      <c r="E1" t="s">
        <v>126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127</v>
      </c>
      <c r="L1" t="s">
        <v>169</v>
      </c>
      <c r="M1" t="s">
        <v>170</v>
      </c>
      <c r="O1" t="s">
        <v>169</v>
      </c>
      <c r="V1" t="s">
        <v>170</v>
      </c>
    </row>
    <row r="2" spans="1:2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(SUM(C2:J2)/K2)</f>
        <v>8.831044110282401E-3</v>
      </c>
      <c r="M2">
        <f>(SUM(F2:J2)/K2)</f>
        <v>2.045100768191273E-3</v>
      </c>
    </row>
    <row r="3" spans="1:22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ref="L3:L70" si="0">(SUM(C3:J3)/K3)</f>
        <v>7.9978534570788011E-3</v>
      </c>
      <c r="M3">
        <f t="shared" ref="M3:M26" si="1">(SUM(F3:J3)/K3)</f>
        <v>1.9664095408418541E-3</v>
      </c>
    </row>
    <row r="4" spans="1:22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7.6996050890640981E-3</v>
      </c>
      <c r="M4">
        <f t="shared" si="1"/>
        <v>1.346125055138405E-3</v>
      </c>
    </row>
    <row r="5" spans="1:2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  <c r="M5">
        <f t="shared" si="1"/>
        <v>1.3053389570574744E-3</v>
      </c>
    </row>
    <row r="6" spans="1:2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  <c r="M6">
        <f t="shared" si="1"/>
        <v>1.7876614175192727E-3</v>
      </c>
    </row>
    <row r="7" spans="1:2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  <c r="M7">
        <f t="shared" si="1"/>
        <v>1.4944604918183473E-3</v>
      </c>
    </row>
    <row r="8" spans="1:2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  <c r="M8">
        <f t="shared" si="1"/>
        <v>1.6229619490547181E-3</v>
      </c>
    </row>
    <row r="9" spans="1:2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6.4135285662317125E-3</v>
      </c>
      <c r="M9">
        <f t="shared" si="1"/>
        <v>2.2844523547747224E-3</v>
      </c>
    </row>
    <row r="10" spans="1:2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  <c r="M10">
        <f t="shared" si="1"/>
        <v>1.9209244463514749E-3</v>
      </c>
    </row>
    <row r="11" spans="1:2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5.6745579005316746E-3</v>
      </c>
      <c r="M11">
        <f t="shared" si="1"/>
        <v>2.2012722725014782E-3</v>
      </c>
    </row>
    <row r="12" spans="1:2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  <c r="M12">
        <f t="shared" si="1"/>
        <v>3.4120861817458119E-3</v>
      </c>
    </row>
    <row r="13" spans="1:2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  <c r="M13">
        <f t="shared" si="1"/>
        <v>3.4301060676151032E-3</v>
      </c>
    </row>
    <row r="14" spans="1:2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  <c r="M14">
        <f t="shared" si="1"/>
        <v>2.9413274628074908E-3</v>
      </c>
    </row>
    <row r="15" spans="1:2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  <c r="M15">
        <f t="shared" si="1"/>
        <v>2.680125065045206E-3</v>
      </c>
    </row>
    <row r="16" spans="1:2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5.2414028038574598E-3</v>
      </c>
      <c r="M16">
        <f t="shared" si="1"/>
        <v>2.8586461311444029E-3</v>
      </c>
    </row>
    <row r="17" spans="1:16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  <c r="M17">
        <f t="shared" si="1"/>
        <v>3.623667777585765E-3</v>
      </c>
      <c r="O17" t="s">
        <v>161</v>
      </c>
    </row>
    <row r="18" spans="1:16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  <c r="M18">
        <f t="shared" si="1"/>
        <v>3.4384380685274275E-3</v>
      </c>
      <c r="O18" t="s">
        <v>162</v>
      </c>
    </row>
    <row r="19" spans="1:16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  <c r="M19">
        <f t="shared" si="1"/>
        <v>3.5493188716351006E-3</v>
      </c>
      <c r="O19" t="s">
        <v>163</v>
      </c>
    </row>
    <row r="20" spans="1:16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  <c r="M20">
        <f t="shared" si="1"/>
        <v>4.3076993998541029E-3</v>
      </c>
    </row>
    <row r="21" spans="1:16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  <c r="M21">
        <f t="shared" si="1"/>
        <v>4.4881103447364339E-3</v>
      </c>
      <c r="O21">
        <v>848610</v>
      </c>
      <c r="P21" t="s">
        <v>164</v>
      </c>
    </row>
    <row r="22" spans="1:16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  <c r="M22">
        <f t="shared" si="1"/>
        <v>6.6061201274963234E-3</v>
      </c>
      <c r="O22">
        <v>848620</v>
      </c>
      <c r="P22" t="s">
        <v>165</v>
      </c>
    </row>
    <row r="23" spans="1:16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8.943056702231925E-3</v>
      </c>
      <c r="M23">
        <f t="shared" si="1"/>
        <v>7.0013277951317277E-3</v>
      </c>
      <c r="O23">
        <v>848630</v>
      </c>
      <c r="P23" t="s">
        <v>166</v>
      </c>
    </row>
    <row r="24" spans="1:16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  <c r="M24">
        <f t="shared" si="1"/>
        <v>7.0810615793588348E-3</v>
      </c>
      <c r="O24">
        <v>848640</v>
      </c>
      <c r="P24" t="s">
        <v>167</v>
      </c>
    </row>
    <row r="25" spans="1:16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  <c r="M25">
        <f t="shared" si="1"/>
        <v>8.3404848006125142E-3</v>
      </c>
      <c r="O25">
        <v>848690</v>
      </c>
      <c r="P25" t="s">
        <v>168</v>
      </c>
    </row>
    <row r="26" spans="1:16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  <c r="M26">
        <f t="shared" si="1"/>
        <v>9.4171695532752984E-3</v>
      </c>
    </row>
    <row r="29" spans="1:16" x14ac:dyDescent="0.35">
      <c r="A29" t="s">
        <v>110</v>
      </c>
      <c r="B29">
        <v>2000</v>
      </c>
      <c r="C29">
        <v>200.57600253286699</v>
      </c>
      <c r="D29">
        <v>177.27627002132701</v>
      </c>
      <c r="E29">
        <v>813.35273672818903</v>
      </c>
      <c r="F29">
        <v>0.22509260693373501</v>
      </c>
      <c r="G29">
        <v>2.42109442267131</v>
      </c>
      <c r="H29">
        <v>0.20868769736977799</v>
      </c>
      <c r="I29">
        <v>0.32435691270178901</v>
      </c>
      <c r="J29">
        <v>53.755465566743098</v>
      </c>
      <c r="K29">
        <v>165177.054025586</v>
      </c>
      <c r="L29">
        <f t="shared" si="0"/>
        <v>7.5563746662745618E-3</v>
      </c>
      <c r="M29">
        <f t="shared" ref="M29:M53" si="2">(SUM(F29:J29)/K29)</f>
        <v>3.446889009026672E-4</v>
      </c>
    </row>
    <row r="30" spans="1:16" x14ac:dyDescent="0.35">
      <c r="A30" t="s">
        <v>110</v>
      </c>
      <c r="B30">
        <v>2001</v>
      </c>
      <c r="C30">
        <v>153.394010374651</v>
      </c>
      <c r="D30">
        <v>160.26583294992199</v>
      </c>
      <c r="E30">
        <v>761.99435393091096</v>
      </c>
      <c r="F30">
        <v>0.26237650096875897</v>
      </c>
      <c r="G30">
        <v>1.7524947677302101</v>
      </c>
      <c r="H30">
        <v>0.22427519545614599</v>
      </c>
      <c r="I30">
        <v>0.400190358221512</v>
      </c>
      <c r="J30">
        <v>59.320826358453701</v>
      </c>
      <c r="K30">
        <v>167678.397567237</v>
      </c>
      <c r="L30">
        <f t="shared" si="0"/>
        <v>6.7845016229961565E-3</v>
      </c>
      <c r="M30">
        <f t="shared" si="2"/>
        <v>3.6951786324165614E-4</v>
      </c>
    </row>
    <row r="31" spans="1:16" x14ac:dyDescent="0.35">
      <c r="A31" t="s">
        <v>110</v>
      </c>
      <c r="B31">
        <v>2002</v>
      </c>
      <c r="C31">
        <v>110.276207279433</v>
      </c>
      <c r="D31">
        <v>143.73030950842301</v>
      </c>
      <c r="E31">
        <v>797.55599634521604</v>
      </c>
      <c r="F31">
        <v>0.230243064457888</v>
      </c>
      <c r="G31">
        <v>1.5120109737905401</v>
      </c>
      <c r="H31">
        <v>0.24126990431352099</v>
      </c>
      <c r="I31">
        <v>0.72014773486622397</v>
      </c>
      <c r="J31">
        <v>9.2332811920838207</v>
      </c>
      <c r="K31">
        <v>183402.22482475301</v>
      </c>
      <c r="L31">
        <f t="shared" si="0"/>
        <v>5.7987271802116538E-3</v>
      </c>
      <c r="M31">
        <f t="shared" si="2"/>
        <v>6.5086194460935005E-5</v>
      </c>
    </row>
    <row r="32" spans="1:16" x14ac:dyDescent="0.35">
      <c r="A32" t="s">
        <v>110</v>
      </c>
      <c r="B32">
        <v>2003</v>
      </c>
      <c r="C32">
        <v>112.392308880055</v>
      </c>
      <c r="D32">
        <v>101.180195876103</v>
      </c>
      <c r="E32">
        <v>1060.4540111029401</v>
      </c>
      <c r="F32">
        <v>0.281865823388188</v>
      </c>
      <c r="G32">
        <v>1.4459517088420399</v>
      </c>
      <c r="H32">
        <v>0.26104026838352001</v>
      </c>
      <c r="I32">
        <v>0.54459432885082804</v>
      </c>
      <c r="J32">
        <v>14.1061163775615</v>
      </c>
      <c r="K32">
        <v>218959.812376396</v>
      </c>
      <c r="L32">
        <f t="shared" si="0"/>
        <v>5.8945341172810519E-3</v>
      </c>
      <c r="M32">
        <f t="shared" si="2"/>
        <v>7.5993710107964227E-5</v>
      </c>
    </row>
    <row r="33" spans="1:13" x14ac:dyDescent="0.35">
      <c r="A33" t="s">
        <v>110</v>
      </c>
      <c r="B33">
        <v>2004</v>
      </c>
      <c r="C33">
        <v>106.214500234504</v>
      </c>
      <c r="D33">
        <v>163.30054505861699</v>
      </c>
      <c r="E33">
        <v>1113.150640954</v>
      </c>
      <c r="F33">
        <v>0.38260237279408599</v>
      </c>
      <c r="G33">
        <v>0.95242093431075503</v>
      </c>
      <c r="H33">
        <v>0.52967125035931595</v>
      </c>
      <c r="I33">
        <v>0.49281006480192002</v>
      </c>
      <c r="J33">
        <v>18.8157547611195</v>
      </c>
      <c r="K33">
        <v>261055.86801148701</v>
      </c>
      <c r="L33">
        <f t="shared" si="0"/>
        <v>5.3775421955607394E-3</v>
      </c>
      <c r="M33">
        <f t="shared" si="2"/>
        <v>8.1106238081014558E-5</v>
      </c>
    </row>
    <row r="34" spans="1:13" x14ac:dyDescent="0.35">
      <c r="A34" t="s">
        <v>110</v>
      </c>
      <c r="B34">
        <v>2005</v>
      </c>
      <c r="C34">
        <v>106.112140878834</v>
      </c>
      <c r="D34">
        <v>212.98811247625099</v>
      </c>
      <c r="E34">
        <v>1268.17998988109</v>
      </c>
      <c r="F34">
        <v>0.37723371209614898</v>
      </c>
      <c r="G34">
        <v>1.0759620011093101</v>
      </c>
      <c r="H34">
        <v>0.38868076321045603</v>
      </c>
      <c r="I34">
        <v>0.70689558563213495</v>
      </c>
      <c r="J34">
        <v>18.917083319983501</v>
      </c>
      <c r="K34">
        <v>283298.846413864</v>
      </c>
      <c r="L34">
        <f t="shared" si="0"/>
        <v>5.6786186000490468E-3</v>
      </c>
      <c r="M34">
        <f t="shared" si="2"/>
        <v>7.5771065268203158E-5</v>
      </c>
    </row>
    <row r="35" spans="1:13" x14ac:dyDescent="0.35">
      <c r="A35" t="s">
        <v>110</v>
      </c>
      <c r="B35">
        <v>2006</v>
      </c>
      <c r="C35">
        <v>92.390287108850302</v>
      </c>
      <c r="D35">
        <v>263.30781979079302</v>
      </c>
      <c r="E35">
        <v>1383.0129437798801</v>
      </c>
      <c r="F35">
        <v>0.34747405484850002</v>
      </c>
      <c r="G35">
        <v>3.02295719345764</v>
      </c>
      <c r="H35">
        <v>0.43660170003246301</v>
      </c>
      <c r="I35">
        <v>1.1144561521002101</v>
      </c>
      <c r="J35">
        <v>21.0548610160286</v>
      </c>
      <c r="K35">
        <v>314036.58013937401</v>
      </c>
      <c r="L35">
        <f t="shared" si="0"/>
        <v>5.619368928335664E-3</v>
      </c>
      <c r="M35">
        <f t="shared" si="2"/>
        <v>8.2717593297375517E-5</v>
      </c>
    </row>
    <row r="36" spans="1:13" x14ac:dyDescent="0.35">
      <c r="A36" t="s">
        <v>110</v>
      </c>
      <c r="B36">
        <v>2007</v>
      </c>
      <c r="C36">
        <v>95.922450462582901</v>
      </c>
      <c r="D36">
        <v>256.38815784154798</v>
      </c>
      <c r="E36">
        <v>453.71899767153701</v>
      </c>
      <c r="F36">
        <v>1.5456591365979899</v>
      </c>
      <c r="G36">
        <v>5.3194107468364997</v>
      </c>
      <c r="H36">
        <v>5.8711761504684796</v>
      </c>
      <c r="I36">
        <v>16.2224694625748</v>
      </c>
      <c r="J36">
        <v>27.674632448717901</v>
      </c>
      <c r="K36">
        <v>369636.57417981199</v>
      </c>
      <c r="L36">
        <f t="shared" si="0"/>
        <v>2.333813843597674E-3</v>
      </c>
      <c r="M36">
        <f t="shared" si="2"/>
        <v>1.5321359384108465E-4</v>
      </c>
    </row>
    <row r="37" spans="1:13" x14ac:dyDescent="0.35">
      <c r="A37" t="s">
        <v>110</v>
      </c>
      <c r="B37">
        <v>2008</v>
      </c>
      <c r="C37">
        <v>137.705836958834</v>
      </c>
      <c r="D37">
        <v>232.10847204988701</v>
      </c>
      <c r="E37">
        <v>490.734252747548</v>
      </c>
      <c r="F37">
        <v>2.8256825163116601</v>
      </c>
      <c r="G37">
        <v>57.5024200502436</v>
      </c>
      <c r="H37">
        <v>9.1998628989984894</v>
      </c>
      <c r="I37">
        <v>4.1699939870503702</v>
      </c>
      <c r="J37">
        <v>21.8112773786875</v>
      </c>
      <c r="K37">
        <v>404555.32438695797</v>
      </c>
      <c r="L37">
        <f t="shared" si="0"/>
        <v>2.3632312837219994E-3</v>
      </c>
      <c r="M37">
        <f t="shared" si="2"/>
        <v>2.3608448850851569E-4</v>
      </c>
    </row>
    <row r="38" spans="1:13" x14ac:dyDescent="0.35">
      <c r="A38" t="s">
        <v>110</v>
      </c>
      <c r="B38">
        <v>2009</v>
      </c>
      <c r="C38">
        <v>97.759443235930107</v>
      </c>
      <c r="D38">
        <v>167.54658461053799</v>
      </c>
      <c r="E38">
        <v>396.191947160182</v>
      </c>
      <c r="F38">
        <v>4.0075111591036698</v>
      </c>
      <c r="G38">
        <v>19.539871096234499</v>
      </c>
      <c r="H38">
        <v>9.8044495133989802</v>
      </c>
      <c r="I38">
        <v>2.5533265536339398</v>
      </c>
      <c r="J38">
        <v>13.091004654934901</v>
      </c>
      <c r="K38">
        <v>317340.397248925</v>
      </c>
      <c r="L38">
        <f t="shared" si="0"/>
        <v>2.2389022769976467E-3</v>
      </c>
      <c r="M38">
        <f t="shared" si="2"/>
        <v>1.5439623635081322E-4</v>
      </c>
    </row>
    <row r="39" spans="1:13" x14ac:dyDescent="0.35">
      <c r="A39" t="s">
        <v>110</v>
      </c>
      <c r="B39">
        <v>2010</v>
      </c>
      <c r="C39">
        <v>97.788662388996499</v>
      </c>
      <c r="D39">
        <v>132.174141409344</v>
      </c>
      <c r="E39">
        <v>253.900095463951</v>
      </c>
      <c r="F39">
        <v>1.5923044236102699</v>
      </c>
      <c r="G39">
        <v>5.4244845621042801</v>
      </c>
      <c r="H39">
        <v>8.8076351330660394</v>
      </c>
      <c r="I39">
        <v>3.3568021617246599</v>
      </c>
      <c r="J39">
        <v>19.189619537666498</v>
      </c>
      <c r="K39">
        <v>288732.480526692</v>
      </c>
      <c r="L39">
        <f t="shared" si="0"/>
        <v>1.8087114554200116E-3</v>
      </c>
      <c r="M39">
        <f t="shared" si="2"/>
        <v>1.3289410927436179E-4</v>
      </c>
    </row>
    <row r="40" spans="1:13" x14ac:dyDescent="0.35">
      <c r="A40" t="s">
        <v>110</v>
      </c>
      <c r="B40">
        <v>2011</v>
      </c>
      <c r="C40">
        <v>105.77507087926099</v>
      </c>
      <c r="D40">
        <v>113.01308205955399</v>
      </c>
      <c r="E40">
        <v>268.80660062937102</v>
      </c>
      <c r="F40">
        <v>1.0667433056531801</v>
      </c>
      <c r="G40">
        <v>96.269014412155798</v>
      </c>
      <c r="H40">
        <v>10.1128015891672</v>
      </c>
      <c r="I40">
        <v>2.61373739263529</v>
      </c>
      <c r="J40">
        <v>23.6184349808739</v>
      </c>
      <c r="K40">
        <v>347988.28694002598</v>
      </c>
      <c r="L40">
        <f t="shared" si="0"/>
        <v>1.7853344740759766E-3</v>
      </c>
      <c r="M40">
        <f t="shared" si="2"/>
        <v>3.8415296346892434E-4</v>
      </c>
    </row>
    <row r="41" spans="1:13" x14ac:dyDescent="0.35">
      <c r="A41" t="s">
        <v>110</v>
      </c>
      <c r="B41">
        <v>2012</v>
      </c>
      <c r="C41">
        <v>91.749353799961398</v>
      </c>
      <c r="D41">
        <v>99.228211749808906</v>
      </c>
      <c r="E41">
        <v>255.727008409148</v>
      </c>
      <c r="F41">
        <v>3.4831188187406501</v>
      </c>
      <c r="G41">
        <v>7.7114167426269198</v>
      </c>
      <c r="H41">
        <v>8.8764618911800994</v>
      </c>
      <c r="I41">
        <v>1.65120300442957</v>
      </c>
      <c r="J41">
        <v>23.6961578678556</v>
      </c>
      <c r="K41">
        <v>326688.647129916</v>
      </c>
      <c r="L41">
        <f t="shared" si="0"/>
        <v>1.5063974111351535E-3</v>
      </c>
      <c r="M41">
        <f t="shared" si="2"/>
        <v>1.390264361000922E-4</v>
      </c>
    </row>
    <row r="42" spans="1:13" x14ac:dyDescent="0.35">
      <c r="A42" t="s">
        <v>110</v>
      </c>
      <c r="B42">
        <v>2013</v>
      </c>
      <c r="C42">
        <v>166.928379708752</v>
      </c>
      <c r="D42">
        <v>83.166240163070597</v>
      </c>
      <c r="E42">
        <v>248.41351086798099</v>
      </c>
      <c r="F42">
        <v>0.19962214891250801</v>
      </c>
      <c r="G42">
        <v>10.574948399925599</v>
      </c>
      <c r="H42">
        <v>4.5434583760852902</v>
      </c>
      <c r="I42">
        <v>1.1285800693397301</v>
      </c>
      <c r="J42">
        <v>21.350754675064302</v>
      </c>
      <c r="K42">
        <v>338142.692588203</v>
      </c>
      <c r="L42">
        <f t="shared" si="0"/>
        <v>1.5860330746885448E-3</v>
      </c>
      <c r="M42">
        <f t="shared" si="2"/>
        <v>1.1177933014024297E-4</v>
      </c>
    </row>
    <row r="43" spans="1:13" x14ac:dyDescent="0.35">
      <c r="A43" t="s">
        <v>110</v>
      </c>
      <c r="B43">
        <v>2014</v>
      </c>
      <c r="C43">
        <v>279.94902725045898</v>
      </c>
      <c r="D43">
        <v>80.249982688765201</v>
      </c>
      <c r="E43">
        <v>227.26486320395799</v>
      </c>
      <c r="F43">
        <v>0.97557207616408403</v>
      </c>
      <c r="G43">
        <v>16.692367797826599</v>
      </c>
      <c r="H43">
        <v>4.97030148495001</v>
      </c>
      <c r="I43">
        <v>0.81063984339920303</v>
      </c>
      <c r="J43">
        <v>18.9183643692682</v>
      </c>
      <c r="K43">
        <v>344556.45616852399</v>
      </c>
      <c r="L43">
        <f t="shared" si="0"/>
        <v>1.8279475175665763E-3</v>
      </c>
      <c r="M43">
        <f t="shared" si="2"/>
        <v>1.2296169412331689E-4</v>
      </c>
    </row>
    <row r="44" spans="1:13" x14ac:dyDescent="0.35">
      <c r="A44" t="s">
        <v>110</v>
      </c>
      <c r="B44">
        <v>2015</v>
      </c>
      <c r="C44">
        <v>346.937192968494</v>
      </c>
      <c r="D44">
        <v>64.487022475201698</v>
      </c>
      <c r="E44">
        <v>202.43977668398199</v>
      </c>
      <c r="F44">
        <v>0.26350566212950099</v>
      </c>
      <c r="G44">
        <v>8.6853450988684209</v>
      </c>
      <c r="H44">
        <v>1.0684619845763601</v>
      </c>
      <c r="I44">
        <v>0.91204202768306097</v>
      </c>
      <c r="J44">
        <v>27.1673969787477</v>
      </c>
      <c r="K44">
        <v>283192.774958239</v>
      </c>
      <c r="L44">
        <f t="shared" si="0"/>
        <v>2.3021800043303508E-3</v>
      </c>
      <c r="M44">
        <f t="shared" si="2"/>
        <v>1.3452586054719433E-4</v>
      </c>
    </row>
    <row r="45" spans="1:13" x14ac:dyDescent="0.35">
      <c r="A45" t="s">
        <v>110</v>
      </c>
      <c r="B45">
        <v>2016</v>
      </c>
      <c r="C45">
        <v>284.30074131648001</v>
      </c>
      <c r="D45">
        <v>69.372067148484703</v>
      </c>
      <c r="E45">
        <v>177.937086917578</v>
      </c>
      <c r="F45">
        <v>0.30758034036319398</v>
      </c>
      <c r="G45">
        <v>138.61623063225801</v>
      </c>
      <c r="H45">
        <v>0.505109992735983</v>
      </c>
      <c r="I45">
        <v>0.51881413686837596</v>
      </c>
      <c r="J45">
        <v>47.706955072469597</v>
      </c>
      <c r="K45">
        <v>288102.59374121099</v>
      </c>
      <c r="L45">
        <f t="shared" si="0"/>
        <v>2.4965571334054685E-3</v>
      </c>
      <c r="M45">
        <f t="shared" si="2"/>
        <v>6.5134675720155614E-4</v>
      </c>
    </row>
    <row r="46" spans="1:13" x14ac:dyDescent="0.35">
      <c r="A46" t="s">
        <v>110</v>
      </c>
      <c r="B46">
        <v>2017</v>
      </c>
      <c r="C46">
        <v>205.23418270321301</v>
      </c>
      <c r="D46">
        <v>75.194208561250207</v>
      </c>
      <c r="E46">
        <v>190.99093305465101</v>
      </c>
      <c r="F46">
        <v>0.85871800341229698</v>
      </c>
      <c r="G46">
        <v>346.59514308491299</v>
      </c>
      <c r="H46">
        <v>0.49657556397227898</v>
      </c>
      <c r="I46">
        <v>0.60923103121328204</v>
      </c>
      <c r="J46">
        <v>53.974742805281302</v>
      </c>
      <c r="K46">
        <v>305957.87689572299</v>
      </c>
      <c r="L46">
        <f t="shared" si="0"/>
        <v>2.8564511679683561E-3</v>
      </c>
      <c r="M46">
        <f t="shared" si="2"/>
        <v>1.3156530388200613E-3</v>
      </c>
    </row>
    <row r="47" spans="1:13" x14ac:dyDescent="0.35">
      <c r="A47" t="s">
        <v>110</v>
      </c>
      <c r="B47">
        <v>2018</v>
      </c>
      <c r="C47">
        <v>113.223265259738</v>
      </c>
      <c r="D47">
        <v>87.685437729538407</v>
      </c>
      <c r="E47">
        <v>151.68477855001601</v>
      </c>
      <c r="F47">
        <v>0.18165599582689301</v>
      </c>
      <c r="G47">
        <v>222.21930228812101</v>
      </c>
      <c r="H47">
        <v>0.23038201061024399</v>
      </c>
      <c r="I47">
        <v>1.23938212224183</v>
      </c>
      <c r="J47">
        <v>73.960790869017501</v>
      </c>
      <c r="K47">
        <v>342088.25102863897</v>
      </c>
      <c r="L47">
        <f t="shared" si="0"/>
        <v>1.9013368417924929E-3</v>
      </c>
      <c r="M47">
        <f t="shared" si="2"/>
        <v>8.7062771781917651E-4</v>
      </c>
    </row>
    <row r="48" spans="1:13" x14ac:dyDescent="0.35">
      <c r="A48" t="s">
        <v>110</v>
      </c>
      <c r="B48">
        <v>2019</v>
      </c>
      <c r="C48">
        <v>143.59616401679699</v>
      </c>
      <c r="D48">
        <v>108.814067746527</v>
      </c>
      <c r="E48">
        <v>150.36011994130899</v>
      </c>
      <c r="F48">
        <v>0.75206559879309098</v>
      </c>
      <c r="G48">
        <v>28.012261868871601</v>
      </c>
      <c r="H48">
        <v>1.7304503775541</v>
      </c>
      <c r="I48">
        <v>1.54608785972208</v>
      </c>
      <c r="J48">
        <v>48.764951565017498</v>
      </c>
      <c r="K48">
        <v>322922.17498783697</v>
      </c>
      <c r="L48">
        <f t="shared" si="0"/>
        <v>1.4975006562891059E-3</v>
      </c>
      <c r="M48">
        <f t="shared" si="2"/>
        <v>2.5023310112723586E-4</v>
      </c>
    </row>
    <row r="49" spans="1:13" x14ac:dyDescent="0.35">
      <c r="A49" t="s">
        <v>110</v>
      </c>
      <c r="B49">
        <v>2020</v>
      </c>
      <c r="C49">
        <v>141.15089298802101</v>
      </c>
      <c r="D49">
        <v>84.904687363307602</v>
      </c>
      <c r="E49">
        <v>126.70997735902201</v>
      </c>
      <c r="F49">
        <v>0.93147513489945</v>
      </c>
      <c r="G49">
        <v>4.7242353437058702</v>
      </c>
      <c r="H49">
        <v>0.14878105576002501</v>
      </c>
      <c r="I49">
        <v>1.1089677641219</v>
      </c>
      <c r="J49">
        <v>45.044391963264403</v>
      </c>
      <c r="K49">
        <v>315804.32198221103</v>
      </c>
      <c r="L49">
        <f t="shared" si="0"/>
        <v>1.2815638697778809E-3</v>
      </c>
      <c r="M49">
        <f t="shared" si="2"/>
        <v>1.6452545973920645E-4</v>
      </c>
    </row>
    <row r="50" spans="1:13" x14ac:dyDescent="0.35">
      <c r="A50" t="s">
        <v>110</v>
      </c>
      <c r="B50">
        <v>2021</v>
      </c>
      <c r="C50">
        <v>189.160424459517</v>
      </c>
      <c r="D50">
        <v>89.055047596704</v>
      </c>
      <c r="E50">
        <v>144.75164270179101</v>
      </c>
      <c r="F50">
        <v>0.32489899255663501</v>
      </c>
      <c r="G50">
        <v>7.1361933094344296</v>
      </c>
      <c r="H50">
        <v>0.303236131736146</v>
      </c>
      <c r="I50">
        <v>0.94442892909716403</v>
      </c>
      <c r="J50">
        <v>45.292694433755898</v>
      </c>
      <c r="K50">
        <v>414124.15019204398</v>
      </c>
      <c r="L50">
        <f t="shared" si="0"/>
        <v>1.1517525996332385E-3</v>
      </c>
      <c r="M50">
        <f t="shared" si="2"/>
        <v>1.3039918529633661E-4</v>
      </c>
    </row>
    <row r="51" spans="1:13" x14ac:dyDescent="0.35">
      <c r="A51" t="s">
        <v>110</v>
      </c>
      <c r="B51">
        <v>2022</v>
      </c>
      <c r="C51">
        <v>181.92078049578001</v>
      </c>
      <c r="D51">
        <v>87.937550949874307</v>
      </c>
      <c r="E51">
        <v>157.30313962116301</v>
      </c>
      <c r="F51">
        <v>6.1444385688576401E-2</v>
      </c>
      <c r="G51">
        <v>9.5119917083078391</v>
      </c>
      <c r="H51">
        <v>0.44326270204749202</v>
      </c>
      <c r="I51">
        <v>0.60720467350608798</v>
      </c>
      <c r="J51">
        <v>40.113857917385701</v>
      </c>
      <c r="K51">
        <v>471082.72273388499</v>
      </c>
      <c r="L51">
        <f t="shared" si="0"/>
        <v>1.014469878411819E-3</v>
      </c>
      <c r="M51">
        <f t="shared" si="2"/>
        <v>1.0770456851502385E-4</v>
      </c>
    </row>
    <row r="52" spans="1:13" x14ac:dyDescent="0.35">
      <c r="A52" t="s">
        <v>110</v>
      </c>
      <c r="B52">
        <v>2023</v>
      </c>
      <c r="C52">
        <v>214.97758893257</v>
      </c>
      <c r="D52">
        <v>94.935462458741199</v>
      </c>
      <c r="E52">
        <v>136.11456509671501</v>
      </c>
      <c r="F52">
        <v>1.02558413630724</v>
      </c>
      <c r="G52">
        <v>4.3639282516309903</v>
      </c>
      <c r="H52">
        <v>0.31752816000949602</v>
      </c>
      <c r="I52">
        <v>7.9616001707511499</v>
      </c>
      <c r="J52">
        <v>83.9457523416105</v>
      </c>
      <c r="K52">
        <v>410408.31939470803</v>
      </c>
      <c r="L52">
        <f t="shared" si="0"/>
        <v>1.3246369136720418E-3</v>
      </c>
      <c r="M52">
        <f t="shared" si="2"/>
        <v>2.3784701344328562E-4</v>
      </c>
    </row>
    <row r="53" spans="1:13" x14ac:dyDescent="0.35">
      <c r="A53" t="s">
        <v>110</v>
      </c>
      <c r="B53">
        <v>2024</v>
      </c>
      <c r="C53">
        <v>199.40196138969901</v>
      </c>
      <c r="D53">
        <v>107.735225386697</v>
      </c>
      <c r="E53">
        <v>121.53789526515099</v>
      </c>
      <c r="F53">
        <v>2.0066147182838501</v>
      </c>
      <c r="G53">
        <v>9.1599967021089199</v>
      </c>
      <c r="H53">
        <v>0.49232796998966699</v>
      </c>
      <c r="I53">
        <v>1.1896754225827399</v>
      </c>
      <c r="J53">
        <v>69.929331979797496</v>
      </c>
      <c r="K53">
        <v>376252.01544395601</v>
      </c>
      <c r="L53">
        <f t="shared" si="0"/>
        <v>1.3593363167259693E-3</v>
      </c>
      <c r="M53">
        <f t="shared" si="2"/>
        <v>2.2000665350613313E-4</v>
      </c>
    </row>
    <row r="56" spans="1:13" x14ac:dyDescent="0.35">
      <c r="A56" t="s">
        <v>111</v>
      </c>
      <c r="B56">
        <v>2000</v>
      </c>
      <c r="C56">
        <v>2128.1226073738699</v>
      </c>
      <c r="D56">
        <v>351.005921642065</v>
      </c>
      <c r="E56">
        <v>5601.2256739143604</v>
      </c>
      <c r="F56">
        <v>95.581959805696201</v>
      </c>
      <c r="G56">
        <v>124.644633616272</v>
      </c>
      <c r="H56">
        <v>10.169251063227</v>
      </c>
      <c r="I56">
        <v>190.69281153583901</v>
      </c>
      <c r="J56">
        <v>157.700175157817</v>
      </c>
      <c r="K56">
        <v>535581.19205275294</v>
      </c>
      <c r="L56">
        <f t="shared" si="0"/>
        <v>1.6167750403857071E-2</v>
      </c>
      <c r="M56">
        <f t="shared" ref="M56:M80" si="3">(SUM(F56:J56)/K56)</f>
        <v>1.0806743025469096E-3</v>
      </c>
    </row>
    <row r="57" spans="1:13" x14ac:dyDescent="0.35">
      <c r="A57" t="s">
        <v>111</v>
      </c>
      <c r="B57">
        <v>2001</v>
      </c>
      <c r="C57">
        <v>1998.2359215367601</v>
      </c>
      <c r="D57">
        <v>375.28968507523098</v>
      </c>
      <c r="E57">
        <v>5141.5018105798499</v>
      </c>
      <c r="F57">
        <v>92.589447857745697</v>
      </c>
      <c r="G57">
        <v>119.15444545038</v>
      </c>
      <c r="H57">
        <v>10.875169912957499</v>
      </c>
      <c r="I57">
        <v>186.90720310227599</v>
      </c>
      <c r="J57">
        <v>131.84040243035599</v>
      </c>
      <c r="K57">
        <v>555238.69916948501</v>
      </c>
      <c r="L57">
        <f t="shared" si="0"/>
        <v>1.4509784887105581E-2</v>
      </c>
      <c r="M57">
        <f t="shared" si="3"/>
        <v>9.7501609589439766E-4</v>
      </c>
    </row>
    <row r="58" spans="1:13" x14ac:dyDescent="0.35">
      <c r="A58" t="s">
        <v>111</v>
      </c>
      <c r="B58">
        <v>2002</v>
      </c>
      <c r="C58">
        <v>2224.3235917705601</v>
      </c>
      <c r="D58">
        <v>473.52595954598098</v>
      </c>
      <c r="E58">
        <v>5054.4335578704304</v>
      </c>
      <c r="F58">
        <v>80.1063517647422</v>
      </c>
      <c r="G58">
        <v>74.198624329695505</v>
      </c>
      <c r="H58">
        <v>8.4209308881851204</v>
      </c>
      <c r="I58">
        <v>128.73814651275299</v>
      </c>
      <c r="J58">
        <v>228.46526179900701</v>
      </c>
      <c r="K58">
        <v>597927.91857946501</v>
      </c>
      <c r="L58">
        <f t="shared" si="0"/>
        <v>1.3834798756569473E-2</v>
      </c>
      <c r="M58">
        <f t="shared" si="3"/>
        <v>8.6955182913955853E-4</v>
      </c>
    </row>
    <row r="59" spans="1:13" x14ac:dyDescent="0.35">
      <c r="A59" t="s">
        <v>111</v>
      </c>
      <c r="B59">
        <v>2003</v>
      </c>
      <c r="C59">
        <v>3158.6426873456398</v>
      </c>
      <c r="D59">
        <v>686.86601983271498</v>
      </c>
      <c r="E59">
        <v>5431.7101240164902</v>
      </c>
      <c r="F59">
        <v>99.630604730665695</v>
      </c>
      <c r="G59">
        <v>73.379475575178603</v>
      </c>
      <c r="H59">
        <v>12.571649909624</v>
      </c>
      <c r="I59">
        <v>162.191851115091</v>
      </c>
      <c r="J59">
        <v>266.705691644078</v>
      </c>
      <c r="K59">
        <v>724251.84494260105</v>
      </c>
      <c r="L59">
        <f t="shared" si="0"/>
        <v>1.3657815541986539E-2</v>
      </c>
      <c r="M59">
        <f t="shared" si="3"/>
        <v>8.4843314831091173E-4</v>
      </c>
    </row>
    <row r="60" spans="1:13" x14ac:dyDescent="0.35">
      <c r="A60" t="s">
        <v>111</v>
      </c>
      <c r="B60">
        <v>2004</v>
      </c>
      <c r="C60">
        <v>4283.4896185239204</v>
      </c>
      <c r="D60">
        <v>924.03325047303099</v>
      </c>
      <c r="E60">
        <v>6916.8071212691402</v>
      </c>
      <c r="F60">
        <v>152.61360492351599</v>
      </c>
      <c r="G60">
        <v>132.427749567532</v>
      </c>
      <c r="H60">
        <v>17.352256873072399</v>
      </c>
      <c r="I60">
        <v>250.51204526928299</v>
      </c>
      <c r="J60">
        <v>357.52456370201099</v>
      </c>
      <c r="K60">
        <v>882906.13936785795</v>
      </c>
      <c r="L60">
        <f t="shared" si="0"/>
        <v>1.4763472162436335E-2</v>
      </c>
      <c r="M60">
        <f t="shared" si="3"/>
        <v>1.0311744133835823E-3</v>
      </c>
    </row>
    <row r="61" spans="1:13" x14ac:dyDescent="0.35">
      <c r="A61" t="s">
        <v>111</v>
      </c>
      <c r="B61">
        <v>2005</v>
      </c>
      <c r="C61">
        <v>3457.1291655988798</v>
      </c>
      <c r="D61">
        <v>953.42904115882402</v>
      </c>
      <c r="E61">
        <v>7548.47065720501</v>
      </c>
      <c r="F61">
        <v>141.918039717357</v>
      </c>
      <c r="G61">
        <v>91.997127383210795</v>
      </c>
      <c r="H61">
        <v>15.2019263122447</v>
      </c>
      <c r="I61">
        <v>225.96362786118999</v>
      </c>
      <c r="J61">
        <v>357.36690140903602</v>
      </c>
      <c r="K61">
        <v>943478.40462828905</v>
      </c>
      <c r="L61">
        <f t="shared" si="0"/>
        <v>1.3557784072106376E-2</v>
      </c>
      <c r="M61">
        <f t="shared" si="3"/>
        <v>8.8231762232120789E-4</v>
      </c>
    </row>
    <row r="62" spans="1:13" x14ac:dyDescent="0.35">
      <c r="A62" t="s">
        <v>111</v>
      </c>
      <c r="B62">
        <v>2006</v>
      </c>
      <c r="C62">
        <v>3297.3366335822102</v>
      </c>
      <c r="D62">
        <v>1011.86470997139</v>
      </c>
      <c r="E62">
        <v>8880.4231763749394</v>
      </c>
      <c r="F62">
        <v>148.906899727395</v>
      </c>
      <c r="G62">
        <v>125.88360908206801</v>
      </c>
      <c r="H62">
        <v>17.388078207856299</v>
      </c>
      <c r="I62">
        <v>252.884714045549</v>
      </c>
      <c r="J62">
        <v>418.73644838173601</v>
      </c>
      <c r="K62">
        <v>1074830.4800030999</v>
      </c>
      <c r="L62">
        <f t="shared" si="0"/>
        <v>1.3168052574516054E-2</v>
      </c>
      <c r="M62">
        <f t="shared" si="3"/>
        <v>8.9669930968260642E-4</v>
      </c>
    </row>
    <row r="63" spans="1:13" x14ac:dyDescent="0.35">
      <c r="A63" t="s">
        <v>111</v>
      </c>
      <c r="B63">
        <v>2007</v>
      </c>
      <c r="C63">
        <v>3244.8762556851698</v>
      </c>
      <c r="D63">
        <v>739.72862140563996</v>
      </c>
      <c r="E63">
        <v>5360.4940019059204</v>
      </c>
      <c r="F63">
        <v>222.88315861442899</v>
      </c>
      <c r="G63">
        <v>483.22265323176703</v>
      </c>
      <c r="H63">
        <v>112.00822074074701</v>
      </c>
      <c r="I63">
        <v>164.58289611378601</v>
      </c>
      <c r="J63">
        <v>582.56013661484803</v>
      </c>
      <c r="K63">
        <v>1281753.02098292</v>
      </c>
      <c r="L63">
        <f t="shared" si="0"/>
        <v>8.5120579126434486E-3</v>
      </c>
      <c r="M63">
        <f t="shared" si="3"/>
        <v>1.2211846117711901E-3</v>
      </c>
    </row>
    <row r="64" spans="1:13" x14ac:dyDescent="0.35">
      <c r="A64" t="s">
        <v>111</v>
      </c>
      <c r="B64">
        <v>2008</v>
      </c>
      <c r="C64">
        <v>2790.15488338775</v>
      </c>
      <c r="D64">
        <v>564.44629633262298</v>
      </c>
      <c r="E64">
        <v>4366.1113335249402</v>
      </c>
      <c r="F64">
        <v>458.90872082919901</v>
      </c>
      <c r="G64">
        <v>1102.89187209646</v>
      </c>
      <c r="H64">
        <v>78.771949891073405</v>
      </c>
      <c r="I64">
        <v>208.08694791872301</v>
      </c>
      <c r="J64">
        <v>496.77313066984999</v>
      </c>
      <c r="K64">
        <v>1402102.2521538001</v>
      </c>
      <c r="L64">
        <f t="shared" si="0"/>
        <v>7.1793231336643179E-3</v>
      </c>
      <c r="M64">
        <f t="shared" si="3"/>
        <v>1.6727971285991697E-3</v>
      </c>
    </row>
    <row r="65" spans="1:13" x14ac:dyDescent="0.35">
      <c r="A65" t="s">
        <v>111</v>
      </c>
      <c r="B65">
        <v>2009</v>
      </c>
      <c r="C65">
        <v>1985.6294852997901</v>
      </c>
      <c r="D65">
        <v>472.19560077000398</v>
      </c>
      <c r="E65">
        <v>3055.4252562482402</v>
      </c>
      <c r="F65">
        <v>298.94147041100001</v>
      </c>
      <c r="G65">
        <v>1116.33237460788</v>
      </c>
      <c r="H65">
        <v>86.833177047427498</v>
      </c>
      <c r="I65">
        <v>198.61201868476499</v>
      </c>
      <c r="J65">
        <v>392.55859740240402</v>
      </c>
      <c r="K65">
        <v>1082775.51420367</v>
      </c>
      <c r="L65">
        <f t="shared" si="0"/>
        <v>7.0250277002853649E-3</v>
      </c>
      <c r="M65">
        <f t="shared" si="3"/>
        <v>1.9332517319557072E-3</v>
      </c>
    </row>
    <row r="66" spans="1:13" x14ac:dyDescent="0.35">
      <c r="A66" t="s">
        <v>111</v>
      </c>
      <c r="B66">
        <v>2010</v>
      </c>
      <c r="C66">
        <v>1810.5190562805799</v>
      </c>
      <c r="D66">
        <v>494.83624236063298</v>
      </c>
      <c r="E66">
        <v>3008.2113408310302</v>
      </c>
      <c r="F66">
        <v>637.64620221454402</v>
      </c>
      <c r="G66">
        <v>1790.74480859747</v>
      </c>
      <c r="H66">
        <v>69.776981222238106</v>
      </c>
      <c r="I66">
        <v>334.64601820834702</v>
      </c>
      <c r="J66">
        <v>696.79144230936799</v>
      </c>
      <c r="K66">
        <v>1214124.1161571001</v>
      </c>
      <c r="L66">
        <f t="shared" si="0"/>
        <v>7.2835816160330353E-3</v>
      </c>
      <c r="M66">
        <f t="shared" si="3"/>
        <v>2.907120784095568E-3</v>
      </c>
    </row>
    <row r="67" spans="1:13" x14ac:dyDescent="0.35">
      <c r="A67" t="s">
        <v>111</v>
      </c>
      <c r="B67">
        <v>2011</v>
      </c>
      <c r="C67">
        <v>1792.2918284841401</v>
      </c>
      <c r="D67">
        <v>551.94165156547194</v>
      </c>
      <c r="E67">
        <v>2737.4274296968501</v>
      </c>
      <c r="F67">
        <v>472.47583333163101</v>
      </c>
      <c r="G67">
        <v>2756.0944866090799</v>
      </c>
      <c r="H67">
        <v>39.943250457034999</v>
      </c>
      <c r="I67">
        <v>499.78461600401602</v>
      </c>
      <c r="J67">
        <v>684.96876289945999</v>
      </c>
      <c r="K67">
        <v>1425338.2445225201</v>
      </c>
      <c r="L67">
        <f t="shared" si="0"/>
        <v>6.6895895733449775E-3</v>
      </c>
      <c r="M67">
        <f t="shared" si="3"/>
        <v>3.1243580016286168E-3</v>
      </c>
    </row>
    <row r="68" spans="1:13" x14ac:dyDescent="0.35">
      <c r="A68" t="s">
        <v>111</v>
      </c>
      <c r="B68">
        <v>2012</v>
      </c>
      <c r="C68">
        <v>1658.36668094114</v>
      </c>
      <c r="D68">
        <v>511.09550623178302</v>
      </c>
      <c r="E68">
        <v>2160.2996589128902</v>
      </c>
      <c r="F68">
        <v>215.68245666547901</v>
      </c>
      <c r="G68">
        <v>776.95805634826297</v>
      </c>
      <c r="H68">
        <v>37.793170037514798</v>
      </c>
      <c r="I68">
        <v>316.24478921347901</v>
      </c>
      <c r="J68">
        <v>894.95287660573604</v>
      </c>
      <c r="K68">
        <v>1363373.06001247</v>
      </c>
      <c r="L68">
        <f t="shared" si="0"/>
        <v>4.819952357644635E-3</v>
      </c>
      <c r="M68">
        <f t="shared" si="3"/>
        <v>1.6441804628660984E-3</v>
      </c>
    </row>
    <row r="69" spans="1:13" x14ac:dyDescent="0.35">
      <c r="A69" t="s">
        <v>111</v>
      </c>
      <c r="B69">
        <v>2013</v>
      </c>
      <c r="C69">
        <v>1757.21479392024</v>
      </c>
      <c r="D69">
        <v>624.89442940845697</v>
      </c>
      <c r="E69">
        <v>2249.7005356790301</v>
      </c>
      <c r="F69">
        <v>140.181592328454</v>
      </c>
      <c r="G69">
        <v>558.15812286702999</v>
      </c>
      <c r="H69">
        <v>22.5012707956122</v>
      </c>
      <c r="I69">
        <v>219.85622806702099</v>
      </c>
      <c r="J69">
        <v>1014.18203587661</v>
      </c>
      <c r="K69">
        <v>1394761.6214547399</v>
      </c>
      <c r="L69">
        <f t="shared" si="0"/>
        <v>4.7224478417125654E-3</v>
      </c>
      <c r="M69">
        <f t="shared" si="3"/>
        <v>1.40158663664389E-3</v>
      </c>
    </row>
    <row r="70" spans="1:13" x14ac:dyDescent="0.35">
      <c r="A70" t="s">
        <v>111</v>
      </c>
      <c r="B70">
        <v>2014</v>
      </c>
      <c r="C70">
        <v>1959.8918596404801</v>
      </c>
      <c r="D70">
        <v>726.16872609179404</v>
      </c>
      <c r="E70">
        <v>2557.2093717385201</v>
      </c>
      <c r="F70">
        <v>116.66531057562899</v>
      </c>
      <c r="G70">
        <v>719.59282174393604</v>
      </c>
      <c r="H70">
        <v>44.780638105876498</v>
      </c>
      <c r="I70">
        <v>307.95951842501199</v>
      </c>
      <c r="J70">
        <v>1247.22676310423</v>
      </c>
      <c r="K70">
        <v>1439265.5353305801</v>
      </c>
      <c r="L70">
        <f t="shared" si="0"/>
        <v>5.3357040941452135E-3</v>
      </c>
      <c r="M70">
        <f t="shared" si="3"/>
        <v>1.6926862987760732E-3</v>
      </c>
    </row>
    <row r="71" spans="1:13" x14ac:dyDescent="0.35">
      <c r="A71" t="s">
        <v>111</v>
      </c>
      <c r="B71">
        <v>2015</v>
      </c>
      <c r="C71">
        <v>1855.6136095544</v>
      </c>
      <c r="D71">
        <v>612.54618243741197</v>
      </c>
      <c r="E71">
        <v>2162.24423672802</v>
      </c>
      <c r="F71">
        <v>134.05174938629301</v>
      </c>
      <c r="G71">
        <v>735.86403780119701</v>
      </c>
      <c r="H71">
        <v>24.6668780434991</v>
      </c>
      <c r="I71">
        <v>227.46014163920501</v>
      </c>
      <c r="J71">
        <v>1171.7639753145199</v>
      </c>
      <c r="K71">
        <v>1278769.7657464801</v>
      </c>
      <c r="L71">
        <f t="shared" ref="L71:L140" si="4">(SUM(C71:J71)/K71)</f>
        <v>5.4147439174576885E-3</v>
      </c>
      <c r="M71">
        <f t="shared" si="3"/>
        <v>1.7937605686553805E-3</v>
      </c>
    </row>
    <row r="72" spans="1:13" x14ac:dyDescent="0.35">
      <c r="A72" t="s">
        <v>111</v>
      </c>
      <c r="B72">
        <v>2016</v>
      </c>
      <c r="C72">
        <v>1839.25179666905</v>
      </c>
      <c r="D72">
        <v>546.70651105397496</v>
      </c>
      <c r="E72">
        <v>2030.0223591802101</v>
      </c>
      <c r="F72">
        <v>142.48372237439301</v>
      </c>
      <c r="G72">
        <v>893.52700087471896</v>
      </c>
      <c r="H72">
        <v>37.0979000213784</v>
      </c>
      <c r="I72">
        <v>235.79566070962099</v>
      </c>
      <c r="J72">
        <v>1198.48293679736</v>
      </c>
      <c r="K72">
        <v>1286708.7120375</v>
      </c>
      <c r="L72">
        <f t="shared" si="4"/>
        <v>5.3806800427406536E-3</v>
      </c>
      <c r="M72">
        <f t="shared" si="3"/>
        <v>1.9486828660754381E-3</v>
      </c>
    </row>
    <row r="73" spans="1:13" x14ac:dyDescent="0.35">
      <c r="A73" t="s">
        <v>111</v>
      </c>
      <c r="B73">
        <v>2017</v>
      </c>
      <c r="C73">
        <v>2194.2227973415002</v>
      </c>
      <c r="D73">
        <v>587.640551318711</v>
      </c>
      <c r="E73">
        <v>2791.3222377411698</v>
      </c>
      <c r="F73">
        <v>157.042442031722</v>
      </c>
      <c r="G73">
        <v>1118.6858291686499</v>
      </c>
      <c r="H73">
        <v>15.545465208477101</v>
      </c>
      <c r="I73">
        <v>289.89715810386201</v>
      </c>
      <c r="J73">
        <v>1379.4152478885801</v>
      </c>
      <c r="K73">
        <v>1366856.14273297</v>
      </c>
      <c r="L73">
        <f t="shared" si="4"/>
        <v>6.2433576307011837E-3</v>
      </c>
      <c r="M73">
        <f t="shared" si="3"/>
        <v>2.1659822492231893E-3</v>
      </c>
    </row>
    <row r="74" spans="1:13" x14ac:dyDescent="0.35">
      <c r="A74" t="s">
        <v>111</v>
      </c>
      <c r="B74">
        <v>2018</v>
      </c>
      <c r="C74">
        <v>2550.3304050080501</v>
      </c>
      <c r="D74">
        <v>664.56728849454805</v>
      </c>
      <c r="E74">
        <v>3073.71341425638</v>
      </c>
      <c r="F74">
        <v>279.09110054276198</v>
      </c>
      <c r="G74">
        <v>1091.4745329713501</v>
      </c>
      <c r="H74">
        <v>30.1939036867821</v>
      </c>
      <c r="I74">
        <v>347.11778130401802</v>
      </c>
      <c r="J74">
        <v>2194.1095443878698</v>
      </c>
      <c r="K74">
        <v>1496793.8289600001</v>
      </c>
      <c r="L74">
        <f t="shared" si="4"/>
        <v>6.8350081171567678E-3</v>
      </c>
      <c r="M74">
        <f t="shared" si="3"/>
        <v>2.6336204670430441E-3</v>
      </c>
    </row>
    <row r="75" spans="1:13" x14ac:dyDescent="0.35">
      <c r="A75" t="s">
        <v>111</v>
      </c>
      <c r="B75">
        <v>2019</v>
      </c>
      <c r="C75">
        <v>2710.4777165299602</v>
      </c>
      <c r="D75">
        <v>726.93675597355605</v>
      </c>
      <c r="E75">
        <v>2537.28899713903</v>
      </c>
      <c r="F75">
        <v>248.558989363069</v>
      </c>
      <c r="G75">
        <v>1110.61324873898</v>
      </c>
      <c r="H75">
        <v>52.508104421293403</v>
      </c>
      <c r="I75">
        <v>433.80872480779999</v>
      </c>
      <c r="J75">
        <v>2296.91830511547</v>
      </c>
      <c r="K75">
        <v>1428896.1397633699</v>
      </c>
      <c r="L75">
        <f t="shared" si="4"/>
        <v>7.0803682370956548E-3</v>
      </c>
      <c r="M75">
        <f t="shared" si="3"/>
        <v>2.8990262183314522E-3</v>
      </c>
    </row>
    <row r="76" spans="1:13" x14ac:dyDescent="0.35">
      <c r="A76" t="s">
        <v>111</v>
      </c>
      <c r="B76">
        <v>2020</v>
      </c>
      <c r="C76">
        <v>2733.6598760252</v>
      </c>
      <c r="D76">
        <v>777.10996389948798</v>
      </c>
      <c r="E76">
        <v>2616.6410116473699</v>
      </c>
      <c r="F76">
        <v>256.403838978485</v>
      </c>
      <c r="G76">
        <v>892.873998233409</v>
      </c>
      <c r="H76">
        <v>22.4640419555937</v>
      </c>
      <c r="I76">
        <v>374.46194905907203</v>
      </c>
      <c r="J76">
        <v>2742.68861994901</v>
      </c>
      <c r="K76">
        <v>1328740.4221463699</v>
      </c>
      <c r="L76">
        <f t="shared" si="4"/>
        <v>7.8392311441250039E-3</v>
      </c>
      <c r="M76">
        <f t="shared" si="3"/>
        <v>3.2277880439939822E-3</v>
      </c>
    </row>
    <row r="77" spans="1:13" x14ac:dyDescent="0.35">
      <c r="A77" t="s">
        <v>111</v>
      </c>
      <c r="B77">
        <v>2021</v>
      </c>
      <c r="C77">
        <v>2870.72220553023</v>
      </c>
      <c r="D77">
        <v>907.73696723830096</v>
      </c>
      <c r="E77">
        <v>2961.5246044673499</v>
      </c>
      <c r="F77">
        <v>305.94103011107302</v>
      </c>
      <c r="G77">
        <v>1178.22409568022</v>
      </c>
      <c r="H77">
        <v>43.092230284501802</v>
      </c>
      <c r="I77">
        <v>433.53394620099999</v>
      </c>
      <c r="J77">
        <v>3342.74197750041</v>
      </c>
      <c r="K77">
        <v>1569841.1551896899</v>
      </c>
      <c r="L77">
        <f t="shared" si="4"/>
        <v>7.6718061679035407E-3</v>
      </c>
      <c r="M77">
        <f t="shared" si="3"/>
        <v>3.3783884836019336E-3</v>
      </c>
    </row>
    <row r="78" spans="1:13" x14ac:dyDescent="0.35">
      <c r="A78" t="s">
        <v>111</v>
      </c>
      <c r="B78">
        <v>2022</v>
      </c>
      <c r="C78">
        <v>3167.2637500730002</v>
      </c>
      <c r="D78">
        <v>829.76975984387195</v>
      </c>
      <c r="E78">
        <v>2376.6981749164602</v>
      </c>
      <c r="F78">
        <v>414.85886830168499</v>
      </c>
      <c r="G78">
        <v>1120.42545816747</v>
      </c>
      <c r="H78">
        <v>43.337426142002101</v>
      </c>
      <c r="I78">
        <v>518.73376528100698</v>
      </c>
      <c r="J78">
        <v>3835.3429960316298</v>
      </c>
      <c r="K78">
        <v>1618097.3018106699</v>
      </c>
      <c r="L78">
        <f t="shared" si="4"/>
        <v>7.6054945428721031E-3</v>
      </c>
      <c r="M78">
        <f t="shared" si="3"/>
        <v>3.6664658591822842E-3</v>
      </c>
    </row>
    <row r="79" spans="1:13" x14ac:dyDescent="0.35">
      <c r="A79" t="s">
        <v>111</v>
      </c>
      <c r="B79">
        <v>2023</v>
      </c>
      <c r="C79">
        <v>3172.6530820405201</v>
      </c>
      <c r="D79">
        <v>812.39122185752399</v>
      </c>
      <c r="E79">
        <v>1861.2706757292101</v>
      </c>
      <c r="F79">
        <v>699.41468566349295</v>
      </c>
      <c r="G79">
        <v>1440.8442235329001</v>
      </c>
      <c r="H79">
        <v>34.727413845786501</v>
      </c>
      <c r="I79">
        <v>553.55625698248696</v>
      </c>
      <c r="J79">
        <v>4883.9972895049104</v>
      </c>
      <c r="K79">
        <v>1637333.61517391</v>
      </c>
      <c r="L79">
        <f t="shared" si="4"/>
        <v>8.2199832242052222E-3</v>
      </c>
      <c r="M79">
        <f t="shared" si="3"/>
        <v>4.6493517258674299E-3</v>
      </c>
    </row>
    <row r="80" spans="1:13" x14ac:dyDescent="0.35">
      <c r="A80" t="s">
        <v>111</v>
      </c>
      <c r="B80">
        <v>2024</v>
      </c>
      <c r="C80">
        <v>3518.9720624649299</v>
      </c>
      <c r="D80">
        <v>807.70502561814396</v>
      </c>
      <c r="E80">
        <v>1627.7948279192201</v>
      </c>
      <c r="F80">
        <v>728.47688915722097</v>
      </c>
      <c r="G80">
        <v>1984.6484464969301</v>
      </c>
      <c r="H80">
        <v>35.533643502660098</v>
      </c>
      <c r="I80">
        <v>695.11031589767504</v>
      </c>
      <c r="J80">
        <v>4818.21611800344</v>
      </c>
      <c r="K80">
        <v>1570489.8295754599</v>
      </c>
      <c r="L80">
        <f t="shared" si="4"/>
        <v>9.0522441223979538E-3</v>
      </c>
      <c r="M80">
        <f t="shared" si="3"/>
        <v>5.260769765883383E-3</v>
      </c>
    </row>
    <row r="83" spans="1:13" x14ac:dyDescent="0.35">
      <c r="A83" t="s">
        <v>112</v>
      </c>
      <c r="B83">
        <v>2000</v>
      </c>
      <c r="C83">
        <v>66.193944650944701</v>
      </c>
      <c r="D83">
        <v>41.272495794524701</v>
      </c>
      <c r="E83">
        <v>377.87304971259402</v>
      </c>
      <c r="F83">
        <v>3.23192981571509E-2</v>
      </c>
      <c r="G83">
        <v>0.71400103515884505</v>
      </c>
      <c r="H83">
        <v>5.7005007291997402E-2</v>
      </c>
      <c r="I83">
        <v>0.44330735141102701</v>
      </c>
      <c r="J83">
        <v>6.0747119544169701</v>
      </c>
      <c r="K83">
        <v>110711.88361777599</v>
      </c>
      <c r="L83">
        <f t="shared" si="4"/>
        <v>4.4499363456354142E-3</v>
      </c>
      <c r="M83">
        <f t="shared" ref="M83:M107" si="5">(SUM(F83:J83)/K83)</f>
        <v>6.6129708999553772E-5</v>
      </c>
    </row>
    <row r="84" spans="1:13" x14ac:dyDescent="0.35">
      <c r="A84" t="s">
        <v>112</v>
      </c>
      <c r="B84">
        <v>2001</v>
      </c>
      <c r="C84">
        <v>83.645238288707304</v>
      </c>
      <c r="D84">
        <v>36.369008741739997</v>
      </c>
      <c r="E84">
        <v>421.934509232153</v>
      </c>
      <c r="F84">
        <v>4.0179058265578299E-2</v>
      </c>
      <c r="G84">
        <v>0.20208586138213699</v>
      </c>
      <c r="H84">
        <v>8.1633015544990598E-2</v>
      </c>
      <c r="I84">
        <v>0.68891211095207805</v>
      </c>
      <c r="J84">
        <v>7.0427111575722199</v>
      </c>
      <c r="K84">
        <v>111542.255241131</v>
      </c>
      <c r="L84">
        <f t="shared" si="4"/>
        <v>4.9309051200132469E-3</v>
      </c>
      <c r="M84">
        <f t="shared" si="5"/>
        <v>7.2219457875427143E-5</v>
      </c>
    </row>
    <row r="85" spans="1:13" x14ac:dyDescent="0.35">
      <c r="A85" t="s">
        <v>112</v>
      </c>
      <c r="B85">
        <v>2002</v>
      </c>
      <c r="C85">
        <v>45.096080097225197</v>
      </c>
      <c r="D85">
        <v>42.657885183679397</v>
      </c>
      <c r="E85">
        <v>452.72082234747</v>
      </c>
      <c r="F85">
        <v>4.3685851389285497E-2</v>
      </c>
      <c r="G85">
        <v>7.7335418552699799</v>
      </c>
      <c r="H85">
        <v>9.0878854940964801E-2</v>
      </c>
      <c r="I85">
        <v>0.64834946274064698</v>
      </c>
      <c r="J85">
        <v>1.5608011116585301</v>
      </c>
      <c r="K85">
        <v>121544.17991058499</v>
      </c>
      <c r="L85">
        <f t="shared" si="4"/>
        <v>4.5296454768084509E-3</v>
      </c>
      <c r="M85">
        <f t="shared" si="5"/>
        <v>8.2910240074126354E-5</v>
      </c>
    </row>
    <row r="86" spans="1:13" x14ac:dyDescent="0.35">
      <c r="A86" t="s">
        <v>112</v>
      </c>
      <c r="B86">
        <v>2003</v>
      </c>
      <c r="C86">
        <v>79.275154350381598</v>
      </c>
      <c r="D86">
        <v>54.601215603145803</v>
      </c>
      <c r="E86">
        <v>696.50799128678398</v>
      </c>
      <c r="F86">
        <v>8.1698671990968599E-2</v>
      </c>
      <c r="G86">
        <v>0.33799728300195903</v>
      </c>
      <c r="H86">
        <v>0.101052316845852</v>
      </c>
      <c r="I86">
        <v>1.1034058931359501</v>
      </c>
      <c r="J86">
        <v>1.9315280414188301</v>
      </c>
      <c r="K86">
        <v>151978.07878262401</v>
      </c>
      <c r="L86">
        <f t="shared" si="4"/>
        <v>5.4872390158287165E-3</v>
      </c>
      <c r="M86">
        <f t="shared" si="5"/>
        <v>2.3396020234466135E-5</v>
      </c>
    </row>
    <row r="87" spans="1:13" x14ac:dyDescent="0.35">
      <c r="A87" t="s">
        <v>112</v>
      </c>
      <c r="B87">
        <v>2004</v>
      </c>
      <c r="C87">
        <v>98.598913026729804</v>
      </c>
      <c r="D87">
        <v>74.913106320893704</v>
      </c>
      <c r="E87">
        <v>682.51491108287996</v>
      </c>
      <c r="F87">
        <v>0.15021106674024101</v>
      </c>
      <c r="G87">
        <v>0.21259680851668999</v>
      </c>
      <c r="H87">
        <v>0.164292682339051</v>
      </c>
      <c r="I87">
        <v>1.6260645264726401</v>
      </c>
      <c r="J87">
        <v>2.15461767774989</v>
      </c>
      <c r="K87">
        <v>175724.60660115301</v>
      </c>
      <c r="L87">
        <f t="shared" si="4"/>
        <v>4.8959262440976597E-3</v>
      </c>
      <c r="M87">
        <f t="shared" si="5"/>
        <v>2.4514396959761051E-5</v>
      </c>
    </row>
    <row r="88" spans="1:13" x14ac:dyDescent="0.35">
      <c r="A88" t="s">
        <v>112</v>
      </c>
      <c r="B88">
        <v>2005</v>
      </c>
      <c r="C88">
        <v>71.771902699909504</v>
      </c>
      <c r="D88">
        <v>73.637027312467396</v>
      </c>
      <c r="E88">
        <v>473.84402049442201</v>
      </c>
      <c r="F88">
        <v>0.272039040275392</v>
      </c>
      <c r="G88">
        <v>1.12639135043619</v>
      </c>
      <c r="H88">
        <v>0.30730095993006901</v>
      </c>
      <c r="I88">
        <v>1.9732961717092099</v>
      </c>
      <c r="J88">
        <v>2.0430636673004199</v>
      </c>
      <c r="K88">
        <v>188200.93053625099</v>
      </c>
      <c r="L88">
        <f t="shared" si="4"/>
        <v>3.3207861401942881E-3</v>
      </c>
      <c r="M88">
        <f t="shared" si="5"/>
        <v>3.0404159922838954E-5</v>
      </c>
    </row>
    <row r="89" spans="1:13" x14ac:dyDescent="0.35">
      <c r="A89" t="s">
        <v>112</v>
      </c>
      <c r="B89">
        <v>2006</v>
      </c>
      <c r="C89">
        <v>73.870366679774705</v>
      </c>
      <c r="D89">
        <v>86.213888435152796</v>
      </c>
      <c r="E89">
        <v>493.81126209052002</v>
      </c>
      <c r="F89">
        <v>5.9984549396696202E-2</v>
      </c>
      <c r="G89">
        <v>0.59742259923211805</v>
      </c>
      <c r="H89">
        <v>9.6316248664224502E-2</v>
      </c>
      <c r="I89">
        <v>1.1425568358828799</v>
      </c>
      <c r="J89">
        <v>3.0720634331001802</v>
      </c>
      <c r="K89">
        <v>210717.898829693</v>
      </c>
      <c r="L89">
        <f t="shared" si="4"/>
        <v>3.126757928638195E-3</v>
      </c>
      <c r="M89">
        <f t="shared" si="5"/>
        <v>2.357817581643421E-5</v>
      </c>
    </row>
    <row r="90" spans="1:13" x14ac:dyDescent="0.35">
      <c r="A90" t="s">
        <v>112</v>
      </c>
      <c r="B90">
        <v>2007</v>
      </c>
      <c r="C90">
        <v>53.117825411953802</v>
      </c>
      <c r="D90">
        <v>60.112302786450101</v>
      </c>
      <c r="E90">
        <v>373.86287761156899</v>
      </c>
      <c r="F90">
        <v>0.374300271955401</v>
      </c>
      <c r="G90">
        <v>1.3460867971580599</v>
      </c>
      <c r="H90">
        <v>0.31665826786645701</v>
      </c>
      <c r="I90">
        <v>1.17859907238914</v>
      </c>
      <c r="J90">
        <v>7.07109845194437</v>
      </c>
      <c r="K90">
        <v>247241.37888010399</v>
      </c>
      <c r="L90">
        <f t="shared" si="4"/>
        <v>2.0117172575407904E-3</v>
      </c>
      <c r="M90">
        <f t="shared" si="5"/>
        <v>4.1606073012162865E-5</v>
      </c>
    </row>
    <row r="91" spans="1:13" x14ac:dyDescent="0.35">
      <c r="A91" t="s">
        <v>112</v>
      </c>
      <c r="B91">
        <v>2008</v>
      </c>
      <c r="C91">
        <v>64.571621841588396</v>
      </c>
      <c r="D91">
        <v>32.607166777390702</v>
      </c>
      <c r="E91">
        <v>302.69671474549801</v>
      </c>
      <c r="F91">
        <v>1.3032788205899799</v>
      </c>
      <c r="G91">
        <v>4.15210526719844</v>
      </c>
      <c r="H91">
        <v>0.12960157099824501</v>
      </c>
      <c r="I91">
        <v>0.40084875118277302</v>
      </c>
      <c r="J91">
        <v>4.0350010987901799</v>
      </c>
      <c r="K91">
        <v>273056.028892103</v>
      </c>
      <c r="L91">
        <f t="shared" si="4"/>
        <v>1.5011437049617597E-3</v>
      </c>
      <c r="M91">
        <f t="shared" si="5"/>
        <v>3.6698825326868392E-5</v>
      </c>
    </row>
    <row r="92" spans="1:13" x14ac:dyDescent="0.35">
      <c r="A92" t="s">
        <v>112</v>
      </c>
      <c r="B92">
        <v>2009</v>
      </c>
      <c r="C92">
        <v>34.625225179180703</v>
      </c>
      <c r="D92">
        <v>27.371108839045501</v>
      </c>
      <c r="E92">
        <v>225.71957172398899</v>
      </c>
      <c r="F92">
        <v>1.69469790933258</v>
      </c>
      <c r="G92">
        <v>3.03913878618267</v>
      </c>
      <c r="H92">
        <v>4.87374436308474E-2</v>
      </c>
      <c r="I92">
        <v>0.153298617625727</v>
      </c>
      <c r="J92">
        <v>4.0438408115851603</v>
      </c>
      <c r="K92">
        <v>216027.37111889501</v>
      </c>
      <c r="L92">
        <f t="shared" si="4"/>
        <v>1.3734167933158795E-3</v>
      </c>
      <c r="M92">
        <f t="shared" si="5"/>
        <v>4.1567480647694494E-5</v>
      </c>
    </row>
    <row r="93" spans="1:13" x14ac:dyDescent="0.35">
      <c r="A93" t="s">
        <v>112</v>
      </c>
      <c r="B93">
        <v>2010</v>
      </c>
      <c r="C93">
        <v>30.769977598063299</v>
      </c>
      <c r="D93">
        <v>23.202192477276402</v>
      </c>
      <c r="E93">
        <v>180.39091171326001</v>
      </c>
      <c r="F93">
        <v>7.4716143932536001</v>
      </c>
      <c r="G93">
        <v>2.0274675945617799</v>
      </c>
      <c r="H93">
        <v>0.26994879266326399</v>
      </c>
      <c r="I93">
        <v>5.8422127538053896</v>
      </c>
      <c r="J93">
        <v>5.9408607419812398</v>
      </c>
      <c r="K93">
        <v>241137.910181607</v>
      </c>
      <c r="L93">
        <f t="shared" si="4"/>
        <v>1.0612814296687271E-3</v>
      </c>
      <c r="M93">
        <f t="shared" si="5"/>
        <v>8.9376673539361132E-5</v>
      </c>
    </row>
    <row r="94" spans="1:13" x14ac:dyDescent="0.35">
      <c r="A94" t="s">
        <v>112</v>
      </c>
      <c r="B94">
        <v>2011</v>
      </c>
      <c r="C94">
        <v>47.240873960785798</v>
      </c>
      <c r="D94">
        <v>34.369934978488303</v>
      </c>
      <c r="E94">
        <v>176.40634178550599</v>
      </c>
      <c r="F94">
        <v>0.14388549978534401</v>
      </c>
      <c r="G94">
        <v>1.2588684294702399</v>
      </c>
      <c r="H94">
        <v>0.29921183496739401</v>
      </c>
      <c r="I94">
        <v>16.454606751459</v>
      </c>
      <c r="J94">
        <v>7.9186766355823197</v>
      </c>
      <c r="K94">
        <v>286742.32685989601</v>
      </c>
      <c r="L94">
        <f t="shared" si="4"/>
        <v>9.9075850777640361E-4</v>
      </c>
      <c r="M94">
        <f t="shared" si="5"/>
        <v>9.0936170591950381E-5</v>
      </c>
    </row>
    <row r="95" spans="1:13" x14ac:dyDescent="0.35">
      <c r="A95" t="s">
        <v>112</v>
      </c>
      <c r="B95">
        <v>2012</v>
      </c>
      <c r="C95">
        <v>32.352299461406403</v>
      </c>
      <c r="D95">
        <v>32.655006778144397</v>
      </c>
      <c r="E95">
        <v>166.07159478207501</v>
      </c>
      <c r="F95">
        <v>1.03414365827234</v>
      </c>
      <c r="G95">
        <v>0.49575135701673501</v>
      </c>
      <c r="H95">
        <v>0.116475464109127</v>
      </c>
      <c r="I95">
        <v>3.9763852926688199</v>
      </c>
      <c r="J95">
        <v>4.2020276029099701</v>
      </c>
      <c r="K95">
        <v>280394.14794140297</v>
      </c>
      <c r="L95">
        <f t="shared" si="4"/>
        <v>8.5916088536536466E-4</v>
      </c>
      <c r="M95">
        <f t="shared" si="5"/>
        <v>3.5039188396436094E-5</v>
      </c>
    </row>
    <row r="96" spans="1:13" x14ac:dyDescent="0.35">
      <c r="A96" t="s">
        <v>112</v>
      </c>
      <c r="B96">
        <v>2013</v>
      </c>
      <c r="C96">
        <v>44.478125512528003</v>
      </c>
      <c r="D96">
        <v>37.334105479275301</v>
      </c>
      <c r="E96">
        <v>187.111324767723</v>
      </c>
      <c r="F96">
        <v>0.29616739915356499</v>
      </c>
      <c r="G96">
        <v>0.90598444818838098</v>
      </c>
      <c r="H96">
        <v>0.17397599764285099</v>
      </c>
      <c r="I96">
        <v>4.8755464349454103</v>
      </c>
      <c r="J96">
        <v>5.5552519286410202</v>
      </c>
      <c r="K96">
        <v>297928.43548712798</v>
      </c>
      <c r="L96">
        <f t="shared" si="4"/>
        <v>9.4227488393005903E-4</v>
      </c>
      <c r="M96">
        <f t="shared" si="5"/>
        <v>3.9630074884481264E-5</v>
      </c>
    </row>
    <row r="97" spans="1:13" x14ac:dyDescent="0.35">
      <c r="A97" t="s">
        <v>112</v>
      </c>
      <c r="B97">
        <v>2014</v>
      </c>
      <c r="C97">
        <v>63.276851645739399</v>
      </c>
      <c r="D97">
        <v>40.718158086051098</v>
      </c>
      <c r="E97">
        <v>169.31936724731801</v>
      </c>
      <c r="F97">
        <v>5.37226195116558E-2</v>
      </c>
      <c r="G97">
        <v>2.0384981409747298</v>
      </c>
      <c r="H97">
        <v>6.6456135061028404E-2</v>
      </c>
      <c r="I97">
        <v>0.54491516030961096</v>
      </c>
      <c r="J97">
        <v>5.1906605689562904</v>
      </c>
      <c r="K97">
        <v>304831.24578838702</v>
      </c>
      <c r="L97">
        <f t="shared" si="4"/>
        <v>9.2250592250354795E-4</v>
      </c>
      <c r="M97">
        <f t="shared" si="5"/>
        <v>2.5897124175693863E-5</v>
      </c>
    </row>
    <row r="98" spans="1:13" x14ac:dyDescent="0.35">
      <c r="A98" t="s">
        <v>112</v>
      </c>
      <c r="B98">
        <v>2015</v>
      </c>
      <c r="C98">
        <v>45.781868490234501</v>
      </c>
      <c r="D98">
        <v>42.0990333286043</v>
      </c>
      <c r="E98">
        <v>152.56931132823101</v>
      </c>
      <c r="F98">
        <v>5.4482995413657698E-2</v>
      </c>
      <c r="G98">
        <v>1.7156497526230701</v>
      </c>
      <c r="H98">
        <v>0.16204936300207801</v>
      </c>
      <c r="I98">
        <v>0.51853140958855104</v>
      </c>
      <c r="J98">
        <v>4.1973595847885603</v>
      </c>
      <c r="K98">
        <v>266651.87938487099</v>
      </c>
      <c r="L98">
        <f t="shared" si="4"/>
        <v>9.2666995943365294E-4</v>
      </c>
      <c r="M98">
        <f t="shared" si="5"/>
        <v>2.4931656663182356E-5</v>
      </c>
    </row>
    <row r="99" spans="1:13" x14ac:dyDescent="0.35">
      <c r="A99" t="s">
        <v>112</v>
      </c>
      <c r="B99">
        <v>2016</v>
      </c>
      <c r="C99">
        <v>44.466729459010303</v>
      </c>
      <c r="D99">
        <v>55.088407389420198</v>
      </c>
      <c r="E99">
        <v>130.817351906228</v>
      </c>
      <c r="F99">
        <v>0.244072142425558</v>
      </c>
      <c r="G99">
        <v>2.5338550395408799</v>
      </c>
      <c r="H99">
        <v>0.46361729281781799</v>
      </c>
      <c r="I99">
        <v>2.4566330537309802</v>
      </c>
      <c r="J99">
        <v>5.6106364047092301</v>
      </c>
      <c r="K99">
        <v>272306.41479371203</v>
      </c>
      <c r="L99">
        <f t="shared" si="4"/>
        <v>8.8753437142114551E-4</v>
      </c>
      <c r="M99">
        <f t="shared" si="5"/>
        <v>4.1529737526718024E-5</v>
      </c>
    </row>
    <row r="100" spans="1:13" x14ac:dyDescent="0.35">
      <c r="A100" t="s">
        <v>112</v>
      </c>
      <c r="B100">
        <v>2017</v>
      </c>
      <c r="C100">
        <v>51.955070407065399</v>
      </c>
      <c r="D100">
        <v>63.858863377468197</v>
      </c>
      <c r="E100">
        <v>182.68118931120799</v>
      </c>
      <c r="F100">
        <v>0.14034759264489699</v>
      </c>
      <c r="G100">
        <v>4.8215230885671803</v>
      </c>
      <c r="H100">
        <v>6.5782370838652807E-2</v>
      </c>
      <c r="I100">
        <v>2.1765020348860502</v>
      </c>
      <c r="J100">
        <v>8.9823747843311796</v>
      </c>
      <c r="K100">
        <v>298402.21030754998</v>
      </c>
      <c r="L100">
        <f t="shared" si="4"/>
        <v>1.0545553688851065E-3</v>
      </c>
      <c r="M100">
        <f t="shared" si="5"/>
        <v>5.4244001257849989E-5</v>
      </c>
    </row>
    <row r="101" spans="1:13" x14ac:dyDescent="0.35">
      <c r="A101" t="s">
        <v>112</v>
      </c>
      <c r="B101">
        <v>2018</v>
      </c>
      <c r="C101">
        <v>58.364244124074901</v>
      </c>
      <c r="D101">
        <v>68.625387633815606</v>
      </c>
      <c r="E101">
        <v>188.48272155687101</v>
      </c>
      <c r="F101">
        <v>0.322904951198207</v>
      </c>
      <c r="G101">
        <v>4.1643228375548702</v>
      </c>
      <c r="H101">
        <v>0.64295761766688098</v>
      </c>
      <c r="I101">
        <v>11.3406512182878</v>
      </c>
      <c r="J101">
        <v>5.6102344337939298</v>
      </c>
      <c r="K101">
        <v>331108.943175019</v>
      </c>
      <c r="L101">
        <f t="shared" si="4"/>
        <v>1.0194633256850384E-3</v>
      </c>
      <c r="M101">
        <f t="shared" si="5"/>
        <v>6.6688235137249009E-5</v>
      </c>
    </row>
    <row r="102" spans="1:13" x14ac:dyDescent="0.35">
      <c r="A102" t="s">
        <v>112</v>
      </c>
      <c r="B102">
        <v>2019</v>
      </c>
      <c r="C102">
        <v>66.512645542509802</v>
      </c>
      <c r="D102">
        <v>56.479226162957097</v>
      </c>
      <c r="E102">
        <v>193.30520741921299</v>
      </c>
      <c r="F102">
        <v>3.4488868027287102E-2</v>
      </c>
      <c r="G102">
        <v>6.3668548430200103</v>
      </c>
      <c r="H102">
        <v>8.9517056947787998E-2</v>
      </c>
      <c r="I102">
        <v>1.53013647962234</v>
      </c>
      <c r="J102">
        <v>5.2504734256980097</v>
      </c>
      <c r="K102">
        <v>319709.39492192201</v>
      </c>
      <c r="L102">
        <f t="shared" si="4"/>
        <v>1.0308378641124421E-3</v>
      </c>
      <c r="M102">
        <f t="shared" si="5"/>
        <v>4.1511043729436016E-5</v>
      </c>
    </row>
    <row r="103" spans="1:13" x14ac:dyDescent="0.35">
      <c r="A103" t="s">
        <v>112</v>
      </c>
      <c r="B103">
        <v>2020</v>
      </c>
      <c r="C103">
        <v>57.428382372149102</v>
      </c>
      <c r="D103">
        <v>55.0097540072763</v>
      </c>
      <c r="E103">
        <v>205.94465056003801</v>
      </c>
      <c r="F103">
        <v>5.89055357038685E-2</v>
      </c>
      <c r="G103">
        <v>3.8869173707956799</v>
      </c>
      <c r="H103">
        <v>0.128274334681452</v>
      </c>
      <c r="I103">
        <v>2.1132216731403002</v>
      </c>
      <c r="J103">
        <v>4.5929183713626998</v>
      </c>
      <c r="K103">
        <v>301840.40076660499</v>
      </c>
      <c r="L103">
        <f t="shared" si="4"/>
        <v>1.0905201006530247E-3</v>
      </c>
      <c r="M103">
        <f t="shared" si="5"/>
        <v>3.5715024424512705E-5</v>
      </c>
    </row>
    <row r="104" spans="1:13" x14ac:dyDescent="0.35">
      <c r="A104" t="s">
        <v>112</v>
      </c>
      <c r="B104">
        <v>2021</v>
      </c>
      <c r="C104">
        <v>72.709105249926196</v>
      </c>
      <c r="D104">
        <v>57.623840586888903</v>
      </c>
      <c r="E104">
        <v>212.737778740576</v>
      </c>
      <c r="F104">
        <v>1.10119395150428E-2</v>
      </c>
      <c r="G104">
        <v>7.3785068946728902</v>
      </c>
      <c r="H104">
        <v>0.16470752344162101</v>
      </c>
      <c r="I104">
        <v>1.0547842145200499</v>
      </c>
      <c r="J104">
        <v>4.73118871270926</v>
      </c>
      <c r="K104">
        <v>374842.10342350701</v>
      </c>
      <c r="L104">
        <f t="shared" si="4"/>
        <v>9.5082948422036513E-4</v>
      </c>
      <c r="M104">
        <f t="shared" si="5"/>
        <v>3.5588849713039668E-5</v>
      </c>
    </row>
    <row r="105" spans="1:13" x14ac:dyDescent="0.35">
      <c r="A105" t="s">
        <v>112</v>
      </c>
      <c r="B105">
        <v>2022</v>
      </c>
      <c r="C105">
        <v>70.724910239114095</v>
      </c>
      <c r="D105">
        <v>53.457720149019003</v>
      </c>
      <c r="E105">
        <v>164.326109781382</v>
      </c>
      <c r="F105">
        <v>3.3108188229866997E-2</v>
      </c>
      <c r="G105">
        <v>4.0075179801632901</v>
      </c>
      <c r="H105">
        <v>0.13554544477136801</v>
      </c>
      <c r="I105">
        <v>1.9556223741371399</v>
      </c>
      <c r="J105">
        <v>5.1152004595044804</v>
      </c>
      <c r="K105">
        <v>400225.54654382699</v>
      </c>
      <c r="L105">
        <f t="shared" si="4"/>
        <v>7.4896701923423141E-4</v>
      </c>
      <c r="M105">
        <f t="shared" si="5"/>
        <v>2.8101640547262104E-5</v>
      </c>
    </row>
    <row r="106" spans="1:13" x14ac:dyDescent="0.35">
      <c r="A106" t="s">
        <v>112</v>
      </c>
      <c r="B106">
        <v>2023</v>
      </c>
      <c r="C106">
        <v>89.060379138617904</v>
      </c>
      <c r="D106">
        <v>62.567208188899002</v>
      </c>
      <c r="E106">
        <v>160.880560919777</v>
      </c>
      <c r="F106">
        <v>0.33588509132663702</v>
      </c>
      <c r="G106">
        <v>17.225954410924999</v>
      </c>
      <c r="H106">
        <v>6.3668056906741294E-2</v>
      </c>
      <c r="I106">
        <v>1.80080205710927</v>
      </c>
      <c r="J106">
        <v>5.6708409291770696</v>
      </c>
      <c r="K106">
        <v>405771.68849064602</v>
      </c>
      <c r="L106">
        <f t="shared" si="4"/>
        <v>8.320080192103427E-4</v>
      </c>
      <c r="M106">
        <f t="shared" si="5"/>
        <v>6.1850422928220791E-5</v>
      </c>
    </row>
    <row r="107" spans="1:13" x14ac:dyDescent="0.35">
      <c r="A107" t="s">
        <v>112</v>
      </c>
      <c r="B107">
        <v>2024</v>
      </c>
      <c r="C107">
        <v>94.796348735990804</v>
      </c>
      <c r="D107">
        <v>56.531659783646099</v>
      </c>
      <c r="E107">
        <v>150.96720102535099</v>
      </c>
      <c r="F107">
        <v>0.19930954303863399</v>
      </c>
      <c r="G107">
        <v>22.781776808437801</v>
      </c>
      <c r="H107">
        <v>0.34326060527114599</v>
      </c>
      <c r="I107">
        <v>2.4973189318845801</v>
      </c>
      <c r="J107">
        <v>4.4039331954115903</v>
      </c>
      <c r="K107">
        <v>393414.185181815</v>
      </c>
      <c r="L107">
        <f t="shared" si="4"/>
        <v>8.4521814706645191E-4</v>
      </c>
      <c r="M107">
        <f t="shared" si="5"/>
        <v>7.6828950816999885E-5</v>
      </c>
    </row>
    <row r="110" spans="1:13" x14ac:dyDescent="0.35">
      <c r="A110" t="s">
        <v>113</v>
      </c>
      <c r="B110">
        <v>2000</v>
      </c>
      <c r="C110">
        <v>1588.12129768298</v>
      </c>
      <c r="D110">
        <v>309.99663577426298</v>
      </c>
      <c r="E110">
        <v>2748.8202961705001</v>
      </c>
      <c r="F110">
        <v>0.98048479934960497</v>
      </c>
      <c r="G110">
        <v>15.7753169816752</v>
      </c>
      <c r="H110">
        <v>1.1016805831938601</v>
      </c>
      <c r="I110">
        <v>13.4962718158579</v>
      </c>
      <c r="J110">
        <v>12.452117324869</v>
      </c>
      <c r="K110">
        <v>297464.25785594998</v>
      </c>
      <c r="L110">
        <f t="shared" si="4"/>
        <v>1.5769101588683061E-2</v>
      </c>
      <c r="M110">
        <f t="shared" ref="M110:M134" si="6">(SUM(F110:J110)/K110)</f>
        <v>1.4726431948728104E-4</v>
      </c>
    </row>
    <row r="111" spans="1:13" x14ac:dyDescent="0.35">
      <c r="A111" t="s">
        <v>113</v>
      </c>
      <c r="B111">
        <v>2001</v>
      </c>
      <c r="C111">
        <v>1402.3294692383199</v>
      </c>
      <c r="D111">
        <v>243.99170181342899</v>
      </c>
      <c r="E111">
        <v>2232.5767746210599</v>
      </c>
      <c r="F111">
        <v>0.81264957907209301</v>
      </c>
      <c r="G111">
        <v>16.961953436689601</v>
      </c>
      <c r="H111">
        <v>1.1173203429426799</v>
      </c>
      <c r="I111">
        <v>11.8560205660508</v>
      </c>
      <c r="J111">
        <v>14.3106212138772</v>
      </c>
      <c r="K111">
        <v>294158.94513123401</v>
      </c>
      <c r="L111">
        <f t="shared" si="4"/>
        <v>1.3339579080489409E-2</v>
      </c>
      <c r="M111">
        <f t="shared" si="6"/>
        <v>1.5317761327479014E-4</v>
      </c>
    </row>
    <row r="112" spans="1:13" x14ac:dyDescent="0.35">
      <c r="A112" t="s">
        <v>113</v>
      </c>
      <c r="B112">
        <v>2002</v>
      </c>
      <c r="C112">
        <v>1069.062892229</v>
      </c>
      <c r="D112">
        <v>277.88967322275101</v>
      </c>
      <c r="E112">
        <v>1844.14178244759</v>
      </c>
      <c r="F112">
        <v>0.87475762255670597</v>
      </c>
      <c r="G112">
        <v>10.8550298661202</v>
      </c>
      <c r="H112">
        <v>0.98813535724340795</v>
      </c>
      <c r="I112">
        <v>13.180108486892401</v>
      </c>
      <c r="J112">
        <v>53.610634663400297</v>
      </c>
      <c r="K112">
        <v>305784.83153865702</v>
      </c>
      <c r="L112">
        <f t="shared" si="4"/>
        <v>1.0695766030768886E-2</v>
      </c>
      <c r="M112">
        <f t="shared" si="6"/>
        <v>2.6001507529375799E-4</v>
      </c>
    </row>
    <row r="113" spans="1:13" x14ac:dyDescent="0.35">
      <c r="A113" t="s">
        <v>113</v>
      </c>
      <c r="B113">
        <v>2003</v>
      </c>
      <c r="C113">
        <v>1226.4490702486801</v>
      </c>
      <c r="D113">
        <v>328.06534426659402</v>
      </c>
      <c r="E113">
        <v>1706.95370841669</v>
      </c>
      <c r="F113">
        <v>0.79841325818341202</v>
      </c>
      <c r="G113">
        <v>19.204930802724</v>
      </c>
      <c r="H113">
        <v>0.81643324675905105</v>
      </c>
      <c r="I113">
        <v>10.9280768012552</v>
      </c>
      <c r="J113">
        <v>60.223614056118699</v>
      </c>
      <c r="K113">
        <v>363583.16542213701</v>
      </c>
      <c r="L113">
        <f t="shared" si="4"/>
        <v>9.2233082002119212E-3</v>
      </c>
      <c r="M113">
        <f t="shared" si="6"/>
        <v>2.5295854404660677E-4</v>
      </c>
    </row>
    <row r="114" spans="1:13" x14ac:dyDescent="0.35">
      <c r="A114" t="s">
        <v>113</v>
      </c>
      <c r="B114">
        <v>2004</v>
      </c>
      <c r="C114">
        <v>1339.1438698971201</v>
      </c>
      <c r="D114">
        <v>324.21634775925497</v>
      </c>
      <c r="E114">
        <v>1732.21965290559</v>
      </c>
      <c r="F114">
        <v>0.94013989596818603</v>
      </c>
      <c r="G114">
        <v>14.859017836924901</v>
      </c>
      <c r="H114">
        <v>1.01441370072563</v>
      </c>
      <c r="I114">
        <v>15.999301373435101</v>
      </c>
      <c r="J114">
        <v>78.535086783708394</v>
      </c>
      <c r="K114">
        <v>421255.727951409</v>
      </c>
      <c r="L114">
        <f t="shared" si="4"/>
        <v>8.324938030414732E-3</v>
      </c>
      <c r="M114">
        <f t="shared" si="6"/>
        <v>2.6432390636503338E-4</v>
      </c>
    </row>
    <row r="115" spans="1:13" x14ac:dyDescent="0.35">
      <c r="A115" t="s">
        <v>113</v>
      </c>
      <c r="B115">
        <v>2005</v>
      </c>
      <c r="C115">
        <v>1036.3063103352999</v>
      </c>
      <c r="D115">
        <v>349.10502628163601</v>
      </c>
      <c r="E115">
        <v>1514.1133556736199</v>
      </c>
      <c r="F115">
        <v>1.22598790164907</v>
      </c>
      <c r="G115">
        <v>30.1494773868992</v>
      </c>
      <c r="H115">
        <v>1.27579278469158</v>
      </c>
      <c r="I115">
        <v>19.5232264188584</v>
      </c>
      <c r="J115">
        <v>69.718460075254896</v>
      </c>
      <c r="K115">
        <v>439603.17091636901</v>
      </c>
      <c r="L115">
        <f t="shared" si="4"/>
        <v>6.873056967627536E-3</v>
      </c>
      <c r="M115">
        <f t="shared" si="6"/>
        <v>2.7727949348787184E-4</v>
      </c>
    </row>
    <row r="116" spans="1:13" x14ac:dyDescent="0.35">
      <c r="A116" t="s">
        <v>113</v>
      </c>
      <c r="B116">
        <v>2006</v>
      </c>
      <c r="C116">
        <v>1093.88670715021</v>
      </c>
      <c r="D116">
        <v>329.68956773837698</v>
      </c>
      <c r="E116">
        <v>1578.7019653172899</v>
      </c>
      <c r="F116">
        <v>1.7489703706322901</v>
      </c>
      <c r="G116">
        <v>41.9992164248685</v>
      </c>
      <c r="H116">
        <v>1.33323574542409</v>
      </c>
      <c r="I116">
        <v>23.953836238079099</v>
      </c>
      <c r="J116">
        <v>75.989965678720097</v>
      </c>
      <c r="K116">
        <v>485139.62813388603</v>
      </c>
      <c r="L116">
        <f t="shared" si="4"/>
        <v>6.4874178115893397E-3</v>
      </c>
      <c r="M116">
        <f t="shared" si="6"/>
        <v>2.9893502003860392E-4</v>
      </c>
    </row>
    <row r="117" spans="1:13" x14ac:dyDescent="0.35">
      <c r="A117" t="s">
        <v>113</v>
      </c>
      <c r="B117">
        <v>2007</v>
      </c>
      <c r="C117">
        <v>891.651890329558</v>
      </c>
      <c r="D117">
        <v>267.766241270053</v>
      </c>
      <c r="E117">
        <v>1158.16537279921</v>
      </c>
      <c r="F117">
        <v>8.7452886241461201</v>
      </c>
      <c r="G117">
        <v>80.717551474270806</v>
      </c>
      <c r="H117">
        <v>5.8942654079616501</v>
      </c>
      <c r="I117">
        <v>15.452807578466</v>
      </c>
      <c r="J117">
        <v>71.310072059797804</v>
      </c>
      <c r="K117">
        <v>554320.12177098403</v>
      </c>
      <c r="L117">
        <f t="shared" si="4"/>
        <v>4.5094944083163002E-3</v>
      </c>
      <c r="M117">
        <f t="shared" si="6"/>
        <v>3.2854658886058766E-4</v>
      </c>
    </row>
    <row r="118" spans="1:13" x14ac:dyDescent="0.35">
      <c r="A118" t="s">
        <v>113</v>
      </c>
      <c r="B118">
        <v>2008</v>
      </c>
      <c r="C118">
        <v>1232.62180886069</v>
      </c>
      <c r="D118">
        <v>300.23143313995303</v>
      </c>
      <c r="E118">
        <v>1162.15953869439</v>
      </c>
      <c r="F118">
        <v>14.0793939778171</v>
      </c>
      <c r="G118">
        <v>50.197945669100797</v>
      </c>
      <c r="H118">
        <v>4.8358581324093901</v>
      </c>
      <c r="I118">
        <v>14.526732954724601</v>
      </c>
      <c r="J118">
        <v>91.521187673523997</v>
      </c>
      <c r="K118">
        <v>602187.07023337099</v>
      </c>
      <c r="L118">
        <f t="shared" si="4"/>
        <v>4.7662496273629795E-3</v>
      </c>
      <c r="M118">
        <f t="shared" si="6"/>
        <v>2.9087492419871142E-4</v>
      </c>
    </row>
    <row r="119" spans="1:13" x14ac:dyDescent="0.35">
      <c r="A119" t="s">
        <v>113</v>
      </c>
      <c r="B119">
        <v>2009</v>
      </c>
      <c r="C119">
        <v>949.10554955976295</v>
      </c>
      <c r="D119">
        <v>267.55007727541698</v>
      </c>
      <c r="E119">
        <v>910.42193195139896</v>
      </c>
      <c r="F119">
        <v>4.3892313882141796</v>
      </c>
      <c r="G119">
        <v>34.677586843977799</v>
      </c>
      <c r="H119">
        <v>1.5101177242373001</v>
      </c>
      <c r="I119">
        <v>6.8871362557172997</v>
      </c>
      <c r="J119">
        <v>48.980109432698796</v>
      </c>
      <c r="K119">
        <v>479546.53341423202</v>
      </c>
      <c r="L119">
        <f t="shared" si="4"/>
        <v>4.6367173683867459E-3</v>
      </c>
      <c r="M119">
        <f t="shared" si="6"/>
        <v>2.0111537655833066E-4</v>
      </c>
    </row>
    <row r="120" spans="1:13" x14ac:dyDescent="0.35">
      <c r="A120" t="s">
        <v>113</v>
      </c>
      <c r="B120">
        <v>2010</v>
      </c>
      <c r="C120">
        <v>1023.64648482863</v>
      </c>
      <c r="D120">
        <v>235.172288401835</v>
      </c>
      <c r="E120">
        <v>851.46184571312097</v>
      </c>
      <c r="F120">
        <v>3.08139169413493</v>
      </c>
      <c r="G120">
        <v>49.674603850849202</v>
      </c>
      <c r="H120">
        <v>1.1154058192488101</v>
      </c>
      <c r="I120">
        <v>6.3327552255164701</v>
      </c>
      <c r="J120">
        <v>57.280666802007502</v>
      </c>
      <c r="K120">
        <v>519071.20884863898</v>
      </c>
      <c r="L120">
        <f t="shared" si="4"/>
        <v>4.2918301080053893E-3</v>
      </c>
      <c r="M120">
        <f t="shared" si="6"/>
        <v>2.26336620850831E-4</v>
      </c>
    </row>
    <row r="121" spans="1:13" x14ac:dyDescent="0.35">
      <c r="A121" t="s">
        <v>113</v>
      </c>
      <c r="B121">
        <v>2011</v>
      </c>
      <c r="C121">
        <v>1115.56885335828</v>
      </c>
      <c r="D121">
        <v>278.91660822123703</v>
      </c>
      <c r="E121">
        <v>810.22150833098601</v>
      </c>
      <c r="F121">
        <v>5.86379209264447</v>
      </c>
      <c r="G121">
        <v>131.298870329702</v>
      </c>
      <c r="H121">
        <v>2.0174381404589599</v>
      </c>
      <c r="I121">
        <v>7.6408166533631698</v>
      </c>
      <c r="J121">
        <v>103.72862223759699</v>
      </c>
      <c r="K121">
        <v>590192.36597502697</v>
      </c>
      <c r="L121">
        <f t="shared" si="4"/>
        <v>4.1600953365570287E-3</v>
      </c>
      <c r="M121">
        <f t="shared" si="6"/>
        <v>4.2452182355806205E-4</v>
      </c>
    </row>
    <row r="122" spans="1:13" x14ac:dyDescent="0.35">
      <c r="A122" t="s">
        <v>113</v>
      </c>
      <c r="B122">
        <v>2012</v>
      </c>
      <c r="C122">
        <v>575.01567979331105</v>
      </c>
      <c r="D122">
        <v>278.20238458556503</v>
      </c>
      <c r="E122">
        <v>686.45954504795895</v>
      </c>
      <c r="F122">
        <v>7.2668428184502298</v>
      </c>
      <c r="G122">
        <v>99.372732889969996</v>
      </c>
      <c r="H122">
        <v>3.5335770211683299</v>
      </c>
      <c r="I122">
        <v>8.3607129052946298</v>
      </c>
      <c r="J122">
        <v>80.766780446911596</v>
      </c>
      <c r="K122">
        <v>568753.38140165398</v>
      </c>
      <c r="L122">
        <f t="shared" si="4"/>
        <v>3.0575260075342958E-3</v>
      </c>
      <c r="M122">
        <f t="shared" si="6"/>
        <v>3.5041663504598763E-4</v>
      </c>
    </row>
    <row r="123" spans="1:13" x14ac:dyDescent="0.35">
      <c r="A123" t="s">
        <v>113</v>
      </c>
      <c r="B123">
        <v>2013</v>
      </c>
      <c r="C123">
        <v>457.78949754948599</v>
      </c>
      <c r="D123">
        <v>226.439268981499</v>
      </c>
      <c r="E123">
        <v>757.10289546008198</v>
      </c>
      <c r="F123">
        <v>5.0551651666554198</v>
      </c>
      <c r="G123">
        <v>98.719557685034204</v>
      </c>
      <c r="H123">
        <v>1.8271949595722401</v>
      </c>
      <c r="I123">
        <v>8.5268883145545296</v>
      </c>
      <c r="J123">
        <v>71.731111040572898</v>
      </c>
      <c r="K123">
        <v>571893.92759881495</v>
      </c>
      <c r="L123">
        <f t="shared" si="4"/>
        <v>2.8452681531162109E-3</v>
      </c>
      <c r="M123">
        <f t="shared" si="6"/>
        <v>3.2499019170696719E-4</v>
      </c>
    </row>
    <row r="124" spans="1:13" x14ac:dyDescent="0.35">
      <c r="A124" t="s">
        <v>113</v>
      </c>
      <c r="B124">
        <v>2014</v>
      </c>
      <c r="C124">
        <v>477.28397324345099</v>
      </c>
      <c r="D124">
        <v>213.061001069117</v>
      </c>
      <c r="E124">
        <v>694.474191921326</v>
      </c>
      <c r="F124">
        <v>7.9322436895178603</v>
      </c>
      <c r="G124">
        <v>78.270883112647994</v>
      </c>
      <c r="H124">
        <v>1.0624882389169701</v>
      </c>
      <c r="I124">
        <v>8.0249783332432294</v>
      </c>
      <c r="J124">
        <v>69.714775459414199</v>
      </c>
      <c r="K124">
        <v>581432.99652305897</v>
      </c>
      <c r="L124">
        <f t="shared" si="4"/>
        <v>2.665525596819427E-3</v>
      </c>
      <c r="M124">
        <f t="shared" si="6"/>
        <v>2.8379085779524783E-4</v>
      </c>
    </row>
    <row r="125" spans="1:13" x14ac:dyDescent="0.35">
      <c r="A125" t="s">
        <v>113</v>
      </c>
      <c r="B125">
        <v>2015</v>
      </c>
      <c r="C125">
        <v>476.43402821745701</v>
      </c>
      <c r="D125">
        <v>240.62535454312601</v>
      </c>
      <c r="E125">
        <v>482.76650597874999</v>
      </c>
      <c r="F125">
        <v>2.2781496908690402</v>
      </c>
      <c r="G125">
        <v>67.392333460429498</v>
      </c>
      <c r="H125">
        <v>1.50649625274541</v>
      </c>
      <c r="I125">
        <v>10.7999273754915</v>
      </c>
      <c r="J125">
        <v>136.964489750593</v>
      </c>
      <c r="K125">
        <v>501023.81327340601</v>
      </c>
      <c r="L125">
        <f t="shared" si="4"/>
        <v>2.8317362322561857E-3</v>
      </c>
      <c r="M125">
        <f t="shared" si="6"/>
        <v>4.3698800482094711E-4</v>
      </c>
    </row>
    <row r="126" spans="1:13" x14ac:dyDescent="0.35">
      <c r="A126" t="s">
        <v>113</v>
      </c>
      <c r="B126">
        <v>2016</v>
      </c>
      <c r="C126">
        <v>429.89626613241199</v>
      </c>
      <c r="D126">
        <v>265.45870744007101</v>
      </c>
      <c r="E126">
        <v>484.893221450471</v>
      </c>
      <c r="F126">
        <v>4.6164799798853497</v>
      </c>
      <c r="G126">
        <v>87.433386439267295</v>
      </c>
      <c r="H126">
        <v>1.24268872462368</v>
      </c>
      <c r="I126">
        <v>13.6144499136342</v>
      </c>
      <c r="J126">
        <v>96.897490218360701</v>
      </c>
      <c r="K126">
        <v>500678.56935724901</v>
      </c>
      <c r="L126">
        <f t="shared" si="4"/>
        <v>2.7643537690768671E-3</v>
      </c>
      <c r="M126">
        <f t="shared" si="6"/>
        <v>4.0705655833723266E-4</v>
      </c>
    </row>
    <row r="127" spans="1:13" x14ac:dyDescent="0.35">
      <c r="A127" t="s">
        <v>113</v>
      </c>
      <c r="B127">
        <v>2017</v>
      </c>
      <c r="C127">
        <v>448.65092217304999</v>
      </c>
      <c r="D127">
        <v>216.80599120896301</v>
      </c>
      <c r="E127">
        <v>636.04196451994301</v>
      </c>
      <c r="F127">
        <v>1.7573332408650399</v>
      </c>
      <c r="G127">
        <v>76.790216224523704</v>
      </c>
      <c r="H127">
        <v>1.7914867544202</v>
      </c>
      <c r="I127">
        <v>18.267427963083399</v>
      </c>
      <c r="J127">
        <v>147.38509328401901</v>
      </c>
      <c r="K127">
        <v>528627.35114303499</v>
      </c>
      <c r="L127">
        <f t="shared" si="4"/>
        <v>2.9273748927723382E-3</v>
      </c>
      <c r="M127">
        <f t="shared" si="6"/>
        <v>4.6534020030369454E-4</v>
      </c>
    </row>
    <row r="128" spans="1:13" x14ac:dyDescent="0.35">
      <c r="A128" t="s">
        <v>113</v>
      </c>
      <c r="B128">
        <v>2018</v>
      </c>
      <c r="C128">
        <v>585.66210004215702</v>
      </c>
      <c r="D128">
        <v>233.91820584141399</v>
      </c>
      <c r="E128">
        <v>773.62915546347995</v>
      </c>
      <c r="F128">
        <v>1.3074823976588501</v>
      </c>
      <c r="G128">
        <v>100.975820992566</v>
      </c>
      <c r="H128">
        <v>1.17993228521562</v>
      </c>
      <c r="I128">
        <v>19.073698683481499</v>
      </c>
      <c r="J128">
        <v>149.65321269997199</v>
      </c>
      <c r="K128">
        <v>584775.329817513</v>
      </c>
      <c r="L128">
        <f t="shared" si="4"/>
        <v>3.1899423817828773E-3</v>
      </c>
      <c r="M128">
        <f t="shared" si="6"/>
        <v>4.6546106372824335E-4</v>
      </c>
    </row>
    <row r="129" spans="1:13" x14ac:dyDescent="0.35">
      <c r="A129" t="s">
        <v>113</v>
      </c>
      <c r="B129">
        <v>2019</v>
      </c>
      <c r="C129">
        <v>519.14182894522799</v>
      </c>
      <c r="D129">
        <v>256.46975548461</v>
      </c>
      <c r="E129">
        <v>581.73211280387898</v>
      </c>
      <c r="F129">
        <v>1.0092421237131699</v>
      </c>
      <c r="G129">
        <v>72.204448917284395</v>
      </c>
      <c r="H129">
        <v>1.25821018179716</v>
      </c>
      <c r="I129">
        <v>22.768554619744599</v>
      </c>
      <c r="J129">
        <v>111.349859668815</v>
      </c>
      <c r="K129">
        <v>577422.30747230304</v>
      </c>
      <c r="L129">
        <f t="shared" si="4"/>
        <v>2.7119388920044175E-3</v>
      </c>
      <c r="M129">
        <f t="shared" si="6"/>
        <v>3.6124395059219233E-4</v>
      </c>
    </row>
    <row r="130" spans="1:13" x14ac:dyDescent="0.35">
      <c r="A130" t="s">
        <v>113</v>
      </c>
      <c r="B130">
        <v>2020</v>
      </c>
      <c r="C130">
        <v>485.36983600719401</v>
      </c>
      <c r="D130">
        <v>235.53190795746599</v>
      </c>
      <c r="E130">
        <v>587.33495621672103</v>
      </c>
      <c r="F130">
        <v>1.3174603090928501</v>
      </c>
      <c r="G130">
        <v>67.661187538630202</v>
      </c>
      <c r="H130">
        <v>1.7551222670478199</v>
      </c>
      <c r="I130">
        <v>18.170955857838301</v>
      </c>
      <c r="J130">
        <v>98.866739351229</v>
      </c>
      <c r="K130">
        <v>486627.16279312997</v>
      </c>
      <c r="L130">
        <f t="shared" si="4"/>
        <v>3.0742389243511815E-3</v>
      </c>
      <c r="M130">
        <f t="shared" si="6"/>
        <v>3.8586309947449788E-4</v>
      </c>
    </row>
    <row r="131" spans="1:13" x14ac:dyDescent="0.35">
      <c r="A131" t="s">
        <v>113</v>
      </c>
      <c r="B131">
        <v>2021</v>
      </c>
      <c r="C131">
        <v>566.76923655956705</v>
      </c>
      <c r="D131">
        <v>295.26032699898798</v>
      </c>
      <c r="E131">
        <v>758.60482985239696</v>
      </c>
      <c r="F131">
        <v>0.45226599947475798</v>
      </c>
      <c r="G131">
        <v>130.033600884771</v>
      </c>
      <c r="H131">
        <v>0.61923822504098303</v>
      </c>
      <c r="I131">
        <v>22.775817146210599</v>
      </c>
      <c r="J131">
        <v>96.377329436369095</v>
      </c>
      <c r="K131">
        <v>579013.54277092998</v>
      </c>
      <c r="L131">
        <f t="shared" si="4"/>
        <v>3.2311725148076254E-3</v>
      </c>
      <c r="M131">
        <f t="shared" si="6"/>
        <v>4.3221485026797364E-4</v>
      </c>
    </row>
    <row r="132" spans="1:13" x14ac:dyDescent="0.35">
      <c r="A132" t="s">
        <v>113</v>
      </c>
      <c r="B132">
        <v>2022</v>
      </c>
      <c r="C132">
        <v>401.38930430460101</v>
      </c>
      <c r="D132">
        <v>291.69451606517902</v>
      </c>
      <c r="E132">
        <v>853.14026860772105</v>
      </c>
      <c r="F132">
        <v>2.0323885412137099</v>
      </c>
      <c r="G132">
        <v>301.10560896553801</v>
      </c>
      <c r="H132">
        <v>1.22754335041973</v>
      </c>
      <c r="I132">
        <v>34.405016666028502</v>
      </c>
      <c r="J132">
        <v>112.65044890287</v>
      </c>
      <c r="K132">
        <v>614275.87189883902</v>
      </c>
      <c r="L132">
        <f t="shared" si="4"/>
        <v>3.2520324935252382E-3</v>
      </c>
      <c r="M132">
        <f t="shared" si="6"/>
        <v>7.348831804684841E-4</v>
      </c>
    </row>
    <row r="133" spans="1:13" x14ac:dyDescent="0.35">
      <c r="A133" t="s">
        <v>113</v>
      </c>
      <c r="B133">
        <v>2023</v>
      </c>
      <c r="C133">
        <v>413.80552134060798</v>
      </c>
      <c r="D133">
        <v>241.24244231714201</v>
      </c>
      <c r="E133">
        <v>604.02679544197201</v>
      </c>
      <c r="F133">
        <v>6.6544511826631503</v>
      </c>
      <c r="G133">
        <v>248.40870215733099</v>
      </c>
      <c r="H133">
        <v>0.30898377712671599</v>
      </c>
      <c r="I133">
        <v>49.898769809228803</v>
      </c>
      <c r="J133">
        <v>118.57814661898399</v>
      </c>
      <c r="K133">
        <v>648619.03220410401</v>
      </c>
      <c r="L133">
        <f t="shared" si="4"/>
        <v>2.5946260117071037E-3</v>
      </c>
      <c r="M133">
        <f t="shared" si="6"/>
        <v>6.5346379384680011E-4</v>
      </c>
    </row>
    <row r="134" spans="1:13" x14ac:dyDescent="0.35">
      <c r="A134" t="s">
        <v>113</v>
      </c>
      <c r="B134">
        <v>2024</v>
      </c>
      <c r="C134">
        <v>430.24521888473703</v>
      </c>
      <c r="D134">
        <v>255.276319668008</v>
      </c>
      <c r="E134">
        <v>721.94526294320804</v>
      </c>
      <c r="F134">
        <v>7.0646983645669597</v>
      </c>
      <c r="G134">
        <v>192.97017732020501</v>
      </c>
      <c r="H134">
        <v>0.523393062239491</v>
      </c>
      <c r="I134">
        <v>48.906063073900903</v>
      </c>
      <c r="J134">
        <v>125.70997221380701</v>
      </c>
      <c r="K134">
        <v>648163.57154709299</v>
      </c>
      <c r="L134">
        <f t="shared" si="4"/>
        <v>2.7502951165177488E-3</v>
      </c>
      <c r="M134">
        <f t="shared" si="6"/>
        <v>5.7882658098050899E-4</v>
      </c>
    </row>
    <row r="137" spans="1:13" x14ac:dyDescent="0.35">
      <c r="A137" t="s">
        <v>114</v>
      </c>
      <c r="B137">
        <v>2000</v>
      </c>
      <c r="C137">
        <v>359.44819394742802</v>
      </c>
      <c r="D137">
        <v>79.299273651730005</v>
      </c>
      <c r="E137">
        <v>1858.5880113251301</v>
      </c>
      <c r="F137">
        <v>2.7311230253527201</v>
      </c>
      <c r="G137">
        <v>6.7438043076357603</v>
      </c>
      <c r="H137">
        <v>0.35413606940236197</v>
      </c>
      <c r="I137">
        <v>8.65986074964135</v>
      </c>
      <c r="J137">
        <v>29.747742363448399</v>
      </c>
      <c r="K137">
        <v>228474.535097941</v>
      </c>
      <c r="L137">
        <f t="shared" si="4"/>
        <v>1.0266230083078115E-2</v>
      </c>
      <c r="M137">
        <f t="shared" ref="M137:M161" si="7">(SUM(F137:J137)/K137)</f>
        <v>2.1112491374499485E-4</v>
      </c>
    </row>
    <row r="138" spans="1:13" x14ac:dyDescent="0.35">
      <c r="A138" t="s">
        <v>114</v>
      </c>
      <c r="B138">
        <v>2001</v>
      </c>
      <c r="C138">
        <v>379.13160703169302</v>
      </c>
      <c r="D138">
        <v>86.875975156295993</v>
      </c>
      <c r="E138">
        <v>1688.8495834882201</v>
      </c>
      <c r="F138">
        <v>3.0348976172121098</v>
      </c>
      <c r="G138">
        <v>6.9335916543843696</v>
      </c>
      <c r="H138">
        <v>0.37035161934317001</v>
      </c>
      <c r="I138">
        <v>8.6401953194245493</v>
      </c>
      <c r="J138">
        <v>26.226913080748101</v>
      </c>
      <c r="K138">
        <v>233889.35876841901</v>
      </c>
      <c r="L138">
        <f t="shared" si="4"/>
        <v>9.4064267248073954E-3</v>
      </c>
      <c r="M138">
        <f t="shared" si="7"/>
        <v>1.9327920487341237E-4</v>
      </c>
    </row>
    <row r="139" spans="1:13" x14ac:dyDescent="0.35">
      <c r="A139" t="s">
        <v>114</v>
      </c>
      <c r="B139">
        <v>2002</v>
      </c>
      <c r="C139">
        <v>444.63786538376303</v>
      </c>
      <c r="D139">
        <v>152.977196009381</v>
      </c>
      <c r="E139">
        <v>1312.75459254104</v>
      </c>
      <c r="F139">
        <v>3.38337020024515</v>
      </c>
      <c r="G139">
        <v>3.29011980521113</v>
      </c>
      <c r="H139">
        <v>0.78706016406132995</v>
      </c>
      <c r="I139">
        <v>9.6695285095606796</v>
      </c>
      <c r="J139">
        <v>24.015092397327098</v>
      </c>
      <c r="K139">
        <v>243013.03042226101</v>
      </c>
      <c r="L139">
        <f t="shared" si="4"/>
        <v>8.0304945854945495E-3</v>
      </c>
      <c r="M139">
        <f t="shared" si="7"/>
        <v>1.6931261259904982E-4</v>
      </c>
    </row>
    <row r="140" spans="1:13" x14ac:dyDescent="0.35">
      <c r="A140" t="s">
        <v>114</v>
      </c>
      <c r="B140">
        <v>2003</v>
      </c>
      <c r="C140">
        <v>138.70201077848799</v>
      </c>
      <c r="D140">
        <v>143.83676275939601</v>
      </c>
      <c r="E140">
        <v>1502.1012496006299</v>
      </c>
      <c r="F140">
        <v>2.9758439482333499</v>
      </c>
      <c r="G140">
        <v>8.3010121385541993</v>
      </c>
      <c r="H140">
        <v>0.63565354685414199</v>
      </c>
      <c r="I140">
        <v>10.840315067517</v>
      </c>
      <c r="J140">
        <v>30.244299019469</v>
      </c>
      <c r="K140">
        <v>285619.87224534701</v>
      </c>
      <c r="L140">
        <f t="shared" si="4"/>
        <v>6.4338560633505721E-3</v>
      </c>
      <c r="M140">
        <f t="shared" si="7"/>
        <v>1.8555124790162799E-4</v>
      </c>
    </row>
    <row r="141" spans="1:13" x14ac:dyDescent="0.35">
      <c r="A141" t="s">
        <v>114</v>
      </c>
      <c r="B141">
        <v>2004</v>
      </c>
      <c r="C141">
        <v>78.480670089723503</v>
      </c>
      <c r="D141">
        <v>128.502465382667</v>
      </c>
      <c r="E141">
        <v>1325.05668908651</v>
      </c>
      <c r="F141">
        <v>4.3116788093161</v>
      </c>
      <c r="G141">
        <v>4.0738164409653201</v>
      </c>
      <c r="H141">
        <v>1.5524888780683299</v>
      </c>
      <c r="I141">
        <v>13.4458764620033</v>
      </c>
      <c r="J141">
        <v>32.451271030835102</v>
      </c>
      <c r="K141">
        <v>336913.57976834098</v>
      </c>
      <c r="L141">
        <f t="shared" ref="L141:L188" si="8">(SUM(C141:J141)/K141)</f>
        <v>4.7130037241950853E-3</v>
      </c>
      <c r="M141">
        <f t="shared" si="7"/>
        <v>1.6572538174204773E-4</v>
      </c>
    </row>
    <row r="142" spans="1:13" x14ac:dyDescent="0.35">
      <c r="A142" t="s">
        <v>114</v>
      </c>
      <c r="B142">
        <v>2005</v>
      </c>
      <c r="C142">
        <v>55.903060419257798</v>
      </c>
      <c r="D142">
        <v>188.82234303646001</v>
      </c>
      <c r="E142">
        <v>1223.3908075127499</v>
      </c>
      <c r="F142">
        <v>4.3710154908409304</v>
      </c>
      <c r="G142">
        <v>7.9952099568408199</v>
      </c>
      <c r="H142">
        <v>1.42943316338076</v>
      </c>
      <c r="I142">
        <v>14.9327805694452</v>
      </c>
      <c r="J142">
        <v>33.769079376004399</v>
      </c>
      <c r="K142">
        <v>355590.00389057701</v>
      </c>
      <c r="L142">
        <f t="shared" si="8"/>
        <v>4.304434075137792E-3</v>
      </c>
      <c r="M142">
        <f t="shared" si="7"/>
        <v>1.7575724253414049E-4</v>
      </c>
    </row>
    <row r="143" spans="1:13" x14ac:dyDescent="0.35">
      <c r="A143" t="s">
        <v>114</v>
      </c>
      <c r="B143">
        <v>2006</v>
      </c>
      <c r="C143">
        <v>88.545520169291194</v>
      </c>
      <c r="D143">
        <v>182.10576940449201</v>
      </c>
      <c r="E143">
        <v>941.47350690222504</v>
      </c>
      <c r="F143">
        <v>3.7570844799756502</v>
      </c>
      <c r="G143">
        <v>4.7931347605688899</v>
      </c>
      <c r="H143">
        <v>0.56153174679324303</v>
      </c>
      <c r="I143">
        <v>14.4429218521447</v>
      </c>
      <c r="J143">
        <v>35.028928493329801</v>
      </c>
      <c r="K143">
        <v>401334.834028307</v>
      </c>
      <c r="L143">
        <f t="shared" si="8"/>
        <v>3.1662050987560047E-3</v>
      </c>
      <c r="M143">
        <f t="shared" si="7"/>
        <v>1.459718827413826E-4</v>
      </c>
    </row>
    <row r="144" spans="1:13" x14ac:dyDescent="0.35">
      <c r="A144" t="s">
        <v>114</v>
      </c>
      <c r="B144">
        <v>2007</v>
      </c>
      <c r="C144">
        <v>64.079645977595504</v>
      </c>
      <c r="D144">
        <v>143.540546012026</v>
      </c>
      <c r="E144">
        <v>673.83191725353402</v>
      </c>
      <c r="F144">
        <v>12.220846016486901</v>
      </c>
      <c r="G144">
        <v>32.856792448381697</v>
      </c>
      <c r="H144">
        <v>3.5354117956409401</v>
      </c>
      <c r="I144">
        <v>5.5135367022708799</v>
      </c>
      <c r="J144">
        <v>99.868659941646897</v>
      </c>
      <c r="K144">
        <v>479674.23814142903</v>
      </c>
      <c r="L144">
        <f t="shared" si="8"/>
        <v>2.1586470020978853E-3</v>
      </c>
      <c r="M144">
        <f t="shared" si="7"/>
        <v>3.2104131233127168E-4</v>
      </c>
    </row>
    <row r="145" spans="1:13" x14ac:dyDescent="0.35">
      <c r="A145" t="s">
        <v>114</v>
      </c>
      <c r="B145">
        <v>2008</v>
      </c>
      <c r="C145">
        <v>70.258144063194294</v>
      </c>
      <c r="D145">
        <v>94.774871196954095</v>
      </c>
      <c r="E145">
        <v>617.95263128046599</v>
      </c>
      <c r="F145">
        <v>23.451997194831399</v>
      </c>
      <c r="G145">
        <v>82.602090675239893</v>
      </c>
      <c r="H145">
        <v>2.90527227604067</v>
      </c>
      <c r="I145">
        <v>8.5005485464682593</v>
      </c>
      <c r="J145">
        <v>98.643749571354206</v>
      </c>
      <c r="K145">
        <v>527386.78411320096</v>
      </c>
      <c r="L145">
        <f t="shared" si="8"/>
        <v>1.894414753840512E-3</v>
      </c>
      <c r="M145">
        <f t="shared" si="7"/>
        <v>4.0976312788594429E-4</v>
      </c>
    </row>
    <row r="146" spans="1:13" x14ac:dyDescent="0.35">
      <c r="A146" t="s">
        <v>114</v>
      </c>
      <c r="B146">
        <v>2009</v>
      </c>
      <c r="C146">
        <v>71.102211896967702</v>
      </c>
      <c r="D146">
        <v>78.024464351024903</v>
      </c>
      <c r="E146">
        <v>447.46205893645998</v>
      </c>
      <c r="F146">
        <v>51.2782951800272</v>
      </c>
      <c r="G146">
        <v>65.015753499333997</v>
      </c>
      <c r="H146">
        <v>1.6203885945740899</v>
      </c>
      <c r="I146">
        <v>2.7124373378178799</v>
      </c>
      <c r="J146">
        <v>81.559978402449005</v>
      </c>
      <c r="K146">
        <v>397427.26748819102</v>
      </c>
      <c r="L146">
        <f t="shared" si="8"/>
        <v>2.0098660900824809E-3</v>
      </c>
      <c r="M146">
        <f t="shared" si="7"/>
        <v>5.0873925760569472E-4</v>
      </c>
    </row>
    <row r="147" spans="1:13" x14ac:dyDescent="0.35">
      <c r="A147" t="s">
        <v>114</v>
      </c>
      <c r="B147">
        <v>2010</v>
      </c>
      <c r="C147">
        <v>97.986422184552296</v>
      </c>
      <c r="D147">
        <v>86.562283820670501</v>
      </c>
      <c r="E147">
        <v>442.55440606037098</v>
      </c>
      <c r="F147">
        <v>13.721041727354001</v>
      </c>
      <c r="G147">
        <v>432.09574195452001</v>
      </c>
      <c r="H147">
        <v>0.831933370032236</v>
      </c>
      <c r="I147">
        <v>5.8442629299742199</v>
      </c>
      <c r="J147">
        <v>151.41024277704099</v>
      </c>
      <c r="K147">
        <v>430395.65610858297</v>
      </c>
      <c r="L147">
        <f t="shared" si="8"/>
        <v>2.8601736968134018E-3</v>
      </c>
      <c r="M147">
        <f t="shared" si="7"/>
        <v>1.4031350321216179E-3</v>
      </c>
    </row>
    <row r="148" spans="1:13" x14ac:dyDescent="0.35">
      <c r="A148" t="s">
        <v>114</v>
      </c>
      <c r="B148">
        <v>2011</v>
      </c>
      <c r="C148">
        <v>144.593657609747</v>
      </c>
      <c r="D148">
        <v>78.182558783834693</v>
      </c>
      <c r="E148">
        <v>374.88708469301503</v>
      </c>
      <c r="F148">
        <v>47.077602891681501</v>
      </c>
      <c r="G148">
        <v>835.04605164919496</v>
      </c>
      <c r="H148">
        <v>3.8289741111030602</v>
      </c>
      <c r="I148">
        <v>4.5067350319202504</v>
      </c>
      <c r="J148">
        <v>104.509980857339</v>
      </c>
      <c r="K148">
        <v>509334.83800343698</v>
      </c>
      <c r="L148">
        <f t="shared" si="8"/>
        <v>3.1268873181164343E-3</v>
      </c>
      <c r="M148">
        <f t="shared" si="7"/>
        <v>1.953468073068516E-3</v>
      </c>
    </row>
    <row r="149" spans="1:13" x14ac:dyDescent="0.35">
      <c r="A149" t="s">
        <v>114</v>
      </c>
      <c r="B149">
        <v>2012</v>
      </c>
      <c r="C149">
        <v>113.712003082845</v>
      </c>
      <c r="D149">
        <v>67.061598762509405</v>
      </c>
      <c r="E149">
        <v>263.20780426205903</v>
      </c>
      <c r="F149">
        <v>3.7359587782634902</v>
      </c>
      <c r="G149">
        <v>73.809276507518504</v>
      </c>
      <c r="H149">
        <v>2.4564682125894901</v>
      </c>
      <c r="I149">
        <v>4.0157269587026603</v>
      </c>
      <c r="J149">
        <v>88.919683572437805</v>
      </c>
      <c r="K149">
        <v>493932.76593394199</v>
      </c>
      <c r="L149">
        <f t="shared" si="8"/>
        <v>1.2489929048752988E-3</v>
      </c>
      <c r="M149">
        <f t="shared" si="7"/>
        <v>3.5012278179706824E-4</v>
      </c>
    </row>
    <row r="150" spans="1:13" x14ac:dyDescent="0.35">
      <c r="A150" t="s">
        <v>114</v>
      </c>
      <c r="B150">
        <v>2013</v>
      </c>
      <c r="C150">
        <v>145.22279801082399</v>
      </c>
      <c r="D150">
        <v>75.386065331835894</v>
      </c>
      <c r="E150">
        <v>265.500235148564</v>
      </c>
      <c r="F150">
        <v>1.07776713359656</v>
      </c>
      <c r="G150">
        <v>47.756120754956399</v>
      </c>
      <c r="H150">
        <v>1.3078570036580499</v>
      </c>
      <c r="I150">
        <v>7.4410459628757701</v>
      </c>
      <c r="J150">
        <v>95.248565290285796</v>
      </c>
      <c r="K150">
        <v>507561.82700815902</v>
      </c>
      <c r="L150">
        <f t="shared" si="8"/>
        <v>1.2588426091907925E-3</v>
      </c>
      <c r="M150">
        <f t="shared" si="7"/>
        <v>3.0110884627837828E-4</v>
      </c>
    </row>
    <row r="151" spans="1:13" x14ac:dyDescent="0.35">
      <c r="A151" t="s">
        <v>114</v>
      </c>
      <c r="B151">
        <v>2014</v>
      </c>
      <c r="C151">
        <v>111.360134766882</v>
      </c>
      <c r="D151">
        <v>80.132532967426897</v>
      </c>
      <c r="E151">
        <v>246.48731241349299</v>
      </c>
      <c r="F151">
        <v>2.5020779154740498</v>
      </c>
      <c r="G151">
        <v>69.634961396106704</v>
      </c>
      <c r="H151">
        <v>0.16094407455010401</v>
      </c>
      <c r="I151">
        <v>14.829046741222101</v>
      </c>
      <c r="J151">
        <v>79.805290826228799</v>
      </c>
      <c r="K151">
        <v>518073.44954593602</v>
      </c>
      <c r="L151">
        <f t="shared" si="8"/>
        <v>1.1676188031476179E-3</v>
      </c>
      <c r="M151">
        <f t="shared" si="7"/>
        <v>3.222174792008529E-4</v>
      </c>
    </row>
    <row r="152" spans="1:13" x14ac:dyDescent="0.35">
      <c r="A152" t="s">
        <v>114</v>
      </c>
      <c r="B152">
        <v>2015</v>
      </c>
      <c r="C152">
        <v>108.31823690148001</v>
      </c>
      <c r="D152">
        <v>81.348307781135205</v>
      </c>
      <c r="E152">
        <v>224.07891352550999</v>
      </c>
      <c r="F152">
        <v>4.0941656047207999</v>
      </c>
      <c r="G152">
        <v>78.684687181280296</v>
      </c>
      <c r="H152">
        <v>0.122830484639564</v>
      </c>
      <c r="I152">
        <v>12.1576242059104</v>
      </c>
      <c r="J152">
        <v>37.880878544820099</v>
      </c>
      <c r="K152">
        <v>453147.43866349303</v>
      </c>
      <c r="L152">
        <f t="shared" si="8"/>
        <v>1.2064189214924918E-3</v>
      </c>
      <c r="M152">
        <f t="shared" si="7"/>
        <v>2.9337071045455569E-4</v>
      </c>
    </row>
    <row r="153" spans="1:13" x14ac:dyDescent="0.35">
      <c r="A153" t="s">
        <v>114</v>
      </c>
      <c r="B153">
        <v>2016</v>
      </c>
      <c r="C153">
        <v>116.814217073072</v>
      </c>
      <c r="D153">
        <v>92.5198060219643</v>
      </c>
      <c r="E153">
        <v>236.293908702083</v>
      </c>
      <c r="F153">
        <v>1.9413093953785101</v>
      </c>
      <c r="G153">
        <v>168.39352291051799</v>
      </c>
      <c r="H153">
        <v>0.12579939227550899</v>
      </c>
      <c r="I153">
        <v>12.919016917786699</v>
      </c>
      <c r="J153">
        <v>35.833309094472597</v>
      </c>
      <c r="K153">
        <v>458376.23328113701</v>
      </c>
      <c r="L153">
        <f t="shared" si="8"/>
        <v>1.4504261810183822E-3</v>
      </c>
      <c r="M153">
        <f t="shared" si="7"/>
        <v>4.7823805379538706E-4</v>
      </c>
    </row>
    <row r="154" spans="1:13" x14ac:dyDescent="0.35">
      <c r="A154" t="s">
        <v>114</v>
      </c>
      <c r="B154">
        <v>2017</v>
      </c>
      <c r="C154">
        <v>133.63347830833399</v>
      </c>
      <c r="D154">
        <v>96.401281917284294</v>
      </c>
      <c r="E154">
        <v>304.54423857912099</v>
      </c>
      <c r="F154">
        <v>2.9610887454686199</v>
      </c>
      <c r="G154">
        <v>112.229917605548</v>
      </c>
      <c r="H154">
        <v>0.120236644835338</v>
      </c>
      <c r="I154">
        <v>14.1749804085823</v>
      </c>
      <c r="J154">
        <v>36.830406762735201</v>
      </c>
      <c r="K154">
        <v>495117.76189196599</v>
      </c>
      <c r="L154">
        <f t="shared" si="8"/>
        <v>1.415613987051515E-3</v>
      </c>
      <c r="M154">
        <f t="shared" si="7"/>
        <v>3.3591327754357462E-4</v>
      </c>
    </row>
    <row r="155" spans="1:13" x14ac:dyDescent="0.35">
      <c r="A155" t="s">
        <v>114</v>
      </c>
      <c r="B155">
        <v>2018</v>
      </c>
      <c r="C155">
        <v>129.37689394249301</v>
      </c>
      <c r="D155">
        <v>78.144129210801296</v>
      </c>
      <c r="E155">
        <v>405.19581460169701</v>
      </c>
      <c r="F155">
        <v>5.9794223123829404</v>
      </c>
      <c r="G155">
        <v>94.214113624202795</v>
      </c>
      <c r="H155">
        <v>0.678449128958866</v>
      </c>
      <c r="I155">
        <v>21.798063717865102</v>
      </c>
      <c r="J155">
        <v>51.205578514198898</v>
      </c>
      <c r="K155">
        <v>540340.251951235</v>
      </c>
      <c r="L155">
        <f t="shared" si="8"/>
        <v>1.4557354596703058E-3</v>
      </c>
      <c r="M155">
        <f t="shared" si="7"/>
        <v>3.2178914428403649E-4</v>
      </c>
    </row>
    <row r="156" spans="1:13" x14ac:dyDescent="0.35">
      <c r="A156" t="s">
        <v>114</v>
      </c>
      <c r="B156">
        <v>2019</v>
      </c>
      <c r="C156">
        <v>107.03686942179201</v>
      </c>
      <c r="D156">
        <v>68.401721548436498</v>
      </c>
      <c r="E156">
        <v>452.654143260377</v>
      </c>
      <c r="F156">
        <v>3.6259309751268902</v>
      </c>
      <c r="G156">
        <v>95.524628383124707</v>
      </c>
      <c r="H156">
        <v>3.4510666059381398E-2</v>
      </c>
      <c r="I156">
        <v>12.235341531784099</v>
      </c>
      <c r="J156">
        <v>46.161919416955499</v>
      </c>
      <c r="K156">
        <v>535125.58677600196</v>
      </c>
      <c r="L156">
        <f t="shared" si="8"/>
        <v>1.4682068744594184E-3</v>
      </c>
      <c r="M156">
        <f t="shared" si="7"/>
        <v>2.9447728695322677E-4</v>
      </c>
    </row>
    <row r="157" spans="1:13" x14ac:dyDescent="0.35">
      <c r="A157" t="s">
        <v>114</v>
      </c>
      <c r="B157">
        <v>2020</v>
      </c>
      <c r="C157">
        <v>140.88071994258601</v>
      </c>
      <c r="D157">
        <v>56.224679583949097</v>
      </c>
      <c r="E157">
        <v>442.80207273972201</v>
      </c>
      <c r="F157">
        <v>4.3127953531146801</v>
      </c>
      <c r="G157">
        <v>92.006146771363206</v>
      </c>
      <c r="H157">
        <v>0.48179834090548701</v>
      </c>
      <c r="I157">
        <v>19.938184332603999</v>
      </c>
      <c r="J157">
        <v>45.640375128753099</v>
      </c>
      <c r="K157">
        <v>488941.08426182001</v>
      </c>
      <c r="L157">
        <f t="shared" si="8"/>
        <v>1.6408659407385494E-3</v>
      </c>
      <c r="M157">
        <f t="shared" si="7"/>
        <v>3.321040206140439E-4</v>
      </c>
    </row>
    <row r="158" spans="1:13" x14ac:dyDescent="0.35">
      <c r="A158" t="s">
        <v>114</v>
      </c>
      <c r="B158">
        <v>2021</v>
      </c>
      <c r="C158">
        <v>155.35619849418501</v>
      </c>
      <c r="D158">
        <v>60.807133056184</v>
      </c>
      <c r="E158">
        <v>433.08453381484497</v>
      </c>
      <c r="F158">
        <v>3.2378150571967801</v>
      </c>
      <c r="G158">
        <v>107.169849365508</v>
      </c>
      <c r="H158">
        <v>4.2996079381637603E-2</v>
      </c>
      <c r="I158">
        <v>23.442813781245299</v>
      </c>
      <c r="J158">
        <v>47.450371564943403</v>
      </c>
      <c r="K158">
        <v>612976.22363462101</v>
      </c>
      <c r="L158">
        <f t="shared" si="8"/>
        <v>1.3550145653097681E-3</v>
      </c>
      <c r="M158">
        <f t="shared" si="7"/>
        <v>2.9584156588163103E-4</v>
      </c>
    </row>
    <row r="159" spans="1:13" x14ac:dyDescent="0.35">
      <c r="A159" t="s">
        <v>114</v>
      </c>
      <c r="B159">
        <v>2022</v>
      </c>
      <c r="C159">
        <v>176.86509768066799</v>
      </c>
      <c r="D159">
        <v>59.687978655029397</v>
      </c>
      <c r="E159">
        <v>407.07402290502898</v>
      </c>
      <c r="F159">
        <v>2.7869644499380199</v>
      </c>
      <c r="G159">
        <v>98.858784046971607</v>
      </c>
      <c r="H159">
        <v>1.6356968935882801</v>
      </c>
      <c r="I159">
        <v>29.344133516676202</v>
      </c>
      <c r="J159">
        <v>64.528290841734801</v>
      </c>
      <c r="K159">
        <v>640365.84585429798</v>
      </c>
      <c r="L159">
        <f t="shared" si="8"/>
        <v>1.312969725716661E-3</v>
      </c>
      <c r="M159">
        <f t="shared" si="7"/>
        <v>3.0787692851715141E-4</v>
      </c>
    </row>
    <row r="160" spans="1:13" x14ac:dyDescent="0.35">
      <c r="A160" t="s">
        <v>114</v>
      </c>
      <c r="B160">
        <v>2023</v>
      </c>
      <c r="C160">
        <v>150.815931861526</v>
      </c>
      <c r="D160">
        <v>55.079395602286098</v>
      </c>
      <c r="E160">
        <v>326.22721634949301</v>
      </c>
      <c r="F160">
        <v>9.6508136137093707</v>
      </c>
      <c r="G160">
        <v>187.16178880327499</v>
      </c>
      <c r="H160">
        <v>3.33696509522317</v>
      </c>
      <c r="I160">
        <v>37.294548173933499</v>
      </c>
      <c r="J160">
        <v>75.487545823058497</v>
      </c>
      <c r="K160">
        <v>656012.06743936997</v>
      </c>
      <c r="L160">
        <f t="shared" si="8"/>
        <v>1.2881686896721704E-3</v>
      </c>
      <c r="M160">
        <f t="shared" si="7"/>
        <v>4.7702119677565436E-4</v>
      </c>
    </row>
    <row r="161" spans="1:13" x14ac:dyDescent="0.35">
      <c r="A161" t="s">
        <v>114</v>
      </c>
      <c r="B161">
        <v>2024</v>
      </c>
      <c r="C161">
        <v>147.562506452121</v>
      </c>
      <c r="D161">
        <v>46.076024752068001</v>
      </c>
      <c r="E161">
        <v>284.342412919955</v>
      </c>
      <c r="F161">
        <v>8.5375581080558902</v>
      </c>
      <c r="G161">
        <v>170.248144137303</v>
      </c>
      <c r="H161">
        <v>1.9650898448340199</v>
      </c>
      <c r="I161">
        <v>43.504526362029601</v>
      </c>
      <c r="J161">
        <v>79.533652420606302</v>
      </c>
      <c r="K161">
        <v>654275.73462397803</v>
      </c>
      <c r="L161">
        <f t="shared" si="8"/>
        <v>1.1948630732060812E-3</v>
      </c>
      <c r="M161">
        <f t="shared" si="7"/>
        <v>4.6431336941973075E-4</v>
      </c>
    </row>
    <row r="164" spans="1:13" x14ac:dyDescent="0.35">
      <c r="A164" t="s">
        <v>115</v>
      </c>
      <c r="B164">
        <v>2000</v>
      </c>
      <c r="C164">
        <v>3314.6404795400299</v>
      </c>
      <c r="D164">
        <v>563.72614817858903</v>
      </c>
      <c r="E164">
        <v>5412.1360210981202</v>
      </c>
      <c r="F164">
        <v>33.315022531732303</v>
      </c>
      <c r="G164">
        <v>1759.1792619302</v>
      </c>
      <c r="H164">
        <v>1.9326491876560301</v>
      </c>
      <c r="I164">
        <v>54.892393724456497</v>
      </c>
      <c r="J164">
        <v>24.359421527171701</v>
      </c>
      <c r="K164">
        <v>204907.26773848</v>
      </c>
      <c r="L164">
        <f t="shared" si="8"/>
        <v>5.4484067456146201E-2</v>
      </c>
      <c r="M164">
        <f t="shared" ref="M164:M188" si="9">(SUM(F164:J164)/K164)</f>
        <v>9.1440326620945631E-3</v>
      </c>
    </row>
    <row r="165" spans="1:13" x14ac:dyDescent="0.35">
      <c r="A165" t="s">
        <v>115</v>
      </c>
      <c r="B165">
        <v>2001</v>
      </c>
      <c r="C165">
        <v>2809.7121570250401</v>
      </c>
      <c r="D165">
        <v>765.24919629186104</v>
      </c>
      <c r="E165">
        <v>5379.2663257062404</v>
      </c>
      <c r="F165">
        <v>24.5008070660251</v>
      </c>
      <c r="G165">
        <v>1184.9180729392799</v>
      </c>
      <c r="H165">
        <v>1.7917998699914801</v>
      </c>
      <c r="I165">
        <v>40.802529081310901</v>
      </c>
      <c r="J165">
        <v>23.616880961558401</v>
      </c>
      <c r="K165">
        <v>204245.17519730199</v>
      </c>
      <c r="L165">
        <f t="shared" si="8"/>
        <v>5.0086166094544006E-2</v>
      </c>
      <c r="M165">
        <f t="shared" si="9"/>
        <v>6.2455824901905274E-3</v>
      </c>
    </row>
    <row r="166" spans="1:13" x14ac:dyDescent="0.35">
      <c r="A166" t="s">
        <v>115</v>
      </c>
      <c r="B166">
        <v>2002</v>
      </c>
      <c r="C166">
        <v>2102.5492379807902</v>
      </c>
      <c r="D166">
        <v>1734.9499041742999</v>
      </c>
      <c r="E166">
        <v>5631.5919645841896</v>
      </c>
      <c r="F166">
        <v>19.968860091348901</v>
      </c>
      <c r="G166">
        <v>1615.5747028916601</v>
      </c>
      <c r="H166">
        <v>1.6606818733890101</v>
      </c>
      <c r="I166">
        <v>27.627652171167401</v>
      </c>
      <c r="J166">
        <v>154.326049994356</v>
      </c>
      <c r="K166">
        <v>207790.60871723201</v>
      </c>
      <c r="L166">
        <f t="shared" si="8"/>
        <v>5.4325116632785872E-2</v>
      </c>
      <c r="M166">
        <f t="shared" si="9"/>
        <v>8.7547649927600373E-3</v>
      </c>
    </row>
    <row r="167" spans="1:13" x14ac:dyDescent="0.35">
      <c r="A167" t="s">
        <v>115</v>
      </c>
      <c r="B167">
        <v>2003</v>
      </c>
      <c r="C167">
        <v>1976.1981372115699</v>
      </c>
      <c r="D167">
        <v>2132.1523662678401</v>
      </c>
      <c r="E167">
        <v>6123.6058827266697</v>
      </c>
      <c r="F167">
        <v>18.8754065459838</v>
      </c>
      <c r="G167">
        <v>1501.4696557661</v>
      </c>
      <c r="H167">
        <v>1.60714873291529</v>
      </c>
      <c r="I167">
        <v>36.245112080924102</v>
      </c>
      <c r="J167">
        <v>157.59062900028599</v>
      </c>
      <c r="K167">
        <v>248622.681623788</v>
      </c>
      <c r="L167">
        <f t="shared" si="8"/>
        <v>4.8055729510678477E-2</v>
      </c>
      <c r="M167">
        <f t="shared" si="9"/>
        <v>6.9011722539559488E-3</v>
      </c>
    </row>
    <row r="168" spans="1:13" x14ac:dyDescent="0.35">
      <c r="A168" t="s">
        <v>115</v>
      </c>
      <c r="B168">
        <v>2004</v>
      </c>
      <c r="C168">
        <v>2234.3742712604499</v>
      </c>
      <c r="D168">
        <v>3019.0912231631701</v>
      </c>
      <c r="E168">
        <v>6386.2089103629996</v>
      </c>
      <c r="F168">
        <v>20.518096960436999</v>
      </c>
      <c r="G168">
        <v>2722.9567568694501</v>
      </c>
      <c r="H168">
        <v>1.6378844760736999</v>
      </c>
      <c r="I168">
        <v>40.748100176743698</v>
      </c>
      <c r="J168">
        <v>215.98566790196401</v>
      </c>
      <c r="K168">
        <v>306524.791402912</v>
      </c>
      <c r="L168">
        <f t="shared" si="8"/>
        <v>4.7766188320884348E-2</v>
      </c>
      <c r="M168">
        <f t="shared" si="9"/>
        <v>9.7931605879110987E-3</v>
      </c>
    </row>
    <row r="169" spans="1:13" x14ac:dyDescent="0.35">
      <c r="A169" t="s">
        <v>115</v>
      </c>
      <c r="B169">
        <v>2005</v>
      </c>
      <c r="C169">
        <v>2288.40880981894</v>
      </c>
      <c r="D169">
        <v>3176.4687116325299</v>
      </c>
      <c r="E169">
        <v>9697.0650327885705</v>
      </c>
      <c r="F169">
        <v>18.177879912245299</v>
      </c>
      <c r="G169">
        <v>2874.6443534052601</v>
      </c>
      <c r="H169">
        <v>1.48686089221389</v>
      </c>
      <c r="I169">
        <v>38.976945161056499</v>
      </c>
      <c r="J169">
        <v>224.12984383839799</v>
      </c>
      <c r="K169">
        <v>330474.55884945497</v>
      </c>
      <c r="L169">
        <f t="shared" si="8"/>
        <v>5.5433490860016393E-2</v>
      </c>
      <c r="M169">
        <f t="shared" si="9"/>
        <v>9.554187451529389E-3</v>
      </c>
    </row>
    <row r="170" spans="1:13" x14ac:dyDescent="0.35">
      <c r="A170" t="s">
        <v>115</v>
      </c>
      <c r="B170">
        <v>2006</v>
      </c>
      <c r="C170">
        <v>2349.9934972245501</v>
      </c>
      <c r="D170">
        <v>3442.7036756411799</v>
      </c>
      <c r="E170">
        <v>11271.681955604899</v>
      </c>
      <c r="F170">
        <v>19.905264997371201</v>
      </c>
      <c r="G170">
        <v>4367.3092503309699</v>
      </c>
      <c r="H170">
        <v>1.56651013978822</v>
      </c>
      <c r="I170">
        <v>42.327730170716798</v>
      </c>
      <c r="J170">
        <v>245.068950905203</v>
      </c>
      <c r="K170">
        <v>380646.46651840297</v>
      </c>
      <c r="L170">
        <f t="shared" si="8"/>
        <v>5.7114826347569946E-2</v>
      </c>
      <c r="M170">
        <f t="shared" si="9"/>
        <v>1.2284831511283636E-2</v>
      </c>
    </row>
    <row r="171" spans="1:13" x14ac:dyDescent="0.35">
      <c r="A171" t="s">
        <v>115</v>
      </c>
      <c r="B171">
        <v>2007</v>
      </c>
      <c r="C171">
        <v>2671.0210287557802</v>
      </c>
      <c r="D171">
        <v>1371.3911728682499</v>
      </c>
      <c r="E171">
        <v>8470.2730983002693</v>
      </c>
      <c r="F171">
        <v>78.026004561120999</v>
      </c>
      <c r="G171">
        <v>4831.1198245574797</v>
      </c>
      <c r="H171">
        <v>3.64869462574682</v>
      </c>
      <c r="I171">
        <v>54.475117217640602</v>
      </c>
      <c r="J171">
        <v>496.28078025019801</v>
      </c>
      <c r="K171">
        <v>453851.98159940197</v>
      </c>
      <c r="L171">
        <f t="shared" si="8"/>
        <v>3.9608146378004423E-2</v>
      </c>
      <c r="M171">
        <f t="shared" si="9"/>
        <v>1.2038176856600476E-2</v>
      </c>
    </row>
    <row r="172" spans="1:13" x14ac:dyDescent="0.35">
      <c r="A172" t="s">
        <v>115</v>
      </c>
      <c r="B172">
        <v>2008</v>
      </c>
      <c r="C172">
        <v>2609.5453781944502</v>
      </c>
      <c r="D172">
        <v>1370.0081069207599</v>
      </c>
      <c r="E172">
        <v>7556.5327300715999</v>
      </c>
      <c r="F172">
        <v>41.382870607060298</v>
      </c>
      <c r="G172">
        <v>3749.4905090705802</v>
      </c>
      <c r="H172">
        <v>11.4065784450025</v>
      </c>
      <c r="I172">
        <v>48.309442533243299</v>
      </c>
      <c r="J172">
        <v>554.20104611371005</v>
      </c>
      <c r="K172">
        <v>514553.57903322799</v>
      </c>
      <c r="L172">
        <f t="shared" si="8"/>
        <v>3.0980013183286019E-2</v>
      </c>
      <c r="M172">
        <f t="shared" si="9"/>
        <v>8.5604116388531635E-3</v>
      </c>
    </row>
    <row r="173" spans="1:13" x14ac:dyDescent="0.35">
      <c r="A173" t="s">
        <v>115</v>
      </c>
      <c r="B173">
        <v>2009</v>
      </c>
      <c r="C173">
        <v>1911.24054430927</v>
      </c>
      <c r="D173">
        <v>1291.56882513092</v>
      </c>
      <c r="E173">
        <v>5950.0760113968299</v>
      </c>
      <c r="F173">
        <v>380.64274698436498</v>
      </c>
      <c r="G173">
        <v>1654.34905363744</v>
      </c>
      <c r="H173">
        <v>5.76022479395471</v>
      </c>
      <c r="I173">
        <v>25.7183999058701</v>
      </c>
      <c r="J173">
        <v>419.84024795494099</v>
      </c>
      <c r="K173">
        <v>397456.73946081998</v>
      </c>
      <c r="L173">
        <f t="shared" si="8"/>
        <v>2.9284183405477126E-2</v>
      </c>
      <c r="M173">
        <f t="shared" si="9"/>
        <v>6.2555504195234892E-3</v>
      </c>
    </row>
    <row r="174" spans="1:13" x14ac:dyDescent="0.35">
      <c r="A174" t="s">
        <v>115</v>
      </c>
      <c r="B174">
        <v>2010</v>
      </c>
      <c r="C174">
        <v>1957.5323965825601</v>
      </c>
      <c r="D174">
        <v>1142.0922103461201</v>
      </c>
      <c r="E174">
        <v>5863.5641222928098</v>
      </c>
      <c r="F174">
        <v>790.38922885196496</v>
      </c>
      <c r="G174">
        <v>4796.8391950786699</v>
      </c>
      <c r="H174">
        <v>9.8934126030601899</v>
      </c>
      <c r="I174">
        <v>50.295774343862</v>
      </c>
      <c r="J174">
        <v>1067.4359618185599</v>
      </c>
      <c r="K174">
        <v>448626.75425009697</v>
      </c>
      <c r="L174">
        <f t="shared" si="8"/>
        <v>3.4946739474163262E-2</v>
      </c>
      <c r="M174">
        <f t="shared" si="9"/>
        <v>1.4967572729629878E-2</v>
      </c>
    </row>
    <row r="175" spans="1:13" x14ac:dyDescent="0.35">
      <c r="A175" t="s">
        <v>115</v>
      </c>
      <c r="B175">
        <v>2011</v>
      </c>
      <c r="C175">
        <v>1385.4822583980399</v>
      </c>
      <c r="D175">
        <v>1277.4173242434699</v>
      </c>
      <c r="E175">
        <v>6733.8757503972101</v>
      </c>
      <c r="F175">
        <v>17.3369416234592</v>
      </c>
      <c r="G175">
        <v>7631.9261066689096</v>
      </c>
      <c r="H175">
        <v>32.580971749751697</v>
      </c>
      <c r="I175">
        <v>70.201336662076301</v>
      </c>
      <c r="J175">
        <v>1467.3309403763401</v>
      </c>
      <c r="K175">
        <v>529307.57325435197</v>
      </c>
      <c r="L175">
        <f t="shared" si="8"/>
        <v>3.5170763787982888E-2</v>
      </c>
      <c r="M175">
        <f t="shared" si="9"/>
        <v>1.7417805379954923E-2</v>
      </c>
    </row>
    <row r="176" spans="1:13" x14ac:dyDescent="0.35">
      <c r="A176" t="s">
        <v>115</v>
      </c>
      <c r="B176">
        <v>2012</v>
      </c>
      <c r="C176">
        <v>1372.3225842852801</v>
      </c>
      <c r="D176">
        <v>992.71207408089504</v>
      </c>
      <c r="E176">
        <v>6079.6611960823902</v>
      </c>
      <c r="F176">
        <v>8.3179118699205308</v>
      </c>
      <c r="G176">
        <v>4829.9451691998402</v>
      </c>
      <c r="H176">
        <v>8.2890444453849206</v>
      </c>
      <c r="I176">
        <v>43.500930113170199</v>
      </c>
      <c r="J176">
        <v>1099.6301284236499</v>
      </c>
      <c r="K176">
        <v>516206.472626584</v>
      </c>
      <c r="L176">
        <f t="shared" si="8"/>
        <v>2.7962413886549894E-2</v>
      </c>
      <c r="M176">
        <f t="shared" si="9"/>
        <v>1.1603270206154143E-2</v>
      </c>
    </row>
    <row r="177" spans="1:13" x14ac:dyDescent="0.35">
      <c r="A177" t="s">
        <v>115</v>
      </c>
      <c r="B177">
        <v>2013</v>
      </c>
      <c r="C177">
        <v>1362.13730427468</v>
      </c>
      <c r="D177">
        <v>1048.09785102862</v>
      </c>
      <c r="E177">
        <v>6207.4474127645899</v>
      </c>
      <c r="F177">
        <v>19.3526916964836</v>
      </c>
      <c r="G177">
        <v>5443.7048464009704</v>
      </c>
      <c r="H177">
        <v>5.0829516719783099</v>
      </c>
      <c r="I177">
        <v>46.736886627652602</v>
      </c>
      <c r="J177">
        <v>1266.62773687091</v>
      </c>
      <c r="K177">
        <v>528078.24075318396</v>
      </c>
      <c r="L177">
        <f t="shared" si="8"/>
        <v>2.9160807041343783E-2</v>
      </c>
      <c r="M177">
        <f t="shared" si="9"/>
        <v>1.2841856736220972E-2</v>
      </c>
    </row>
    <row r="178" spans="1:13" x14ac:dyDescent="0.35">
      <c r="A178" t="s">
        <v>115</v>
      </c>
      <c r="B178">
        <v>2014</v>
      </c>
      <c r="C178">
        <v>1765.8151823114099</v>
      </c>
      <c r="D178">
        <v>956.37519177649096</v>
      </c>
      <c r="E178">
        <v>6477.3746920640997</v>
      </c>
      <c r="F178">
        <v>8.98624483871418</v>
      </c>
      <c r="G178">
        <v>6324.2323991582798</v>
      </c>
      <c r="H178">
        <v>1.80797462430037</v>
      </c>
      <c r="I178">
        <v>42.789708740066303</v>
      </c>
      <c r="J178">
        <v>1398.16970180773</v>
      </c>
      <c r="K178">
        <v>527381.81234588602</v>
      </c>
      <c r="L178">
        <f t="shared" si="8"/>
        <v>3.2188351395378782E-2</v>
      </c>
      <c r="M178">
        <f t="shared" si="9"/>
        <v>1.4744509285559454E-2</v>
      </c>
    </row>
    <row r="179" spans="1:13" x14ac:dyDescent="0.35">
      <c r="A179" t="s">
        <v>115</v>
      </c>
      <c r="B179">
        <v>2015</v>
      </c>
      <c r="C179">
        <v>1667.3188807306101</v>
      </c>
      <c r="D179">
        <v>737.41716969937897</v>
      </c>
      <c r="E179">
        <v>5231.21511012069</v>
      </c>
      <c r="F179">
        <v>28.812962146207202</v>
      </c>
      <c r="G179">
        <v>5198.9193806451403</v>
      </c>
      <c r="H179">
        <v>1.57200959541412</v>
      </c>
      <c r="I179">
        <v>68.522626826979902</v>
      </c>
      <c r="J179">
        <v>1220.93259415987</v>
      </c>
      <c r="K179">
        <v>430876.08935071499</v>
      </c>
      <c r="L179">
        <f t="shared" si="8"/>
        <v>3.2851000748855559E-2</v>
      </c>
      <c r="M179">
        <f t="shared" si="9"/>
        <v>1.5129081734836337E-2</v>
      </c>
    </row>
    <row r="180" spans="1:13" x14ac:dyDescent="0.35">
      <c r="A180" t="s">
        <v>115</v>
      </c>
      <c r="B180">
        <v>2016</v>
      </c>
      <c r="C180">
        <v>1842.7681132397399</v>
      </c>
      <c r="D180">
        <v>848.35666894212295</v>
      </c>
      <c r="E180">
        <v>5136.21169468485</v>
      </c>
      <c r="F180">
        <v>19.567620071443901</v>
      </c>
      <c r="G180">
        <v>5071.6309465105896</v>
      </c>
      <c r="H180">
        <v>7.7844524985874394E-2</v>
      </c>
      <c r="I180">
        <v>59.870604055358697</v>
      </c>
      <c r="J180">
        <v>1457.01344377435</v>
      </c>
      <c r="K180">
        <v>433117.58765396301</v>
      </c>
      <c r="L180">
        <f t="shared" si="8"/>
        <v>3.3329279039429366E-2</v>
      </c>
      <c r="M180">
        <f t="shared" si="9"/>
        <v>1.5257197230735141E-2</v>
      </c>
    </row>
    <row r="181" spans="1:13" x14ac:dyDescent="0.35">
      <c r="A181" t="s">
        <v>115</v>
      </c>
      <c r="B181">
        <v>2017</v>
      </c>
      <c r="C181">
        <v>2378.4964519035798</v>
      </c>
      <c r="D181">
        <v>1029.5053141625799</v>
      </c>
      <c r="E181">
        <v>2514.6533607757001</v>
      </c>
      <c r="F181">
        <v>33.699719831423003</v>
      </c>
      <c r="G181">
        <v>6881.1907252306301</v>
      </c>
      <c r="H181">
        <v>2.0149746379895501</v>
      </c>
      <c r="I181">
        <v>61.876418483611801</v>
      </c>
      <c r="J181">
        <v>2399.3531009389199</v>
      </c>
      <c r="K181">
        <v>479665.58874720603</v>
      </c>
      <c r="L181">
        <f t="shared" si="8"/>
        <v>3.1898869597727753E-2</v>
      </c>
      <c r="M181">
        <f t="shared" si="9"/>
        <v>1.9551402391854818E-2</v>
      </c>
    </row>
    <row r="182" spans="1:13" x14ac:dyDescent="0.35">
      <c r="A182" t="s">
        <v>115</v>
      </c>
      <c r="B182">
        <v>2018</v>
      </c>
      <c r="C182">
        <v>3227.3277899268001</v>
      </c>
      <c r="D182">
        <v>1117.90403124975</v>
      </c>
      <c r="E182">
        <v>2568.7825355581099</v>
      </c>
      <c r="F182">
        <v>69.305422359315301</v>
      </c>
      <c r="G182">
        <v>9486.4893984886894</v>
      </c>
      <c r="H182">
        <v>3.9611163025950198</v>
      </c>
      <c r="I182">
        <v>76.711713643065195</v>
      </c>
      <c r="J182">
        <v>2887.93092635741</v>
      </c>
      <c r="K182">
        <v>537923.22173523705</v>
      </c>
      <c r="L182">
        <f t="shared" si="8"/>
        <v>3.6136036052098933E-2</v>
      </c>
      <c r="M182">
        <f t="shared" si="9"/>
        <v>2.3282873969912972E-2</v>
      </c>
    </row>
    <row r="183" spans="1:13" x14ac:dyDescent="0.35">
      <c r="A183" t="s">
        <v>115</v>
      </c>
      <c r="B183">
        <v>2019</v>
      </c>
      <c r="C183">
        <v>2396.1186870473798</v>
      </c>
      <c r="D183">
        <v>1254.8493728558301</v>
      </c>
      <c r="E183">
        <v>2549.7056738791098</v>
      </c>
      <c r="F183">
        <v>40.858666225082501</v>
      </c>
      <c r="G183">
        <v>10335.1829987129</v>
      </c>
      <c r="H183">
        <v>7.0363280464565996</v>
      </c>
      <c r="I183">
        <v>50.663161949012299</v>
      </c>
      <c r="J183">
        <v>2643.2740909447698</v>
      </c>
      <c r="K183">
        <v>520248.73028651002</v>
      </c>
      <c r="L183">
        <f t="shared" si="8"/>
        <v>3.7054754499917721E-2</v>
      </c>
      <c r="M183">
        <f t="shared" si="9"/>
        <v>2.5136082963002106E-2</v>
      </c>
    </row>
    <row r="184" spans="1:13" x14ac:dyDescent="0.35">
      <c r="A184" t="s">
        <v>115</v>
      </c>
      <c r="B184">
        <v>2020</v>
      </c>
      <c r="C184">
        <v>2712.52826044823</v>
      </c>
      <c r="D184">
        <v>1392.8617746759401</v>
      </c>
      <c r="E184">
        <v>2886.6707334297598</v>
      </c>
      <c r="F184">
        <v>28.245773667658302</v>
      </c>
      <c r="G184">
        <v>11491.647070881099</v>
      </c>
      <c r="H184">
        <v>5.7850969570075002</v>
      </c>
      <c r="I184">
        <v>89.493429927161102</v>
      </c>
      <c r="J184">
        <v>2836.8070533955502</v>
      </c>
      <c r="K184">
        <v>503598.95659952302</v>
      </c>
      <c r="L184">
        <f t="shared" si="8"/>
        <v>4.2581579870975286E-2</v>
      </c>
      <c r="M184">
        <f t="shared" si="9"/>
        <v>2.869739548789638E-2</v>
      </c>
    </row>
    <row r="185" spans="1:13" x14ac:dyDescent="0.35">
      <c r="A185" t="s">
        <v>115</v>
      </c>
      <c r="B185">
        <v>2021</v>
      </c>
      <c r="C185">
        <v>3109.7956639522899</v>
      </c>
      <c r="D185">
        <v>1475.16197299902</v>
      </c>
      <c r="E185">
        <v>2809.6915538625499</v>
      </c>
      <c r="F185">
        <v>10.1089445398891</v>
      </c>
      <c r="G185">
        <v>16313.6955142772</v>
      </c>
      <c r="H185">
        <v>0.77649499476940997</v>
      </c>
      <c r="I185">
        <v>111.069893048624</v>
      </c>
      <c r="J185">
        <v>3218.8811770510301</v>
      </c>
      <c r="K185">
        <v>637008.41016280802</v>
      </c>
      <c r="L185">
        <f t="shared" si="8"/>
        <v>4.2462832174872046E-2</v>
      </c>
      <c r="M185">
        <f t="shared" si="9"/>
        <v>3.0854430978216066E-2</v>
      </c>
    </row>
    <row r="186" spans="1:13" x14ac:dyDescent="0.35">
      <c r="A186" t="s">
        <v>115</v>
      </c>
      <c r="B186">
        <v>2022</v>
      </c>
      <c r="C186">
        <v>2675.9367660492098</v>
      </c>
      <c r="D186">
        <v>1342.4232866750999</v>
      </c>
      <c r="E186">
        <v>2436.3628020751398</v>
      </c>
      <c r="F186">
        <v>191.824049156293</v>
      </c>
      <c r="G186">
        <v>17274.602822200199</v>
      </c>
      <c r="H186">
        <v>1.20667532759583</v>
      </c>
      <c r="I186">
        <v>101.91924199741101</v>
      </c>
      <c r="J186">
        <v>3412.1473717618601</v>
      </c>
      <c r="K186">
        <v>687407.93694278598</v>
      </c>
      <c r="L186">
        <f t="shared" si="8"/>
        <v>3.9912869114175485E-2</v>
      </c>
      <c r="M186">
        <f t="shared" si="9"/>
        <v>3.052292391874099E-2</v>
      </c>
    </row>
    <row r="187" spans="1:13" x14ac:dyDescent="0.35">
      <c r="A187" t="s">
        <v>115</v>
      </c>
      <c r="B187">
        <v>2023</v>
      </c>
      <c r="C187">
        <v>2958.5799295726702</v>
      </c>
      <c r="D187">
        <v>2420.8802106582398</v>
      </c>
      <c r="E187">
        <v>2187.9246939582299</v>
      </c>
      <c r="F187">
        <v>143.124007776328</v>
      </c>
      <c r="G187">
        <v>19684.952755198301</v>
      </c>
      <c r="H187">
        <v>0.34262638533979201</v>
      </c>
      <c r="I187">
        <v>158.5169759652</v>
      </c>
      <c r="J187">
        <v>3673.26321905755</v>
      </c>
      <c r="K187">
        <v>659607.05714034603</v>
      </c>
      <c r="L187">
        <f t="shared" si="8"/>
        <v>4.7342708178344274E-2</v>
      </c>
      <c r="M187">
        <f t="shared" si="9"/>
        <v>3.5870143183365739E-2</v>
      </c>
    </row>
    <row r="188" spans="1:13" x14ac:dyDescent="0.35">
      <c r="A188" t="s">
        <v>115</v>
      </c>
      <c r="B188">
        <v>2024</v>
      </c>
      <c r="C188">
        <v>3761.9606543026598</v>
      </c>
      <c r="D188">
        <v>2532.3129811353101</v>
      </c>
      <c r="E188">
        <v>2505.27359610244</v>
      </c>
      <c r="F188">
        <v>7.5046599612780103</v>
      </c>
      <c r="G188">
        <v>20574.820941936199</v>
      </c>
      <c r="H188">
        <v>1.99620977637081</v>
      </c>
      <c r="I188">
        <v>136.80416728929899</v>
      </c>
      <c r="J188">
        <v>3494.8278716187901</v>
      </c>
      <c r="K188">
        <v>607427.17601118702</v>
      </c>
      <c r="L188">
        <f t="shared" si="8"/>
        <v>5.4353019400492378E-2</v>
      </c>
      <c r="M188">
        <f t="shared" si="9"/>
        <v>3.9866431412571422E-2</v>
      </c>
    </row>
    <row r="191" spans="1:13" x14ac:dyDescent="0.35">
      <c r="A191" t="s">
        <v>155</v>
      </c>
      <c r="B191">
        <v>2000</v>
      </c>
      <c r="C191">
        <v>38.130174207240998</v>
      </c>
      <c r="D191">
        <v>10.116259796344499</v>
      </c>
      <c r="E191">
        <v>99.197207932011906</v>
      </c>
      <c r="F191">
        <v>0.48826785656996702</v>
      </c>
      <c r="G191">
        <v>2.71014487675621</v>
      </c>
      <c r="H191">
        <v>1.37376594700348</v>
      </c>
      <c r="I191">
        <v>0.64460980005879498</v>
      </c>
      <c r="J191">
        <v>2.54889217557582</v>
      </c>
      <c r="K191">
        <v>45130.9904882337</v>
      </c>
      <c r="L191">
        <f t="shared" ref="L191:L215" si="10">SUM(F191:J191)/K191</f>
        <v>1.7206980329822135E-4</v>
      </c>
      <c r="M191">
        <f>(SUM(F191:J191)/K191)</f>
        <v>1.7206980329822135E-4</v>
      </c>
    </row>
    <row r="192" spans="1:13" x14ac:dyDescent="0.35">
      <c r="A192" t="s">
        <v>155</v>
      </c>
      <c r="B192">
        <v>2001</v>
      </c>
      <c r="C192">
        <v>14.179609782714801</v>
      </c>
      <c r="D192">
        <v>18.104937457333801</v>
      </c>
      <c r="E192">
        <v>69.622769217985507</v>
      </c>
      <c r="F192">
        <v>0.50202030730750302</v>
      </c>
      <c r="G192">
        <v>0.67124153049747204</v>
      </c>
      <c r="H192">
        <v>1.4150325406420099</v>
      </c>
      <c r="I192">
        <v>0.93001345834197802</v>
      </c>
      <c r="J192">
        <v>2.4380694550686499</v>
      </c>
      <c r="K192">
        <v>43818.365904682199</v>
      </c>
      <c r="L192">
        <f t="shared" si="10"/>
        <v>1.3593335052280319E-4</v>
      </c>
      <c r="M192">
        <f t="shared" ref="M192:M215" si="11">(SUM(F192:J192)/K192)</f>
        <v>1.3593335052280319E-4</v>
      </c>
    </row>
    <row r="193" spans="1:13" x14ac:dyDescent="0.35">
      <c r="A193" t="s">
        <v>155</v>
      </c>
      <c r="B193">
        <v>2002</v>
      </c>
      <c r="C193">
        <v>17.986403138179298</v>
      </c>
      <c r="D193">
        <v>13.414273383033199</v>
      </c>
      <c r="E193">
        <v>69.974852896496301</v>
      </c>
      <c r="F193">
        <v>0.40142793014454897</v>
      </c>
      <c r="G193">
        <v>0.42250132222633502</v>
      </c>
      <c r="H193">
        <v>1.1241777121865499</v>
      </c>
      <c r="I193">
        <v>0.74060522927477201</v>
      </c>
      <c r="J193">
        <v>1.5312854548266199</v>
      </c>
      <c r="K193">
        <v>43755.070585737602</v>
      </c>
      <c r="L193">
        <f t="shared" si="10"/>
        <v>9.6445911117656286E-5</v>
      </c>
      <c r="M193">
        <f t="shared" si="11"/>
        <v>9.6445911117656286E-5</v>
      </c>
    </row>
    <row r="194" spans="1:13" x14ac:dyDescent="0.35">
      <c r="A194" t="s">
        <v>155</v>
      </c>
      <c r="B194">
        <v>2003</v>
      </c>
      <c r="C194">
        <v>20.770678591131698</v>
      </c>
      <c r="D194">
        <v>23.433952528786499</v>
      </c>
      <c r="E194">
        <v>84.874344379732605</v>
      </c>
      <c r="F194">
        <v>0.45802372359937799</v>
      </c>
      <c r="G194">
        <v>2.5639277038657E-2</v>
      </c>
      <c r="H194">
        <v>0.54543689731102696</v>
      </c>
      <c r="I194">
        <v>1.0075988468014101</v>
      </c>
      <c r="J194">
        <v>1.60966302663088</v>
      </c>
      <c r="K194">
        <v>51829.180813675499</v>
      </c>
      <c r="L194">
        <f t="shared" si="10"/>
        <v>7.0353451745454435E-5</v>
      </c>
      <c r="M194">
        <f t="shared" si="11"/>
        <v>7.0353451745454435E-5</v>
      </c>
    </row>
    <row r="195" spans="1:13" x14ac:dyDescent="0.35">
      <c r="A195" t="s">
        <v>155</v>
      </c>
      <c r="B195">
        <v>2004</v>
      </c>
      <c r="C195">
        <v>28.436801871882999</v>
      </c>
      <c r="D195">
        <v>33.946583275386097</v>
      </c>
      <c r="E195">
        <v>122.368835441953</v>
      </c>
      <c r="F195">
        <v>1.17315066933671</v>
      </c>
      <c r="G195">
        <v>4.2990169305943099E-2</v>
      </c>
      <c r="H195">
        <v>1.32918086866806</v>
      </c>
      <c r="I195">
        <v>0.83455621590311901</v>
      </c>
      <c r="J195">
        <v>2.2969471619516</v>
      </c>
      <c r="K195">
        <v>61010.5055117007</v>
      </c>
      <c r="L195">
        <f t="shared" si="10"/>
        <v>9.3046681674793222E-5</v>
      </c>
      <c r="M195">
        <f t="shared" si="11"/>
        <v>9.3046681674793222E-5</v>
      </c>
    </row>
    <row r="196" spans="1:13" x14ac:dyDescent="0.35">
      <c r="A196" t="s">
        <v>155</v>
      </c>
      <c r="B196">
        <v>2005</v>
      </c>
      <c r="C196">
        <v>42.2020971502969</v>
      </c>
      <c r="D196">
        <v>46.520895377652799</v>
      </c>
      <c r="E196">
        <v>137.83097744565401</v>
      </c>
      <c r="F196">
        <v>0.66418319817221805</v>
      </c>
      <c r="G196">
        <v>2.68746968205179E-2</v>
      </c>
      <c r="H196">
        <v>0.78531930872919298</v>
      </c>
      <c r="I196">
        <v>1.37944461498211</v>
      </c>
      <c r="J196">
        <v>1.9259110817681799</v>
      </c>
      <c r="K196">
        <v>66270.082490683897</v>
      </c>
      <c r="L196">
        <f t="shared" si="10"/>
        <v>7.2155227830664385E-5</v>
      </c>
      <c r="M196">
        <f t="shared" si="11"/>
        <v>7.2155227830664385E-5</v>
      </c>
    </row>
    <row r="197" spans="1:13" x14ac:dyDescent="0.35">
      <c r="A197" t="s">
        <v>155</v>
      </c>
      <c r="B197">
        <v>2006</v>
      </c>
      <c r="C197">
        <v>39.911264124781901</v>
      </c>
      <c r="D197">
        <v>50.021815848518301</v>
      </c>
      <c r="E197">
        <v>186.19963468722599</v>
      </c>
      <c r="F197">
        <v>0.46522884049275498</v>
      </c>
      <c r="G197">
        <v>3.8649354839481898E-2</v>
      </c>
      <c r="H197">
        <v>0.90424926402699402</v>
      </c>
      <c r="I197">
        <v>1.18247331317287</v>
      </c>
      <c r="J197">
        <v>2.5760824409396199</v>
      </c>
      <c r="K197">
        <v>78009.700235351804</v>
      </c>
      <c r="L197">
        <f t="shared" si="10"/>
        <v>6.6231291722491781E-5</v>
      </c>
      <c r="M197">
        <f t="shared" si="11"/>
        <v>6.6231291722491781E-5</v>
      </c>
    </row>
    <row r="198" spans="1:13" x14ac:dyDescent="0.35">
      <c r="A198" t="s">
        <v>155</v>
      </c>
      <c r="B198">
        <v>2007</v>
      </c>
      <c r="C198">
        <v>42.878961468849802</v>
      </c>
      <c r="D198">
        <v>35.6137255458572</v>
      </c>
      <c r="E198">
        <v>124.168847346001</v>
      </c>
      <c r="F198">
        <v>1.13642539450814</v>
      </c>
      <c r="G198">
        <v>2.9772044329820702</v>
      </c>
      <c r="H198">
        <v>1.98380713576834</v>
      </c>
      <c r="I198">
        <v>3.0550937912540599</v>
      </c>
      <c r="J198">
        <v>4.3011600452761902</v>
      </c>
      <c r="K198">
        <v>89916.179706396695</v>
      </c>
      <c r="L198">
        <f t="shared" si="10"/>
        <v>1.4962480438692057E-4</v>
      </c>
      <c r="M198">
        <f t="shared" si="11"/>
        <v>1.4962480438692057E-4</v>
      </c>
    </row>
    <row r="199" spans="1:13" x14ac:dyDescent="0.35">
      <c r="A199" t="s">
        <v>155</v>
      </c>
      <c r="B199">
        <v>2008</v>
      </c>
      <c r="C199">
        <v>50.043954765494398</v>
      </c>
      <c r="D199">
        <v>34.500910392123899</v>
      </c>
      <c r="E199">
        <v>94.949785330140998</v>
      </c>
      <c r="F199">
        <v>0.37611940455868798</v>
      </c>
      <c r="G199">
        <v>4.6215988879374104</v>
      </c>
      <c r="H199">
        <v>5.5004270138147501E-2</v>
      </c>
      <c r="I199">
        <v>0.34070447601610898</v>
      </c>
      <c r="J199">
        <v>8.6667051569388498</v>
      </c>
      <c r="K199">
        <v>97235.381769378204</v>
      </c>
      <c r="L199">
        <f t="shared" si="10"/>
        <v>1.4459893034550808E-4</v>
      </c>
      <c r="M199">
        <f t="shared" si="11"/>
        <v>1.4459893034550808E-4</v>
      </c>
    </row>
    <row r="200" spans="1:13" x14ac:dyDescent="0.35">
      <c r="A200" t="s">
        <v>155</v>
      </c>
      <c r="B200">
        <v>2009</v>
      </c>
      <c r="C200">
        <v>39.563922980450499</v>
      </c>
      <c r="D200">
        <v>31.8108043275715</v>
      </c>
      <c r="E200">
        <v>55.802780011117697</v>
      </c>
      <c r="F200">
        <v>0.108561423438857</v>
      </c>
      <c r="G200">
        <v>5.1834944151735503</v>
      </c>
      <c r="H200">
        <v>0.124956498092975</v>
      </c>
      <c r="I200">
        <v>1.8528763379439399</v>
      </c>
      <c r="J200">
        <v>1.9363233745553701</v>
      </c>
      <c r="K200">
        <v>65026.289589404601</v>
      </c>
      <c r="L200">
        <f t="shared" si="10"/>
        <v>1.4157677006231575E-4</v>
      </c>
      <c r="M200">
        <f t="shared" si="11"/>
        <v>1.4157677006231575E-4</v>
      </c>
    </row>
    <row r="201" spans="1:13" x14ac:dyDescent="0.35">
      <c r="A201" t="s">
        <v>155</v>
      </c>
      <c r="B201">
        <v>2010</v>
      </c>
      <c r="C201">
        <v>45.676025593337499</v>
      </c>
      <c r="D201">
        <v>27.797886352256299</v>
      </c>
      <c r="E201">
        <v>80.346505835161594</v>
      </c>
      <c r="F201">
        <v>0.59656438068281603</v>
      </c>
      <c r="G201">
        <v>8.5495995427655593</v>
      </c>
      <c r="H201">
        <v>0.416855856028712</v>
      </c>
      <c r="I201">
        <v>0.76307819890420903</v>
      </c>
      <c r="J201">
        <v>2.0194974015579898</v>
      </c>
      <c r="K201">
        <v>70215.190330577301</v>
      </c>
      <c r="L201">
        <f t="shared" si="10"/>
        <v>1.7582513586896921E-4</v>
      </c>
      <c r="M201">
        <f t="shared" si="11"/>
        <v>1.7582513586896921E-4</v>
      </c>
    </row>
    <row r="202" spans="1:13" x14ac:dyDescent="0.35">
      <c r="A202" t="s">
        <v>155</v>
      </c>
      <c r="B202">
        <v>2011</v>
      </c>
      <c r="C202">
        <v>50.830458391603898</v>
      </c>
      <c r="D202">
        <v>29.362426969386899</v>
      </c>
      <c r="E202">
        <v>82.873895683767998</v>
      </c>
      <c r="F202">
        <v>2.3124229966100698</v>
      </c>
      <c r="G202">
        <v>11.5959559499912</v>
      </c>
      <c r="H202">
        <v>0.43946764187563198</v>
      </c>
      <c r="I202">
        <v>0.24239852446051499</v>
      </c>
      <c r="J202">
        <v>3.1832470973778002</v>
      </c>
      <c r="K202">
        <v>80493.702532113501</v>
      </c>
      <c r="L202">
        <f t="shared" si="10"/>
        <v>2.2080599663339335E-4</v>
      </c>
      <c r="M202">
        <f t="shared" si="11"/>
        <v>2.2080599663339335E-4</v>
      </c>
    </row>
    <row r="203" spans="1:13" x14ac:dyDescent="0.35">
      <c r="A203" t="s">
        <v>155</v>
      </c>
      <c r="B203">
        <v>2012</v>
      </c>
      <c r="C203">
        <v>49.933997786130398</v>
      </c>
      <c r="D203">
        <v>34.336492700253103</v>
      </c>
      <c r="E203">
        <v>62.1173586237922</v>
      </c>
      <c r="F203">
        <v>2.9303979659333099</v>
      </c>
      <c r="G203">
        <v>12.277955779848901</v>
      </c>
      <c r="H203">
        <v>7.5768855660385999E-3</v>
      </c>
      <c r="I203">
        <v>0.25297950106663197</v>
      </c>
      <c r="J203">
        <v>2.3167093421831502</v>
      </c>
      <c r="K203">
        <v>73893.020994482402</v>
      </c>
      <c r="L203">
        <f t="shared" si="10"/>
        <v>2.4069417159065784E-4</v>
      </c>
      <c r="M203">
        <f t="shared" si="11"/>
        <v>2.4069417159065784E-4</v>
      </c>
    </row>
    <row r="204" spans="1:13" x14ac:dyDescent="0.35">
      <c r="A204" t="s">
        <v>155</v>
      </c>
      <c r="B204">
        <v>2013</v>
      </c>
      <c r="C204">
        <v>51.4413843041634</v>
      </c>
      <c r="D204">
        <v>37.504718399596001</v>
      </c>
      <c r="E204">
        <v>73.572028109079397</v>
      </c>
      <c r="F204">
        <v>1.7623187763556699E-2</v>
      </c>
      <c r="G204">
        <v>8.1909090818241701</v>
      </c>
      <c r="H204">
        <v>9.24567643538287E-8</v>
      </c>
      <c r="I204">
        <v>1.5840784222323401</v>
      </c>
      <c r="J204">
        <v>2.30093048085361</v>
      </c>
      <c r="K204">
        <v>75782.128030456501</v>
      </c>
      <c r="L204">
        <f t="shared" si="10"/>
        <v>1.5958302543668475E-4</v>
      </c>
      <c r="M204">
        <f t="shared" si="11"/>
        <v>1.5958302543668475E-4</v>
      </c>
    </row>
    <row r="205" spans="1:13" x14ac:dyDescent="0.35">
      <c r="A205" t="s">
        <v>155</v>
      </c>
      <c r="B205">
        <v>2014</v>
      </c>
      <c r="C205">
        <v>68.251303338232105</v>
      </c>
      <c r="D205">
        <v>26.090747498802202</v>
      </c>
      <c r="E205">
        <v>65.975158118469196</v>
      </c>
      <c r="F205">
        <v>3.8028593033575002E-3</v>
      </c>
      <c r="G205">
        <v>8.7400197120672303</v>
      </c>
      <c r="H205">
        <v>1.1248564832344501</v>
      </c>
      <c r="I205">
        <v>0.70043294888781304</v>
      </c>
      <c r="J205">
        <v>3.4719101422246501</v>
      </c>
      <c r="K205">
        <v>75822.403120998293</v>
      </c>
      <c r="L205">
        <f t="shared" si="10"/>
        <v>1.851830272816686E-4</v>
      </c>
      <c r="M205">
        <f t="shared" si="11"/>
        <v>1.851830272816686E-4</v>
      </c>
    </row>
    <row r="206" spans="1:13" x14ac:dyDescent="0.35">
      <c r="A206" t="s">
        <v>155</v>
      </c>
      <c r="B206">
        <v>2015</v>
      </c>
      <c r="C206">
        <v>69.897967961619997</v>
      </c>
      <c r="D206">
        <v>16.3081599075553</v>
      </c>
      <c r="E206">
        <v>50.159288848991103</v>
      </c>
      <c r="F206">
        <v>1.6996870530163199</v>
      </c>
      <c r="G206">
        <v>4.5784994718435597</v>
      </c>
      <c r="H206">
        <v>1.2992744199272901</v>
      </c>
      <c r="I206">
        <v>0.14789479381780099</v>
      </c>
      <c r="J206">
        <v>2.1243569001284901</v>
      </c>
      <c r="K206">
        <v>61717.947338393402</v>
      </c>
      <c r="L206">
        <f t="shared" si="10"/>
        <v>1.5959235625139087E-4</v>
      </c>
      <c r="M206">
        <f t="shared" si="11"/>
        <v>1.5959235625139087E-4</v>
      </c>
    </row>
    <row r="207" spans="1:13" x14ac:dyDescent="0.35">
      <c r="A207" t="s">
        <v>155</v>
      </c>
      <c r="B207">
        <v>2016</v>
      </c>
      <c r="C207">
        <v>58.764032144566102</v>
      </c>
      <c r="D207">
        <v>14.348208931494</v>
      </c>
      <c r="E207">
        <v>40.073428354973302</v>
      </c>
      <c r="F207">
        <v>0.36179332363080002</v>
      </c>
      <c r="G207">
        <v>9.9050438388755406</v>
      </c>
      <c r="H207">
        <v>1.08338887003653E-2</v>
      </c>
      <c r="I207">
        <v>2.2531746484837201</v>
      </c>
      <c r="J207">
        <v>2.2155064334858698</v>
      </c>
      <c r="K207">
        <v>60359.2986724312</v>
      </c>
      <c r="L207">
        <f t="shared" si="10"/>
        <v>2.4430953403227024E-4</v>
      </c>
      <c r="M207">
        <f t="shared" si="11"/>
        <v>2.4430953403227024E-4</v>
      </c>
    </row>
    <row r="208" spans="1:13" x14ac:dyDescent="0.35">
      <c r="A208" t="s">
        <v>155</v>
      </c>
      <c r="B208">
        <v>2017</v>
      </c>
      <c r="C208">
        <v>55.942409950435099</v>
      </c>
      <c r="D208">
        <v>21.504378990748702</v>
      </c>
      <c r="E208">
        <v>67.131010308788504</v>
      </c>
      <c r="F208">
        <v>2.2204606329261698</v>
      </c>
      <c r="G208">
        <v>10.743502269027699</v>
      </c>
      <c r="H208">
        <v>2.1048434091614001</v>
      </c>
      <c r="I208">
        <v>0.161482365039473</v>
      </c>
      <c r="J208">
        <v>2.8289101104607401</v>
      </c>
      <c r="K208">
        <v>69861.241197049996</v>
      </c>
      <c r="L208">
        <f t="shared" si="10"/>
        <v>2.5850097245878965E-4</v>
      </c>
      <c r="M208">
        <f t="shared" si="11"/>
        <v>2.5850097245878965E-4</v>
      </c>
    </row>
    <row r="209" spans="1:13" x14ac:dyDescent="0.35">
      <c r="A209" t="s">
        <v>155</v>
      </c>
      <c r="B209">
        <v>2018</v>
      </c>
      <c r="C209">
        <v>74.839333380499696</v>
      </c>
      <c r="D209">
        <v>25.803922278646599</v>
      </c>
      <c r="E209">
        <v>60.554334968997097</v>
      </c>
      <c r="F209">
        <v>6.7567006147833899</v>
      </c>
      <c r="G209">
        <v>21.156059719027201</v>
      </c>
      <c r="H209">
        <v>6.8219900180159997E-4</v>
      </c>
      <c r="I209">
        <v>3.1463091765999298</v>
      </c>
      <c r="J209">
        <v>2.2864880743243701</v>
      </c>
      <c r="K209">
        <v>77658.789698772307</v>
      </c>
      <c r="L209">
        <f t="shared" si="10"/>
        <v>4.2939427607721083E-4</v>
      </c>
      <c r="M209">
        <f t="shared" si="11"/>
        <v>4.2939427607721083E-4</v>
      </c>
    </row>
    <row r="210" spans="1:13" x14ac:dyDescent="0.35">
      <c r="A210" t="s">
        <v>155</v>
      </c>
      <c r="B210">
        <v>2019</v>
      </c>
      <c r="C210">
        <v>75.601574216731706</v>
      </c>
      <c r="D210">
        <v>19.2979791072053</v>
      </c>
      <c r="E210">
        <v>56.343653581360599</v>
      </c>
      <c r="F210">
        <v>6.7115794878169294E-2</v>
      </c>
      <c r="G210">
        <v>17.920599821944801</v>
      </c>
      <c r="H210">
        <v>1.3518954348035901</v>
      </c>
      <c r="I210">
        <v>1.55931916521035</v>
      </c>
      <c r="J210">
        <v>3.0381787991916198</v>
      </c>
      <c r="K210">
        <v>73404.038726112805</v>
      </c>
      <c r="L210">
        <f t="shared" si="10"/>
        <v>3.261007082368225E-4</v>
      </c>
      <c r="M210">
        <f t="shared" si="11"/>
        <v>3.261007082368225E-4</v>
      </c>
    </row>
    <row r="211" spans="1:13" x14ac:dyDescent="0.35">
      <c r="A211" t="s">
        <v>155</v>
      </c>
      <c r="B211">
        <v>2020</v>
      </c>
      <c r="C211">
        <v>45.138739535356002</v>
      </c>
      <c r="D211">
        <v>20.076001435363601</v>
      </c>
      <c r="E211">
        <v>40.501260548313098</v>
      </c>
      <c r="F211">
        <v>0.32877718965237301</v>
      </c>
      <c r="G211">
        <v>16.992375283243501</v>
      </c>
      <c r="H211">
        <v>3.1232044528718799E-6</v>
      </c>
      <c r="I211">
        <v>1.88565703082082</v>
      </c>
      <c r="J211">
        <v>3.3265172530059899</v>
      </c>
      <c r="K211">
        <v>66225.749384199298</v>
      </c>
      <c r="L211">
        <f t="shared" si="10"/>
        <v>3.4025028164201234E-4</v>
      </c>
      <c r="M211">
        <f t="shared" si="11"/>
        <v>3.4025028164201234E-4</v>
      </c>
    </row>
    <row r="212" spans="1:13" x14ac:dyDescent="0.35">
      <c r="A212" t="s">
        <v>155</v>
      </c>
      <c r="B212">
        <v>2021</v>
      </c>
      <c r="C212">
        <v>61.989059802874699</v>
      </c>
      <c r="D212">
        <v>30.9189485536562</v>
      </c>
      <c r="E212">
        <v>81.708930428214302</v>
      </c>
      <c r="F212">
        <v>0.23261387681155901</v>
      </c>
      <c r="G212">
        <v>30.523939270939199</v>
      </c>
      <c r="H212">
        <v>2.6481292430196399</v>
      </c>
      <c r="I212">
        <v>2.1983708254299201</v>
      </c>
      <c r="J212">
        <v>6.62810945308832</v>
      </c>
      <c r="K212">
        <v>82688.611194742407</v>
      </c>
      <c r="L212">
        <f t="shared" si="10"/>
        <v>5.1072526263415852E-4</v>
      </c>
      <c r="M212">
        <f t="shared" si="11"/>
        <v>5.1072526263415852E-4</v>
      </c>
    </row>
    <row r="213" spans="1:13" x14ac:dyDescent="0.35">
      <c r="A213" t="s">
        <v>155</v>
      </c>
      <c r="B213">
        <v>2022</v>
      </c>
      <c r="C213">
        <v>58.526695313762197</v>
      </c>
      <c r="D213">
        <v>24.6606581595967</v>
      </c>
      <c r="E213">
        <v>46.071774265169097</v>
      </c>
      <c r="F213">
        <v>0.21945221662794301</v>
      </c>
      <c r="G213">
        <v>34.232135449901101</v>
      </c>
      <c r="H213">
        <v>3.8998893389136E-3</v>
      </c>
      <c r="I213">
        <v>3.3187535944979998</v>
      </c>
      <c r="J213">
        <v>5.2401517900686301</v>
      </c>
      <c r="K213">
        <v>89554.896055716701</v>
      </c>
      <c r="L213">
        <f t="shared" si="10"/>
        <v>4.8031313568465444E-4</v>
      </c>
      <c r="M213">
        <f t="shared" si="11"/>
        <v>4.8031313568465444E-4</v>
      </c>
    </row>
    <row r="214" spans="1:13" x14ac:dyDescent="0.35">
      <c r="A214" t="s">
        <v>155</v>
      </c>
      <c r="B214">
        <v>2023</v>
      </c>
      <c r="C214">
        <v>54.115766414844401</v>
      </c>
      <c r="D214">
        <v>24.4788766443973</v>
      </c>
      <c r="E214">
        <v>58.285116773873199</v>
      </c>
      <c r="F214">
        <v>7.8617951720837702</v>
      </c>
      <c r="G214">
        <v>54.163224145208197</v>
      </c>
      <c r="H214">
        <v>1.80032860428771</v>
      </c>
      <c r="I214">
        <v>1.74135453711483</v>
      </c>
      <c r="J214">
        <v>6.8159142917287801</v>
      </c>
      <c r="K214">
        <v>83593.647797234502</v>
      </c>
      <c r="L214">
        <f t="shared" si="10"/>
        <v>8.6588656743387014E-4</v>
      </c>
      <c r="M214">
        <f t="shared" si="11"/>
        <v>8.6588656743387014E-4</v>
      </c>
    </row>
    <row r="215" spans="1:13" x14ac:dyDescent="0.35">
      <c r="A215" t="s">
        <v>155</v>
      </c>
      <c r="B215">
        <v>2024</v>
      </c>
      <c r="C215">
        <v>48.6405990229091</v>
      </c>
      <c r="D215">
        <v>28.318788903405199</v>
      </c>
      <c r="E215">
        <v>41.061112166018098</v>
      </c>
      <c r="F215">
        <v>1.5377368843922001E-2</v>
      </c>
      <c r="G215">
        <v>47.793929688595298</v>
      </c>
      <c r="H215">
        <v>3.1139830089450702</v>
      </c>
      <c r="I215">
        <v>10.3085808638575</v>
      </c>
      <c r="J215">
        <v>15.809846507951701</v>
      </c>
      <c r="K215">
        <v>78388.266762617495</v>
      </c>
      <c r="L215">
        <f t="shared" si="10"/>
        <v>9.8282205513611177E-4</v>
      </c>
      <c r="M215">
        <f t="shared" si="11"/>
        <v>9.8282205513611177E-4</v>
      </c>
    </row>
    <row r="218" spans="1:13" x14ac:dyDescent="0.35">
      <c r="A218" t="s">
        <v>156</v>
      </c>
      <c r="B218">
        <v>2000</v>
      </c>
      <c r="C218">
        <v>1723.59530367866</v>
      </c>
      <c r="D218">
        <v>515.18356633170004</v>
      </c>
      <c r="E218">
        <v>6220.67494191278</v>
      </c>
      <c r="F218">
        <v>0.61158579190142404</v>
      </c>
      <c r="G218">
        <v>6.8873073687440396</v>
      </c>
      <c r="H218">
        <v>3.2855480417558501E-2</v>
      </c>
      <c r="I218">
        <v>1.1299131514998799</v>
      </c>
      <c r="J218">
        <v>2.2090963148617999</v>
      </c>
      <c r="K218">
        <v>78571.770737899904</v>
      </c>
      <c r="L218">
        <f t="shared" ref="L218:L242" si="12">SUM(F218:J218)/K218</f>
        <v>1.3835450067286163E-4</v>
      </c>
      <c r="M218">
        <f>(SUM(F218:J218)/K218)</f>
        <v>1.3835450067286163E-4</v>
      </c>
    </row>
    <row r="219" spans="1:13" x14ac:dyDescent="0.35">
      <c r="A219" t="s">
        <v>156</v>
      </c>
      <c r="B219">
        <v>2001</v>
      </c>
      <c r="C219">
        <v>1499.3517472838801</v>
      </c>
      <c r="D219">
        <v>452.731364676645</v>
      </c>
      <c r="E219">
        <v>6184.15416116289</v>
      </c>
      <c r="F219">
        <v>0.19952140242691699</v>
      </c>
      <c r="G219">
        <v>0.77667788499979395</v>
      </c>
      <c r="H219">
        <v>2.3658533751108799E-2</v>
      </c>
      <c r="I219">
        <v>4.19479402906006</v>
      </c>
      <c r="J219">
        <v>1.4384357838934001</v>
      </c>
      <c r="K219">
        <v>83395.921181904996</v>
      </c>
      <c r="L219">
        <f t="shared" si="12"/>
        <v>7.9537314776618922E-5</v>
      </c>
      <c r="M219">
        <f t="shared" ref="M219:M242" si="13">(SUM(F219:J219)/K219)</f>
        <v>7.9537314776618922E-5</v>
      </c>
    </row>
    <row r="220" spans="1:13" x14ac:dyDescent="0.35">
      <c r="A220" t="s">
        <v>156</v>
      </c>
      <c r="B220">
        <v>2002</v>
      </c>
      <c r="C220">
        <v>1487.49711825126</v>
      </c>
      <c r="D220">
        <v>599.74538730432403</v>
      </c>
      <c r="E220">
        <v>5318.7488590304702</v>
      </c>
      <c r="F220">
        <v>0.46323632908915502</v>
      </c>
      <c r="G220">
        <v>6.0528628593593599E-2</v>
      </c>
      <c r="H220">
        <v>6.1935270992502102E-2</v>
      </c>
      <c r="I220">
        <v>4.4010012672340197</v>
      </c>
      <c r="J220">
        <v>18.986083800955601</v>
      </c>
      <c r="K220">
        <v>95644.480417543702</v>
      </c>
      <c r="L220">
        <f t="shared" si="12"/>
        <v>2.5064473341493144E-4</v>
      </c>
      <c r="M220">
        <f t="shared" si="13"/>
        <v>2.5064473341493144E-4</v>
      </c>
    </row>
    <row r="221" spans="1:13" x14ac:dyDescent="0.35">
      <c r="A221" t="s">
        <v>156</v>
      </c>
      <c r="B221">
        <v>2003</v>
      </c>
      <c r="C221">
        <v>1830.14137475149</v>
      </c>
      <c r="D221">
        <v>584.02427732409501</v>
      </c>
      <c r="E221">
        <v>5538.8065520308201</v>
      </c>
      <c r="F221">
        <v>0.39566749443540999</v>
      </c>
      <c r="G221">
        <v>0.90736210639289105</v>
      </c>
      <c r="H221">
        <v>2.5220073816607302E-2</v>
      </c>
      <c r="I221">
        <v>0.62771451483386598</v>
      </c>
      <c r="J221">
        <v>17.269236880785499</v>
      </c>
      <c r="K221">
        <v>102041.727612549</v>
      </c>
      <c r="L221">
        <f t="shared" si="12"/>
        <v>1.8840528791576412E-4</v>
      </c>
      <c r="M221">
        <f t="shared" si="13"/>
        <v>1.8840528791576412E-4</v>
      </c>
    </row>
    <row r="222" spans="1:13" x14ac:dyDescent="0.35">
      <c r="A222" t="s">
        <v>156</v>
      </c>
      <c r="B222">
        <v>2004</v>
      </c>
      <c r="C222">
        <v>3051.4426294476498</v>
      </c>
      <c r="D222">
        <v>396.48388677152798</v>
      </c>
      <c r="E222">
        <v>5148.4851077909098</v>
      </c>
      <c r="F222">
        <v>6.7051026885160403E-2</v>
      </c>
      <c r="G222">
        <v>0.10951943876699199</v>
      </c>
      <c r="H222">
        <v>1.0246988709239201E-2</v>
      </c>
      <c r="I222">
        <v>1.2296016470056801</v>
      </c>
      <c r="J222">
        <v>21.498030812470201</v>
      </c>
      <c r="K222">
        <v>119539.133430357</v>
      </c>
      <c r="L222">
        <f t="shared" si="12"/>
        <v>1.9168994501024333E-4</v>
      </c>
      <c r="M222">
        <f t="shared" si="13"/>
        <v>1.9168994501024333E-4</v>
      </c>
    </row>
    <row r="223" spans="1:13" x14ac:dyDescent="0.35">
      <c r="A223" t="s">
        <v>156</v>
      </c>
      <c r="B223">
        <v>2005</v>
      </c>
      <c r="C223">
        <v>5408.5989392860902</v>
      </c>
      <c r="D223">
        <v>500.48115423604003</v>
      </c>
      <c r="E223">
        <v>4125.5321096644402</v>
      </c>
      <c r="F223">
        <v>0.17222732931184701</v>
      </c>
      <c r="G223">
        <v>2.0301180443487499</v>
      </c>
      <c r="H223">
        <v>4.7785243134043E-3</v>
      </c>
      <c r="I223">
        <v>1.11462165363272</v>
      </c>
      <c r="J223">
        <v>17.2102798801387</v>
      </c>
      <c r="K223">
        <v>126930.61377906</v>
      </c>
      <c r="L223">
        <f t="shared" si="12"/>
        <v>1.6175786770781871E-4</v>
      </c>
      <c r="M223">
        <f t="shared" si="13"/>
        <v>1.6175786770781871E-4</v>
      </c>
    </row>
    <row r="224" spans="1:13" x14ac:dyDescent="0.35">
      <c r="A224" t="s">
        <v>156</v>
      </c>
      <c r="B224">
        <v>2006</v>
      </c>
      <c r="C224">
        <v>6424.8028963166598</v>
      </c>
      <c r="D224">
        <v>692.403762848621</v>
      </c>
      <c r="E224">
        <v>4531.3628499382303</v>
      </c>
      <c r="F224">
        <v>0.229263181242846</v>
      </c>
      <c r="G224">
        <v>0.30131597711539898</v>
      </c>
      <c r="H224">
        <v>1.82272103684352E-2</v>
      </c>
      <c r="I224">
        <v>0.93162651582500999</v>
      </c>
      <c r="J224">
        <v>16.7937162103246</v>
      </c>
      <c r="K224">
        <v>130160.90436419399</v>
      </c>
      <c r="L224">
        <f t="shared" si="12"/>
        <v>1.4039660514146929E-4</v>
      </c>
      <c r="M224">
        <f t="shared" si="13"/>
        <v>1.4039660514146929E-4</v>
      </c>
    </row>
    <row r="225" spans="1:13" x14ac:dyDescent="0.35">
      <c r="A225" t="s">
        <v>156</v>
      </c>
      <c r="B225">
        <v>2007</v>
      </c>
      <c r="C225">
        <v>5994.3517594654004</v>
      </c>
      <c r="D225">
        <v>683.39244778858097</v>
      </c>
      <c r="E225">
        <v>3176.1957805403999</v>
      </c>
      <c r="F225">
        <v>0.80519478534328504</v>
      </c>
      <c r="G225">
        <v>11.771213819940099</v>
      </c>
      <c r="H225">
        <v>1.320945739898E-4</v>
      </c>
      <c r="I225">
        <v>1.02401100144789</v>
      </c>
      <c r="J225">
        <v>25.885994760839399</v>
      </c>
      <c r="K225">
        <v>145911.98713261599</v>
      </c>
      <c r="L225">
        <f t="shared" si="12"/>
        <v>2.7061893431864695E-4</v>
      </c>
      <c r="M225">
        <f t="shared" si="13"/>
        <v>2.7061893431864695E-4</v>
      </c>
    </row>
    <row r="226" spans="1:13" x14ac:dyDescent="0.35">
      <c r="A226" t="s">
        <v>156</v>
      </c>
      <c r="B226">
        <v>2008</v>
      </c>
      <c r="C226">
        <v>4839.7345251283996</v>
      </c>
      <c r="D226">
        <v>606.20636014785396</v>
      </c>
      <c r="E226">
        <v>2675.2538480979701</v>
      </c>
      <c r="F226">
        <v>1.41848663711336</v>
      </c>
      <c r="G226">
        <v>24.4169117692913</v>
      </c>
      <c r="H226">
        <v>8.5629006102515004E-3</v>
      </c>
      <c r="I226">
        <v>1.9145249204778101</v>
      </c>
      <c r="J226">
        <v>12.070331310392101</v>
      </c>
      <c r="K226">
        <v>147905.234376212</v>
      </c>
      <c r="L226">
        <f t="shared" si="12"/>
        <v>2.6928605810242102E-4</v>
      </c>
      <c r="M226">
        <f t="shared" si="13"/>
        <v>2.6928605810242102E-4</v>
      </c>
    </row>
    <row r="227" spans="1:13" x14ac:dyDescent="0.35">
      <c r="A227" t="s">
        <v>156</v>
      </c>
      <c r="B227">
        <v>2009</v>
      </c>
      <c r="C227">
        <v>2018.7334376649901</v>
      </c>
      <c r="D227">
        <v>453.79575837818197</v>
      </c>
      <c r="E227">
        <v>1734.6557951363</v>
      </c>
      <c r="F227">
        <v>0.200736926966123</v>
      </c>
      <c r="G227">
        <v>10.2321539415545</v>
      </c>
      <c r="H227">
        <v>3.3862464744337998E-3</v>
      </c>
      <c r="I227">
        <v>1.32236939698175</v>
      </c>
      <c r="J227">
        <v>8.6203829826669693</v>
      </c>
      <c r="K227">
        <v>134670.46187532699</v>
      </c>
      <c r="L227">
        <f t="shared" si="12"/>
        <v>1.5132516225800088E-4</v>
      </c>
      <c r="M227">
        <f t="shared" si="13"/>
        <v>1.5132516225800088E-4</v>
      </c>
    </row>
    <row r="228" spans="1:13" x14ac:dyDescent="0.35">
      <c r="A228" t="s">
        <v>156</v>
      </c>
      <c r="B228">
        <v>2010</v>
      </c>
      <c r="C228">
        <v>1554.79799543645</v>
      </c>
      <c r="D228">
        <v>377.28878703517802</v>
      </c>
      <c r="E228">
        <v>1166.4518831430601</v>
      </c>
      <c r="F228">
        <v>0.179350916581062</v>
      </c>
      <c r="G228">
        <v>2.27481755765114</v>
      </c>
      <c r="H228">
        <v>3.5507606416921998E-3</v>
      </c>
      <c r="I228">
        <v>2.5946926827687702</v>
      </c>
      <c r="J228">
        <v>10.911026972274</v>
      </c>
      <c r="K228">
        <v>131874.63498701001</v>
      </c>
      <c r="L228">
        <f t="shared" si="12"/>
        <v>1.210501086239147E-4</v>
      </c>
      <c r="M228">
        <f t="shared" si="13"/>
        <v>1.210501086239147E-4</v>
      </c>
    </row>
    <row r="229" spans="1:13" x14ac:dyDescent="0.35">
      <c r="A229" t="s">
        <v>156</v>
      </c>
      <c r="B229">
        <v>2011</v>
      </c>
      <c r="C229">
        <v>826.83974547634602</v>
      </c>
      <c r="D229">
        <v>403.15642486432898</v>
      </c>
      <c r="E229">
        <v>977.21730775081403</v>
      </c>
      <c r="F229">
        <v>3.96579531458694</v>
      </c>
      <c r="G229">
        <v>3.20254193888112</v>
      </c>
      <c r="H229">
        <v>8.9403053936590001E-4</v>
      </c>
      <c r="I229">
        <v>0.80439882304815202</v>
      </c>
      <c r="J229">
        <v>13.862342894595299</v>
      </c>
      <c r="K229">
        <v>145442.96842215399</v>
      </c>
      <c r="L229">
        <f t="shared" si="12"/>
        <v>1.5013426388734791E-4</v>
      </c>
      <c r="M229">
        <f t="shared" si="13"/>
        <v>1.5013426388734791E-4</v>
      </c>
    </row>
    <row r="230" spans="1:13" x14ac:dyDescent="0.35">
      <c r="A230" t="s">
        <v>156</v>
      </c>
      <c r="B230">
        <v>2012</v>
      </c>
      <c r="C230">
        <v>463.22659808159102</v>
      </c>
      <c r="D230">
        <v>332.64697376047098</v>
      </c>
      <c r="E230">
        <v>787.84631481230997</v>
      </c>
      <c r="F230">
        <v>0.183089212002471</v>
      </c>
      <c r="G230">
        <v>11.4405972620187</v>
      </c>
      <c r="H230">
        <v>2.1354302910262499E-2</v>
      </c>
      <c r="I230">
        <v>1.0414402035689401</v>
      </c>
      <c r="J230">
        <v>10.6403982751072</v>
      </c>
      <c r="K230">
        <v>128990.76379375999</v>
      </c>
      <c r="L230">
        <f t="shared" si="12"/>
        <v>1.8084146933887698E-4</v>
      </c>
      <c r="M230">
        <f t="shared" si="13"/>
        <v>1.8084146933887698E-4</v>
      </c>
    </row>
    <row r="231" spans="1:13" x14ac:dyDescent="0.35">
      <c r="A231" t="s">
        <v>156</v>
      </c>
      <c r="B231">
        <v>2013</v>
      </c>
      <c r="C231">
        <v>588.46730344736</v>
      </c>
      <c r="D231">
        <v>329.99646139123797</v>
      </c>
      <c r="E231">
        <v>917.25687225769695</v>
      </c>
      <c r="F231">
        <v>0.79988052139280896</v>
      </c>
      <c r="G231">
        <v>16.257469992982401</v>
      </c>
      <c r="H231">
        <v>2.8830627720513001E-3</v>
      </c>
      <c r="I231">
        <v>1.22366353175554</v>
      </c>
      <c r="J231">
        <v>16.951669363620699</v>
      </c>
      <c r="K231">
        <v>128507.89373315001</v>
      </c>
      <c r="L231">
        <f t="shared" si="12"/>
        <v>2.7418989953793089E-4</v>
      </c>
      <c r="M231">
        <f t="shared" si="13"/>
        <v>2.7418989953793089E-4</v>
      </c>
    </row>
    <row r="232" spans="1:13" x14ac:dyDescent="0.35">
      <c r="A232" t="s">
        <v>156</v>
      </c>
      <c r="B232">
        <v>2014</v>
      </c>
      <c r="C232">
        <v>720.29405946999702</v>
      </c>
      <c r="D232">
        <v>197.004674395953</v>
      </c>
      <c r="E232">
        <v>811.52614985854098</v>
      </c>
      <c r="F232">
        <v>1.6167065753996499</v>
      </c>
      <c r="G232">
        <v>21.530980040651301</v>
      </c>
      <c r="H232">
        <v>0.109915170226614</v>
      </c>
      <c r="I232">
        <v>1.2567389173311501</v>
      </c>
      <c r="J232">
        <v>30.066303547424098</v>
      </c>
      <c r="K232">
        <v>129611.060593467</v>
      </c>
      <c r="L232">
        <f t="shared" si="12"/>
        <v>4.2111100704768042E-4</v>
      </c>
      <c r="M232">
        <f t="shared" si="13"/>
        <v>4.2111100704768042E-4</v>
      </c>
    </row>
    <row r="233" spans="1:13" x14ac:dyDescent="0.35">
      <c r="A233" t="s">
        <v>156</v>
      </c>
      <c r="B233">
        <v>2015</v>
      </c>
      <c r="C233">
        <v>731.24774610639099</v>
      </c>
      <c r="D233">
        <v>174.329871402122</v>
      </c>
      <c r="E233">
        <v>724.98222896743403</v>
      </c>
      <c r="F233">
        <v>0.91742050014968501</v>
      </c>
      <c r="G233">
        <v>10.187578351731499</v>
      </c>
      <c r="H233">
        <v>4.2720158062466004E-3</v>
      </c>
      <c r="I233">
        <v>1.10346365200901</v>
      </c>
      <c r="J233">
        <v>36.900757663642501</v>
      </c>
      <c r="K233">
        <v>133979.201748861</v>
      </c>
      <c r="L233">
        <f t="shared" si="12"/>
        <v>3.6657549486972122E-4</v>
      </c>
      <c r="M233">
        <f t="shared" si="13"/>
        <v>3.6657549486972122E-4</v>
      </c>
    </row>
    <row r="234" spans="1:13" x14ac:dyDescent="0.35">
      <c r="A234" t="s">
        <v>156</v>
      </c>
      <c r="B234">
        <v>2016</v>
      </c>
      <c r="C234">
        <v>683.19991160937298</v>
      </c>
      <c r="D234">
        <v>139.64931400661899</v>
      </c>
      <c r="E234">
        <v>638.83391980625402</v>
      </c>
      <c r="F234">
        <v>0.74000119971357803</v>
      </c>
      <c r="G234">
        <v>9.2140465080382796</v>
      </c>
      <c r="H234">
        <v>6.7627850178069104E-2</v>
      </c>
      <c r="I234">
        <v>1.6581175612063701</v>
      </c>
      <c r="J234">
        <v>39.411677261174503</v>
      </c>
      <c r="K234">
        <v>145492.995191461</v>
      </c>
      <c r="L234">
        <f t="shared" si="12"/>
        <v>3.5116103227565801E-4</v>
      </c>
      <c r="M234">
        <f t="shared" si="13"/>
        <v>3.5116103227565801E-4</v>
      </c>
    </row>
    <row r="235" spans="1:13" x14ac:dyDescent="0.35">
      <c r="A235" t="s">
        <v>156</v>
      </c>
      <c r="B235">
        <v>2017</v>
      </c>
      <c r="C235">
        <v>722.84547681611605</v>
      </c>
      <c r="D235">
        <v>120.42061984748899</v>
      </c>
      <c r="E235">
        <v>653.74391663326696</v>
      </c>
      <c r="F235">
        <v>0.59977407989035603</v>
      </c>
      <c r="G235">
        <v>5.9515907453116901</v>
      </c>
      <c r="H235">
        <v>4.2494541163635002E-3</v>
      </c>
      <c r="I235">
        <v>1.7668757497682701</v>
      </c>
      <c r="J235">
        <v>40.720820203555597</v>
      </c>
      <c r="K235">
        <v>156153.45688362501</v>
      </c>
      <c r="L235">
        <f t="shared" si="12"/>
        <v>3.1407124255463851E-4</v>
      </c>
      <c r="M235">
        <f t="shared" si="13"/>
        <v>3.1407124255463851E-4</v>
      </c>
    </row>
    <row r="236" spans="1:13" x14ac:dyDescent="0.35">
      <c r="A236" t="s">
        <v>156</v>
      </c>
      <c r="B236">
        <v>2018</v>
      </c>
      <c r="C236">
        <v>811.094022813891</v>
      </c>
      <c r="D236">
        <v>126.42660375032</v>
      </c>
      <c r="E236">
        <v>947.61178195482501</v>
      </c>
      <c r="F236">
        <v>0.11392256578957601</v>
      </c>
      <c r="G236">
        <v>10.401453099756001</v>
      </c>
      <c r="H236">
        <v>4.6514590583025999E-3</v>
      </c>
      <c r="I236">
        <v>1.8451654073136801</v>
      </c>
      <c r="J236">
        <v>58.654605113808202</v>
      </c>
      <c r="K236">
        <v>183601.09993190799</v>
      </c>
      <c r="L236">
        <f t="shared" si="12"/>
        <v>3.8681575258571341E-4</v>
      </c>
      <c r="M236">
        <f t="shared" si="13"/>
        <v>3.8681575258571341E-4</v>
      </c>
    </row>
    <row r="237" spans="1:13" x14ac:dyDescent="0.35">
      <c r="A237" t="s">
        <v>156</v>
      </c>
      <c r="B237">
        <v>2019</v>
      </c>
      <c r="C237">
        <v>1026.01826251698</v>
      </c>
      <c r="D237">
        <v>78.550075064385496</v>
      </c>
      <c r="E237">
        <v>890.29641812457999</v>
      </c>
      <c r="F237">
        <v>1.8536045459743002E-2</v>
      </c>
      <c r="G237">
        <v>13.2161238634196</v>
      </c>
      <c r="I237">
        <v>1.6276561755971199</v>
      </c>
      <c r="J237">
        <v>68.374047669474706</v>
      </c>
      <c r="K237">
        <v>184337.38284126201</v>
      </c>
      <c r="L237">
        <f t="shared" si="12"/>
        <v>4.5154359073020086E-4</v>
      </c>
      <c r="M237">
        <f t="shared" si="13"/>
        <v>4.5154359073020086E-4</v>
      </c>
    </row>
    <row r="238" spans="1:13" x14ac:dyDescent="0.35">
      <c r="A238" t="s">
        <v>156</v>
      </c>
      <c r="B238">
        <v>2020</v>
      </c>
      <c r="C238">
        <v>972.611045082499</v>
      </c>
      <c r="D238">
        <v>126.526052675138</v>
      </c>
      <c r="E238">
        <v>686.54992740924604</v>
      </c>
      <c r="F238">
        <v>3.01599920443315E-2</v>
      </c>
      <c r="G238">
        <v>14.3532188616742</v>
      </c>
      <c r="I238">
        <v>2.2744313477462899</v>
      </c>
      <c r="J238">
        <v>58.517565133794299</v>
      </c>
      <c r="K238">
        <v>201656.27187216599</v>
      </c>
      <c r="L238">
        <f t="shared" si="12"/>
        <v>3.7278967144108621E-4</v>
      </c>
      <c r="M238">
        <f t="shared" si="13"/>
        <v>3.7278967144108621E-4</v>
      </c>
    </row>
    <row r="239" spans="1:13" x14ac:dyDescent="0.35">
      <c r="A239" t="s">
        <v>156</v>
      </c>
      <c r="B239">
        <v>2021</v>
      </c>
      <c r="C239">
        <v>697.60578943586995</v>
      </c>
      <c r="D239">
        <v>92.252321388461098</v>
      </c>
      <c r="E239">
        <v>744.60050163560902</v>
      </c>
      <c r="F239">
        <v>0.106695485378342</v>
      </c>
      <c r="G239">
        <v>15.128069855351701</v>
      </c>
      <c r="H239">
        <v>7.0369257901106E-2</v>
      </c>
      <c r="I239">
        <v>2.0736807475969101</v>
      </c>
      <c r="J239">
        <v>90.099762386290706</v>
      </c>
      <c r="K239">
        <v>220490.27094050599</v>
      </c>
      <c r="L239">
        <f t="shared" si="12"/>
        <v>4.8745269926907248E-4</v>
      </c>
      <c r="M239">
        <f t="shared" si="13"/>
        <v>4.8745269926907248E-4</v>
      </c>
    </row>
    <row r="240" spans="1:13" x14ac:dyDescent="0.35">
      <c r="A240" t="s">
        <v>156</v>
      </c>
      <c r="B240">
        <v>2022</v>
      </c>
      <c r="C240">
        <v>832.40404431273203</v>
      </c>
      <c r="D240">
        <v>79.618784467031404</v>
      </c>
      <c r="E240">
        <v>709.59884509095798</v>
      </c>
      <c r="F240">
        <v>0.47385994894554101</v>
      </c>
      <c r="G240">
        <v>19.307261803486501</v>
      </c>
      <c r="H240">
        <v>2.0362720030195199E-5</v>
      </c>
      <c r="I240">
        <v>2.37509750796705</v>
      </c>
      <c r="J240">
        <v>87.104323092189702</v>
      </c>
      <c r="K240">
        <v>239981.14609062899</v>
      </c>
      <c r="L240">
        <f t="shared" si="12"/>
        <v>4.5528811115039231E-4</v>
      </c>
      <c r="M240">
        <f t="shared" si="13"/>
        <v>4.5528811115039231E-4</v>
      </c>
    </row>
    <row r="241" spans="1:13" x14ac:dyDescent="0.35">
      <c r="A241" t="s">
        <v>156</v>
      </c>
      <c r="B241">
        <v>2023</v>
      </c>
      <c r="C241">
        <v>742.327202004985</v>
      </c>
      <c r="D241">
        <v>65.239348386426897</v>
      </c>
      <c r="E241">
        <v>697.47771976875401</v>
      </c>
      <c r="F241">
        <v>1.5879789031501099</v>
      </c>
      <c r="G241">
        <v>59.600499968394097</v>
      </c>
      <c r="H241">
        <v>7.7646617240002404E-5</v>
      </c>
      <c r="I241">
        <v>2.75830206274982</v>
      </c>
      <c r="J241">
        <v>108.777867278359</v>
      </c>
      <c r="K241">
        <v>238043.70467267401</v>
      </c>
      <c r="L241">
        <f t="shared" si="12"/>
        <v>7.2560089793921795E-4</v>
      </c>
      <c r="M241">
        <f t="shared" si="13"/>
        <v>7.2560089793921795E-4</v>
      </c>
    </row>
    <row r="242" spans="1:13" x14ac:dyDescent="0.35">
      <c r="A242" t="s">
        <v>156</v>
      </c>
      <c r="B242">
        <v>2024</v>
      </c>
      <c r="C242">
        <v>1245.0515960652899</v>
      </c>
      <c r="D242">
        <v>61.9202388200071</v>
      </c>
      <c r="E242">
        <v>751.46955927431895</v>
      </c>
      <c r="F242">
        <v>6.7017933057330996E-3</v>
      </c>
      <c r="G242">
        <v>103.671964458197</v>
      </c>
      <c r="H242">
        <v>1.698927982359E-3</v>
      </c>
      <c r="I242">
        <v>3.8940676932361802</v>
      </c>
      <c r="J242">
        <v>142.68671523665</v>
      </c>
      <c r="K242">
        <v>256918.420685149</v>
      </c>
      <c r="L242">
        <f t="shared" si="12"/>
        <v>9.7408799042893017E-4</v>
      </c>
      <c r="M242">
        <f t="shared" si="13"/>
        <v>9.7408799042893017E-4</v>
      </c>
    </row>
    <row r="245" spans="1:13" x14ac:dyDescent="0.35">
      <c r="A245" t="s">
        <v>157</v>
      </c>
      <c r="B245">
        <v>2000</v>
      </c>
      <c r="C245">
        <v>2.86703663274877</v>
      </c>
      <c r="D245">
        <v>3.2199947955510102</v>
      </c>
      <c r="E245">
        <v>36.266625886538399</v>
      </c>
      <c r="F245">
        <v>2.6529936053680599E-2</v>
      </c>
      <c r="G245">
        <v>4.6247010481922E-2</v>
      </c>
      <c r="H245">
        <v>7.6537432929214997E-3</v>
      </c>
      <c r="I245">
        <v>1.3982341158391301E-2</v>
      </c>
      <c r="J245">
        <v>0.356158983640808</v>
      </c>
      <c r="K245">
        <v>24124.937161911799</v>
      </c>
      <c r="L245">
        <f t="shared" ref="L245:L269" si="14">SUM(F245:J245)/K245</f>
        <v>1.8676608838554068E-5</v>
      </c>
      <c r="M245">
        <f>(SUM(F245:J245)/K245)</f>
        <v>1.8676608838554068E-5</v>
      </c>
    </row>
    <row r="246" spans="1:13" x14ac:dyDescent="0.35">
      <c r="A246" t="s">
        <v>157</v>
      </c>
      <c r="B246">
        <v>2001</v>
      </c>
      <c r="C246">
        <v>5.1085303971654401</v>
      </c>
      <c r="D246">
        <v>2.7445050519626402</v>
      </c>
      <c r="E246">
        <v>208.83394573494499</v>
      </c>
      <c r="F246">
        <v>3.7720167932743902E-2</v>
      </c>
      <c r="G246">
        <v>8.8637468949043993E-3</v>
      </c>
      <c r="H246">
        <v>1.4517514381766001E-3</v>
      </c>
      <c r="I246">
        <v>5.1450812294932702E-2</v>
      </c>
      <c r="J246">
        <v>0.319827184702555</v>
      </c>
      <c r="K246">
        <v>23794.419452858499</v>
      </c>
      <c r="L246">
        <f t="shared" si="14"/>
        <v>1.7622353177981786E-5</v>
      </c>
      <c r="M246">
        <f t="shared" ref="M246:M269" si="15">(SUM(F246:J246)/K246)</f>
        <v>1.7622353177981786E-5</v>
      </c>
    </row>
    <row r="247" spans="1:13" x14ac:dyDescent="0.35">
      <c r="A247" t="s">
        <v>157</v>
      </c>
      <c r="B247">
        <v>2002</v>
      </c>
      <c r="C247">
        <v>4.8617939989373999</v>
      </c>
      <c r="D247">
        <v>4.0825976863492803</v>
      </c>
      <c r="E247">
        <v>392.08345957968402</v>
      </c>
      <c r="F247">
        <v>7.7233918585009002E-3</v>
      </c>
      <c r="G247">
        <v>6.4298286317889001E-3</v>
      </c>
      <c r="H247">
        <v>2.6854784574697E-3</v>
      </c>
      <c r="I247">
        <v>8.0823501002775001E-3</v>
      </c>
      <c r="J247">
        <v>0.54087597251163699</v>
      </c>
      <c r="K247">
        <v>25936.941668511499</v>
      </c>
      <c r="L247">
        <f t="shared" si="14"/>
        <v>2.1814330648187969E-5</v>
      </c>
      <c r="M247">
        <f t="shared" si="15"/>
        <v>2.1814330648187969E-5</v>
      </c>
    </row>
    <row r="248" spans="1:13" x14ac:dyDescent="0.35">
      <c r="A248" t="s">
        <v>157</v>
      </c>
      <c r="B248">
        <v>2003</v>
      </c>
      <c r="C248">
        <v>7.4762500548011399</v>
      </c>
      <c r="D248">
        <v>3.53950313182263</v>
      </c>
      <c r="E248">
        <v>636.29777128729199</v>
      </c>
      <c r="F248">
        <v>2.1019694533304001E-3</v>
      </c>
      <c r="G248">
        <v>2.05783101504791E-2</v>
      </c>
      <c r="H248">
        <v>6.3738475551635004E-3</v>
      </c>
      <c r="I248">
        <v>1.54484660626123E-2</v>
      </c>
      <c r="J248">
        <v>0.65004972397129601</v>
      </c>
      <c r="K248">
        <v>31591.246480535701</v>
      </c>
      <c r="L248">
        <f t="shared" si="14"/>
        <v>2.1985593940423198E-5</v>
      </c>
      <c r="M248">
        <f t="shared" si="15"/>
        <v>2.1985593940423198E-5</v>
      </c>
    </row>
    <row r="249" spans="1:13" x14ac:dyDescent="0.35">
      <c r="A249" t="s">
        <v>157</v>
      </c>
      <c r="B249">
        <v>2004</v>
      </c>
      <c r="C249">
        <v>12.884054149881299</v>
      </c>
      <c r="D249">
        <v>7.3830534029030597</v>
      </c>
      <c r="E249">
        <v>1068.2704769997099</v>
      </c>
      <c r="F249">
        <v>4.9445893704403998E-3</v>
      </c>
      <c r="G249">
        <v>3.4632940588651302E-2</v>
      </c>
      <c r="H249">
        <v>4.8834474932498003E-3</v>
      </c>
      <c r="I249">
        <v>3.5681958073349798E-2</v>
      </c>
      <c r="J249">
        <v>0.87428907360052399</v>
      </c>
      <c r="K249">
        <v>41252.596862340703</v>
      </c>
      <c r="L249">
        <f t="shared" si="14"/>
        <v>2.3136289148320542E-5</v>
      </c>
      <c r="M249">
        <f t="shared" si="15"/>
        <v>2.3136289148320542E-5</v>
      </c>
    </row>
    <row r="250" spans="1:13" x14ac:dyDescent="0.35">
      <c r="A250" t="s">
        <v>157</v>
      </c>
      <c r="B250">
        <v>2005</v>
      </c>
      <c r="C250">
        <v>4.27237764212291</v>
      </c>
      <c r="D250">
        <v>35.334383183281702</v>
      </c>
      <c r="E250">
        <v>1021.0456606538399</v>
      </c>
      <c r="F250">
        <v>1.6175485653446699E-2</v>
      </c>
      <c r="G250">
        <v>2.4981534873577901E-2</v>
      </c>
      <c r="H250">
        <v>2.0941166269427E-3</v>
      </c>
      <c r="I250">
        <v>2.49420422105626E-2</v>
      </c>
      <c r="J250">
        <v>1.0160316703989001</v>
      </c>
      <c r="K250">
        <v>37758.144249351702</v>
      </c>
      <c r="L250">
        <f t="shared" si="14"/>
        <v>2.871499305165258E-5</v>
      </c>
      <c r="M250">
        <f t="shared" si="15"/>
        <v>2.871499305165258E-5</v>
      </c>
    </row>
    <row r="251" spans="1:13" x14ac:dyDescent="0.35">
      <c r="A251" t="s">
        <v>157</v>
      </c>
      <c r="B251">
        <v>2006</v>
      </c>
      <c r="C251">
        <v>16.545304444926899</v>
      </c>
      <c r="D251">
        <v>11.808349899509199</v>
      </c>
      <c r="E251">
        <v>871.11331468210199</v>
      </c>
      <c r="F251">
        <v>1.7986344105182E-2</v>
      </c>
      <c r="G251">
        <v>0.17289102544773099</v>
      </c>
      <c r="H251">
        <v>1.8815759249203999E-3</v>
      </c>
      <c r="I251">
        <v>2.6833127480965099E-2</v>
      </c>
      <c r="J251">
        <v>1.22335870993706</v>
      </c>
      <c r="K251">
        <v>44400.149837072699</v>
      </c>
      <c r="L251">
        <f t="shared" si="14"/>
        <v>3.2498781832736992E-5</v>
      </c>
      <c r="M251">
        <f t="shared" si="15"/>
        <v>3.2498781832736992E-5</v>
      </c>
    </row>
    <row r="252" spans="1:13" x14ac:dyDescent="0.35">
      <c r="A252" t="s">
        <v>157</v>
      </c>
      <c r="B252">
        <v>2007</v>
      </c>
      <c r="C252">
        <v>6.4125263642023196</v>
      </c>
      <c r="D252">
        <v>6.28701272481708</v>
      </c>
      <c r="E252">
        <v>368.95926577431601</v>
      </c>
      <c r="F252">
        <v>0.17701822629872699</v>
      </c>
      <c r="G252">
        <v>0.32709799791005301</v>
      </c>
      <c r="H252">
        <v>4.7194282763634202E-2</v>
      </c>
      <c r="I252">
        <v>0.72091565379701905</v>
      </c>
      <c r="J252">
        <v>1.96163115680116</v>
      </c>
      <c r="K252">
        <v>48913.944553696398</v>
      </c>
      <c r="L252">
        <f t="shared" si="14"/>
        <v>6.6113198333872921E-5</v>
      </c>
      <c r="M252">
        <f t="shared" si="15"/>
        <v>6.6113198333872921E-5</v>
      </c>
    </row>
    <row r="253" spans="1:13" x14ac:dyDescent="0.35">
      <c r="A253" t="s">
        <v>157</v>
      </c>
      <c r="B253">
        <v>2008</v>
      </c>
      <c r="C253">
        <v>6.8136641764197901</v>
      </c>
      <c r="D253">
        <v>8.1191293869562902</v>
      </c>
      <c r="E253">
        <v>308.81638976852702</v>
      </c>
      <c r="F253">
        <v>4.3779289126060997E-3</v>
      </c>
      <c r="G253">
        <v>0.47815701516442499</v>
      </c>
      <c r="H253">
        <v>1.28543315717577E-2</v>
      </c>
      <c r="I253">
        <v>0.11851096661558801</v>
      </c>
      <c r="J253">
        <v>0.53320930672786604</v>
      </c>
      <c r="K253">
        <v>53507.461510273599</v>
      </c>
      <c r="L253">
        <f t="shared" si="14"/>
        <v>2.1438310034050001E-5</v>
      </c>
      <c r="M253">
        <f t="shared" si="15"/>
        <v>2.1438310034050001E-5</v>
      </c>
    </row>
    <row r="254" spans="1:13" x14ac:dyDescent="0.35">
      <c r="A254" t="s">
        <v>157</v>
      </c>
      <c r="B254">
        <v>2009</v>
      </c>
      <c r="C254">
        <v>5.4762252660401796</v>
      </c>
      <c r="D254">
        <v>4.3532165313866402</v>
      </c>
      <c r="E254">
        <v>40.639209399406298</v>
      </c>
      <c r="F254">
        <v>8.4145323571033603E-2</v>
      </c>
      <c r="G254">
        <v>0.28922381202514602</v>
      </c>
      <c r="H254">
        <v>4.77590337591422E-2</v>
      </c>
      <c r="I254">
        <v>8.7376222739089501E-2</v>
      </c>
      <c r="J254">
        <v>2.3068692832794602</v>
      </c>
      <c r="K254">
        <v>42612.0313667378</v>
      </c>
      <c r="L254">
        <f t="shared" si="14"/>
        <v>6.6069924034917112E-5</v>
      </c>
      <c r="M254">
        <f t="shared" si="15"/>
        <v>6.6069924034917112E-5</v>
      </c>
    </row>
    <row r="255" spans="1:13" x14ac:dyDescent="0.35">
      <c r="A255" t="s">
        <v>157</v>
      </c>
      <c r="B255">
        <v>2010</v>
      </c>
      <c r="C255">
        <v>4.3216744519199999</v>
      </c>
      <c r="D255">
        <v>3.8764589396444702</v>
      </c>
      <c r="E255">
        <v>34.542058005849299</v>
      </c>
      <c r="F255">
        <v>0.30017726916563597</v>
      </c>
      <c r="G255">
        <v>0.85705062429541301</v>
      </c>
      <c r="H255">
        <v>4.0734047727198297E-2</v>
      </c>
      <c r="I255">
        <v>1.60516977771449</v>
      </c>
      <c r="J255">
        <v>0.40631363529065601</v>
      </c>
      <c r="K255">
        <v>47320.003952319799</v>
      </c>
      <c r="L255">
        <f t="shared" si="14"/>
        <v>6.7824283307906492E-5</v>
      </c>
      <c r="M255">
        <f t="shared" si="15"/>
        <v>6.7824283307906492E-5</v>
      </c>
    </row>
    <row r="256" spans="1:13" x14ac:dyDescent="0.35">
      <c r="A256" t="s">
        <v>157</v>
      </c>
      <c r="B256">
        <v>2011</v>
      </c>
      <c r="C256">
        <v>5.0342725865306699</v>
      </c>
      <c r="D256">
        <v>4.3088994718628602</v>
      </c>
      <c r="E256">
        <v>26.802474207378101</v>
      </c>
      <c r="F256">
        <v>1.74823400014666E-2</v>
      </c>
      <c r="G256">
        <v>0.85997296561447301</v>
      </c>
      <c r="H256">
        <v>1.47980501473934E-2</v>
      </c>
      <c r="I256">
        <v>0.52782168074504698</v>
      </c>
      <c r="J256">
        <v>1.87948844390022</v>
      </c>
      <c r="K256">
        <v>57802.473699055699</v>
      </c>
      <c r="L256">
        <f t="shared" si="14"/>
        <v>5.7083430331849347E-5</v>
      </c>
      <c r="M256">
        <f t="shared" si="15"/>
        <v>5.7083430331849347E-5</v>
      </c>
    </row>
    <row r="257" spans="1:13" x14ac:dyDescent="0.35">
      <c r="A257" t="s">
        <v>157</v>
      </c>
      <c r="B257">
        <v>2012</v>
      </c>
      <c r="C257">
        <v>8.7613116154204391</v>
      </c>
      <c r="D257">
        <v>6.05651433239629</v>
      </c>
      <c r="E257">
        <v>24.4673116617384</v>
      </c>
      <c r="F257">
        <v>1.0375529068542701E-2</v>
      </c>
      <c r="G257">
        <v>0.72978855475883098</v>
      </c>
      <c r="H257">
        <v>1.27409535395611E-2</v>
      </c>
      <c r="I257">
        <v>0.18046628740509599</v>
      </c>
      <c r="J257">
        <v>1.2948971225956201</v>
      </c>
      <c r="K257">
        <v>57476.919203399397</v>
      </c>
      <c r="L257">
        <f t="shared" si="14"/>
        <v>3.8768056434657734E-5</v>
      </c>
      <c r="M257">
        <f t="shared" si="15"/>
        <v>3.8768056434657734E-5</v>
      </c>
    </row>
    <row r="258" spans="1:13" x14ac:dyDescent="0.35">
      <c r="A258" t="s">
        <v>157</v>
      </c>
      <c r="B258">
        <v>2013</v>
      </c>
      <c r="C258">
        <v>7.13637717540957</v>
      </c>
      <c r="D258">
        <v>6.8337155108138798</v>
      </c>
      <c r="E258">
        <v>21.902168499235199</v>
      </c>
      <c r="F258">
        <v>6.4154952435194002E-3</v>
      </c>
      <c r="G258">
        <v>1.00980755323773</v>
      </c>
      <c r="H258">
        <v>1.1108564580917401E-2</v>
      </c>
      <c r="I258">
        <v>6.2885975774320493E-2</v>
      </c>
      <c r="J258">
        <v>0.91114994416302897</v>
      </c>
      <c r="K258">
        <v>61956.8805505575</v>
      </c>
      <c r="L258">
        <f t="shared" si="14"/>
        <v>3.2302587141493963E-5</v>
      </c>
      <c r="M258">
        <f t="shared" si="15"/>
        <v>3.2302587141493963E-5</v>
      </c>
    </row>
    <row r="259" spans="1:13" x14ac:dyDescent="0.35">
      <c r="A259" t="s">
        <v>157</v>
      </c>
      <c r="B259">
        <v>2014</v>
      </c>
      <c r="C259">
        <v>10.4712098248721</v>
      </c>
      <c r="D259">
        <v>5.3801167242392998</v>
      </c>
      <c r="E259">
        <v>19.605537436830598</v>
      </c>
      <c r="F259">
        <v>7.6429464038607606E-2</v>
      </c>
      <c r="G259">
        <v>5.1969006483373503</v>
      </c>
      <c r="H259">
        <v>5.0234025384350003E-4</v>
      </c>
      <c r="I259">
        <v>5.3970538591774503E-2</v>
      </c>
      <c r="J259">
        <v>1.0448482415735501</v>
      </c>
      <c r="K259">
        <v>62701.901588372202</v>
      </c>
      <c r="L259">
        <f t="shared" si="14"/>
        <v>1.0163409835048619E-4</v>
      </c>
      <c r="M259">
        <f t="shared" si="15"/>
        <v>1.0163409835048619E-4</v>
      </c>
    </row>
    <row r="260" spans="1:13" x14ac:dyDescent="0.35">
      <c r="A260" t="s">
        <v>157</v>
      </c>
      <c r="B260">
        <v>2015</v>
      </c>
      <c r="C260">
        <v>7.83848576849162</v>
      </c>
      <c r="D260">
        <v>5.8199514055683901</v>
      </c>
      <c r="E260">
        <v>12.739868615180299</v>
      </c>
      <c r="F260">
        <v>7.6326288217435003E-3</v>
      </c>
      <c r="G260">
        <v>0.89899067914137298</v>
      </c>
      <c r="H260">
        <v>4.1572313563365999E-3</v>
      </c>
      <c r="I260">
        <v>3.4479055050812099E-2</v>
      </c>
      <c r="J260">
        <v>2.0459002410670699</v>
      </c>
      <c r="K260">
        <v>55089.324320526197</v>
      </c>
      <c r="L260">
        <f t="shared" si="14"/>
        <v>5.4296542430505606E-5</v>
      </c>
      <c r="M260">
        <f t="shared" si="15"/>
        <v>5.4296542430505606E-5</v>
      </c>
    </row>
    <row r="261" spans="1:13" x14ac:dyDescent="0.35">
      <c r="A261" t="s">
        <v>157</v>
      </c>
      <c r="B261">
        <v>2016</v>
      </c>
      <c r="C261">
        <v>10.563011693818501</v>
      </c>
      <c r="D261">
        <v>4.2707278808785301</v>
      </c>
      <c r="E261">
        <v>12.2943975489669</v>
      </c>
      <c r="F261">
        <v>1.16727950115489E-2</v>
      </c>
      <c r="G261">
        <v>0.12597799150567801</v>
      </c>
      <c r="H261">
        <v>8.4538632202453404E-2</v>
      </c>
      <c r="I261">
        <v>1.87926047335608E-2</v>
      </c>
      <c r="J261">
        <v>1.5563032237585399</v>
      </c>
      <c r="K261">
        <v>54511.451311475597</v>
      </c>
      <c r="L261">
        <f t="shared" si="14"/>
        <v>3.2970783275282597E-5</v>
      </c>
      <c r="M261">
        <f t="shared" si="15"/>
        <v>3.2970783275282597E-5</v>
      </c>
    </row>
    <row r="262" spans="1:13" x14ac:dyDescent="0.35">
      <c r="A262" t="s">
        <v>157</v>
      </c>
      <c r="B262">
        <v>2017</v>
      </c>
      <c r="C262">
        <v>9.3258529869412499</v>
      </c>
      <c r="D262">
        <v>3.9083769299732798</v>
      </c>
      <c r="E262">
        <v>15.0153428180136</v>
      </c>
      <c r="F262">
        <v>1.6799544351260001E-4</v>
      </c>
      <c r="G262">
        <v>0.59085397282802499</v>
      </c>
      <c r="H262">
        <v>7.5797858127868998E-3</v>
      </c>
      <c r="I262">
        <v>3.88062529924324E-2</v>
      </c>
      <c r="J262">
        <v>1.43983609251662</v>
      </c>
      <c r="K262">
        <v>61155.596311296198</v>
      </c>
      <c r="L262">
        <f t="shared" si="14"/>
        <v>3.3966541492289958E-5</v>
      </c>
      <c r="M262">
        <f t="shared" si="15"/>
        <v>3.3966541492289958E-5</v>
      </c>
    </row>
    <row r="263" spans="1:13" x14ac:dyDescent="0.35">
      <c r="A263" t="s">
        <v>157</v>
      </c>
      <c r="B263">
        <v>2018</v>
      </c>
      <c r="C263">
        <v>8.4595691940329392</v>
      </c>
      <c r="D263">
        <v>3.7478825508492002</v>
      </c>
      <c r="E263">
        <v>17.026714990656998</v>
      </c>
      <c r="F263">
        <v>6.8602670626384003E-3</v>
      </c>
      <c r="G263">
        <v>0.93564435603766904</v>
      </c>
      <c r="H263">
        <v>2.4237932498033399E-5</v>
      </c>
      <c r="I263">
        <v>0.115072724354395</v>
      </c>
      <c r="J263">
        <v>1.8189540065265899</v>
      </c>
      <c r="K263">
        <v>70571.383920866603</v>
      </c>
      <c r="L263">
        <f t="shared" si="14"/>
        <v>4.076093498661358E-5</v>
      </c>
      <c r="M263">
        <f t="shared" si="15"/>
        <v>4.076093498661358E-5</v>
      </c>
    </row>
    <row r="264" spans="1:13" x14ac:dyDescent="0.35">
      <c r="A264" t="s">
        <v>157</v>
      </c>
      <c r="B264">
        <v>2019</v>
      </c>
      <c r="C264">
        <v>13.190002532128799</v>
      </c>
      <c r="D264">
        <v>4.6336546890656702</v>
      </c>
      <c r="E264">
        <v>33.326492920645698</v>
      </c>
      <c r="F264">
        <v>8.4588238969771296E-5</v>
      </c>
      <c r="G264">
        <v>0.161175582319073</v>
      </c>
      <c r="H264">
        <v>7.6022810559275003E-3</v>
      </c>
      <c r="I264">
        <v>1.9331386288686501E-2</v>
      </c>
      <c r="J264">
        <v>2.1300448353567498</v>
      </c>
      <c r="K264">
        <v>66199.968318425803</v>
      </c>
      <c r="L264">
        <f t="shared" si="14"/>
        <v>3.5018727835465721E-5</v>
      </c>
      <c r="M264">
        <f t="shared" si="15"/>
        <v>3.5018727835465721E-5</v>
      </c>
    </row>
    <row r="265" spans="1:13" x14ac:dyDescent="0.35">
      <c r="A265" t="s">
        <v>157</v>
      </c>
      <c r="B265">
        <v>2020</v>
      </c>
      <c r="C265">
        <v>20.951961700540899</v>
      </c>
      <c r="D265">
        <v>4.4276751658092603</v>
      </c>
      <c r="E265">
        <v>42.204254812470801</v>
      </c>
      <c r="F265">
        <v>7.9018736925343998E-3</v>
      </c>
      <c r="G265">
        <v>0.87682988602355005</v>
      </c>
      <c r="H265">
        <v>1.3029448147944E-3</v>
      </c>
      <c r="I265">
        <v>0.11851605537370501</v>
      </c>
      <c r="J265">
        <v>1.6917600313577901</v>
      </c>
      <c r="K265">
        <v>62206.045026033098</v>
      </c>
      <c r="L265">
        <f t="shared" si="14"/>
        <v>4.3344835540243293E-5</v>
      </c>
      <c r="M265">
        <f t="shared" si="15"/>
        <v>4.3344835540243293E-5</v>
      </c>
    </row>
    <row r="266" spans="1:13" x14ac:dyDescent="0.35">
      <c r="A266" t="s">
        <v>157</v>
      </c>
      <c r="B266">
        <v>2021</v>
      </c>
      <c r="C266">
        <v>35.309227745258703</v>
      </c>
      <c r="D266">
        <v>6.04378367670635</v>
      </c>
      <c r="E266">
        <v>70.1657890372677</v>
      </c>
      <c r="F266">
        <v>7.8801395240712507E-5</v>
      </c>
      <c r="G266">
        <v>0.90998297570834497</v>
      </c>
      <c r="H266">
        <v>5.1585046978594E-3</v>
      </c>
      <c r="I266">
        <v>2.6086920776834801E-2</v>
      </c>
      <c r="J266">
        <v>3.0163286439310002</v>
      </c>
      <c r="K266">
        <v>74836.188956798404</v>
      </c>
      <c r="L266">
        <f t="shared" si="14"/>
        <v>5.2883984362083871E-5</v>
      </c>
      <c r="M266">
        <f t="shared" si="15"/>
        <v>5.2883984362083871E-5</v>
      </c>
    </row>
    <row r="267" spans="1:13" x14ac:dyDescent="0.35">
      <c r="A267" t="s">
        <v>157</v>
      </c>
      <c r="B267">
        <v>2022</v>
      </c>
      <c r="C267">
        <v>22.762074602191198</v>
      </c>
      <c r="D267">
        <v>12.130512832438299</v>
      </c>
      <c r="E267">
        <v>49.527432312781798</v>
      </c>
      <c r="F267">
        <v>2.7559418782664002E-3</v>
      </c>
      <c r="G267">
        <v>0.81821887107187097</v>
      </c>
      <c r="H267">
        <v>4.0179740853119999E-4</v>
      </c>
      <c r="I267">
        <v>0.262633152930007</v>
      </c>
      <c r="J267">
        <v>3.17420991504865</v>
      </c>
      <c r="K267">
        <v>82890.583899526799</v>
      </c>
      <c r="L267">
        <f t="shared" si="14"/>
        <v>5.137157295813951E-5</v>
      </c>
      <c r="M267">
        <f t="shared" si="15"/>
        <v>5.137157295813951E-5</v>
      </c>
    </row>
    <row r="268" spans="1:13" x14ac:dyDescent="0.35">
      <c r="A268" t="s">
        <v>157</v>
      </c>
      <c r="B268">
        <v>2023</v>
      </c>
      <c r="C268">
        <v>18.252411798024799</v>
      </c>
      <c r="D268">
        <v>15.6115144199229</v>
      </c>
      <c r="E268">
        <v>44.454203691641901</v>
      </c>
      <c r="F268">
        <v>2.6549765950798099E-2</v>
      </c>
      <c r="G268">
        <v>3.1231678829337199</v>
      </c>
      <c r="H268">
        <v>1.6862483997548101E-2</v>
      </c>
      <c r="I268">
        <v>0.31524869727163801</v>
      </c>
      <c r="J268">
        <v>1.7843211558515999</v>
      </c>
      <c r="K268">
        <v>82417.672765094801</v>
      </c>
      <c r="L268">
        <f t="shared" si="14"/>
        <v>6.3895883119810716E-5</v>
      </c>
      <c r="M268">
        <f t="shared" si="15"/>
        <v>6.3895883119810716E-5</v>
      </c>
    </row>
    <row r="269" spans="1:13" x14ac:dyDescent="0.35">
      <c r="A269" t="s">
        <v>157</v>
      </c>
      <c r="B269">
        <v>2024</v>
      </c>
      <c r="C269">
        <v>18.943193998477</v>
      </c>
      <c r="D269">
        <v>7.9087063094532803</v>
      </c>
      <c r="E269">
        <v>51.526414807100402</v>
      </c>
      <c r="F269">
        <v>1.2782749928420001E-4</v>
      </c>
      <c r="G269">
        <v>2.5851265305801299</v>
      </c>
      <c r="H269">
        <v>4.668095896654E-4</v>
      </c>
      <c r="I269">
        <v>1.27597726983017E-2</v>
      </c>
      <c r="J269">
        <v>1.7986244289764399</v>
      </c>
      <c r="K269">
        <v>82613.326824987904</v>
      </c>
      <c r="L269">
        <f t="shared" si="14"/>
        <v>5.3225133744569604E-5</v>
      </c>
      <c r="M269">
        <f t="shared" si="15"/>
        <v>5.3225133744569604E-5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E448-E3C8-4EEB-B2C6-9340F2998EB1}">
  <dimension ref="A1:AC1166"/>
  <sheetViews>
    <sheetView topLeftCell="X1" workbookViewId="0">
      <selection activeCell="AK9" sqref="AK9"/>
    </sheetView>
  </sheetViews>
  <sheetFormatPr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128</v>
      </c>
      <c r="E1" t="s">
        <v>129</v>
      </c>
      <c r="F1" t="s">
        <v>123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</row>
    <row r="2" spans="1:29" x14ac:dyDescent="0.35">
      <c r="A2" t="s">
        <v>3</v>
      </c>
      <c r="B2" t="s">
        <v>4</v>
      </c>
      <c r="C2">
        <v>62064.4</v>
      </c>
      <c r="F2">
        <v>5832.3329999999996</v>
      </c>
      <c r="G2">
        <v>-3714.5931994258599</v>
      </c>
      <c r="H2">
        <v>-3714.5931994258599</v>
      </c>
      <c r="M2">
        <v>0</v>
      </c>
      <c r="N2">
        <v>0</v>
      </c>
      <c r="AB2" t="s">
        <v>147</v>
      </c>
    </row>
    <row r="3" spans="1:29" x14ac:dyDescent="0.35">
      <c r="A3" t="s">
        <v>3</v>
      </c>
      <c r="B3" t="s">
        <v>5</v>
      </c>
      <c r="C3">
        <v>62773.5</v>
      </c>
      <c r="F3">
        <v>5569.9409999999998</v>
      </c>
      <c r="G3">
        <v>-1919.831103877337</v>
      </c>
      <c r="H3">
        <v>-1919.831103877337</v>
      </c>
      <c r="M3">
        <v>0</v>
      </c>
      <c r="N3">
        <v>0</v>
      </c>
      <c r="AB3" t="s">
        <v>148</v>
      </c>
      <c r="AC3" t="s">
        <v>149</v>
      </c>
    </row>
    <row r="4" spans="1:29" x14ac:dyDescent="0.35">
      <c r="A4" t="s">
        <v>3</v>
      </c>
      <c r="B4" t="s">
        <v>6</v>
      </c>
      <c r="C4">
        <v>63658.5</v>
      </c>
      <c r="F4">
        <v>13816.67</v>
      </c>
      <c r="G4">
        <v>6474.4940275934759</v>
      </c>
      <c r="H4">
        <v>6474.4940275934759</v>
      </c>
      <c r="M4">
        <v>0</v>
      </c>
      <c r="N4">
        <v>0</v>
      </c>
      <c r="AA4" s="1" t="s">
        <v>3</v>
      </c>
      <c r="AB4" s="2">
        <f>AVERAGE(E10:E107)</f>
        <v>0.64612645280494518</v>
      </c>
      <c r="AC4" s="2">
        <f>AVERAGE(E82:E107)</f>
        <v>0.62054625643437888</v>
      </c>
    </row>
    <row r="5" spans="1:29" x14ac:dyDescent="0.35">
      <c r="A5" t="s">
        <v>3</v>
      </c>
      <c r="B5" t="s">
        <v>7</v>
      </c>
      <c r="C5">
        <v>64086.5</v>
      </c>
      <c r="F5">
        <v>11881.05</v>
      </c>
      <c r="G5">
        <v>-3395.2229350538159</v>
      </c>
      <c r="H5">
        <v>-3395.2229350538159</v>
      </c>
      <c r="M5">
        <v>0</v>
      </c>
      <c r="N5">
        <v>0</v>
      </c>
      <c r="AA5" s="1" t="s">
        <v>110</v>
      </c>
      <c r="AB5" s="2">
        <f>AVERAGE(E116:E212)</f>
        <v>0.60388411490457605</v>
      </c>
      <c r="AC5" s="2">
        <f>AVERAGE(E188:E212)</f>
        <v>0.59272125464094505</v>
      </c>
    </row>
    <row r="6" spans="1:29" x14ac:dyDescent="0.35">
      <c r="A6" t="s">
        <v>3</v>
      </c>
      <c r="B6" t="s">
        <v>8</v>
      </c>
      <c r="C6">
        <v>63894.8</v>
      </c>
      <c r="D6">
        <v>2.9065425283505522</v>
      </c>
      <c r="F6">
        <v>22324.51</v>
      </c>
      <c r="G6">
        <v>9331.4609908810216</v>
      </c>
      <c r="H6">
        <v>9331.4609908810216</v>
      </c>
      <c r="M6">
        <v>0</v>
      </c>
      <c r="N6">
        <v>0</v>
      </c>
      <c r="Q6">
        <v>0</v>
      </c>
      <c r="R6">
        <v>1</v>
      </c>
      <c r="S6">
        <v>0</v>
      </c>
      <c r="U6">
        <v>0</v>
      </c>
      <c r="V6">
        <v>0</v>
      </c>
      <c r="AA6" s="1" t="s">
        <v>111</v>
      </c>
      <c r="AB6" s="2">
        <f>AVERAGE(E221:E318)</f>
        <v>0.7010314946762255</v>
      </c>
      <c r="AC6" s="2">
        <f>AVERAGE(E293:E318)</f>
        <v>0.67335462029791171</v>
      </c>
    </row>
    <row r="7" spans="1:29" x14ac:dyDescent="0.35">
      <c r="A7" t="s">
        <v>3</v>
      </c>
      <c r="B7" t="s">
        <v>9</v>
      </c>
      <c r="C7">
        <v>63711.5</v>
      </c>
      <c r="D7">
        <v>1.4832070140265861</v>
      </c>
      <c r="F7">
        <v>13179.21</v>
      </c>
      <c r="G7">
        <v>-9943.8528374191192</v>
      </c>
      <c r="H7">
        <v>-9943.8528374191192</v>
      </c>
      <c r="K7">
        <v>2.9065425283505522</v>
      </c>
      <c r="M7">
        <v>0</v>
      </c>
      <c r="N7">
        <v>0</v>
      </c>
      <c r="Q7">
        <v>0</v>
      </c>
      <c r="R7">
        <v>1</v>
      </c>
      <c r="S7">
        <v>0</v>
      </c>
      <c r="U7">
        <v>0</v>
      </c>
      <c r="V7">
        <v>0</v>
      </c>
      <c r="AA7" s="1" t="s">
        <v>112</v>
      </c>
      <c r="AB7" s="2">
        <f>AVERAGE(E324:E424)</f>
        <v>0.58075525092987967</v>
      </c>
      <c r="AC7" s="2">
        <f>AVERAGE(E399:E424)</f>
        <v>0.57843776685538395</v>
      </c>
    </row>
    <row r="8" spans="1:29" x14ac:dyDescent="0.35">
      <c r="A8" t="s">
        <v>3</v>
      </c>
      <c r="B8" t="s">
        <v>10</v>
      </c>
      <c r="C8">
        <v>63972.3</v>
      </c>
      <c r="D8">
        <v>0.49173182696848988</v>
      </c>
      <c r="F8">
        <v>25155.95</v>
      </c>
      <c r="G8">
        <v>11353.658528725049</v>
      </c>
      <c r="H8">
        <v>11353.658528725049</v>
      </c>
      <c r="K8">
        <v>1.4832070140265861</v>
      </c>
      <c r="M8">
        <v>0</v>
      </c>
      <c r="N8">
        <v>0</v>
      </c>
      <c r="Q8">
        <v>0</v>
      </c>
      <c r="R8">
        <v>1</v>
      </c>
      <c r="S8">
        <v>0</v>
      </c>
      <c r="U8">
        <v>0</v>
      </c>
      <c r="V8">
        <v>0</v>
      </c>
      <c r="AA8" s="1" t="s">
        <v>113</v>
      </c>
      <c r="AB8" s="2">
        <f>AVERAGE(E430:E530)</f>
        <v>0.6679515790292756</v>
      </c>
      <c r="AC8" s="2">
        <f>AVERAGE(E505:E530)</f>
        <v>0.66675647008638406</v>
      </c>
    </row>
    <row r="9" spans="1:29" x14ac:dyDescent="0.35">
      <c r="A9" t="s">
        <v>3</v>
      </c>
      <c r="B9" t="s">
        <v>11</v>
      </c>
      <c r="C9">
        <v>64120.800000000003</v>
      </c>
      <c r="D9">
        <v>5.3507094866438093E-2</v>
      </c>
      <c r="F9">
        <v>23448.18</v>
      </c>
      <c r="G9">
        <v>-2327.5821782993439</v>
      </c>
      <c r="H9">
        <v>-2327.5821782993439</v>
      </c>
      <c r="K9">
        <v>0.49173182696848988</v>
      </c>
      <c r="M9">
        <v>0</v>
      </c>
      <c r="N9">
        <v>0</v>
      </c>
      <c r="Q9">
        <v>0</v>
      </c>
      <c r="R9">
        <v>1</v>
      </c>
      <c r="S9">
        <v>0</v>
      </c>
      <c r="U9">
        <v>0</v>
      </c>
      <c r="V9">
        <v>0</v>
      </c>
      <c r="AA9" s="1" t="s">
        <v>114</v>
      </c>
      <c r="AB9" s="2">
        <f>AVERAGE(E539:E636)</f>
        <v>0.63938045859696901</v>
      </c>
      <c r="AC9" s="2">
        <f>AVERAGE(E611:E636)</f>
        <v>0.69053640090348223</v>
      </c>
    </row>
    <row r="10" spans="1:29" x14ac:dyDescent="0.35">
      <c r="A10" t="s">
        <v>3</v>
      </c>
      <c r="B10" t="s">
        <v>12</v>
      </c>
      <c r="C10">
        <v>64828.800000000003</v>
      </c>
      <c r="D10">
        <v>1.4511968146105969</v>
      </c>
      <c r="E10">
        <v>0.73188060370990049</v>
      </c>
      <c r="F10">
        <v>22597.360000000001</v>
      </c>
      <c r="G10">
        <v>-922.17355643885821</v>
      </c>
      <c r="H10">
        <v>-922.17355643885821</v>
      </c>
      <c r="I10">
        <v>0.25158266819873959</v>
      </c>
      <c r="J10">
        <v>0.62320290815578172</v>
      </c>
      <c r="K10">
        <v>5.3507094866438093E-2</v>
      </c>
      <c r="L10">
        <v>-574.70124219705633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AA10" s="1" t="s">
        <v>115</v>
      </c>
      <c r="AB10" s="2">
        <f>AVERAGE(E645:E742)</f>
        <v>0.72698071142974674</v>
      </c>
      <c r="AC10" s="2">
        <f>AVERAGE(E717:E742)</f>
        <v>0.81952708707409438</v>
      </c>
    </row>
    <row r="11" spans="1:29" x14ac:dyDescent="0.35">
      <c r="A11" t="s">
        <v>3</v>
      </c>
      <c r="B11" t="s">
        <v>13</v>
      </c>
      <c r="C11">
        <v>64997.4</v>
      </c>
      <c r="D11">
        <v>1.9982189059792519</v>
      </c>
      <c r="E11">
        <v>0.75781470015440444</v>
      </c>
      <c r="F11">
        <v>17938.45</v>
      </c>
      <c r="G11">
        <v>-4851.7453407365683</v>
      </c>
      <c r="H11">
        <v>-4851.7453407365683</v>
      </c>
      <c r="I11">
        <v>0.33364396344844383</v>
      </c>
      <c r="J11">
        <v>0.66089561492626592</v>
      </c>
      <c r="K11">
        <v>1.4511968146105969</v>
      </c>
      <c r="L11">
        <v>-3206.4972204317401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AA11" s="1" t="s">
        <v>155</v>
      </c>
      <c r="AB11" s="2">
        <f>AVERAGE(E743:E848)</f>
        <v>0.57037267357179189</v>
      </c>
      <c r="AC11" s="2">
        <f>AVERAGE(E823:E848)</f>
        <v>0.5865708812884457</v>
      </c>
    </row>
    <row r="12" spans="1:29" x14ac:dyDescent="0.35">
      <c r="A12" t="s">
        <v>3</v>
      </c>
      <c r="B12" t="s">
        <v>14</v>
      </c>
      <c r="C12">
        <v>64993.599999999999</v>
      </c>
      <c r="D12">
        <v>1.5838626340212709</v>
      </c>
      <c r="E12">
        <v>0.82326703179949645</v>
      </c>
      <c r="F12">
        <v>14136.45</v>
      </c>
      <c r="G12">
        <v>-4222.8378093282299</v>
      </c>
      <c r="H12">
        <v>-4222.8378093282299</v>
      </c>
      <c r="I12">
        <v>0.54074981436571024</v>
      </c>
      <c r="J12">
        <v>0.74677766923529421</v>
      </c>
      <c r="K12">
        <v>1.9982189059792519</v>
      </c>
      <c r="L12">
        <v>-3153.5209768088112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AA12" s="1" t="s">
        <v>156</v>
      </c>
      <c r="AB12" s="2">
        <f>AVERAGE(E955:E1060)</f>
        <v>0.63328456531058652</v>
      </c>
      <c r="AC12" s="2">
        <f>AVERAGE(E1035:E1060)</f>
        <v>0.72076768278638115</v>
      </c>
    </row>
    <row r="13" spans="1:29" x14ac:dyDescent="0.35">
      <c r="A13" t="s">
        <v>3</v>
      </c>
      <c r="B13" t="s">
        <v>15</v>
      </c>
      <c r="C13">
        <v>64671.4</v>
      </c>
      <c r="D13">
        <v>0.85502593229365553</v>
      </c>
      <c r="E13">
        <v>0.82257955157880291</v>
      </c>
      <c r="F13">
        <v>27832.880000000001</v>
      </c>
      <c r="G13">
        <v>12885.617455236321</v>
      </c>
      <c r="H13">
        <v>12885.617455236321</v>
      </c>
      <c r="I13">
        <v>0.5385744728229892</v>
      </c>
      <c r="J13">
        <v>0.74595406870097747</v>
      </c>
      <c r="K13">
        <v>1.5838626340212709</v>
      </c>
      <c r="L13">
        <v>9612.0787684578718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AA13" s="1" t="s">
        <v>157</v>
      </c>
      <c r="AB13" s="2">
        <f>AVERAGE(E1060:E1166)</f>
        <v>0.45433252306800165</v>
      </c>
      <c r="AC13" s="2">
        <f>AVERAGE(E1141:E1166)</f>
        <v>0.39684417032587227</v>
      </c>
    </row>
    <row r="14" spans="1:29" x14ac:dyDescent="0.35">
      <c r="A14" t="s">
        <v>3</v>
      </c>
      <c r="B14" t="s">
        <v>16</v>
      </c>
      <c r="C14">
        <v>64977.599999999999</v>
      </c>
      <c r="D14">
        <v>0.22926460509988719</v>
      </c>
      <c r="E14">
        <v>0.87347977461943171</v>
      </c>
      <c r="F14">
        <v>25718.62</v>
      </c>
      <c r="G14">
        <v>-2578.9762101676129</v>
      </c>
      <c r="H14">
        <v>-2578.9762101676129</v>
      </c>
      <c r="I14">
        <v>0.69963418971542113</v>
      </c>
      <c r="J14">
        <v>0.80206776575585126</v>
      </c>
      <c r="K14">
        <v>0.85502593229365553</v>
      </c>
      <c r="L14">
        <v>-2068.51368682663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</row>
    <row r="15" spans="1:29" x14ac:dyDescent="0.35">
      <c r="A15" t="s">
        <v>3</v>
      </c>
      <c r="B15" t="s">
        <v>17</v>
      </c>
      <c r="C15">
        <v>65424</v>
      </c>
      <c r="D15">
        <v>0.65418945266706297</v>
      </c>
      <c r="E15">
        <v>0.89083436422290818</v>
      </c>
      <c r="F15">
        <v>34454.82</v>
      </c>
      <c r="G15">
        <v>8892.3153268391106</v>
      </c>
      <c r="H15">
        <v>8892.3153268391106</v>
      </c>
      <c r="I15">
        <v>0.75454800190223958</v>
      </c>
      <c r="J15">
        <v>0.81892719601660657</v>
      </c>
      <c r="K15">
        <v>0.22926460509988719</v>
      </c>
      <c r="L15">
        <v>7282.1588567038471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</row>
    <row r="16" spans="1:29" x14ac:dyDescent="0.35">
      <c r="A16" t="s">
        <v>3</v>
      </c>
      <c r="B16" t="s">
        <v>18</v>
      </c>
      <c r="C16">
        <v>65914.600000000006</v>
      </c>
      <c r="D16">
        <v>1.4071161260548559</v>
      </c>
      <c r="E16">
        <v>0.84805839572906494</v>
      </c>
      <c r="F16">
        <v>23886.34</v>
      </c>
      <c r="G16">
        <v>-10175.62221530782</v>
      </c>
      <c r="H16">
        <v>-10175.62221530782</v>
      </c>
      <c r="I16">
        <v>0.61919524775185486</v>
      </c>
      <c r="J16">
        <v>0.77528373246495597</v>
      </c>
      <c r="K16">
        <v>0.65418945266706297</v>
      </c>
      <c r="L16">
        <v>-7888.9943712371678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-10175.62221530782</v>
      </c>
      <c r="T16">
        <v>-7888.9943712371678</v>
      </c>
      <c r="U16">
        <v>0</v>
      </c>
      <c r="V16">
        <v>0</v>
      </c>
      <c r="W16">
        <v>0</v>
      </c>
    </row>
    <row r="17" spans="1:23" x14ac:dyDescent="0.35">
      <c r="A17" t="s">
        <v>3</v>
      </c>
      <c r="B17" t="s">
        <v>19</v>
      </c>
      <c r="C17">
        <v>66116</v>
      </c>
      <c r="D17">
        <v>2.2091711462287158</v>
      </c>
      <c r="E17">
        <v>0.89628390176677364</v>
      </c>
      <c r="F17">
        <v>12058.21</v>
      </c>
      <c r="G17">
        <v>-11403.891117199109</v>
      </c>
      <c r="H17">
        <v>-11403.891117199109</v>
      </c>
      <c r="I17">
        <v>0.77179156040902774</v>
      </c>
      <c r="J17">
        <v>0.82398500197782665</v>
      </c>
      <c r="K17">
        <v>1.4071161260548559</v>
      </c>
      <c r="L17">
        <v>-9396.6352447602312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-11403.891117199109</v>
      </c>
      <c r="T17">
        <v>-9396.6352447602312</v>
      </c>
      <c r="U17">
        <v>0</v>
      </c>
      <c r="V17">
        <v>0</v>
      </c>
      <c r="W17">
        <v>0</v>
      </c>
    </row>
    <row r="18" spans="1:23" x14ac:dyDescent="0.35">
      <c r="A18" t="s">
        <v>3</v>
      </c>
      <c r="B18" t="s">
        <v>20</v>
      </c>
      <c r="C18">
        <v>66241.8</v>
      </c>
      <c r="D18">
        <v>1.9269088503349361</v>
      </c>
      <c r="E18">
        <v>0.74695124566546778</v>
      </c>
      <c r="F18">
        <v>16122.31</v>
      </c>
      <c r="G18">
        <v>3477.0160780143342</v>
      </c>
      <c r="H18">
        <v>3477.0160780143342</v>
      </c>
      <c r="I18">
        <v>0.29926955799514421</v>
      </c>
      <c r="J18">
        <v>0.64532200791236805</v>
      </c>
      <c r="K18">
        <v>2.2091711462287158</v>
      </c>
      <c r="L18">
        <v>2243.7949970077971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3477.0160780143342</v>
      </c>
      <c r="T18">
        <v>2243.7949970077971</v>
      </c>
      <c r="U18">
        <v>0</v>
      </c>
      <c r="V18">
        <v>0</v>
      </c>
      <c r="W18">
        <v>0</v>
      </c>
    </row>
    <row r="19" spans="1:23" x14ac:dyDescent="0.35">
      <c r="A19" t="s">
        <v>3</v>
      </c>
      <c r="B19" t="s">
        <v>21</v>
      </c>
      <c r="C19">
        <v>66924.5</v>
      </c>
      <c r="D19">
        <v>2.2675954706538901</v>
      </c>
      <c r="E19">
        <v>0.72881595823415368</v>
      </c>
      <c r="F19">
        <v>9975.3389999999999</v>
      </c>
      <c r="G19">
        <v>-7181.6860400218247</v>
      </c>
      <c r="H19">
        <v>-7181.6860400218247</v>
      </c>
      <c r="I19">
        <v>0.24188544285838179</v>
      </c>
      <c r="J19">
        <v>0.61863791827332715</v>
      </c>
      <c r="K19">
        <v>1.9269088503349361</v>
      </c>
      <c r="L19">
        <v>-4442.8633014917159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-7181.6860400218247</v>
      </c>
      <c r="T19">
        <v>-4442.8633014917159</v>
      </c>
      <c r="U19">
        <v>0</v>
      </c>
      <c r="V19">
        <v>0</v>
      </c>
      <c r="W19">
        <v>0</v>
      </c>
    </row>
    <row r="20" spans="1:23" x14ac:dyDescent="0.35">
      <c r="A20" t="s">
        <v>3</v>
      </c>
      <c r="B20" t="s">
        <v>22</v>
      </c>
      <c r="C20">
        <v>67691.100000000006</v>
      </c>
      <c r="D20">
        <v>2.659474417240522</v>
      </c>
      <c r="E20">
        <v>0.2221886495051652</v>
      </c>
      <c r="F20">
        <v>14397.81</v>
      </c>
      <c r="G20">
        <v>3353.6931959349681</v>
      </c>
      <c r="H20">
        <v>3353.6931959349681</v>
      </c>
      <c r="I20">
        <v>-1.361196941451295</v>
      </c>
      <c r="J20">
        <v>6.166480536163961E-2</v>
      </c>
      <c r="K20">
        <v>2.2675954706538901</v>
      </c>
      <c r="L20">
        <v>206.80483816998489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</row>
    <row r="21" spans="1:23" x14ac:dyDescent="0.35">
      <c r="A21" t="s">
        <v>3</v>
      </c>
      <c r="B21" t="s">
        <v>23</v>
      </c>
      <c r="C21">
        <v>67932.2</v>
      </c>
      <c r="D21">
        <v>2.7099373903673549</v>
      </c>
      <c r="E21">
        <v>0.3164506543855744</v>
      </c>
      <c r="F21">
        <v>13202.73</v>
      </c>
      <c r="G21">
        <v>-2405.1200373209231</v>
      </c>
      <c r="H21">
        <v>-2405.1200373209231</v>
      </c>
      <c r="I21">
        <v>-1.0629308256499259</v>
      </c>
      <c r="J21">
        <v>0.1066084997589228</v>
      </c>
      <c r="K21">
        <v>2.659474417240522</v>
      </c>
      <c r="L21">
        <v>-256.40623891890789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</row>
    <row r="22" spans="1:23" x14ac:dyDescent="0.35">
      <c r="A22" t="s">
        <v>3</v>
      </c>
      <c r="B22" t="s">
        <v>24</v>
      </c>
      <c r="C22">
        <v>68082.5</v>
      </c>
      <c r="D22">
        <v>2.7408521474169869</v>
      </c>
      <c r="E22">
        <v>0.34295312684390539</v>
      </c>
      <c r="F22">
        <v>11537.9</v>
      </c>
      <c r="G22">
        <v>-2694.6719418449161</v>
      </c>
      <c r="H22">
        <v>-2694.6719418449161</v>
      </c>
      <c r="I22">
        <v>-0.97907106126969612</v>
      </c>
      <c r="J22">
        <v>0.123668253214195</v>
      </c>
      <c r="K22">
        <v>2.7099373903673549</v>
      </c>
      <c r="L22">
        <v>-333.24537203326372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</row>
    <row r="23" spans="1:23" x14ac:dyDescent="0.35">
      <c r="A23" t="s">
        <v>3</v>
      </c>
      <c r="B23" t="s">
        <v>25</v>
      </c>
      <c r="C23">
        <v>68636.800000000003</v>
      </c>
      <c r="D23">
        <v>2.5263715717513402</v>
      </c>
      <c r="E23">
        <v>0.31406466188966098</v>
      </c>
      <c r="F23">
        <v>11866.98</v>
      </c>
      <c r="G23">
        <v>-828.06583405836682</v>
      </c>
      <c r="H23">
        <v>-828.06583405836682</v>
      </c>
      <c r="I23">
        <v>-1.070480640816601</v>
      </c>
      <c r="J23">
        <v>0.1051788829224756</v>
      </c>
      <c r="K23">
        <v>2.7408521474169869</v>
      </c>
      <c r="L23">
        <v>-87.0950394125271</v>
      </c>
      <c r="M23">
        <v>0</v>
      </c>
      <c r="N23">
        <v>0</v>
      </c>
      <c r="O23">
        <v>0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</row>
    <row r="24" spans="1:23" x14ac:dyDescent="0.35">
      <c r="A24" t="s">
        <v>3</v>
      </c>
      <c r="B24" t="s">
        <v>26</v>
      </c>
      <c r="C24">
        <v>68758.399999999994</v>
      </c>
      <c r="D24">
        <v>1.5644201958798389</v>
      </c>
      <c r="E24">
        <v>0.59362013246779111</v>
      </c>
      <c r="F24">
        <v>20193.73</v>
      </c>
      <c r="G24">
        <v>7096.9915636258847</v>
      </c>
      <c r="H24">
        <v>7096.9915636258847</v>
      </c>
      <c r="I24">
        <v>-0.1859044590756101</v>
      </c>
      <c r="J24">
        <v>0.40810399558953442</v>
      </c>
      <c r="K24">
        <v>2.5263715717513402</v>
      </c>
      <c r="L24">
        <v>2896.31061378094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7096.9915636258847</v>
      </c>
      <c r="T24">
        <v>2896.31061378094</v>
      </c>
      <c r="U24">
        <v>0</v>
      </c>
      <c r="V24">
        <v>0</v>
      </c>
      <c r="W24">
        <v>0</v>
      </c>
    </row>
    <row r="25" spans="1:23" x14ac:dyDescent="0.35">
      <c r="A25" t="s">
        <v>3</v>
      </c>
      <c r="B25" t="s">
        <v>27</v>
      </c>
      <c r="C25">
        <v>69835.600000000006</v>
      </c>
      <c r="D25">
        <v>2.7633759442435579</v>
      </c>
      <c r="E25">
        <v>0.57634958989664242</v>
      </c>
      <c r="F25">
        <v>12165.63</v>
      </c>
      <c r="G25">
        <v>-8911.6409368498116</v>
      </c>
      <c r="H25">
        <v>-8911.6409368498116</v>
      </c>
      <c r="I25">
        <v>-0.24055232760985251</v>
      </c>
      <c r="J25">
        <v>0.38199131093746769</v>
      </c>
      <c r="K25">
        <v>1.5644201958798389</v>
      </c>
      <c r="L25">
        <v>-3404.1694040712632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</row>
    <row r="26" spans="1:23" x14ac:dyDescent="0.35">
      <c r="A26" t="s">
        <v>3</v>
      </c>
      <c r="B26" t="s">
        <v>28</v>
      </c>
      <c r="C26">
        <v>70476.5</v>
      </c>
      <c r="D26">
        <v>3.45591158219717</v>
      </c>
      <c r="E26">
        <v>0.78602305324328015</v>
      </c>
      <c r="F26">
        <v>11552.83</v>
      </c>
      <c r="G26">
        <v>-1385.556303605184</v>
      </c>
      <c r="H26">
        <v>-1385.556303605184</v>
      </c>
      <c r="I26">
        <v>0.42290151658076802</v>
      </c>
      <c r="J26">
        <v>0.69968599246367791</v>
      </c>
      <c r="K26">
        <v>2.7633759442435579</v>
      </c>
      <c r="L26">
        <v>-969.45433740229851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-1385.556303605184</v>
      </c>
      <c r="T26">
        <v>-969.45433740229851</v>
      </c>
      <c r="U26">
        <v>0</v>
      </c>
      <c r="V26">
        <v>0</v>
      </c>
      <c r="W26">
        <v>0</v>
      </c>
    </row>
    <row r="27" spans="1:23" x14ac:dyDescent="0.35">
      <c r="A27" t="s">
        <v>3</v>
      </c>
      <c r="B27" t="s">
        <v>29</v>
      </c>
      <c r="C27">
        <v>70805.3</v>
      </c>
      <c r="D27">
        <v>3.1105022608620709</v>
      </c>
      <c r="E27">
        <v>0.72824292901263366</v>
      </c>
      <c r="F27">
        <v>8235.1579999999994</v>
      </c>
      <c r="G27">
        <v>-4527.5681324086381</v>
      </c>
      <c r="H27">
        <v>-4527.5681324086381</v>
      </c>
      <c r="I27">
        <v>0.2400722499355249</v>
      </c>
      <c r="J27">
        <v>0.61778199572897619</v>
      </c>
      <c r="K27">
        <v>3.45591158219717</v>
      </c>
      <c r="L27">
        <v>-2797.050076638322</v>
      </c>
      <c r="M27">
        <v>0</v>
      </c>
      <c r="N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</row>
    <row r="28" spans="1:23" x14ac:dyDescent="0.35">
      <c r="A28" t="s">
        <v>3</v>
      </c>
      <c r="B28" t="s">
        <v>30</v>
      </c>
      <c r="C28">
        <v>71231.399999999994</v>
      </c>
      <c r="D28">
        <v>3.5334821535739418</v>
      </c>
      <c r="E28">
        <v>0.80975283844463219</v>
      </c>
      <c r="F28">
        <v>11854.69</v>
      </c>
      <c r="G28">
        <v>2246.9163671678002</v>
      </c>
      <c r="H28">
        <v>2246.9163671678002</v>
      </c>
      <c r="I28">
        <v>0.49798787687819362</v>
      </c>
      <c r="J28">
        <v>0.73026662848073387</v>
      </c>
      <c r="K28">
        <v>3.1105022608620709</v>
      </c>
      <c r="L28">
        <v>1640.848039929808</v>
      </c>
      <c r="M28">
        <v>0</v>
      </c>
      <c r="N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</row>
    <row r="29" spans="1:23" x14ac:dyDescent="0.35">
      <c r="A29" t="s">
        <v>3</v>
      </c>
      <c r="B29" t="s">
        <v>31</v>
      </c>
      <c r="C29">
        <v>72308.800000000003</v>
      </c>
      <c r="D29">
        <v>3.4801928432896099</v>
      </c>
      <c r="E29">
        <v>0.74515613745883535</v>
      </c>
      <c r="F29">
        <v>9051.4310000000005</v>
      </c>
      <c r="G29">
        <v>-4203.3719888323176</v>
      </c>
      <c r="H29">
        <v>-4203.3719888323176</v>
      </c>
      <c r="I29">
        <v>0.29358943318860398</v>
      </c>
      <c r="J29">
        <v>0.64271758516417443</v>
      </c>
      <c r="K29">
        <v>3.5334821535739418</v>
      </c>
      <c r="L29">
        <v>-2701.5810942090402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0</v>
      </c>
      <c r="W29">
        <v>0</v>
      </c>
    </row>
    <row r="30" spans="1:23" x14ac:dyDescent="0.35">
      <c r="A30" t="s">
        <v>3</v>
      </c>
      <c r="B30" t="s">
        <v>32</v>
      </c>
      <c r="C30">
        <v>73110.600000000006</v>
      </c>
      <c r="D30">
        <v>3.6694042166217198</v>
      </c>
      <c r="E30">
        <v>0.78195977737617195</v>
      </c>
      <c r="F30">
        <v>13357.51</v>
      </c>
      <c r="G30">
        <v>2981.2693730277952</v>
      </c>
      <c r="H30">
        <v>2981.2693730277952</v>
      </c>
      <c r="I30">
        <v>0.41004440080172849</v>
      </c>
      <c r="J30">
        <v>0.69425518989854029</v>
      </c>
      <c r="K30">
        <v>3.4801928432896099</v>
      </c>
      <c r="L30">
        <v>2069.7617347101141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</row>
    <row r="31" spans="1:23" x14ac:dyDescent="0.35">
      <c r="A31" t="s">
        <v>3</v>
      </c>
      <c r="B31" t="s">
        <v>33</v>
      </c>
      <c r="C31">
        <v>73817.600000000006</v>
      </c>
      <c r="D31">
        <v>4.1663328903887784</v>
      </c>
      <c r="E31">
        <v>0.80757365871477227</v>
      </c>
      <c r="F31">
        <v>18459.61</v>
      </c>
      <c r="G31">
        <v>3803.4009892178929</v>
      </c>
      <c r="H31">
        <v>3803.4009892178929</v>
      </c>
      <c r="I31">
        <v>0.49109246366814119</v>
      </c>
      <c r="J31">
        <v>0.72754153848962844</v>
      </c>
      <c r="K31">
        <v>3.6694042166217198</v>
      </c>
      <c r="L31">
        <v>2767.1322071885611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3803.4009892178929</v>
      </c>
      <c r="T31">
        <v>2767.1322071885611</v>
      </c>
      <c r="U31">
        <v>0</v>
      </c>
      <c r="V31">
        <v>0</v>
      </c>
      <c r="W31">
        <v>0</v>
      </c>
    </row>
    <row r="32" spans="1:23" x14ac:dyDescent="0.35">
      <c r="A32" t="s">
        <v>3</v>
      </c>
      <c r="B32" t="s">
        <v>34</v>
      </c>
      <c r="C32">
        <v>74245</v>
      </c>
      <c r="D32">
        <v>4.1436702911013343</v>
      </c>
      <c r="E32">
        <v>0.71132536040379901</v>
      </c>
      <c r="F32">
        <v>21867.71</v>
      </c>
      <c r="G32">
        <v>2532.642848660435</v>
      </c>
      <c r="H32">
        <v>2532.642848660435</v>
      </c>
      <c r="I32">
        <v>0.1865412701503813</v>
      </c>
      <c r="J32">
        <v>0.59220361832224688</v>
      </c>
      <c r="K32">
        <v>4.1663328903887784</v>
      </c>
      <c r="L32">
        <v>1499.8402588946719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</row>
    <row r="33" spans="1:23" x14ac:dyDescent="0.35">
      <c r="A33" t="s">
        <v>3</v>
      </c>
      <c r="B33" t="s">
        <v>35</v>
      </c>
      <c r="C33">
        <v>74175.199999999997</v>
      </c>
      <c r="D33">
        <v>2.548402566539373</v>
      </c>
      <c r="E33">
        <v>0.54637610581272456</v>
      </c>
      <c r="F33">
        <v>13843.68</v>
      </c>
      <c r="G33">
        <v>-8502.2952960938928</v>
      </c>
      <c r="H33">
        <v>-8502.2952960938928</v>
      </c>
      <c r="I33">
        <v>-0.33539515093073019</v>
      </c>
      <c r="J33">
        <v>0.3383199015819251</v>
      </c>
      <c r="K33">
        <v>4.1436702911013343</v>
      </c>
      <c r="L33">
        <v>-2876.4957077949512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</row>
    <row r="34" spans="1:23" x14ac:dyDescent="0.35">
      <c r="A34" t="s">
        <v>3</v>
      </c>
      <c r="B34" t="s">
        <v>36</v>
      </c>
      <c r="C34">
        <v>75723.899999999994</v>
      </c>
      <c r="D34">
        <v>3.512046747830551</v>
      </c>
      <c r="E34">
        <v>0.64695163421235891</v>
      </c>
      <c r="F34">
        <v>13176.87</v>
      </c>
      <c r="G34">
        <v>-1287.1085488489391</v>
      </c>
      <c r="H34">
        <v>-1287.1085488489391</v>
      </c>
      <c r="I34">
        <v>-1.7151631301710109E-2</v>
      </c>
      <c r="J34">
        <v>0.49142502519027209</v>
      </c>
      <c r="K34">
        <v>2.548402566539373</v>
      </c>
      <c r="L34">
        <v>-632.5173510407044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</row>
    <row r="35" spans="1:23" x14ac:dyDescent="0.35">
      <c r="A35" t="s">
        <v>3</v>
      </c>
      <c r="B35" t="s">
        <v>37</v>
      </c>
      <c r="C35">
        <v>75537.899999999994</v>
      </c>
      <c r="D35">
        <v>2.3037331497897018</v>
      </c>
      <c r="E35">
        <v>0.61865822642665358</v>
      </c>
      <c r="F35">
        <v>18019.05</v>
      </c>
      <c r="G35">
        <v>3782.8150578267828</v>
      </c>
      <c r="H35">
        <v>3782.8150578267828</v>
      </c>
      <c r="I35">
        <v>-0.106678316563</v>
      </c>
      <c r="J35">
        <v>0.4468622627654919</v>
      </c>
      <c r="K35">
        <v>3.512046747830551</v>
      </c>
      <c r="L35">
        <v>1690.397296363851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</row>
    <row r="36" spans="1:23" x14ac:dyDescent="0.35">
      <c r="A36" t="s">
        <v>3</v>
      </c>
      <c r="B36" t="s">
        <v>38</v>
      </c>
      <c r="C36">
        <v>75012.800000000003</v>
      </c>
      <c r="D36">
        <v>1.0288330293053569</v>
      </c>
      <c r="E36">
        <v>0.69595329854778842</v>
      </c>
      <c r="F36">
        <v>14048.15</v>
      </c>
      <c r="G36">
        <v>-4873.0704452221198</v>
      </c>
      <c r="H36">
        <v>-4873.0704452221198</v>
      </c>
      <c r="I36">
        <v>0.1379006202144113</v>
      </c>
      <c r="J36">
        <v>0.56851654292916509</v>
      </c>
      <c r="K36">
        <v>2.3037331497897018</v>
      </c>
      <c r="L36">
        <v>-2770.4211629679671</v>
      </c>
      <c r="M36">
        <v>0</v>
      </c>
      <c r="N36">
        <v>0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</row>
    <row r="37" spans="1:23" x14ac:dyDescent="0.35">
      <c r="A37" t="s">
        <v>3</v>
      </c>
      <c r="B37" t="s">
        <v>39</v>
      </c>
      <c r="C37">
        <v>73103.899999999994</v>
      </c>
      <c r="D37">
        <v>-1.454814559373024</v>
      </c>
      <c r="E37">
        <v>0.83256097533933326</v>
      </c>
      <c r="F37">
        <v>13245.42</v>
      </c>
      <c r="G37">
        <v>-1612.889016524221</v>
      </c>
      <c r="H37">
        <v>-1612.889016524221</v>
      </c>
      <c r="I37">
        <v>0.5701579353113797</v>
      </c>
      <c r="J37">
        <v>0.7577376285097922</v>
      </c>
      <c r="K37">
        <v>1.0288330293053569</v>
      </c>
      <c r="L37">
        <v>-1222.1466984305539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0</v>
      </c>
      <c r="W37">
        <v>0</v>
      </c>
    </row>
    <row r="38" spans="1:23" x14ac:dyDescent="0.35">
      <c r="A38" t="s">
        <v>3</v>
      </c>
      <c r="B38" t="s">
        <v>40</v>
      </c>
      <c r="C38">
        <v>72305.600000000006</v>
      </c>
      <c r="D38">
        <v>-4.6192249347866943</v>
      </c>
      <c r="E38">
        <v>0.81500143343111031</v>
      </c>
      <c r="F38">
        <v>21794.11</v>
      </c>
      <c r="G38">
        <v>7502.5523747752904</v>
      </c>
      <c r="H38">
        <v>7502.5523747752904</v>
      </c>
      <c r="I38">
        <v>0.51459560808460603</v>
      </c>
      <c r="J38">
        <v>0.7367590661757959</v>
      </c>
      <c r="K38">
        <v>-1.454814559373024</v>
      </c>
      <c r="L38">
        <v>5527.5734815744427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</row>
    <row r="39" spans="1:23" x14ac:dyDescent="0.35">
      <c r="A39" t="s">
        <v>3</v>
      </c>
      <c r="B39" t="s">
        <v>41</v>
      </c>
      <c r="C39">
        <v>71914.2</v>
      </c>
      <c r="D39">
        <v>-4.9160775306665609</v>
      </c>
      <c r="E39">
        <v>0.83981450753785247</v>
      </c>
      <c r="F39">
        <v>18972.07</v>
      </c>
      <c r="G39">
        <v>-3571.395125890052</v>
      </c>
      <c r="H39">
        <v>-3571.395125890052</v>
      </c>
      <c r="I39">
        <v>0.59310973733847772</v>
      </c>
      <c r="J39">
        <v>0.76606423856201022</v>
      </c>
      <c r="K39">
        <v>-4.6192249347866943</v>
      </c>
      <c r="L39">
        <v>-2735.9180877190379</v>
      </c>
      <c r="M39">
        <v>0</v>
      </c>
      <c r="N39">
        <v>0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</row>
    <row r="40" spans="1:23" x14ac:dyDescent="0.35">
      <c r="A40" t="s">
        <v>3</v>
      </c>
      <c r="B40" t="s">
        <v>42</v>
      </c>
      <c r="C40">
        <v>72159.7</v>
      </c>
      <c r="D40">
        <v>-3.877704732329029</v>
      </c>
      <c r="E40">
        <v>0.88267537406100771</v>
      </c>
      <c r="F40">
        <v>14507.25</v>
      </c>
      <c r="G40">
        <v>-4886.0951899900501</v>
      </c>
      <c r="H40">
        <v>-4886.0951899900501</v>
      </c>
      <c r="I40">
        <v>0.72873112788667938</v>
      </c>
      <c r="J40">
        <v>0.81114422652884921</v>
      </c>
      <c r="K40">
        <v>-4.9160775306665609</v>
      </c>
      <c r="L40">
        <v>-3963.3279036308099</v>
      </c>
      <c r="M40">
        <v>0</v>
      </c>
      <c r="N40">
        <v>0</v>
      </c>
      <c r="O40">
        <v>0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>
        <v>0</v>
      </c>
      <c r="W40">
        <v>0</v>
      </c>
    </row>
    <row r="41" spans="1:23" x14ac:dyDescent="0.35">
      <c r="A41" t="s">
        <v>3</v>
      </c>
      <c r="B41" t="s">
        <v>43</v>
      </c>
      <c r="C41">
        <v>72341.100000000006</v>
      </c>
      <c r="D41">
        <v>-1.0489284525633451</v>
      </c>
      <c r="E41">
        <v>0.94243576378389882</v>
      </c>
      <c r="F41">
        <v>18951.79</v>
      </c>
      <c r="G41">
        <v>3701.552958534176</v>
      </c>
      <c r="H41">
        <v>3701.552958534176</v>
      </c>
      <c r="I41">
        <v>0.91782639850008174</v>
      </c>
      <c r="J41">
        <v>0.86243375971561609</v>
      </c>
      <c r="K41">
        <v>-3.877704732329029</v>
      </c>
      <c r="L41">
        <v>3192.3442348150911</v>
      </c>
      <c r="M41">
        <v>0</v>
      </c>
      <c r="N41">
        <v>0</v>
      </c>
      <c r="O41">
        <v>0</v>
      </c>
      <c r="P41">
        <v>0</v>
      </c>
      <c r="Q41">
        <v>1</v>
      </c>
      <c r="R41">
        <v>0</v>
      </c>
      <c r="S41">
        <v>3701.552958534176</v>
      </c>
      <c r="T41">
        <v>3192.3442348150911</v>
      </c>
      <c r="U41">
        <v>0</v>
      </c>
      <c r="V41">
        <v>0</v>
      </c>
      <c r="W41">
        <v>0</v>
      </c>
    </row>
    <row r="42" spans="1:23" x14ac:dyDescent="0.35">
      <c r="A42" t="s">
        <v>3</v>
      </c>
      <c r="B42" t="s">
        <v>44</v>
      </c>
      <c r="C42">
        <v>72086.100000000006</v>
      </c>
      <c r="D42">
        <v>-0.30403433034229049</v>
      </c>
      <c r="E42">
        <v>0.94014025970011306</v>
      </c>
      <c r="F42">
        <v>19711.91</v>
      </c>
      <c r="G42">
        <v>-36.739168690150109</v>
      </c>
      <c r="H42">
        <v>-36.739168690150109</v>
      </c>
      <c r="I42">
        <v>0.91056290895574621</v>
      </c>
      <c r="J42">
        <v>0.86070116142876174</v>
      </c>
      <c r="K42">
        <v>-1.0489284525633451</v>
      </c>
      <c r="L42">
        <v>-31.621445161539398</v>
      </c>
      <c r="M42">
        <v>0</v>
      </c>
      <c r="N42">
        <v>0</v>
      </c>
      <c r="O42">
        <v>0</v>
      </c>
      <c r="P42">
        <v>0</v>
      </c>
      <c r="Q42">
        <v>1</v>
      </c>
      <c r="R42">
        <v>0</v>
      </c>
      <c r="S42">
        <v>-36.739168690150109</v>
      </c>
      <c r="T42">
        <v>-31.621445161539398</v>
      </c>
      <c r="U42">
        <v>0</v>
      </c>
      <c r="V42">
        <v>0</v>
      </c>
      <c r="W42">
        <v>0</v>
      </c>
    </row>
    <row r="43" spans="1:23" x14ac:dyDescent="0.35">
      <c r="A43" t="s">
        <v>3</v>
      </c>
      <c r="B43" t="s">
        <v>45</v>
      </c>
      <c r="C43">
        <v>73041.399999999994</v>
      </c>
      <c r="D43">
        <v>1.5552661932347189</v>
      </c>
      <c r="E43">
        <v>0.93915453861894904</v>
      </c>
      <c r="F43">
        <v>21449.03</v>
      </c>
      <c r="G43">
        <v>1198.9148978520791</v>
      </c>
      <c r="H43">
        <v>1198.9148978520791</v>
      </c>
      <c r="I43">
        <v>0.90744386646863462</v>
      </c>
      <c r="J43">
        <v>0.85995156404932926</v>
      </c>
      <c r="K43">
        <v>-0.30403433034229049</v>
      </c>
      <c r="L43">
        <v>1031.008741569937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1198.9148978520791</v>
      </c>
      <c r="T43">
        <v>1031.008741569937</v>
      </c>
      <c r="U43">
        <v>0</v>
      </c>
      <c r="V43">
        <v>0</v>
      </c>
      <c r="W43">
        <v>0</v>
      </c>
    </row>
    <row r="44" spans="1:23" x14ac:dyDescent="0.35">
      <c r="A44" t="s">
        <v>3</v>
      </c>
      <c r="B44" t="s">
        <v>46</v>
      </c>
      <c r="C44">
        <v>73906.7</v>
      </c>
      <c r="D44">
        <v>2.3921768584907919</v>
      </c>
      <c r="E44">
        <v>0.92694067491514009</v>
      </c>
      <c r="F44">
        <v>19653.439999999999</v>
      </c>
      <c r="G44">
        <v>-2226.0035218636149</v>
      </c>
      <c r="H44">
        <v>-2226.0035218636149</v>
      </c>
      <c r="I44">
        <v>0.86879646351466278</v>
      </c>
      <c r="J44">
        <v>0.85038106431657112</v>
      </c>
      <c r="K44">
        <v>1.5552661932347189</v>
      </c>
      <c r="L44">
        <v>-1892.951244094817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</row>
    <row r="45" spans="1:23" x14ac:dyDescent="0.35">
      <c r="A45" t="s">
        <v>3</v>
      </c>
      <c r="B45" t="s">
        <v>47</v>
      </c>
      <c r="C45">
        <v>74629.399999999994</v>
      </c>
      <c r="D45">
        <v>3.114209906850145</v>
      </c>
      <c r="E45">
        <v>0.77585414765684779</v>
      </c>
      <c r="F45">
        <v>14901.64</v>
      </c>
      <c r="G45">
        <v>-5163.8778878903649</v>
      </c>
      <c r="H45">
        <v>-5163.8778878903649</v>
      </c>
      <c r="I45">
        <v>0.39072481956414851</v>
      </c>
      <c r="J45">
        <v>0.68599246023161953</v>
      </c>
      <c r="K45">
        <v>2.3921768584907919</v>
      </c>
      <c r="L45">
        <v>-3542.3812966495711</v>
      </c>
      <c r="M45">
        <v>0</v>
      </c>
      <c r="N45">
        <v>0</v>
      </c>
      <c r="O45">
        <v>0</v>
      </c>
      <c r="P45">
        <v>0</v>
      </c>
      <c r="Q45">
        <v>1</v>
      </c>
      <c r="R45">
        <v>0</v>
      </c>
      <c r="S45">
        <v>-5163.8778878903649</v>
      </c>
      <c r="T45">
        <v>-3542.3812966495711</v>
      </c>
      <c r="U45">
        <v>0</v>
      </c>
      <c r="V45">
        <v>0</v>
      </c>
      <c r="W45">
        <v>0</v>
      </c>
    </row>
    <row r="46" spans="1:23" x14ac:dyDescent="0.35">
      <c r="A46" t="s">
        <v>3</v>
      </c>
      <c r="B46" t="s">
        <v>48</v>
      </c>
      <c r="C46">
        <v>75375.3</v>
      </c>
      <c r="D46">
        <v>4.4618397228713267</v>
      </c>
      <c r="E46">
        <v>0.80719481730442888</v>
      </c>
      <c r="F46">
        <v>13397.83</v>
      </c>
      <c r="G46">
        <v>-2196.1557660518852</v>
      </c>
      <c r="H46">
        <v>-2196.1557660518852</v>
      </c>
      <c r="I46">
        <v>0.48989372451432001</v>
      </c>
      <c r="J46">
        <v>0.72706603954665505</v>
      </c>
      <c r="K46">
        <v>3.114209906850145</v>
      </c>
      <c r="L46">
        <v>-1596.7502750508941</v>
      </c>
      <c r="M46">
        <v>0</v>
      </c>
      <c r="N46">
        <v>0</v>
      </c>
      <c r="O46">
        <v>0</v>
      </c>
      <c r="P46">
        <v>0</v>
      </c>
      <c r="Q46">
        <v>1</v>
      </c>
      <c r="R46">
        <v>0</v>
      </c>
      <c r="S46">
        <v>-2196.1557660518852</v>
      </c>
      <c r="T46">
        <v>-1596.7502750508941</v>
      </c>
      <c r="U46">
        <v>0</v>
      </c>
      <c r="V46">
        <v>0</v>
      </c>
      <c r="W46">
        <v>0</v>
      </c>
    </row>
    <row r="47" spans="1:23" x14ac:dyDescent="0.35">
      <c r="A47" t="s">
        <v>3</v>
      </c>
      <c r="B47" t="s">
        <v>49</v>
      </c>
      <c r="C47">
        <v>75338.5</v>
      </c>
      <c r="D47">
        <v>3.0964888640767012</v>
      </c>
      <c r="E47">
        <v>0.81798998587469685</v>
      </c>
      <c r="F47">
        <v>14121</v>
      </c>
      <c r="G47">
        <v>-273.04318602130661</v>
      </c>
      <c r="H47">
        <v>-273.04318602130661</v>
      </c>
      <c r="I47">
        <v>0.52405205801210497</v>
      </c>
      <c r="J47">
        <v>0.74041067126659843</v>
      </c>
      <c r="K47">
        <v>4.4618397228713267</v>
      </c>
      <c r="L47">
        <v>-202.16408864680631</v>
      </c>
      <c r="M47">
        <v>0</v>
      </c>
      <c r="N47">
        <v>0</v>
      </c>
      <c r="O47">
        <v>0</v>
      </c>
      <c r="P47">
        <v>0</v>
      </c>
      <c r="Q47">
        <v>1</v>
      </c>
      <c r="R47">
        <v>0</v>
      </c>
      <c r="S47">
        <v>-273.04318602130661</v>
      </c>
      <c r="T47">
        <v>-202.16408864680631</v>
      </c>
      <c r="U47">
        <v>0</v>
      </c>
      <c r="V47">
        <v>0</v>
      </c>
      <c r="W47">
        <v>0</v>
      </c>
    </row>
    <row r="48" spans="1:23" x14ac:dyDescent="0.35">
      <c r="A48" t="s">
        <v>3</v>
      </c>
      <c r="B48" t="s">
        <v>50</v>
      </c>
      <c r="C48">
        <v>75753.600000000006</v>
      </c>
      <c r="D48">
        <v>2.468248110999244</v>
      </c>
      <c r="E48">
        <v>0.85514918669552775</v>
      </c>
      <c r="F48">
        <v>20227.560000000001</v>
      </c>
      <c r="G48">
        <v>5061.6006823259177</v>
      </c>
      <c r="H48">
        <v>5061.6006823259177</v>
      </c>
      <c r="I48">
        <v>0.64163210003618243</v>
      </c>
      <c r="J48">
        <v>0.78300490318737204</v>
      </c>
      <c r="K48">
        <v>3.0964888640767012</v>
      </c>
      <c r="L48">
        <v>3963.2581522377409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0</v>
      </c>
      <c r="W48">
        <v>0</v>
      </c>
    </row>
    <row r="49" spans="1:23" x14ac:dyDescent="0.35">
      <c r="A49" t="s">
        <v>3</v>
      </c>
      <c r="B49" t="s">
        <v>51</v>
      </c>
      <c r="C49">
        <v>76080</v>
      </c>
      <c r="D49">
        <v>1.925088678849121</v>
      </c>
      <c r="E49">
        <v>0.89587292821390696</v>
      </c>
      <c r="F49">
        <v>19436.98</v>
      </c>
      <c r="G49">
        <v>-1556.8530311641989</v>
      </c>
      <c r="H49">
        <v>-1556.8530311641989</v>
      </c>
      <c r="I49">
        <v>0.77049114795263929</v>
      </c>
      <c r="J49">
        <v>0.82360747676897228</v>
      </c>
      <c r="K49">
        <v>2.468248110999244</v>
      </c>
      <c r="L49">
        <v>-1282.235796697272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</row>
    <row r="50" spans="1:23" x14ac:dyDescent="0.35">
      <c r="A50" t="s">
        <v>3</v>
      </c>
      <c r="B50" t="s">
        <v>52</v>
      </c>
      <c r="C50">
        <v>76402.3</v>
      </c>
      <c r="D50">
        <v>1.3533165292447471</v>
      </c>
      <c r="E50">
        <v>0.91802534592861518</v>
      </c>
      <c r="F50">
        <v>18629.88</v>
      </c>
      <c r="G50">
        <v>-1290.561426222474</v>
      </c>
      <c r="H50">
        <v>-1290.561426222474</v>
      </c>
      <c r="I50">
        <v>0.84058636389630847</v>
      </c>
      <c r="J50">
        <v>0.84305975716441206</v>
      </c>
      <c r="K50">
        <v>1.925088678849121</v>
      </c>
      <c r="L50">
        <v>-1088.020402596876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0</v>
      </c>
      <c r="W50">
        <v>0</v>
      </c>
    </row>
    <row r="51" spans="1:23" x14ac:dyDescent="0.35">
      <c r="A51" t="s">
        <v>3</v>
      </c>
      <c r="B51" t="s">
        <v>53</v>
      </c>
      <c r="C51">
        <v>76138.8</v>
      </c>
      <c r="D51">
        <v>1.0566698065669089</v>
      </c>
      <c r="E51">
        <v>0.88365250228980741</v>
      </c>
      <c r="F51">
        <v>36827.879999999997</v>
      </c>
      <c r="G51">
        <v>17641.959197543922</v>
      </c>
      <c r="H51">
        <v>17641.959197543922</v>
      </c>
      <c r="I51">
        <v>0.73182298066250051</v>
      </c>
      <c r="J51">
        <v>0.81208968177847651</v>
      </c>
      <c r="K51">
        <v>1.3533165292447471</v>
      </c>
      <c r="L51">
        <v>14326.85303068231</v>
      </c>
      <c r="M51">
        <v>0</v>
      </c>
      <c r="N51">
        <v>0</v>
      </c>
      <c r="O51">
        <v>0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</row>
    <row r="52" spans="1:23" x14ac:dyDescent="0.35">
      <c r="A52" t="s">
        <v>3</v>
      </c>
      <c r="B52" t="s">
        <v>54</v>
      </c>
      <c r="C52">
        <v>76385.8</v>
      </c>
      <c r="D52">
        <v>0.8310847010610386</v>
      </c>
      <c r="E52">
        <v>0.8711391452387014</v>
      </c>
      <c r="F52">
        <v>25945.24</v>
      </c>
      <c r="G52">
        <v>-10760.52865517087</v>
      </c>
      <c r="H52">
        <v>-10760.52865517087</v>
      </c>
      <c r="I52">
        <v>0.69222791361502711</v>
      </c>
      <c r="J52">
        <v>0.79970567232110978</v>
      </c>
      <c r="K52">
        <v>1.0566698065669089</v>
      </c>
      <c r="L52">
        <v>-8605.2558027139912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-10760.52865517087</v>
      </c>
      <c r="T52">
        <v>-8605.2558027139912</v>
      </c>
      <c r="U52">
        <v>0</v>
      </c>
      <c r="V52">
        <v>0</v>
      </c>
      <c r="W52">
        <v>0</v>
      </c>
    </row>
    <row r="53" spans="1:23" x14ac:dyDescent="0.35">
      <c r="A53" t="s">
        <v>3</v>
      </c>
      <c r="B53" t="s">
        <v>55</v>
      </c>
      <c r="C53">
        <v>75860.2</v>
      </c>
      <c r="D53">
        <v>-0.28932455443182459</v>
      </c>
      <c r="E53">
        <v>0.78218361408720261</v>
      </c>
      <c r="F53">
        <v>38752.269999999997</v>
      </c>
      <c r="G53">
        <v>13434.743327128041</v>
      </c>
      <c r="H53">
        <v>13434.743327128041</v>
      </c>
      <c r="I53">
        <v>0.4107526703368139</v>
      </c>
      <c r="J53">
        <v>0.69455578868659007</v>
      </c>
      <c r="K53">
        <v>0.8310847010610386</v>
      </c>
      <c r="L53">
        <v>9331.1787473753175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</row>
    <row r="54" spans="1:23" x14ac:dyDescent="0.35">
      <c r="A54" t="s">
        <v>3</v>
      </c>
      <c r="B54" t="s">
        <v>56</v>
      </c>
      <c r="C54">
        <v>75566.2</v>
      </c>
      <c r="D54">
        <v>-1.100370716749159</v>
      </c>
      <c r="E54">
        <v>0.73088356637594831</v>
      </c>
      <c r="F54">
        <v>31598.92</v>
      </c>
      <c r="G54">
        <v>-6578.8883624478913</v>
      </c>
      <c r="H54">
        <v>-6578.8883624478913</v>
      </c>
      <c r="I54">
        <v>0.24842781855084431</v>
      </c>
      <c r="J54">
        <v>0.62172011021539686</v>
      </c>
      <c r="K54">
        <v>-0.28932455443182459</v>
      </c>
      <c r="L54">
        <v>-4090.2271977958949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</row>
    <row r="55" spans="1:23" x14ac:dyDescent="0.35">
      <c r="A55" t="s">
        <v>3</v>
      </c>
      <c r="B55" t="s">
        <v>57</v>
      </c>
      <c r="C55">
        <v>75908.3</v>
      </c>
      <c r="D55">
        <v>-0.30319575523334841</v>
      </c>
      <c r="E55">
        <v>0.71288754240361507</v>
      </c>
      <c r="F55">
        <v>14113.9</v>
      </c>
      <c r="G55">
        <v>-16534.748271214699</v>
      </c>
      <c r="H55">
        <v>-16534.748271214699</v>
      </c>
      <c r="I55">
        <v>0.19148436421941889</v>
      </c>
      <c r="J55">
        <v>0.59458892412200715</v>
      </c>
      <c r="K55">
        <v>-1.100370716749159</v>
      </c>
      <c r="L55">
        <v>-9831.3781852097636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-16534.748271214699</v>
      </c>
      <c r="T55">
        <v>-9831.3781852097636</v>
      </c>
      <c r="U55">
        <v>0</v>
      </c>
      <c r="V55">
        <v>0</v>
      </c>
      <c r="W55">
        <v>0</v>
      </c>
    </row>
    <row r="56" spans="1:23" x14ac:dyDescent="0.35">
      <c r="A56" t="s">
        <v>3</v>
      </c>
      <c r="B56" t="s">
        <v>58</v>
      </c>
      <c r="C56">
        <v>76123.7</v>
      </c>
      <c r="D56">
        <v>-0.34371663147523152</v>
      </c>
      <c r="E56">
        <v>0.3480704956522932</v>
      </c>
      <c r="F56">
        <v>15802.53</v>
      </c>
      <c r="G56">
        <v>1579.518846364859</v>
      </c>
      <c r="H56">
        <v>1579.518846364859</v>
      </c>
      <c r="I56">
        <v>-0.9628785591100254</v>
      </c>
      <c r="J56">
        <v>0.1272209471353371</v>
      </c>
      <c r="K56">
        <v>-0.30319575523334841</v>
      </c>
      <c r="L56">
        <v>200.94788365265251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1579.518846364859</v>
      </c>
      <c r="T56">
        <v>200.94788365265251</v>
      </c>
      <c r="U56">
        <v>0</v>
      </c>
      <c r="V56">
        <v>0</v>
      </c>
      <c r="W56">
        <v>0</v>
      </c>
    </row>
    <row r="57" spans="1:23" x14ac:dyDescent="0.35">
      <c r="A57" t="s">
        <v>3</v>
      </c>
      <c r="B57" t="s">
        <v>59</v>
      </c>
      <c r="C57">
        <v>76189.8</v>
      </c>
      <c r="D57">
        <v>0.43354227722499672</v>
      </c>
      <c r="E57">
        <v>0.3650946286220893</v>
      </c>
      <c r="F57">
        <v>18492.009999999998</v>
      </c>
      <c r="G57">
        <v>1747.8482793999319</v>
      </c>
      <c r="H57">
        <v>1747.8482793999319</v>
      </c>
      <c r="I57">
        <v>-0.90901038579640592</v>
      </c>
      <c r="J57">
        <v>0.13967153419896611</v>
      </c>
      <c r="K57">
        <v>-0.34371663147523152</v>
      </c>
      <c r="L57">
        <v>244.12465073081171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1747.8482793999319</v>
      </c>
      <c r="T57">
        <v>244.12465073081171</v>
      </c>
      <c r="U57">
        <v>0</v>
      </c>
      <c r="V57">
        <v>0</v>
      </c>
      <c r="W57">
        <v>0</v>
      </c>
    </row>
    <row r="58" spans="1:23" x14ac:dyDescent="0.35">
      <c r="A58" t="s">
        <v>3</v>
      </c>
      <c r="B58" t="s">
        <v>60</v>
      </c>
      <c r="C58">
        <v>76193.2</v>
      </c>
      <c r="D58">
        <v>0.8263126601546229</v>
      </c>
      <c r="E58">
        <v>0.1126436295491524</v>
      </c>
      <c r="F58">
        <v>19536.86</v>
      </c>
      <c r="G58">
        <v>296.42782514671848</v>
      </c>
      <c r="H58">
        <v>296.42782514671848</v>
      </c>
      <c r="I58">
        <v>-1.7078219432122561</v>
      </c>
      <c r="J58">
        <v>3.1810115703277707E-2</v>
      </c>
      <c r="K58">
        <v>0.43354227722499672</v>
      </c>
      <c r="L58">
        <v>9.429403415588089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  <c r="S58">
        <v>296.42782514671848</v>
      </c>
      <c r="T58">
        <v>9.429403415588089</v>
      </c>
      <c r="U58">
        <v>0</v>
      </c>
      <c r="V58">
        <v>0</v>
      </c>
      <c r="W58">
        <v>0</v>
      </c>
    </row>
    <row r="59" spans="1:23" x14ac:dyDescent="0.35">
      <c r="A59" t="s">
        <v>3</v>
      </c>
      <c r="B59" t="s">
        <v>61</v>
      </c>
      <c r="C59">
        <v>76571</v>
      </c>
      <c r="D59">
        <v>0.86923821483714503</v>
      </c>
      <c r="E59">
        <v>-0.70048524930913825</v>
      </c>
      <c r="F59">
        <v>20086.099999999999</v>
      </c>
      <c r="G59">
        <v>-19.53534989586478</v>
      </c>
      <c r="H59">
        <v>-19.53534989586478</v>
      </c>
      <c r="I59">
        <v>-4.280744009220534</v>
      </c>
      <c r="J59">
        <v>1.9129777079532261E-4</v>
      </c>
      <c r="K59">
        <v>0.8263126601546229</v>
      </c>
      <c r="L59">
        <v>-3.7370688867855708E-3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-19.53534989586478</v>
      </c>
      <c r="T59">
        <v>-3.7370688867855708E-3</v>
      </c>
      <c r="U59">
        <v>0</v>
      </c>
      <c r="V59">
        <v>0</v>
      </c>
      <c r="W59">
        <v>0</v>
      </c>
    </row>
    <row r="60" spans="1:23" x14ac:dyDescent="0.35">
      <c r="A60" t="s">
        <v>3</v>
      </c>
      <c r="B60" t="s">
        <v>62</v>
      </c>
      <c r="C60">
        <v>76694.600000000006</v>
      </c>
      <c r="D60">
        <v>0.74716530140748805</v>
      </c>
      <c r="E60">
        <v>-0.17656279730022029</v>
      </c>
      <c r="F60">
        <v>14211.19</v>
      </c>
      <c r="G60">
        <v>-6368.2256188433221</v>
      </c>
      <c r="H60">
        <v>-6368.2256188433221</v>
      </c>
      <c r="I60">
        <v>-2.622935914218862</v>
      </c>
      <c r="J60">
        <v>5.2416066215779352E-3</v>
      </c>
      <c r="K60">
        <v>0.86923821483714503</v>
      </c>
      <c r="L60">
        <v>-33.379733571431402</v>
      </c>
      <c r="M60">
        <v>0</v>
      </c>
      <c r="N60">
        <v>0</v>
      </c>
      <c r="O60">
        <v>0</v>
      </c>
      <c r="P60">
        <v>0</v>
      </c>
      <c r="Q60">
        <v>1</v>
      </c>
      <c r="R60">
        <v>0</v>
      </c>
      <c r="S60">
        <v>-6368.2256188433221</v>
      </c>
      <c r="T60">
        <v>-33.379733571431402</v>
      </c>
      <c r="U60">
        <v>0</v>
      </c>
      <c r="V60">
        <v>0</v>
      </c>
      <c r="W60">
        <v>0</v>
      </c>
    </row>
    <row r="61" spans="1:23" x14ac:dyDescent="0.35">
      <c r="A61" t="s">
        <v>3</v>
      </c>
      <c r="B61" t="s">
        <v>63</v>
      </c>
      <c r="C61">
        <v>77013</v>
      </c>
      <c r="D61">
        <v>1.074664330707058</v>
      </c>
      <c r="E61">
        <v>0.23278568377507911</v>
      </c>
      <c r="F61">
        <v>17252.02</v>
      </c>
      <c r="G61">
        <v>2343.4323165346868</v>
      </c>
      <c r="H61">
        <v>2343.4323165346868</v>
      </c>
      <c r="I61">
        <v>-1.327665549299057</v>
      </c>
      <c r="J61">
        <v>6.566118937924284E-2</v>
      </c>
      <c r="K61">
        <v>0.74716530140748805</v>
      </c>
      <c r="L61">
        <v>153.8725531334218</v>
      </c>
      <c r="M61">
        <v>0</v>
      </c>
      <c r="N61">
        <v>0</v>
      </c>
      <c r="O61">
        <v>0</v>
      </c>
      <c r="P61">
        <v>0</v>
      </c>
      <c r="Q61">
        <v>1</v>
      </c>
      <c r="R61">
        <v>0</v>
      </c>
      <c r="S61">
        <v>2343.4323165346868</v>
      </c>
      <c r="T61">
        <v>153.8725531334218</v>
      </c>
      <c r="U61">
        <v>0</v>
      </c>
      <c r="V61">
        <v>0</v>
      </c>
      <c r="W61">
        <v>0</v>
      </c>
    </row>
    <row r="62" spans="1:23" x14ac:dyDescent="0.35">
      <c r="A62" t="s">
        <v>3</v>
      </c>
      <c r="B62" t="s">
        <v>64</v>
      </c>
      <c r="C62">
        <v>77035.5</v>
      </c>
      <c r="D62">
        <v>1.099413470348189</v>
      </c>
      <c r="E62">
        <v>-0.1285853134062013</v>
      </c>
      <c r="F62">
        <v>29838.2</v>
      </c>
      <c r="G62">
        <v>11706.8741061117</v>
      </c>
      <c r="H62">
        <v>11706.8741061117</v>
      </c>
      <c r="I62">
        <v>-2.471124399227778</v>
      </c>
      <c r="J62">
        <v>7.0879298199223138E-3</v>
      </c>
      <c r="K62">
        <v>1.074664330707058</v>
      </c>
      <c r="L62">
        <v>82.977502074785519</v>
      </c>
      <c r="M62">
        <v>0</v>
      </c>
      <c r="N62">
        <v>0</v>
      </c>
      <c r="O62">
        <v>0</v>
      </c>
      <c r="P62">
        <v>0</v>
      </c>
      <c r="Q62">
        <v>1</v>
      </c>
      <c r="R62">
        <v>0</v>
      </c>
      <c r="S62">
        <v>11706.8741061117</v>
      </c>
      <c r="T62">
        <v>82.977502074785519</v>
      </c>
      <c r="U62">
        <v>0</v>
      </c>
      <c r="V62">
        <v>0</v>
      </c>
      <c r="W62">
        <v>0</v>
      </c>
    </row>
    <row r="63" spans="1:23" x14ac:dyDescent="0.35">
      <c r="A63" t="s">
        <v>3</v>
      </c>
      <c r="B63" t="s">
        <v>65</v>
      </c>
      <c r="C63">
        <v>77471</v>
      </c>
      <c r="D63">
        <v>1.1685257798138471</v>
      </c>
      <c r="E63">
        <v>7.4249255510286022E-2</v>
      </c>
      <c r="F63">
        <v>25360.74</v>
      </c>
      <c r="G63">
        <v>-4702.6314541169268</v>
      </c>
      <c r="H63">
        <v>-4702.6314541169268</v>
      </c>
      <c r="I63">
        <v>-1.8293103502085479</v>
      </c>
      <c r="J63">
        <v>2.512071862663794E-2</v>
      </c>
      <c r="K63">
        <v>1.099413470348189</v>
      </c>
      <c r="L63">
        <v>-118.1334815636485</v>
      </c>
      <c r="M63">
        <v>0</v>
      </c>
      <c r="N63">
        <v>0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1:23" x14ac:dyDescent="0.35">
      <c r="A64" t="s">
        <v>3</v>
      </c>
      <c r="B64" t="s">
        <v>66</v>
      </c>
      <c r="C64">
        <v>77762</v>
      </c>
      <c r="D64">
        <v>1.382157826341355</v>
      </c>
      <c r="E64">
        <v>0.30517108833338258</v>
      </c>
      <c r="F64">
        <v>21280.47</v>
      </c>
      <c r="G64">
        <v>-3835.168726222837</v>
      </c>
      <c r="H64">
        <v>-3835.168726222837</v>
      </c>
      <c r="I64">
        <v>-1.0986219013763601</v>
      </c>
      <c r="J64">
        <v>9.9998269725821043E-2</v>
      </c>
      <c r="K64">
        <v>1.1685257798138471</v>
      </c>
      <c r="L64">
        <v>-383.51023672886481</v>
      </c>
      <c r="M64">
        <v>0</v>
      </c>
      <c r="N64">
        <v>0</v>
      </c>
      <c r="O64">
        <v>0</v>
      </c>
      <c r="P64">
        <v>0</v>
      </c>
      <c r="Q64">
        <v>0</v>
      </c>
      <c r="R64">
        <v>1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1:23" x14ac:dyDescent="0.35">
      <c r="A65" t="s">
        <v>3</v>
      </c>
      <c r="B65" t="s">
        <v>67</v>
      </c>
      <c r="C65">
        <v>78074.100000000006</v>
      </c>
      <c r="D65">
        <v>1.3684136953042949</v>
      </c>
      <c r="E65">
        <v>0.3853685833460751</v>
      </c>
      <c r="F65">
        <v>18517.900000000001</v>
      </c>
      <c r="G65">
        <v>-2909.1155667876369</v>
      </c>
      <c r="H65">
        <v>-2909.1155667876369</v>
      </c>
      <c r="I65">
        <v>-0.84485904788323529</v>
      </c>
      <c r="J65">
        <v>0.15581291687036949</v>
      </c>
      <c r="K65">
        <v>1.382157826341355</v>
      </c>
      <c r="L65">
        <v>-453.27778197418007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1:23" x14ac:dyDescent="0.35">
      <c r="A66" t="s">
        <v>3</v>
      </c>
      <c r="B66" t="s">
        <v>68</v>
      </c>
      <c r="C66">
        <v>78968.899999999994</v>
      </c>
      <c r="D66">
        <v>2.4787749503304188</v>
      </c>
      <c r="E66">
        <v>0.40450647910930532</v>
      </c>
      <c r="F66">
        <v>22826.080000000002</v>
      </c>
      <c r="G66">
        <v>3842.526243353896</v>
      </c>
      <c r="H66">
        <v>3842.526243353896</v>
      </c>
      <c r="I66">
        <v>-0.78430245521207176</v>
      </c>
      <c r="J66">
        <v>0.1724153637378445</v>
      </c>
      <c r="K66">
        <v>1.3684136953042949</v>
      </c>
      <c r="L66">
        <v>662.51055992007514</v>
      </c>
      <c r="M66">
        <v>0</v>
      </c>
      <c r="N66">
        <v>0</v>
      </c>
      <c r="O66">
        <v>0</v>
      </c>
      <c r="P66">
        <v>0</v>
      </c>
      <c r="Q66">
        <v>0</v>
      </c>
      <c r="R66">
        <v>1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1:23" x14ac:dyDescent="0.35">
      <c r="A67" t="s">
        <v>3</v>
      </c>
      <c r="B67" t="s">
        <v>69</v>
      </c>
      <c r="C67">
        <v>78923.600000000006</v>
      </c>
      <c r="D67">
        <v>1.857662314448862</v>
      </c>
      <c r="E67">
        <v>0.39347652592769677</v>
      </c>
      <c r="F67">
        <v>18513.21</v>
      </c>
      <c r="G67">
        <v>-4750.2373136210626</v>
      </c>
      <c r="H67">
        <v>-4750.2373136210626</v>
      </c>
      <c r="I67">
        <v>-0.81920369985590469</v>
      </c>
      <c r="J67">
        <v>0.16268188447488291</v>
      </c>
      <c r="K67">
        <v>2.4787749503304188</v>
      </c>
      <c r="L67">
        <v>-772.77755788277966</v>
      </c>
      <c r="M67">
        <v>0</v>
      </c>
      <c r="N67">
        <v>0</v>
      </c>
      <c r="O67">
        <v>0</v>
      </c>
      <c r="P67">
        <v>0</v>
      </c>
      <c r="Q67">
        <v>0</v>
      </c>
      <c r="R67">
        <v>1</v>
      </c>
      <c r="S67">
        <v>0</v>
      </c>
      <c r="T67">
        <v>0</v>
      </c>
      <c r="U67">
        <v>0</v>
      </c>
      <c r="V67">
        <v>0</v>
      </c>
      <c r="W67">
        <v>0</v>
      </c>
    </row>
    <row r="68" spans="1:23" x14ac:dyDescent="0.35">
      <c r="A68" t="s">
        <v>3</v>
      </c>
      <c r="B68" t="s">
        <v>70</v>
      </c>
      <c r="C68">
        <v>79356.600000000006</v>
      </c>
      <c r="D68">
        <v>2.029873933087055</v>
      </c>
      <c r="E68">
        <v>0.63071634694989154</v>
      </c>
      <c r="F68">
        <v>30182.29</v>
      </c>
      <c r="G68">
        <v>11282.735474875861</v>
      </c>
      <c r="H68">
        <v>11282.735474875861</v>
      </c>
      <c r="I68">
        <v>-6.8523719948023379E-2</v>
      </c>
      <c r="J68">
        <v>0.46579166502098812</v>
      </c>
      <c r="K68">
        <v>1.857662314448862</v>
      </c>
      <c r="L68">
        <v>5255.404142833795</v>
      </c>
      <c r="M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11282.735474875861</v>
      </c>
      <c r="T68">
        <v>5255.404142833795</v>
      </c>
      <c r="U68">
        <v>0</v>
      </c>
      <c r="V68">
        <v>0</v>
      </c>
      <c r="W68">
        <v>0</v>
      </c>
    </row>
    <row r="69" spans="1:23" x14ac:dyDescent="0.35">
      <c r="A69" t="s">
        <v>3</v>
      </c>
      <c r="B69" t="s">
        <v>71</v>
      </c>
      <c r="C69">
        <v>79836.3</v>
      </c>
      <c r="D69">
        <v>2.2319912518802369</v>
      </c>
      <c r="E69">
        <v>0.68747009043960416</v>
      </c>
      <c r="F69">
        <v>32031.3</v>
      </c>
      <c r="G69">
        <v>1702.312279079182</v>
      </c>
      <c r="H69">
        <v>1702.312279079182</v>
      </c>
      <c r="I69">
        <v>0.1110578479312103</v>
      </c>
      <c r="J69">
        <v>0.55530174961522216</v>
      </c>
      <c r="K69">
        <v>2.029873933087055</v>
      </c>
      <c r="L69">
        <v>945.29698696414619</v>
      </c>
      <c r="M69">
        <v>0</v>
      </c>
      <c r="N69">
        <v>0</v>
      </c>
      <c r="O69">
        <v>0</v>
      </c>
      <c r="P69">
        <v>0</v>
      </c>
      <c r="Q69">
        <v>1</v>
      </c>
      <c r="R69">
        <v>0</v>
      </c>
      <c r="S69">
        <v>1702.312279079182</v>
      </c>
      <c r="T69">
        <v>945.29698696414619</v>
      </c>
      <c r="U69">
        <v>0</v>
      </c>
      <c r="V69">
        <v>0</v>
      </c>
      <c r="W69">
        <v>0</v>
      </c>
    </row>
    <row r="70" spans="1:23" x14ac:dyDescent="0.35">
      <c r="A70" t="s">
        <v>3</v>
      </c>
      <c r="B70" t="s">
        <v>72</v>
      </c>
      <c r="C70">
        <v>80622.399999999994</v>
      </c>
      <c r="D70">
        <v>2.072242246172157</v>
      </c>
      <c r="E70">
        <v>0.87027588823679591</v>
      </c>
      <c r="F70">
        <v>29910.11</v>
      </c>
      <c r="G70">
        <v>-1594.595393211242</v>
      </c>
      <c r="H70">
        <v>-1594.595393211242</v>
      </c>
      <c r="I70">
        <v>0.68949637492960081</v>
      </c>
      <c r="J70">
        <v>0.7988291827442473</v>
      </c>
      <c r="K70">
        <v>2.2319912518802369</v>
      </c>
      <c r="L70">
        <v>-1273.8093347666791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  <c r="S70">
        <v>-1594.595393211242</v>
      </c>
      <c r="T70">
        <v>-1273.8093347666791</v>
      </c>
      <c r="U70">
        <v>0</v>
      </c>
      <c r="V70">
        <v>0</v>
      </c>
      <c r="W70">
        <v>0</v>
      </c>
    </row>
    <row r="71" spans="1:23" x14ac:dyDescent="0.35">
      <c r="A71" t="s">
        <v>3</v>
      </c>
      <c r="B71" t="s">
        <v>73</v>
      </c>
      <c r="C71">
        <v>80882.399999999994</v>
      </c>
      <c r="D71">
        <v>2.4515951934940992</v>
      </c>
      <c r="E71">
        <v>0.78046021137048716</v>
      </c>
      <c r="F71">
        <v>16514.349999999999</v>
      </c>
      <c r="G71">
        <v>-12857.951240235971</v>
      </c>
      <c r="H71">
        <v>-12857.951240235971</v>
      </c>
      <c r="I71">
        <v>0.40529943777584299</v>
      </c>
      <c r="J71">
        <v>0.69223710636729141</v>
      </c>
      <c r="K71">
        <v>2.072242246172157</v>
      </c>
      <c r="L71">
        <v>-8900.7509603526723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-12857.951240235971</v>
      </c>
      <c r="T71">
        <v>-8900.7509603526723</v>
      </c>
      <c r="U71">
        <v>0</v>
      </c>
      <c r="V71">
        <v>0</v>
      </c>
      <c r="W71">
        <v>0</v>
      </c>
    </row>
    <row r="72" spans="1:23" x14ac:dyDescent="0.35">
      <c r="A72" t="s">
        <v>3</v>
      </c>
      <c r="B72" t="s">
        <v>74</v>
      </c>
      <c r="C72">
        <v>81395.899999999994</v>
      </c>
      <c r="D72">
        <v>2.5373283872682548</v>
      </c>
      <c r="E72">
        <v>0.70379881796166932</v>
      </c>
      <c r="F72">
        <v>16325.61</v>
      </c>
      <c r="G72">
        <v>-289.78211110166382</v>
      </c>
      <c r="H72">
        <v>-289.78211110166382</v>
      </c>
      <c r="I72">
        <v>0.16272560250702581</v>
      </c>
      <c r="J72">
        <v>0.58065217508421163</v>
      </c>
      <c r="K72">
        <v>2.4515951934940992</v>
      </c>
      <c r="L72">
        <v>-168.26261311167571</v>
      </c>
      <c r="M72">
        <v>0</v>
      </c>
      <c r="N72">
        <v>0</v>
      </c>
      <c r="O72">
        <v>0</v>
      </c>
      <c r="P72">
        <v>0</v>
      </c>
      <c r="Q72">
        <v>1</v>
      </c>
      <c r="R72">
        <v>0</v>
      </c>
      <c r="S72">
        <v>-289.78211110166382</v>
      </c>
      <c r="T72">
        <v>-168.26261311167571</v>
      </c>
      <c r="U72">
        <v>0</v>
      </c>
      <c r="V72">
        <v>0</v>
      </c>
      <c r="W72">
        <v>0</v>
      </c>
    </row>
    <row r="73" spans="1:23" x14ac:dyDescent="0.35">
      <c r="A73" t="s">
        <v>3</v>
      </c>
      <c r="B73" t="s">
        <v>75</v>
      </c>
      <c r="C73">
        <v>81781.899999999994</v>
      </c>
      <c r="D73">
        <v>2.407765948694911</v>
      </c>
      <c r="E73">
        <v>0.70280478220684794</v>
      </c>
      <c r="F73">
        <v>28396.560000000001</v>
      </c>
      <c r="G73">
        <v>11273.465479390619</v>
      </c>
      <c r="H73">
        <v>11273.465479390619</v>
      </c>
      <c r="I73">
        <v>0.15958025052841671</v>
      </c>
      <c r="J73">
        <v>0.57911964620997147</v>
      </c>
      <c r="K73">
        <v>2.5373283872682548</v>
      </c>
      <c r="L73">
        <v>6528.6853399850224</v>
      </c>
      <c r="M73">
        <v>0</v>
      </c>
      <c r="N73">
        <v>0</v>
      </c>
      <c r="O73">
        <v>0</v>
      </c>
      <c r="P73">
        <v>0</v>
      </c>
      <c r="Q73">
        <v>1</v>
      </c>
      <c r="R73">
        <v>0</v>
      </c>
      <c r="S73">
        <v>11273.465479390619</v>
      </c>
      <c r="T73">
        <v>6528.6853399850224</v>
      </c>
      <c r="U73">
        <v>0</v>
      </c>
      <c r="V73">
        <v>0</v>
      </c>
      <c r="W73">
        <v>0</v>
      </c>
    </row>
    <row r="74" spans="1:23" x14ac:dyDescent="0.35">
      <c r="A74" t="s">
        <v>3</v>
      </c>
      <c r="B74" t="s">
        <v>76</v>
      </c>
      <c r="C74">
        <v>82249</v>
      </c>
      <c r="D74">
        <v>1.997470498291918</v>
      </c>
      <c r="E74">
        <v>0.64735196258782002</v>
      </c>
      <c r="F74">
        <v>13622.16</v>
      </c>
      <c r="G74">
        <v>-15104.230619776299</v>
      </c>
      <c r="H74">
        <v>-15104.230619776299</v>
      </c>
      <c r="I74">
        <v>-1.5884902573148181E-2</v>
      </c>
      <c r="J74">
        <v>0.49205821668592747</v>
      </c>
      <c r="K74">
        <v>2.407765948694911</v>
      </c>
      <c r="L74">
        <v>-7432.1607831801066</v>
      </c>
      <c r="M74">
        <v>0</v>
      </c>
      <c r="N74">
        <v>0</v>
      </c>
      <c r="O74">
        <v>0</v>
      </c>
      <c r="P74">
        <v>0</v>
      </c>
      <c r="Q74">
        <v>1</v>
      </c>
      <c r="R74">
        <v>0</v>
      </c>
      <c r="S74">
        <v>-15104.230619776299</v>
      </c>
      <c r="T74">
        <v>-7432.1607831801066</v>
      </c>
      <c r="U74">
        <v>0</v>
      </c>
      <c r="V74">
        <v>0</v>
      </c>
      <c r="W74">
        <v>0</v>
      </c>
    </row>
    <row r="75" spans="1:23" x14ac:dyDescent="0.35">
      <c r="A75" t="s">
        <v>3</v>
      </c>
      <c r="B75" t="s">
        <v>77</v>
      </c>
      <c r="C75">
        <v>82911.600000000006</v>
      </c>
      <c r="D75">
        <v>2.477873211346743</v>
      </c>
      <c r="E75">
        <v>0.72428562898512505</v>
      </c>
      <c r="F75">
        <v>25653.23</v>
      </c>
      <c r="G75">
        <v>11737.80673016071</v>
      </c>
      <c r="H75">
        <v>11737.80673016071</v>
      </c>
      <c r="I75">
        <v>0.22755046547143309</v>
      </c>
      <c r="J75">
        <v>0.61185133928906266</v>
      </c>
      <c r="K75">
        <v>1.997470498291918</v>
      </c>
      <c r="L75">
        <v>7181.7927681650044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11737.80673016071</v>
      </c>
      <c r="T75">
        <v>7181.7927681650044</v>
      </c>
      <c r="U75">
        <v>0</v>
      </c>
      <c r="V75">
        <v>0</v>
      </c>
      <c r="W75">
        <v>0</v>
      </c>
    </row>
    <row r="76" spans="1:23" x14ac:dyDescent="0.35">
      <c r="A76" t="s">
        <v>3</v>
      </c>
      <c r="B76" t="s">
        <v>78</v>
      </c>
      <c r="C76">
        <v>83252.100000000006</v>
      </c>
      <c r="D76">
        <v>2.254845057803982</v>
      </c>
      <c r="E76">
        <v>0.56968590921638818</v>
      </c>
      <c r="F76">
        <v>28710.76</v>
      </c>
      <c r="G76">
        <v>2480.1654601144551</v>
      </c>
      <c r="H76">
        <v>2480.1654601144551</v>
      </c>
      <c r="I76">
        <v>-0.26163770719584462</v>
      </c>
      <c r="J76">
        <v>0.372086651774023</v>
      </c>
      <c r="K76">
        <v>2.477873211346743</v>
      </c>
      <c r="L76">
        <v>922.83646189956664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2480.1654601144551</v>
      </c>
      <c r="T76">
        <v>922.83646189956664</v>
      </c>
      <c r="U76">
        <v>0</v>
      </c>
      <c r="V76">
        <v>0</v>
      </c>
      <c r="W76">
        <v>0</v>
      </c>
    </row>
    <row r="77" spans="1:23" x14ac:dyDescent="0.35">
      <c r="A77" t="s">
        <v>3</v>
      </c>
      <c r="B77" t="s">
        <v>79</v>
      </c>
      <c r="C77">
        <v>84033</v>
      </c>
      <c r="D77">
        <v>2.715363110707651</v>
      </c>
      <c r="E77">
        <v>0.897666944271163</v>
      </c>
      <c r="F77">
        <v>26443.05</v>
      </c>
      <c r="G77">
        <v>-2105.371652046339</v>
      </c>
      <c r="H77">
        <v>-2105.371652046339</v>
      </c>
      <c r="I77">
        <v>0.77616781695370629</v>
      </c>
      <c r="J77">
        <v>0.82525081397504041</v>
      </c>
      <c r="K77">
        <v>2.254845057803982</v>
      </c>
      <c r="L77">
        <v>-1737.459669571216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1:23" x14ac:dyDescent="0.35">
      <c r="A78" t="s">
        <v>3</v>
      </c>
      <c r="B78" t="s">
        <v>80</v>
      </c>
      <c r="C78">
        <v>84989.5</v>
      </c>
      <c r="D78">
        <v>3.2776487931305298</v>
      </c>
      <c r="E78">
        <v>0.89306219721589131</v>
      </c>
      <c r="F78">
        <v>36588.019999999997</v>
      </c>
      <c r="G78">
        <v>10374.885475181431</v>
      </c>
      <c r="H78">
        <v>10374.885475181431</v>
      </c>
      <c r="I78">
        <v>0.76159736494426544</v>
      </c>
      <c r="J78">
        <v>0.82100843915265243</v>
      </c>
      <c r="K78">
        <v>2.715363110707651</v>
      </c>
      <c r="L78">
        <v>8517.8685303662332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1:23" x14ac:dyDescent="0.35">
      <c r="A79" t="s">
        <v>3</v>
      </c>
      <c r="B79" t="s">
        <v>81</v>
      </c>
      <c r="C79">
        <v>84462.7</v>
      </c>
      <c r="D79">
        <v>1.8535036814308889</v>
      </c>
      <c r="E79">
        <v>0.9804490088826745</v>
      </c>
      <c r="F79">
        <v>40489.040000000001</v>
      </c>
      <c r="G79">
        <v>4415.4972307526914</v>
      </c>
      <c r="H79">
        <v>4415.4972307526914</v>
      </c>
      <c r="I79">
        <v>1.038108828085597</v>
      </c>
      <c r="J79">
        <v>0.88857008101968959</v>
      </c>
      <c r="K79">
        <v>3.2776487931305298</v>
      </c>
      <c r="L79">
        <v>3923.4787320721339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0</v>
      </c>
      <c r="W79">
        <v>0</v>
      </c>
    </row>
    <row r="80" spans="1:23" x14ac:dyDescent="0.35">
      <c r="A80" t="s">
        <v>3</v>
      </c>
      <c r="B80" t="s">
        <v>82</v>
      </c>
      <c r="C80">
        <v>84598.5</v>
      </c>
      <c r="D80">
        <v>1.6043182190908809</v>
      </c>
      <c r="E80">
        <v>0.97847280310127893</v>
      </c>
      <c r="F80">
        <v>32800.980000000003</v>
      </c>
      <c r="G80">
        <v>-6497.529962925415</v>
      </c>
      <c r="H80">
        <v>-6497.529962925415</v>
      </c>
      <c r="I80">
        <v>1.0318556699526999</v>
      </c>
      <c r="J80">
        <v>0.88732575880842757</v>
      </c>
      <c r="K80">
        <v>1.8535036814308889</v>
      </c>
      <c r="L80">
        <v>-5765.4257047332894</v>
      </c>
      <c r="M80">
        <v>0</v>
      </c>
      <c r="N80">
        <v>0</v>
      </c>
      <c r="O80">
        <v>0</v>
      </c>
      <c r="P80">
        <v>0</v>
      </c>
      <c r="Q80">
        <v>1</v>
      </c>
      <c r="R80">
        <v>0</v>
      </c>
      <c r="S80">
        <v>-6497.529962925415</v>
      </c>
      <c r="T80">
        <v>-5765.4257047332894</v>
      </c>
      <c r="U80">
        <v>0</v>
      </c>
      <c r="V80">
        <v>0</v>
      </c>
      <c r="W80">
        <v>0</v>
      </c>
    </row>
    <row r="81" spans="1:23" x14ac:dyDescent="0.35">
      <c r="A81" t="s">
        <v>3</v>
      </c>
      <c r="B81" t="s">
        <v>83</v>
      </c>
      <c r="C81">
        <v>84049.3</v>
      </c>
      <c r="D81">
        <v>1.9395260596856631E-2</v>
      </c>
      <c r="E81">
        <v>0.97083443477585118</v>
      </c>
      <c r="F81">
        <v>52716.26</v>
      </c>
      <c r="G81">
        <v>21002.415296564999</v>
      </c>
      <c r="H81">
        <v>21002.415296564999</v>
      </c>
      <c r="I81">
        <v>1.007686160144629</v>
      </c>
      <c r="J81">
        <v>0.8824016486723063</v>
      </c>
      <c r="K81">
        <v>1.6043182190908809</v>
      </c>
      <c r="L81">
        <v>18532.565883789419</v>
      </c>
      <c r="M81">
        <v>0</v>
      </c>
      <c r="N81">
        <v>0</v>
      </c>
      <c r="O81">
        <v>0</v>
      </c>
      <c r="P81">
        <v>0</v>
      </c>
      <c r="Q81">
        <v>1</v>
      </c>
      <c r="R81">
        <v>0</v>
      </c>
      <c r="S81">
        <v>21002.415296564999</v>
      </c>
      <c r="T81">
        <v>18532.565883789419</v>
      </c>
      <c r="U81">
        <v>0</v>
      </c>
      <c r="V81">
        <v>0</v>
      </c>
      <c r="W81">
        <v>0</v>
      </c>
    </row>
    <row r="82" spans="1:23" x14ac:dyDescent="0.35">
      <c r="A82" t="s">
        <v>3</v>
      </c>
      <c r="B82" t="s">
        <v>84</v>
      </c>
      <c r="C82">
        <v>83116.399999999994</v>
      </c>
      <c r="D82">
        <v>-2.2285684470978921</v>
      </c>
      <c r="E82">
        <v>0.91280313657643808</v>
      </c>
      <c r="F82">
        <v>55684.71</v>
      </c>
      <c r="G82">
        <v>4447.7439987703037</v>
      </c>
      <c r="H82">
        <v>4447.7439987703037</v>
      </c>
      <c r="I82">
        <v>0.82406212275215285</v>
      </c>
      <c r="J82">
        <v>0.83863737566559282</v>
      </c>
      <c r="K82">
        <v>1.9395260596856631E-2</v>
      </c>
      <c r="L82">
        <v>3730.0443547611171</v>
      </c>
      <c r="M82">
        <v>0</v>
      </c>
      <c r="N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1:23" x14ac:dyDescent="0.35">
      <c r="A83" t="s">
        <v>3</v>
      </c>
      <c r="B83" t="s">
        <v>85</v>
      </c>
      <c r="C83">
        <v>72639.100000000006</v>
      </c>
      <c r="D83">
        <v>-15.080667244180299</v>
      </c>
      <c r="E83">
        <v>0.9088776035946492</v>
      </c>
      <c r="F83">
        <v>28914.37</v>
      </c>
      <c r="G83">
        <v>-24149.360667720372</v>
      </c>
      <c r="H83">
        <v>-24149.360667720372</v>
      </c>
      <c r="I83">
        <v>0.81164085634249172</v>
      </c>
      <c r="J83">
        <v>0.83524722097569226</v>
      </c>
      <c r="K83">
        <v>-2.2285684470978921</v>
      </c>
      <c r="L83">
        <v>-20170.68638605313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-24149.360667720372</v>
      </c>
      <c r="T83">
        <v>-20170.68638605313</v>
      </c>
      <c r="U83">
        <v>0</v>
      </c>
      <c r="V83">
        <v>0</v>
      </c>
      <c r="W83">
        <v>0</v>
      </c>
    </row>
    <row r="84" spans="1:23" x14ac:dyDescent="0.35">
      <c r="A84" t="s">
        <v>3</v>
      </c>
      <c r="B84" t="s">
        <v>86</v>
      </c>
      <c r="C84">
        <v>80989.899999999994</v>
      </c>
      <c r="D84">
        <v>-4.3592080418736208</v>
      </c>
      <c r="E84">
        <v>0.91501355498704351</v>
      </c>
      <c r="F84">
        <v>27497.73</v>
      </c>
      <c r="G84">
        <v>298.34674216415812</v>
      </c>
      <c r="H84">
        <v>298.34674216415812</v>
      </c>
      <c r="I84">
        <v>0.83105638215140465</v>
      </c>
      <c r="J84">
        <v>0.84052141269241121</v>
      </c>
      <c r="K84">
        <v>-15.080667244180299</v>
      </c>
      <c r="L84">
        <v>250.76682519599669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298.34674216415812</v>
      </c>
      <c r="T84">
        <v>250.76682519599669</v>
      </c>
      <c r="U84">
        <v>0</v>
      </c>
      <c r="V84">
        <v>0</v>
      </c>
      <c r="W84">
        <v>0</v>
      </c>
    </row>
    <row r="85" spans="1:23" x14ac:dyDescent="0.35">
      <c r="A85" t="s">
        <v>3</v>
      </c>
      <c r="B85" t="s">
        <v>87</v>
      </c>
      <c r="C85">
        <v>79788.600000000006</v>
      </c>
      <c r="D85">
        <v>-5.2022894336124423</v>
      </c>
      <c r="E85">
        <v>0.92497760933392426</v>
      </c>
      <c r="F85">
        <v>22319.62</v>
      </c>
      <c r="G85">
        <v>-4896.0136572600422</v>
      </c>
      <c r="H85">
        <v>-4896.0136572600422</v>
      </c>
      <c r="I85">
        <v>0.86258488392100308</v>
      </c>
      <c r="J85">
        <v>0.84879353730688134</v>
      </c>
      <c r="K85">
        <v>-4.3592080418736208</v>
      </c>
      <c r="L85">
        <v>-4155.7047508485521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-4896.0136572600422</v>
      </c>
      <c r="T85">
        <v>-4155.7047508485521</v>
      </c>
      <c r="U85">
        <v>0</v>
      </c>
      <c r="V85">
        <v>0</v>
      </c>
      <c r="W85">
        <v>0</v>
      </c>
    </row>
    <row r="86" spans="1:23" x14ac:dyDescent="0.35">
      <c r="A86" t="s">
        <v>3</v>
      </c>
      <c r="B86" t="s">
        <v>88</v>
      </c>
      <c r="C86">
        <v>79012</v>
      </c>
      <c r="D86">
        <v>-5.0642295311432592</v>
      </c>
      <c r="E86">
        <v>0.90427962591310274</v>
      </c>
      <c r="F86">
        <v>11888.73</v>
      </c>
      <c r="G86">
        <v>-10426.43013953445</v>
      </c>
      <c r="H86">
        <v>-10426.43013953445</v>
      </c>
      <c r="I86">
        <v>0.79709182414912627</v>
      </c>
      <c r="J86">
        <v>0.83120389917813287</v>
      </c>
      <c r="K86">
        <v>-5.2022894336124423</v>
      </c>
      <c r="L86">
        <v>-8666.4893864894402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-10426.43013953445</v>
      </c>
      <c r="T86">
        <v>-8666.4893864894402</v>
      </c>
      <c r="U86">
        <v>0</v>
      </c>
      <c r="V86">
        <v>0</v>
      </c>
      <c r="W86">
        <v>0</v>
      </c>
    </row>
    <row r="87" spans="1:23" x14ac:dyDescent="0.35">
      <c r="A87" t="s">
        <v>3</v>
      </c>
      <c r="B87" t="s">
        <v>89</v>
      </c>
      <c r="C87">
        <v>82652.5</v>
      </c>
      <c r="D87">
        <v>12.91417274950069</v>
      </c>
      <c r="E87">
        <v>0.88924125933018772</v>
      </c>
      <c r="F87">
        <v>18072.810000000001</v>
      </c>
      <c r="G87">
        <v>5509.7133275447604</v>
      </c>
      <c r="H87">
        <v>5509.7133275447604</v>
      </c>
      <c r="I87">
        <v>0.7495070608675275</v>
      </c>
      <c r="J87">
        <v>0.8174273899089558</v>
      </c>
      <c r="K87">
        <v>-5.0642295311432592</v>
      </c>
      <c r="L87">
        <v>4503.7905844815004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5509.7133275447604</v>
      </c>
      <c r="T87">
        <v>4503.7905844815004</v>
      </c>
      <c r="U87">
        <v>0</v>
      </c>
      <c r="V87">
        <v>0</v>
      </c>
      <c r="W87">
        <v>0</v>
      </c>
    </row>
    <row r="88" spans="1:23" x14ac:dyDescent="0.35">
      <c r="A88" t="s">
        <v>3</v>
      </c>
      <c r="B88" t="s">
        <v>90</v>
      </c>
      <c r="C88">
        <v>85244.800000000003</v>
      </c>
      <c r="D88">
        <v>5.1202661695980423</v>
      </c>
      <c r="E88">
        <v>0.81534144931132224</v>
      </c>
      <c r="F88">
        <v>21508.560000000001</v>
      </c>
      <c r="G88">
        <v>2469.4532050039338</v>
      </c>
      <c r="H88">
        <v>2469.4532050039338</v>
      </c>
      <c r="I88">
        <v>0.51567149455689421</v>
      </c>
      <c r="J88">
        <v>0.7371761794306233</v>
      </c>
      <c r="K88">
        <v>12.91417274950069</v>
      </c>
      <c r="L88">
        <v>1820.422078947508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2469.4532050039338</v>
      </c>
      <c r="T88">
        <v>1820.422078947508</v>
      </c>
      <c r="U88">
        <v>0</v>
      </c>
      <c r="V88">
        <v>0</v>
      </c>
      <c r="W88">
        <v>0</v>
      </c>
    </row>
    <row r="89" spans="1:23" x14ac:dyDescent="0.35">
      <c r="A89" t="s">
        <v>3</v>
      </c>
      <c r="B89" t="s">
        <v>91</v>
      </c>
      <c r="C89">
        <v>85473.600000000006</v>
      </c>
      <c r="D89">
        <v>6.8826919225170116</v>
      </c>
      <c r="E89">
        <v>0.80807817218305633</v>
      </c>
      <c r="F89">
        <v>19802.650000000001</v>
      </c>
      <c r="G89">
        <v>-2218.2724663803642</v>
      </c>
      <c r="H89">
        <v>-2218.2724663803642</v>
      </c>
      <c r="I89">
        <v>0.4926888573873866</v>
      </c>
      <c r="J89">
        <v>0.7281739683028603</v>
      </c>
      <c r="K89">
        <v>5.1202661695980423</v>
      </c>
      <c r="L89">
        <v>-1615.2882646211631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-2218.2724663803642</v>
      </c>
      <c r="T89">
        <v>-1615.2882646211631</v>
      </c>
      <c r="U89">
        <v>0</v>
      </c>
      <c r="V89">
        <v>0</v>
      </c>
      <c r="W89">
        <v>0</v>
      </c>
    </row>
    <row r="90" spans="1:23" x14ac:dyDescent="0.35">
      <c r="A90" t="s">
        <v>3</v>
      </c>
      <c r="B90" t="s">
        <v>92</v>
      </c>
      <c r="C90">
        <v>85737.600000000006</v>
      </c>
      <c r="D90">
        <v>8.1691729509785507</v>
      </c>
      <c r="E90">
        <v>0.67863808071448273</v>
      </c>
      <c r="F90">
        <v>26455.02</v>
      </c>
      <c r="G90">
        <v>6249.2545952329347</v>
      </c>
      <c r="H90">
        <v>6249.2545952329347</v>
      </c>
      <c r="I90">
        <v>8.3111389135070421E-2</v>
      </c>
      <c r="J90">
        <v>0.54146027617165604</v>
      </c>
      <c r="K90">
        <v>6.8826919225170116</v>
      </c>
      <c r="L90">
        <v>3383.723119001816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0</v>
      </c>
      <c r="V90">
        <v>0</v>
      </c>
      <c r="W90">
        <v>0</v>
      </c>
    </row>
    <row r="91" spans="1:23" x14ac:dyDescent="0.35">
      <c r="A91" t="s">
        <v>3</v>
      </c>
      <c r="B91" t="s">
        <v>93</v>
      </c>
      <c r="C91">
        <v>88239.4</v>
      </c>
      <c r="D91">
        <v>6.5408503441328172</v>
      </c>
      <c r="E91">
        <v>0.76798367062405348</v>
      </c>
      <c r="F91">
        <v>29343.64</v>
      </c>
      <c r="G91">
        <v>2660.8418006622051</v>
      </c>
      <c r="H91">
        <v>2660.8418006622051</v>
      </c>
      <c r="I91">
        <v>0.36582086577010681</v>
      </c>
      <c r="J91">
        <v>0.67516543582650357</v>
      </c>
      <c r="K91">
        <v>8.1691729509785507</v>
      </c>
      <c r="L91">
        <v>1796.5084140094759</v>
      </c>
      <c r="M91">
        <v>0</v>
      </c>
      <c r="N91">
        <v>0</v>
      </c>
      <c r="O91">
        <v>0</v>
      </c>
      <c r="P91">
        <v>0</v>
      </c>
      <c r="Q91">
        <v>0</v>
      </c>
      <c r="R91">
        <v>1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1:23" x14ac:dyDescent="0.35">
      <c r="A92" t="s">
        <v>3</v>
      </c>
      <c r="B92" t="s">
        <v>94</v>
      </c>
      <c r="C92">
        <v>88241.1</v>
      </c>
      <c r="D92">
        <v>3.4545723633579528</v>
      </c>
      <c r="E92">
        <v>0.87620166013205003</v>
      </c>
      <c r="F92">
        <v>24504.76</v>
      </c>
      <c r="G92">
        <v>-4610.2754712220849</v>
      </c>
      <c r="H92">
        <v>-4610.2754712220849</v>
      </c>
      <c r="I92">
        <v>0.70824684568995377</v>
      </c>
      <c r="J92">
        <v>0.80478814927755893</v>
      </c>
      <c r="K92">
        <v>6.5408503441328172</v>
      </c>
      <c r="L92">
        <v>-3710.2950641445482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1:23" x14ac:dyDescent="0.35">
      <c r="A93" t="s">
        <v>3</v>
      </c>
      <c r="B93" t="s">
        <v>95</v>
      </c>
      <c r="C93">
        <v>88219</v>
      </c>
      <c r="D93">
        <v>3.1614802981407628</v>
      </c>
      <c r="E93">
        <v>0.84990853871223848</v>
      </c>
      <c r="F93">
        <v>26500.43</v>
      </c>
      <c r="G93">
        <v>2181.4839460196272</v>
      </c>
      <c r="H93">
        <v>2181.4839460196272</v>
      </c>
      <c r="I93">
        <v>0.62504951492947802</v>
      </c>
      <c r="J93">
        <v>0.77731700324657982</v>
      </c>
      <c r="K93">
        <v>3.4545723633579528</v>
      </c>
      <c r="L93">
        <v>1695.7045635505001</v>
      </c>
      <c r="M93">
        <v>0</v>
      </c>
      <c r="N93">
        <v>0</v>
      </c>
      <c r="O93">
        <v>0</v>
      </c>
      <c r="P93">
        <v>0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1:23" x14ac:dyDescent="0.35">
      <c r="A94" t="s">
        <v>3</v>
      </c>
      <c r="B94" t="s">
        <v>96</v>
      </c>
      <c r="C94">
        <v>88135.9</v>
      </c>
      <c r="D94">
        <v>2.7588472251432501</v>
      </c>
      <c r="E94">
        <v>0.74669990593400049</v>
      </c>
      <c r="F94">
        <v>26400.05</v>
      </c>
      <c r="G94">
        <v>-84.520772908697836</v>
      </c>
      <c r="H94">
        <v>-84.520772908697836</v>
      </c>
      <c r="I94">
        <v>0.29847426273756478</v>
      </c>
      <c r="J94">
        <v>0.64495786705348968</v>
      </c>
      <c r="K94">
        <v>3.1614802981407628</v>
      </c>
      <c r="L94">
        <v>-54.512337416906128</v>
      </c>
      <c r="M94">
        <v>0</v>
      </c>
      <c r="N94">
        <v>0</v>
      </c>
      <c r="O94">
        <v>0</v>
      </c>
      <c r="P94">
        <v>0</v>
      </c>
      <c r="Q94">
        <v>0</v>
      </c>
      <c r="R94">
        <v>1</v>
      </c>
      <c r="S94">
        <v>0</v>
      </c>
      <c r="T94">
        <v>0</v>
      </c>
      <c r="U94">
        <v>0</v>
      </c>
      <c r="V94">
        <v>0</v>
      </c>
      <c r="W94">
        <v>0</v>
      </c>
    </row>
    <row r="95" spans="1:23" x14ac:dyDescent="0.35">
      <c r="A95" t="s">
        <v>3</v>
      </c>
      <c r="B95" t="s">
        <v>97</v>
      </c>
      <c r="C95">
        <v>87062</v>
      </c>
      <c r="D95">
        <v>-1.343306676196121</v>
      </c>
      <c r="E95">
        <v>0.71004088165000356</v>
      </c>
      <c r="F95">
        <v>30702.400000000001</v>
      </c>
      <c r="G95">
        <v>4416.8820192602216</v>
      </c>
      <c r="H95">
        <v>4416.8820192602216</v>
      </c>
      <c r="I95">
        <v>0.18247689140933909</v>
      </c>
      <c r="J95">
        <v>0.5902390740321628</v>
      </c>
      <c r="K95">
        <v>2.7588472251432501</v>
      </c>
      <c r="L95">
        <v>2607.0163531574631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4416.8820192602216</v>
      </c>
      <c r="T95">
        <v>2607.0163531574631</v>
      </c>
      <c r="U95">
        <v>0</v>
      </c>
      <c r="V95">
        <v>0</v>
      </c>
      <c r="W95">
        <v>0</v>
      </c>
    </row>
    <row r="96" spans="1:23" x14ac:dyDescent="0.35">
      <c r="A96" t="s">
        <v>3</v>
      </c>
      <c r="B96" t="s">
        <v>98</v>
      </c>
      <c r="C96">
        <v>86640.2</v>
      </c>
      <c r="D96">
        <v>-1.830892977670415</v>
      </c>
      <c r="E96">
        <v>0.75079103138850123</v>
      </c>
      <c r="F96">
        <v>17905.28</v>
      </c>
      <c r="G96">
        <v>-12517.608803376361</v>
      </c>
      <c r="H96">
        <v>-12517.608803376361</v>
      </c>
      <c r="I96">
        <v>0.31141950085464271</v>
      </c>
      <c r="J96">
        <v>0.65086395950679643</v>
      </c>
      <c r="K96">
        <v>-1.343306676196121</v>
      </c>
      <c r="L96">
        <v>-8147.2604293226714</v>
      </c>
      <c r="M96">
        <v>0</v>
      </c>
      <c r="N96">
        <v>0</v>
      </c>
      <c r="O96">
        <v>0</v>
      </c>
      <c r="P96">
        <v>0</v>
      </c>
      <c r="Q96">
        <v>1</v>
      </c>
      <c r="R96">
        <v>0</v>
      </c>
      <c r="S96">
        <v>-12517.608803376361</v>
      </c>
      <c r="T96">
        <v>-8147.2604293226714</v>
      </c>
      <c r="U96">
        <v>0</v>
      </c>
      <c r="V96">
        <v>0</v>
      </c>
      <c r="W96">
        <v>0</v>
      </c>
    </row>
    <row r="97" spans="1:23" x14ac:dyDescent="0.35">
      <c r="A97" t="s">
        <v>3</v>
      </c>
      <c r="B97" t="s">
        <v>99</v>
      </c>
      <c r="C97">
        <v>86235.5</v>
      </c>
      <c r="D97">
        <v>-2.2740433478059252</v>
      </c>
      <c r="E97">
        <v>0.76546040040234098</v>
      </c>
      <c r="F97">
        <v>16655.52</v>
      </c>
      <c r="G97">
        <v>-1255.046474869388</v>
      </c>
      <c r="H97">
        <v>-1255.046474869388</v>
      </c>
      <c r="I97">
        <v>0.35783667310305828</v>
      </c>
      <c r="J97">
        <v>0.67165354783097508</v>
      </c>
      <c r="K97">
        <v>-1.830892977670415</v>
      </c>
      <c r="L97">
        <v>-842.95641753878351</v>
      </c>
      <c r="M97">
        <v>0</v>
      </c>
      <c r="N97">
        <v>0</v>
      </c>
      <c r="O97">
        <v>0</v>
      </c>
      <c r="P97">
        <v>0</v>
      </c>
      <c r="Q97">
        <v>1</v>
      </c>
      <c r="R97">
        <v>0</v>
      </c>
      <c r="S97">
        <v>-1255.046474869388</v>
      </c>
      <c r="T97">
        <v>-842.95641753878351</v>
      </c>
      <c r="U97">
        <v>0</v>
      </c>
      <c r="V97">
        <v>0</v>
      </c>
      <c r="W97">
        <v>0</v>
      </c>
    </row>
    <row r="98" spans="1:23" x14ac:dyDescent="0.35">
      <c r="A98" t="s">
        <v>3</v>
      </c>
      <c r="B98" t="s">
        <v>100</v>
      </c>
      <c r="C98">
        <v>86324.3</v>
      </c>
      <c r="D98">
        <v>-2.0768807074612838</v>
      </c>
      <c r="E98">
        <v>0.73951635741226829</v>
      </c>
      <c r="F98">
        <v>16042.91</v>
      </c>
      <c r="G98">
        <v>-1325.5086914047929</v>
      </c>
      <c r="H98">
        <v>-1325.5086914047929</v>
      </c>
      <c r="I98">
        <v>0.27574390475328392</v>
      </c>
      <c r="J98">
        <v>0.63448070525049438</v>
      </c>
      <c r="K98">
        <v>-2.2740433478059252</v>
      </c>
      <c r="L98">
        <v>-841.00968933817319</v>
      </c>
      <c r="M98">
        <v>0</v>
      </c>
      <c r="N98">
        <v>0</v>
      </c>
      <c r="O98">
        <v>0</v>
      </c>
      <c r="P98">
        <v>0</v>
      </c>
      <c r="Q98">
        <v>1</v>
      </c>
      <c r="R98">
        <v>0</v>
      </c>
      <c r="S98">
        <v>-1325.5086914047929</v>
      </c>
      <c r="T98">
        <v>-841.00968933817319</v>
      </c>
      <c r="U98">
        <v>0</v>
      </c>
      <c r="V98">
        <v>0</v>
      </c>
      <c r="W98">
        <v>0</v>
      </c>
    </row>
    <row r="99" spans="1:23" x14ac:dyDescent="0.35">
      <c r="A99" t="s">
        <v>3</v>
      </c>
      <c r="B99" t="s">
        <v>101</v>
      </c>
      <c r="C99">
        <v>86185.4</v>
      </c>
      <c r="D99">
        <v>-1.0119718748371651</v>
      </c>
      <c r="E99">
        <v>0.4721424731620078</v>
      </c>
      <c r="F99">
        <v>15096.69</v>
      </c>
      <c r="G99">
        <v>-1747.62351995877</v>
      </c>
      <c r="H99">
        <v>-1747.62351995877</v>
      </c>
      <c r="I99">
        <v>-0.57028700688738987</v>
      </c>
      <c r="J99">
        <v>0.24221498696527941</v>
      </c>
      <c r="K99">
        <v>-2.0768807074612838</v>
      </c>
      <c r="L99">
        <v>-423.30060810702912</v>
      </c>
      <c r="M99">
        <v>0</v>
      </c>
      <c r="N99">
        <v>0</v>
      </c>
      <c r="O99">
        <v>0</v>
      </c>
      <c r="P99">
        <v>0</v>
      </c>
      <c r="Q99">
        <v>1</v>
      </c>
      <c r="R99">
        <v>0</v>
      </c>
      <c r="S99">
        <v>-1747.62351995877</v>
      </c>
      <c r="T99">
        <v>-423.30060810702912</v>
      </c>
      <c r="U99">
        <v>0</v>
      </c>
      <c r="V99">
        <v>0</v>
      </c>
      <c r="W99">
        <v>0</v>
      </c>
    </row>
    <row r="100" spans="1:23" x14ac:dyDescent="0.35">
      <c r="A100" t="s">
        <v>3</v>
      </c>
      <c r="B100" t="s">
        <v>102</v>
      </c>
      <c r="C100">
        <v>86142.9</v>
      </c>
      <c r="D100">
        <v>-0.57563659084700325</v>
      </c>
      <c r="E100">
        <v>0.21779940697776479</v>
      </c>
      <c r="F100">
        <v>19263.25</v>
      </c>
      <c r="G100">
        <v>3296.2288795207619</v>
      </c>
      <c r="H100">
        <v>3296.2288795207619</v>
      </c>
      <c r="I100">
        <v>-1.3750854888211379</v>
      </c>
      <c r="J100">
        <v>6.0076994725115088E-2</v>
      </c>
      <c r="K100">
        <v>-1.0119718748371651</v>
      </c>
      <c r="L100">
        <v>198.02752500774091</v>
      </c>
      <c r="M100">
        <v>0</v>
      </c>
      <c r="N100">
        <v>0</v>
      </c>
      <c r="O100">
        <v>0</v>
      </c>
      <c r="P100">
        <v>0</v>
      </c>
      <c r="Q100">
        <v>1</v>
      </c>
      <c r="R100">
        <v>0</v>
      </c>
      <c r="S100">
        <v>3296.2288795207619</v>
      </c>
      <c r="T100">
        <v>198.02752500774091</v>
      </c>
      <c r="U100">
        <v>0</v>
      </c>
      <c r="V100">
        <v>0</v>
      </c>
      <c r="W100">
        <v>0</v>
      </c>
    </row>
    <row r="101" spans="1:23" x14ac:dyDescent="0.35">
      <c r="A101" t="s">
        <v>3</v>
      </c>
      <c r="B101" t="s">
        <v>103</v>
      </c>
      <c r="C101">
        <v>86532.9</v>
      </c>
      <c r="D101">
        <v>0.34427626087551361</v>
      </c>
      <c r="E101">
        <v>0.50595137851726302</v>
      </c>
      <c r="F101">
        <v>26370.25</v>
      </c>
      <c r="G101">
        <v>6352.7743362205329</v>
      </c>
      <c r="H101">
        <v>6352.7743362205329</v>
      </c>
      <c r="I101">
        <v>-0.46330805081063547</v>
      </c>
      <c r="J101">
        <v>0.28361173813158369</v>
      </c>
      <c r="K101">
        <v>-0.57563659084700325</v>
      </c>
      <c r="L101">
        <v>1801.721371453224</v>
      </c>
      <c r="M101">
        <v>0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6352.7743362205329</v>
      </c>
      <c r="T101">
        <v>1801.721371453224</v>
      </c>
      <c r="U101">
        <v>0</v>
      </c>
      <c r="V101">
        <v>0</v>
      </c>
      <c r="W101">
        <v>0</v>
      </c>
    </row>
    <row r="102" spans="1:23" x14ac:dyDescent="0.35">
      <c r="A102" t="s">
        <v>3</v>
      </c>
      <c r="B102" t="s">
        <v>104</v>
      </c>
      <c r="C102">
        <v>86840.1</v>
      </c>
      <c r="D102">
        <v>0.59573622001365834</v>
      </c>
      <c r="E102">
        <v>-0.13965304223783481</v>
      </c>
      <c r="F102">
        <v>48145.7</v>
      </c>
      <c r="G102">
        <v>21516.57673025272</v>
      </c>
      <c r="H102">
        <v>21516.57673025272</v>
      </c>
      <c r="I102">
        <v>-2.5061451744971182</v>
      </c>
      <c r="J102">
        <v>6.61163740081217E-3</v>
      </c>
      <c r="K102">
        <v>0.34427626087551361</v>
      </c>
      <c r="L102">
        <v>142.25980344718371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1:23" x14ac:dyDescent="0.35">
      <c r="A103" t="s">
        <v>3</v>
      </c>
      <c r="B103" t="s">
        <v>105</v>
      </c>
      <c r="C103">
        <v>86940</v>
      </c>
      <c r="D103">
        <v>0.87174357862022711</v>
      </c>
      <c r="E103">
        <v>0.22000956782302891</v>
      </c>
      <c r="F103">
        <v>80038.14</v>
      </c>
      <c r="G103">
        <v>32860.236300339107</v>
      </c>
      <c r="H103">
        <v>32860.236300339107</v>
      </c>
      <c r="I103">
        <v>-1.3680920444163689</v>
      </c>
      <c r="J103">
        <v>6.0871679721494647E-2</v>
      </c>
      <c r="K103">
        <v>0.59573622001365834</v>
      </c>
      <c r="L103">
        <v>2000.257779646875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1</v>
      </c>
      <c r="S103">
        <v>0</v>
      </c>
      <c r="T103">
        <v>0</v>
      </c>
      <c r="U103">
        <v>0</v>
      </c>
      <c r="V103">
        <v>0</v>
      </c>
      <c r="W103">
        <v>0</v>
      </c>
    </row>
    <row r="104" spans="1:23" x14ac:dyDescent="0.35">
      <c r="A104" t="s">
        <v>3</v>
      </c>
      <c r="B104" t="s">
        <v>106</v>
      </c>
      <c r="C104">
        <v>87253.9</v>
      </c>
      <c r="D104">
        <v>1.2814714039774679</v>
      </c>
      <c r="E104">
        <v>0.10782090741040699</v>
      </c>
      <c r="F104">
        <v>106862.2</v>
      </c>
      <c r="G104">
        <v>30173.051455287681</v>
      </c>
      <c r="H104">
        <v>30173.051455287681</v>
      </c>
      <c r="I104">
        <v>-1.723082117253089</v>
      </c>
      <c r="J104">
        <v>3.0883456197700089E-2</v>
      </c>
      <c r="K104">
        <v>0.87174357862022711</v>
      </c>
      <c r="L104">
        <v>931.8481129703282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30173.051455287681</v>
      </c>
      <c r="T104">
        <v>931.8481129703282</v>
      </c>
      <c r="U104">
        <v>0</v>
      </c>
      <c r="V104">
        <v>0</v>
      </c>
      <c r="W104">
        <v>0</v>
      </c>
    </row>
    <row r="105" spans="1:23" x14ac:dyDescent="0.35">
      <c r="A105" t="s">
        <v>3</v>
      </c>
      <c r="B105" t="s">
        <v>107</v>
      </c>
      <c r="C105">
        <v>87453.1</v>
      </c>
      <c r="D105">
        <v>1.0577961219091601</v>
      </c>
      <c r="E105">
        <v>7.4313112480224083E-2</v>
      </c>
      <c r="F105">
        <v>94947.06</v>
      </c>
      <c r="G105">
        <v>-5865.0461574176588</v>
      </c>
      <c r="H105">
        <v>-5865.0461574176588</v>
      </c>
      <c r="I105">
        <v>-1.8291082924397311</v>
      </c>
      <c r="J105">
        <v>2.5130617181495941E-2</v>
      </c>
      <c r="K105">
        <v>1.2814714039774679</v>
      </c>
      <c r="L105">
        <v>-147.392229733867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0</v>
      </c>
      <c r="S105">
        <v>-5865.0461574176588</v>
      </c>
      <c r="T105">
        <v>-147.392229733867</v>
      </c>
      <c r="U105">
        <v>0</v>
      </c>
      <c r="V105">
        <v>0</v>
      </c>
      <c r="W105">
        <v>0</v>
      </c>
    </row>
    <row r="106" spans="1:23" x14ac:dyDescent="0.35">
      <c r="A106" t="s">
        <v>3</v>
      </c>
      <c r="B106" t="s">
        <v>108</v>
      </c>
      <c r="C106">
        <v>87635.6</v>
      </c>
      <c r="D106">
        <v>0.91188115287687932</v>
      </c>
      <c r="E106">
        <v>0.1156782480091941</v>
      </c>
      <c r="F106">
        <v>81871.73</v>
      </c>
      <c r="G106">
        <v>-6116.8052336188266</v>
      </c>
      <c r="H106">
        <v>-6116.8052336188266</v>
      </c>
      <c r="I106">
        <v>-1.69821973008127</v>
      </c>
      <c r="J106">
        <v>3.2406925850911747E-2</v>
      </c>
      <c r="K106">
        <v>1.0577961219091601</v>
      </c>
      <c r="L106">
        <v>-198.2268536503542</v>
      </c>
      <c r="M106">
        <v>0</v>
      </c>
      <c r="N106">
        <v>0</v>
      </c>
      <c r="O106">
        <v>0</v>
      </c>
      <c r="P106">
        <v>0</v>
      </c>
      <c r="Q106">
        <v>1</v>
      </c>
      <c r="R106">
        <v>0</v>
      </c>
      <c r="S106">
        <v>-6116.8052336188266</v>
      </c>
      <c r="T106">
        <v>-198.2268536503542</v>
      </c>
      <c r="U106">
        <v>0</v>
      </c>
      <c r="V106">
        <v>0</v>
      </c>
      <c r="W106">
        <v>0</v>
      </c>
    </row>
    <row r="107" spans="1:23" x14ac:dyDescent="0.35">
      <c r="A107" t="s">
        <v>3</v>
      </c>
      <c r="B107" t="s">
        <v>109</v>
      </c>
      <c r="C107">
        <v>87643.1</v>
      </c>
      <c r="D107">
        <v>0.80546605173127606</v>
      </c>
      <c r="E107">
        <v>0.59628767695213192</v>
      </c>
      <c r="F107">
        <v>77922.84</v>
      </c>
      <c r="G107">
        <v>1879.7276364797731</v>
      </c>
      <c r="H107">
        <v>1879.7276364797731</v>
      </c>
      <c r="I107">
        <v>-0.17746375029712469</v>
      </c>
      <c r="J107">
        <v>0.41218802721833608</v>
      </c>
      <c r="K107">
        <v>0.91188115287687932</v>
      </c>
      <c r="L107">
        <v>774.80122618838311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1879.7276364797731</v>
      </c>
      <c r="T107">
        <v>774.80122618838311</v>
      </c>
      <c r="U107">
        <v>0</v>
      </c>
      <c r="V107">
        <v>0</v>
      </c>
      <c r="W107">
        <v>0</v>
      </c>
    </row>
    <row r="108" spans="1:23" x14ac:dyDescent="0.35">
      <c r="A108" t="s">
        <v>110</v>
      </c>
      <c r="B108" t="s">
        <v>4</v>
      </c>
      <c r="C108">
        <v>75873.3</v>
      </c>
      <c r="F108">
        <v>5832.3329999999996</v>
      </c>
      <c r="G108">
        <v>-3714.5931994258599</v>
      </c>
      <c r="H108">
        <v>-3714.5931994258599</v>
      </c>
      <c r="M108">
        <v>0</v>
      </c>
      <c r="N108">
        <v>0</v>
      </c>
    </row>
    <row r="109" spans="1:23" x14ac:dyDescent="0.35">
      <c r="A109" t="s">
        <v>110</v>
      </c>
      <c r="B109" t="s">
        <v>5</v>
      </c>
      <c r="C109">
        <v>76406.600000000006</v>
      </c>
      <c r="F109">
        <v>5569.9409999999998</v>
      </c>
      <c r="G109">
        <v>-1919.831103877337</v>
      </c>
      <c r="H109">
        <v>-1919.831103877337</v>
      </c>
      <c r="M109">
        <v>0</v>
      </c>
      <c r="N109">
        <v>0</v>
      </c>
    </row>
    <row r="110" spans="1:23" x14ac:dyDescent="0.35">
      <c r="A110" t="s">
        <v>110</v>
      </c>
      <c r="B110" t="s">
        <v>6</v>
      </c>
      <c r="C110">
        <v>76789.7</v>
      </c>
      <c r="F110">
        <v>13816.67</v>
      </c>
      <c r="G110">
        <v>6474.4940275934759</v>
      </c>
      <c r="H110">
        <v>6474.4940275934759</v>
      </c>
      <c r="M110">
        <v>0</v>
      </c>
      <c r="N110">
        <v>0</v>
      </c>
    </row>
    <row r="111" spans="1:23" x14ac:dyDescent="0.35">
      <c r="A111" t="s">
        <v>110</v>
      </c>
      <c r="B111" t="s">
        <v>7</v>
      </c>
      <c r="C111">
        <v>77540.399999999994</v>
      </c>
      <c r="F111">
        <v>11881.05</v>
      </c>
      <c r="G111">
        <v>-3395.2229350538159</v>
      </c>
      <c r="H111">
        <v>-3395.2229350538159</v>
      </c>
      <c r="M111">
        <v>0</v>
      </c>
      <c r="N111">
        <v>0</v>
      </c>
    </row>
    <row r="112" spans="1:23" x14ac:dyDescent="0.35">
      <c r="A112" t="s">
        <v>110</v>
      </c>
      <c r="B112" t="s">
        <v>8</v>
      </c>
      <c r="C112">
        <v>77570.8</v>
      </c>
      <c r="D112">
        <v>2.2126223858204761</v>
      </c>
      <c r="F112">
        <v>22324.51</v>
      </c>
      <c r="G112">
        <v>9331.4609908810216</v>
      </c>
      <c r="H112">
        <v>9331.4609908810216</v>
      </c>
      <c r="M112">
        <v>0</v>
      </c>
      <c r="N112">
        <v>0</v>
      </c>
      <c r="Q112">
        <v>0</v>
      </c>
      <c r="R112">
        <v>1</v>
      </c>
      <c r="S112">
        <v>0</v>
      </c>
      <c r="U112">
        <v>0</v>
      </c>
      <c r="V112">
        <v>0</v>
      </c>
    </row>
    <row r="113" spans="1:23" x14ac:dyDescent="0.35">
      <c r="A113" t="s">
        <v>110</v>
      </c>
      <c r="B113" t="s">
        <v>9</v>
      </c>
      <c r="C113">
        <v>77575.3</v>
      </c>
      <c r="D113">
        <v>1.517999767638176</v>
      </c>
      <c r="F113">
        <v>13179.21</v>
      </c>
      <c r="G113">
        <v>-9943.8528374191192</v>
      </c>
      <c r="H113">
        <v>-9943.8528374191192</v>
      </c>
      <c r="K113">
        <v>2.2126223858204761</v>
      </c>
      <c r="M113">
        <v>0</v>
      </c>
      <c r="N113">
        <v>0</v>
      </c>
      <c r="Q113">
        <v>0</v>
      </c>
      <c r="R113">
        <v>1</v>
      </c>
      <c r="S113">
        <v>0</v>
      </c>
      <c r="U113">
        <v>0</v>
      </c>
      <c r="V113">
        <v>0</v>
      </c>
    </row>
    <row r="114" spans="1:23" x14ac:dyDescent="0.35">
      <c r="A114" t="s">
        <v>110</v>
      </c>
      <c r="B114" t="s">
        <v>10</v>
      </c>
      <c r="C114">
        <v>77456.899999999994</v>
      </c>
      <c r="D114">
        <v>0.8651136053807702</v>
      </c>
      <c r="F114">
        <v>25155.95</v>
      </c>
      <c r="G114">
        <v>11353.658528725049</v>
      </c>
      <c r="H114">
        <v>11353.658528725049</v>
      </c>
      <c r="K114">
        <v>1.517999767638176</v>
      </c>
      <c r="M114">
        <v>0</v>
      </c>
      <c r="N114">
        <v>0</v>
      </c>
      <c r="Q114">
        <v>0</v>
      </c>
      <c r="R114">
        <v>1</v>
      </c>
      <c r="S114">
        <v>0</v>
      </c>
      <c r="U114">
        <v>0</v>
      </c>
      <c r="V114">
        <v>0</v>
      </c>
    </row>
    <row r="115" spans="1:23" x14ac:dyDescent="0.35">
      <c r="A115" t="s">
        <v>110</v>
      </c>
      <c r="B115" t="s">
        <v>11</v>
      </c>
      <c r="C115">
        <v>77378.7</v>
      </c>
      <c r="D115">
        <v>-0.2087541932812339</v>
      </c>
      <c r="F115">
        <v>23448.18</v>
      </c>
      <c r="G115">
        <v>-2327.5821782993439</v>
      </c>
      <c r="H115">
        <v>-2327.5821782993439</v>
      </c>
      <c r="K115">
        <v>0.8651136053807702</v>
      </c>
      <c r="M115">
        <v>0</v>
      </c>
      <c r="N115">
        <v>0</v>
      </c>
      <c r="Q115">
        <v>0</v>
      </c>
      <c r="R115">
        <v>1</v>
      </c>
      <c r="S115">
        <v>0</v>
      </c>
      <c r="U115">
        <v>0</v>
      </c>
      <c r="V115">
        <v>0</v>
      </c>
    </row>
    <row r="116" spans="1:23" x14ac:dyDescent="0.35">
      <c r="A116" t="s">
        <v>110</v>
      </c>
      <c r="B116" t="s">
        <v>12</v>
      </c>
      <c r="C116">
        <v>78027.199999999997</v>
      </c>
      <c r="D116">
        <v>0.58664161353006805</v>
      </c>
      <c r="E116">
        <v>0.54577569255437786</v>
      </c>
      <c r="F116">
        <v>22597.360000000001</v>
      </c>
      <c r="G116">
        <v>-922.17355643885821</v>
      </c>
      <c r="H116">
        <v>-922.17355643885821</v>
      </c>
      <c r="I116">
        <v>-0.33729499308526451</v>
      </c>
      <c r="J116">
        <v>0.33746982922893881</v>
      </c>
      <c r="K116">
        <v>-0.2087541932812339</v>
      </c>
      <c r="L116">
        <v>-311.20575261086458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1:23" x14ac:dyDescent="0.35">
      <c r="A117" t="s">
        <v>110</v>
      </c>
      <c r="B117" t="s">
        <v>13</v>
      </c>
      <c r="C117">
        <v>78683.399999999994</v>
      </c>
      <c r="D117">
        <v>1.4183128049713991</v>
      </c>
      <c r="E117">
        <v>0.65700588022837603</v>
      </c>
      <c r="F117">
        <v>17938.45</v>
      </c>
      <c r="G117">
        <v>-4851.7453407365683</v>
      </c>
      <c r="H117">
        <v>-4851.7453407365683</v>
      </c>
      <c r="I117">
        <v>1.4662257128877299E-2</v>
      </c>
      <c r="J117">
        <v>0.50733060325657842</v>
      </c>
      <c r="K117">
        <v>0.58664161353006805</v>
      </c>
      <c r="L117">
        <v>-2461.4388905631772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</row>
    <row r="118" spans="1:23" x14ac:dyDescent="0.35">
      <c r="A118" t="s">
        <v>110</v>
      </c>
      <c r="B118" t="s">
        <v>14</v>
      </c>
      <c r="C118">
        <v>79133.7</v>
      </c>
      <c r="D118">
        <v>2.1417174396694589</v>
      </c>
      <c r="E118">
        <v>0.69356450876759601</v>
      </c>
      <c r="F118">
        <v>14136.45</v>
      </c>
      <c r="G118">
        <v>-4222.8378093282299</v>
      </c>
      <c r="H118">
        <v>-4222.8378093282299</v>
      </c>
      <c r="I118">
        <v>0.13034195381316149</v>
      </c>
      <c r="J118">
        <v>0.56480440400798904</v>
      </c>
      <c r="K118">
        <v>1.4183128049713991</v>
      </c>
      <c r="L118">
        <v>-2385.077392120033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1:23" x14ac:dyDescent="0.35">
      <c r="A119" t="s">
        <v>110</v>
      </c>
      <c r="B119" t="s">
        <v>15</v>
      </c>
      <c r="C119">
        <v>79428.3</v>
      </c>
      <c r="D119">
        <v>2.6143178998773222</v>
      </c>
      <c r="E119">
        <v>0.81568632641409389</v>
      </c>
      <c r="F119">
        <v>27832.880000000001</v>
      </c>
      <c r="G119">
        <v>12885.617455236321</v>
      </c>
      <c r="H119">
        <v>12885.617455236321</v>
      </c>
      <c r="I119">
        <v>0.51676276302718649</v>
      </c>
      <c r="J119">
        <v>0.7375988214723862</v>
      </c>
      <c r="K119">
        <v>2.1417174396694589</v>
      </c>
      <c r="L119">
        <v>9504.4162489263217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1:23" x14ac:dyDescent="0.35">
      <c r="A120" t="s">
        <v>110</v>
      </c>
      <c r="B120" t="s">
        <v>16</v>
      </c>
      <c r="C120">
        <v>79202.5</v>
      </c>
      <c r="D120">
        <v>1.4950380128423659</v>
      </c>
      <c r="E120">
        <v>0.67950775284879883</v>
      </c>
      <c r="F120">
        <v>25718.62</v>
      </c>
      <c r="G120">
        <v>-2578.9762101676129</v>
      </c>
      <c r="H120">
        <v>-2578.9762101676129</v>
      </c>
      <c r="I120">
        <v>8.5863226737636217E-2</v>
      </c>
      <c r="J120">
        <v>0.54282641922541441</v>
      </c>
      <c r="K120">
        <v>2.6143178998773222</v>
      </c>
      <c r="L120">
        <v>-1399.936421432815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1:23" x14ac:dyDescent="0.35">
      <c r="A121" t="s">
        <v>110</v>
      </c>
      <c r="B121" t="s">
        <v>17</v>
      </c>
      <c r="C121">
        <v>79359.7</v>
      </c>
      <c r="D121">
        <v>0.85584771255906278</v>
      </c>
      <c r="E121">
        <v>0.68865530631092642</v>
      </c>
      <c r="F121">
        <v>34454.82</v>
      </c>
      <c r="G121">
        <v>8892.3153268391106</v>
      </c>
      <c r="H121">
        <v>8892.3153268391106</v>
      </c>
      <c r="I121">
        <v>0.1148081366586135</v>
      </c>
      <c r="J121">
        <v>0.55715317844314849</v>
      </c>
      <c r="K121">
        <v>1.4950380128423659</v>
      </c>
      <c r="L121">
        <v>4954.381748067135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</row>
    <row r="122" spans="1:23" x14ac:dyDescent="0.35">
      <c r="A122" t="s">
        <v>110</v>
      </c>
      <c r="B122" t="s">
        <v>18</v>
      </c>
      <c r="C122">
        <v>79714.600000000006</v>
      </c>
      <c r="D122">
        <v>0.73139289439246424</v>
      </c>
      <c r="E122">
        <v>0.75771282840573362</v>
      </c>
      <c r="F122">
        <v>23886.34</v>
      </c>
      <c r="G122">
        <v>-10175.62221530782</v>
      </c>
      <c r="H122">
        <v>-10175.62221530782</v>
      </c>
      <c r="I122">
        <v>0.33332161839728042</v>
      </c>
      <c r="J122">
        <v>0.66075111676705878</v>
      </c>
      <c r="K122">
        <v>0.85584771255906278</v>
      </c>
      <c r="L122">
        <v>-6723.5537425643324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-10175.62221530782</v>
      </c>
      <c r="T122">
        <v>-6723.5537425643324</v>
      </c>
      <c r="U122">
        <v>0</v>
      </c>
      <c r="V122">
        <v>0</v>
      </c>
      <c r="W122">
        <v>0</v>
      </c>
    </row>
    <row r="123" spans="1:23" x14ac:dyDescent="0.35">
      <c r="A123" t="s">
        <v>110</v>
      </c>
      <c r="B123" t="s">
        <v>19</v>
      </c>
      <c r="C123">
        <v>80268.3</v>
      </c>
      <c r="D123">
        <v>1.052004547348774</v>
      </c>
      <c r="E123">
        <v>0.77472978373297285</v>
      </c>
      <c r="F123">
        <v>12058.21</v>
      </c>
      <c r="G123">
        <v>-11403.891117199109</v>
      </c>
      <c r="H123">
        <v>-11403.891117199109</v>
      </c>
      <c r="I123">
        <v>0.38716708004071237</v>
      </c>
      <c r="J123">
        <v>0.6844577129777335</v>
      </c>
      <c r="K123">
        <v>0.73139289439246424</v>
      </c>
      <c r="L123">
        <v>-7805.4812331251951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-11403.891117199109</v>
      </c>
      <c r="T123">
        <v>-7805.4812331251951</v>
      </c>
      <c r="U123">
        <v>0</v>
      </c>
      <c r="V123">
        <v>0</v>
      </c>
      <c r="W123">
        <v>0</v>
      </c>
    </row>
    <row r="124" spans="1:23" x14ac:dyDescent="0.35">
      <c r="A124" t="s">
        <v>110</v>
      </c>
      <c r="B124" t="s">
        <v>20</v>
      </c>
      <c r="C124">
        <v>81454.899999999994</v>
      </c>
      <c r="D124">
        <v>2.8041628866897348</v>
      </c>
      <c r="E124">
        <v>0.76069224990823503</v>
      </c>
      <c r="F124">
        <v>16122.31</v>
      </c>
      <c r="G124">
        <v>3477.0160780143342</v>
      </c>
      <c r="H124">
        <v>3477.0160780143342</v>
      </c>
      <c r="I124">
        <v>0.34274917598014337</v>
      </c>
      <c r="J124">
        <v>0.66496476568377705</v>
      </c>
      <c r="K124">
        <v>1.052004547348774</v>
      </c>
      <c r="L124">
        <v>2312.0931815955269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3477.0160780143342</v>
      </c>
      <c r="T124">
        <v>2312.0931815955269</v>
      </c>
      <c r="U124">
        <v>0</v>
      </c>
      <c r="V124">
        <v>0</v>
      </c>
      <c r="W124">
        <v>0</v>
      </c>
    </row>
    <row r="125" spans="1:23" x14ac:dyDescent="0.35">
      <c r="A125" t="s">
        <v>110</v>
      </c>
      <c r="B125" t="s">
        <v>21</v>
      </c>
      <c r="C125">
        <v>82225.8</v>
      </c>
      <c r="D125">
        <v>3.547843870128736</v>
      </c>
      <c r="E125">
        <v>0.81512584518661135</v>
      </c>
      <c r="F125">
        <v>9975.3389999999999</v>
      </c>
      <c r="G125">
        <v>-7181.6860400218247</v>
      </c>
      <c r="H125">
        <v>-7181.6860400218247</v>
      </c>
      <c r="I125">
        <v>0.51498927477056722</v>
      </c>
      <c r="J125">
        <v>0.73691173719341518</v>
      </c>
      <c r="K125">
        <v>2.8041628866897348</v>
      </c>
      <c r="L125">
        <v>-5292.2687357301811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-7181.6860400218247</v>
      </c>
      <c r="T125">
        <v>-5292.2687357301811</v>
      </c>
      <c r="U125">
        <v>0</v>
      </c>
      <c r="V125">
        <v>0</v>
      </c>
      <c r="W125">
        <v>0</v>
      </c>
    </row>
    <row r="126" spans="1:23" x14ac:dyDescent="0.35">
      <c r="A126" t="s">
        <v>110</v>
      </c>
      <c r="B126" t="s">
        <v>22</v>
      </c>
      <c r="C126">
        <v>82973.7</v>
      </c>
      <c r="D126">
        <v>4.0070934143058849</v>
      </c>
      <c r="E126">
        <v>0.20608160327408201</v>
      </c>
      <c r="F126">
        <v>14397.81</v>
      </c>
      <c r="G126">
        <v>3353.6931959349681</v>
      </c>
      <c r="H126">
        <v>3353.6931959349681</v>
      </c>
      <c r="I126">
        <v>-1.412163246724278</v>
      </c>
      <c r="J126">
        <v>5.6023686829437147E-2</v>
      </c>
      <c r="K126">
        <v>3.547843870128736</v>
      </c>
      <c r="L126">
        <v>187.88625733107489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1</v>
      </c>
      <c r="S126">
        <v>0</v>
      </c>
      <c r="T126">
        <v>0</v>
      </c>
      <c r="U126">
        <v>0</v>
      </c>
      <c r="V126">
        <v>0</v>
      </c>
      <c r="W126">
        <v>0</v>
      </c>
    </row>
    <row r="127" spans="1:23" x14ac:dyDescent="0.35">
      <c r="A127" t="s">
        <v>110</v>
      </c>
      <c r="B127" t="s">
        <v>23</v>
      </c>
      <c r="C127">
        <v>83266.600000000006</v>
      </c>
      <c r="D127">
        <v>3.6672734985803959</v>
      </c>
      <c r="E127">
        <v>0.19670353757402129</v>
      </c>
      <c r="F127">
        <v>13202.73</v>
      </c>
      <c r="G127">
        <v>-2405.1200373209231</v>
      </c>
      <c r="H127">
        <v>-2405.1200373209231</v>
      </c>
      <c r="I127">
        <v>-1.4418375490440289</v>
      </c>
      <c r="J127">
        <v>5.296648651188797E-2</v>
      </c>
      <c r="K127">
        <v>4.0070934143058849</v>
      </c>
      <c r="L127">
        <v>-127.39075801623019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1:23" x14ac:dyDescent="0.35">
      <c r="A128" t="s">
        <v>110</v>
      </c>
      <c r="B128" t="s">
        <v>24</v>
      </c>
      <c r="C128">
        <v>83686</v>
      </c>
      <c r="D128">
        <v>2.7022206621350038</v>
      </c>
      <c r="E128">
        <v>0.38511587816778919</v>
      </c>
      <c r="F128">
        <v>11537.9</v>
      </c>
      <c r="G128">
        <v>-2694.6719418449161</v>
      </c>
      <c r="H128">
        <v>-2694.6719418449161</v>
      </c>
      <c r="I128">
        <v>-0.84565866372066467</v>
      </c>
      <c r="J128">
        <v>0.15560267729732299</v>
      </c>
      <c r="K128">
        <v>3.6672734985803959</v>
      </c>
      <c r="L128">
        <v>-419.29816858904519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1:23" x14ac:dyDescent="0.35">
      <c r="A129" t="s">
        <v>110</v>
      </c>
      <c r="B129" t="s">
        <v>25</v>
      </c>
      <c r="C129">
        <v>84174.1</v>
      </c>
      <c r="D129">
        <v>2.3418151550462252</v>
      </c>
      <c r="E129">
        <v>5.9770992893119303E-2</v>
      </c>
      <c r="F129">
        <v>11866.98</v>
      </c>
      <c r="G129">
        <v>-828.06583405836682</v>
      </c>
      <c r="H129">
        <v>-828.06583405836682</v>
      </c>
      <c r="I129">
        <v>-1.8751228189742319</v>
      </c>
      <c r="J129">
        <v>2.2971856129019402E-2</v>
      </c>
      <c r="K129">
        <v>2.7022206621350038</v>
      </c>
      <c r="L129">
        <v>-19.022209205345249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1:23" x14ac:dyDescent="0.35">
      <c r="A130" t="s">
        <v>110</v>
      </c>
      <c r="B130" t="s">
        <v>26</v>
      </c>
      <c r="C130">
        <v>84537.4</v>
      </c>
      <c r="D130">
        <v>1.8670349879750521</v>
      </c>
      <c r="E130">
        <v>0.1056651868539355</v>
      </c>
      <c r="F130">
        <v>20193.73</v>
      </c>
      <c r="G130">
        <v>7096.9915636258847</v>
      </c>
      <c r="H130">
        <v>7096.9915636258847</v>
      </c>
      <c r="I130">
        <v>-1.729903300379287</v>
      </c>
      <c r="J130">
        <v>3.0477747471768589E-2</v>
      </c>
      <c r="K130">
        <v>2.3418151550462252</v>
      </c>
      <c r="L130">
        <v>216.30031668546181</v>
      </c>
      <c r="M130">
        <v>0</v>
      </c>
      <c r="N130">
        <v>0</v>
      </c>
      <c r="O130">
        <v>0</v>
      </c>
      <c r="P130">
        <v>0</v>
      </c>
      <c r="Q130">
        <v>1</v>
      </c>
      <c r="R130">
        <v>0</v>
      </c>
      <c r="S130">
        <v>7096.9915636258847</v>
      </c>
      <c r="T130">
        <v>216.30031668546181</v>
      </c>
      <c r="U130">
        <v>0</v>
      </c>
      <c r="V130">
        <v>0</v>
      </c>
      <c r="W130">
        <v>0</v>
      </c>
    </row>
    <row r="131" spans="1:23" x14ac:dyDescent="0.35">
      <c r="A131" t="s">
        <v>110</v>
      </c>
      <c r="B131" t="s">
        <v>27</v>
      </c>
      <c r="C131">
        <v>85183.4</v>
      </c>
      <c r="D131">
        <v>2.2759070789047029</v>
      </c>
      <c r="E131">
        <v>-0.11554832557212739</v>
      </c>
      <c r="F131">
        <v>12165.63</v>
      </c>
      <c r="G131">
        <v>-8911.6409368498116</v>
      </c>
      <c r="H131">
        <v>-8911.6409368498116</v>
      </c>
      <c r="I131">
        <v>-2.429872446991538</v>
      </c>
      <c r="J131">
        <v>7.6928230253426703E-3</v>
      </c>
      <c r="K131">
        <v>1.8670349879750521</v>
      </c>
      <c r="L131">
        <v>-68.555676592584561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</row>
    <row r="132" spans="1:23" x14ac:dyDescent="0.35">
      <c r="A132" t="s">
        <v>110</v>
      </c>
      <c r="B132" t="s">
        <v>28</v>
      </c>
      <c r="C132">
        <v>85688.8</v>
      </c>
      <c r="D132">
        <v>2.365042914817161</v>
      </c>
      <c r="E132">
        <v>-4.109809263862331E-2</v>
      </c>
      <c r="F132">
        <v>11552.83</v>
      </c>
      <c r="G132">
        <v>-1385.556303605184</v>
      </c>
      <c r="H132">
        <v>-1385.556303605184</v>
      </c>
      <c r="I132">
        <v>-2.194295219181071</v>
      </c>
      <c r="J132">
        <v>1.226590047317661E-2</v>
      </c>
      <c r="K132">
        <v>2.2759070789047029</v>
      </c>
      <c r="L132">
        <v>-16.995095720003668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0</v>
      </c>
      <c r="S132">
        <v>-1385.556303605184</v>
      </c>
      <c r="T132">
        <v>-16.995095720003668</v>
      </c>
      <c r="U132">
        <v>0</v>
      </c>
      <c r="V132">
        <v>0</v>
      </c>
      <c r="W132">
        <v>0</v>
      </c>
    </row>
    <row r="133" spans="1:23" x14ac:dyDescent="0.35">
      <c r="A133" t="s">
        <v>110</v>
      </c>
      <c r="B133" t="s">
        <v>29</v>
      </c>
      <c r="C133">
        <v>85981.4</v>
      </c>
      <c r="D133">
        <v>2.1243720812763032</v>
      </c>
      <c r="E133">
        <v>0.27387295758055252</v>
      </c>
      <c r="F133">
        <v>8235.1579999999994</v>
      </c>
      <c r="G133">
        <v>-4527.5681324086381</v>
      </c>
      <c r="H133">
        <v>-4527.5681324086381</v>
      </c>
      <c r="I133">
        <v>-1.197656203726853</v>
      </c>
      <c r="J133">
        <v>8.3530848001436786E-2</v>
      </c>
      <c r="K133">
        <v>2.365042914817161</v>
      </c>
      <c r="L133">
        <v>-378.19160548437497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</row>
    <row r="134" spans="1:23" x14ac:dyDescent="0.35">
      <c r="A134" t="s">
        <v>110</v>
      </c>
      <c r="B134" t="s">
        <v>30</v>
      </c>
      <c r="C134">
        <v>86771.5</v>
      </c>
      <c r="D134">
        <v>2.6084186743402009</v>
      </c>
      <c r="E134">
        <v>0.71043513071673781</v>
      </c>
      <c r="F134">
        <v>11854.69</v>
      </c>
      <c r="G134">
        <v>2246.9163671678002</v>
      </c>
      <c r="H134">
        <v>2246.9163671678002</v>
      </c>
      <c r="I134">
        <v>0.1837243838421844</v>
      </c>
      <c r="J134">
        <v>0.59084236721959715</v>
      </c>
      <c r="K134">
        <v>2.1243720812763032</v>
      </c>
      <c r="L134">
        <v>1327.5733853218801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1:23" x14ac:dyDescent="0.35">
      <c r="A135" t="s">
        <v>110</v>
      </c>
      <c r="B135" t="s">
        <v>31</v>
      </c>
      <c r="C135">
        <v>87755.3</v>
      </c>
      <c r="D135">
        <v>2.9745680210854561</v>
      </c>
      <c r="E135">
        <v>0.69881550310560425</v>
      </c>
      <c r="F135">
        <v>9051.4310000000005</v>
      </c>
      <c r="G135">
        <v>-4203.3719888323176</v>
      </c>
      <c r="H135">
        <v>-4203.3719888323176</v>
      </c>
      <c r="I135">
        <v>0.14695727710571971</v>
      </c>
      <c r="J135">
        <v>0.5729542093743627</v>
      </c>
      <c r="K135">
        <v>2.6084186743402009</v>
      </c>
      <c r="L135">
        <v>-2408.3396745677628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</row>
    <row r="136" spans="1:23" x14ac:dyDescent="0.35">
      <c r="A136" t="s">
        <v>110</v>
      </c>
      <c r="B136" t="s">
        <v>32</v>
      </c>
      <c r="C136">
        <v>88982.8</v>
      </c>
      <c r="D136">
        <v>3.7720964013177412</v>
      </c>
      <c r="E136">
        <v>0.76030160341924424</v>
      </c>
      <c r="F136">
        <v>13357.51</v>
      </c>
      <c r="G136">
        <v>2981.2693730277952</v>
      </c>
      <c r="H136">
        <v>2981.2693730277952</v>
      </c>
      <c r="I136">
        <v>0.34151308291093119</v>
      </c>
      <c r="J136">
        <v>0.66441377124703604</v>
      </c>
      <c r="K136">
        <v>2.9745680210854561</v>
      </c>
      <c r="L136">
        <v>1980.7964272366839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1:23" x14ac:dyDescent="0.35">
      <c r="A137" t="s">
        <v>110</v>
      </c>
      <c r="B137" t="s">
        <v>33</v>
      </c>
      <c r="C137">
        <v>89376.8</v>
      </c>
      <c r="D137">
        <v>3.8730146879457901</v>
      </c>
      <c r="E137">
        <v>0.72944083083215916</v>
      </c>
      <c r="F137">
        <v>18459.61</v>
      </c>
      <c r="G137">
        <v>3803.4009892178929</v>
      </c>
      <c r="H137">
        <v>3803.4009892178929</v>
      </c>
      <c r="I137">
        <v>0.24386267984707369</v>
      </c>
      <c r="J137">
        <v>0.61957043901396625</v>
      </c>
      <c r="K137">
        <v>3.7720964013177412</v>
      </c>
      <c r="L137">
        <v>2356.474820635884</v>
      </c>
      <c r="M137">
        <v>0</v>
      </c>
      <c r="N137">
        <v>0</v>
      </c>
      <c r="O137">
        <v>0</v>
      </c>
      <c r="P137">
        <v>0</v>
      </c>
      <c r="Q137">
        <v>1</v>
      </c>
      <c r="R137">
        <v>0</v>
      </c>
      <c r="S137">
        <v>3803.4009892178929</v>
      </c>
      <c r="T137">
        <v>2356.474820635884</v>
      </c>
      <c r="U137">
        <v>0</v>
      </c>
      <c r="V137">
        <v>0</v>
      </c>
      <c r="W137">
        <v>0</v>
      </c>
    </row>
    <row r="138" spans="1:23" x14ac:dyDescent="0.35">
      <c r="A138" t="s">
        <v>110</v>
      </c>
      <c r="B138" t="s">
        <v>34</v>
      </c>
      <c r="C138">
        <v>90101.3</v>
      </c>
      <c r="D138">
        <v>3.765636618631143</v>
      </c>
      <c r="E138">
        <v>0.6551747271963213</v>
      </c>
      <c r="F138">
        <v>21867.71</v>
      </c>
      <c r="G138">
        <v>2532.642848660435</v>
      </c>
      <c r="H138">
        <v>2532.642848660435</v>
      </c>
      <c r="I138">
        <v>8.8680784139030765E-3</v>
      </c>
      <c r="J138">
        <v>0.50443392297549983</v>
      </c>
      <c r="K138">
        <v>3.8730146879457901</v>
      </c>
      <c r="L138">
        <v>1277.5509676456279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0</v>
      </c>
      <c r="W138">
        <v>0</v>
      </c>
    </row>
    <row r="139" spans="1:23" x14ac:dyDescent="0.35">
      <c r="A139" t="s">
        <v>110</v>
      </c>
      <c r="B139" t="s">
        <v>35</v>
      </c>
      <c r="C139">
        <v>90465.600000000006</v>
      </c>
      <c r="D139">
        <v>3.0417408565899748</v>
      </c>
      <c r="E139">
        <v>0.68241731665205063</v>
      </c>
      <c r="F139">
        <v>13843.68</v>
      </c>
      <c r="G139">
        <v>-8502.2952960938928</v>
      </c>
      <c r="H139">
        <v>-8502.2952960938928</v>
      </c>
      <c r="I139">
        <v>9.5069738898853132E-2</v>
      </c>
      <c r="J139">
        <v>0.5473921745512097</v>
      </c>
      <c r="K139">
        <v>3.765636618631143</v>
      </c>
      <c r="L139">
        <v>-4654.0899108053572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</row>
    <row r="140" spans="1:23" x14ac:dyDescent="0.35">
      <c r="A140" t="s">
        <v>110</v>
      </c>
      <c r="B140" t="s">
        <v>36</v>
      </c>
      <c r="C140">
        <v>90838.8</v>
      </c>
      <c r="D140">
        <v>2.0643414482116951</v>
      </c>
      <c r="E140">
        <v>0.74442336226857053</v>
      </c>
      <c r="F140">
        <v>13176.87</v>
      </c>
      <c r="G140">
        <v>-1287.1085488489391</v>
      </c>
      <c r="H140">
        <v>-1287.1085488489391</v>
      </c>
      <c r="I140">
        <v>0.29127076820759512</v>
      </c>
      <c r="J140">
        <v>0.64165200392132804</v>
      </c>
      <c r="K140">
        <v>3.0417408565899748</v>
      </c>
      <c r="L140">
        <v>-825.87577963319416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1</v>
      </c>
      <c r="S140">
        <v>0</v>
      </c>
      <c r="T140">
        <v>0</v>
      </c>
      <c r="U140">
        <v>0</v>
      </c>
      <c r="V140">
        <v>0</v>
      </c>
      <c r="W140">
        <v>0</v>
      </c>
    </row>
    <row r="141" spans="1:23" x14ac:dyDescent="0.35">
      <c r="A141" t="s">
        <v>110</v>
      </c>
      <c r="B141" t="s">
        <v>37</v>
      </c>
      <c r="C141">
        <v>90882.8</v>
      </c>
      <c r="D141">
        <v>1.670962368587485</v>
      </c>
      <c r="E141">
        <v>0.30576431027143081</v>
      </c>
      <c r="F141">
        <v>18019.05</v>
      </c>
      <c r="G141">
        <v>3782.8150578267828</v>
      </c>
      <c r="H141">
        <v>3782.8150578267828</v>
      </c>
      <c r="I141">
        <v>-1.096744814171454</v>
      </c>
      <c r="J141">
        <v>0.1003366479632377</v>
      </c>
      <c r="K141">
        <v>2.0643414482116951</v>
      </c>
      <c r="L141">
        <v>379.55498276720073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</row>
    <row r="142" spans="1:23" x14ac:dyDescent="0.35">
      <c r="A142" t="s">
        <v>110</v>
      </c>
      <c r="B142" t="s">
        <v>38</v>
      </c>
      <c r="C142">
        <v>90385.5</v>
      </c>
      <c r="D142">
        <v>0.31492633797922809</v>
      </c>
      <c r="E142">
        <v>0.42455071633734759</v>
      </c>
      <c r="F142">
        <v>14048.15</v>
      </c>
      <c r="G142">
        <v>-4873.0704452221198</v>
      </c>
      <c r="H142">
        <v>-4873.0704452221198</v>
      </c>
      <c r="I142">
        <v>-0.72087799495584881</v>
      </c>
      <c r="J142">
        <v>0.19127357074177931</v>
      </c>
      <c r="K142">
        <v>1.670962368587485</v>
      </c>
      <c r="L142">
        <v>-932.08958453386686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</row>
    <row r="143" spans="1:23" x14ac:dyDescent="0.35">
      <c r="A143" t="s">
        <v>110</v>
      </c>
      <c r="B143" t="s">
        <v>39</v>
      </c>
      <c r="C143">
        <v>88423.5</v>
      </c>
      <c r="D143">
        <v>-2.2831896529087889</v>
      </c>
      <c r="E143">
        <v>0.69978234135802564</v>
      </c>
      <c r="F143">
        <v>13245.42</v>
      </c>
      <c r="G143">
        <v>-1612.889016524221</v>
      </c>
      <c r="H143">
        <v>-1612.889016524221</v>
      </c>
      <c r="I143">
        <v>0.1500165700893962</v>
      </c>
      <c r="J143">
        <v>0.57445061818382859</v>
      </c>
      <c r="K143">
        <v>0.31492633797922809</v>
      </c>
      <c r="L143">
        <v>-926.52509260424608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1:23" x14ac:dyDescent="0.35">
      <c r="A144" t="s">
        <v>110</v>
      </c>
      <c r="B144" t="s">
        <v>40</v>
      </c>
      <c r="C144">
        <v>87541.4</v>
      </c>
      <c r="D144">
        <v>-3.6974682786550281</v>
      </c>
      <c r="E144">
        <v>0.65809837129684257</v>
      </c>
      <c r="F144">
        <v>21794.11</v>
      </c>
      <c r="G144">
        <v>7502.5523747752904</v>
      </c>
      <c r="H144">
        <v>7502.5523747752904</v>
      </c>
      <c r="I144">
        <v>1.811914379230669E-2</v>
      </c>
      <c r="J144">
        <v>0.50905858059699838</v>
      </c>
      <c r="K144">
        <v>-2.2831896529087889</v>
      </c>
      <c r="L144">
        <v>3819.2386627577489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</row>
    <row r="145" spans="1:23" x14ac:dyDescent="0.35">
      <c r="A145" t="s">
        <v>110</v>
      </c>
      <c r="B145" t="s">
        <v>41</v>
      </c>
      <c r="C145">
        <v>87678.8</v>
      </c>
      <c r="D145">
        <v>-3.589062738271954</v>
      </c>
      <c r="E145">
        <v>0.69709894508233761</v>
      </c>
      <c r="F145">
        <v>18972.07</v>
      </c>
      <c r="G145">
        <v>-3571.395125890052</v>
      </c>
      <c r="H145">
        <v>-3571.395125890052</v>
      </c>
      <c r="I145">
        <v>0.1415257026893153</v>
      </c>
      <c r="J145">
        <v>0.57029415731880329</v>
      </c>
      <c r="K145">
        <v>-3.6974682786550281</v>
      </c>
      <c r="L145">
        <v>-2036.745773771949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1:23" x14ac:dyDescent="0.35">
      <c r="A146" t="s">
        <v>110</v>
      </c>
      <c r="B146" t="s">
        <v>42</v>
      </c>
      <c r="C146">
        <v>88900.3</v>
      </c>
      <c r="D146">
        <v>-1.6568339210527681</v>
      </c>
      <c r="E146">
        <v>0.79047832069970592</v>
      </c>
      <c r="F146">
        <v>14507.25</v>
      </c>
      <c r="G146">
        <v>-4886.0951899900501</v>
      </c>
      <c r="H146">
        <v>-4886.0951899900501</v>
      </c>
      <c r="I146">
        <v>0.43699898162800832</v>
      </c>
      <c r="J146">
        <v>0.70557690948221119</v>
      </c>
      <c r="K146">
        <v>-3.589062738271954</v>
      </c>
      <c r="L146">
        <v>-3447.5159435890769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1:23" x14ac:dyDescent="0.35">
      <c r="A147" t="s">
        <v>110</v>
      </c>
      <c r="B147" t="s">
        <v>43</v>
      </c>
      <c r="C147">
        <v>89536.7</v>
      </c>
      <c r="D147">
        <v>1.2510825677552619</v>
      </c>
      <c r="E147">
        <v>0.84901658949478198</v>
      </c>
      <c r="F147">
        <v>18951.79</v>
      </c>
      <c r="G147">
        <v>3701.552958534176</v>
      </c>
      <c r="H147">
        <v>3701.552958534176</v>
      </c>
      <c r="I147">
        <v>0.62222718764161322</v>
      </c>
      <c r="J147">
        <v>0.7763384109342788</v>
      </c>
      <c r="K147">
        <v>-1.6568339210527681</v>
      </c>
      <c r="L147">
        <v>2873.6577418175002</v>
      </c>
      <c r="M147">
        <v>0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3701.552958534176</v>
      </c>
      <c r="T147">
        <v>2873.6577418175002</v>
      </c>
      <c r="U147">
        <v>0</v>
      </c>
      <c r="V147">
        <v>0</v>
      </c>
      <c r="W147">
        <v>0</v>
      </c>
    </row>
    <row r="148" spans="1:23" x14ac:dyDescent="0.35">
      <c r="A148" t="s">
        <v>110</v>
      </c>
      <c r="B148" t="s">
        <v>44</v>
      </c>
      <c r="C148">
        <v>89884.1</v>
      </c>
      <c r="D148">
        <v>2.640923833020131</v>
      </c>
      <c r="E148">
        <v>0.85073478767645749</v>
      </c>
      <c r="F148">
        <v>19711.91</v>
      </c>
      <c r="G148">
        <v>-36.739168690150109</v>
      </c>
      <c r="H148">
        <v>-36.739168690150109</v>
      </c>
      <c r="I148">
        <v>0.62766395188692625</v>
      </c>
      <c r="J148">
        <v>0.77822078404779926</v>
      </c>
      <c r="K148">
        <v>1.2510825677552619</v>
      </c>
      <c r="L148">
        <v>-28.59118466331298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-36.739168690150109</v>
      </c>
      <c r="T148">
        <v>-28.59118466331298</v>
      </c>
      <c r="U148">
        <v>0</v>
      </c>
      <c r="V148">
        <v>0</v>
      </c>
      <c r="W148">
        <v>0</v>
      </c>
    </row>
    <row r="149" spans="1:23" x14ac:dyDescent="0.35">
      <c r="A149" t="s">
        <v>110</v>
      </c>
      <c r="B149" t="s">
        <v>45</v>
      </c>
      <c r="C149">
        <v>90704.5</v>
      </c>
      <c r="D149">
        <v>3.3926833028147598</v>
      </c>
      <c r="E149">
        <v>0.92664843635474725</v>
      </c>
      <c r="F149">
        <v>21449.03</v>
      </c>
      <c r="G149">
        <v>1198.9148978520791</v>
      </c>
      <c r="H149">
        <v>1198.9148978520791</v>
      </c>
      <c r="I149">
        <v>0.86787175519335835</v>
      </c>
      <c r="J149">
        <v>0.85014560477506962</v>
      </c>
      <c r="K149">
        <v>2.640923833020131</v>
      </c>
      <c r="L149">
        <v>1019.252230908296</v>
      </c>
      <c r="M149">
        <v>0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1198.9148978520791</v>
      </c>
      <c r="T149">
        <v>1019.252230908296</v>
      </c>
      <c r="U149">
        <v>0</v>
      </c>
      <c r="V149">
        <v>0</v>
      </c>
      <c r="W149">
        <v>0</v>
      </c>
    </row>
    <row r="150" spans="1:23" x14ac:dyDescent="0.35">
      <c r="A150" t="s">
        <v>110</v>
      </c>
      <c r="B150" t="s">
        <v>46</v>
      </c>
      <c r="C150">
        <v>91064</v>
      </c>
      <c r="D150">
        <v>2.4047038930572771</v>
      </c>
      <c r="E150">
        <v>0.9124988069151545</v>
      </c>
      <c r="F150">
        <v>19653.439999999999</v>
      </c>
      <c r="G150">
        <v>-2226.0035218636149</v>
      </c>
      <c r="H150">
        <v>-2226.0035218636149</v>
      </c>
      <c r="I150">
        <v>0.82309915547695689</v>
      </c>
      <c r="J150">
        <v>0.83837657908759611</v>
      </c>
      <c r="K150">
        <v>3.3926833028147598</v>
      </c>
      <c r="L150">
        <v>-1866.2292176969579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0</v>
      </c>
    </row>
    <row r="151" spans="1:23" x14ac:dyDescent="0.35">
      <c r="A151" t="s">
        <v>110</v>
      </c>
      <c r="B151" t="s">
        <v>47</v>
      </c>
      <c r="C151">
        <v>91589.8</v>
      </c>
      <c r="D151">
        <v>2.2671314671208451</v>
      </c>
      <c r="E151">
        <v>0.64653971561666157</v>
      </c>
      <c r="F151">
        <v>14901.64</v>
      </c>
      <c r="G151">
        <v>-5163.8778878903649</v>
      </c>
      <c r="H151">
        <v>-5163.8778878903649</v>
      </c>
      <c r="I151">
        <v>-1.8455034085481509E-2</v>
      </c>
      <c r="J151">
        <v>0.49077353040928839</v>
      </c>
      <c r="K151">
        <v>2.4047038930572771</v>
      </c>
      <c r="L151">
        <v>-2534.294581642414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-5163.8778878903649</v>
      </c>
      <c r="T151">
        <v>-2534.294581642414</v>
      </c>
      <c r="U151">
        <v>0</v>
      </c>
      <c r="V151">
        <v>0</v>
      </c>
      <c r="W151">
        <v>0</v>
      </c>
    </row>
    <row r="152" spans="1:23" x14ac:dyDescent="0.35">
      <c r="A152" t="s">
        <v>110</v>
      </c>
      <c r="B152" t="s">
        <v>48</v>
      </c>
      <c r="C152">
        <v>92218.7</v>
      </c>
      <c r="D152">
        <v>2.564186729985221</v>
      </c>
      <c r="E152">
        <v>0.74132187486635037</v>
      </c>
      <c r="F152">
        <v>13397.83</v>
      </c>
      <c r="G152">
        <v>-2196.1557660518852</v>
      </c>
      <c r="H152">
        <v>-2196.1557660518852</v>
      </c>
      <c r="I152">
        <v>0.28145696675237752</v>
      </c>
      <c r="J152">
        <v>0.63712649981565728</v>
      </c>
      <c r="K152">
        <v>2.2671314671208451</v>
      </c>
      <c r="L152">
        <v>-1399.229036274611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-2196.1557660518852</v>
      </c>
      <c r="T152">
        <v>-1399.229036274611</v>
      </c>
      <c r="U152">
        <v>0</v>
      </c>
      <c r="V152">
        <v>0</v>
      </c>
      <c r="W152">
        <v>0</v>
      </c>
    </row>
    <row r="153" spans="1:23" x14ac:dyDescent="0.35">
      <c r="A153" t="s">
        <v>110</v>
      </c>
      <c r="B153" t="s">
        <v>49</v>
      </c>
      <c r="C153">
        <v>92451.6</v>
      </c>
      <c r="D153">
        <v>1.9078294332809891</v>
      </c>
      <c r="E153">
        <v>0.75716162208739723</v>
      </c>
      <c r="F153">
        <v>14121</v>
      </c>
      <c r="G153">
        <v>-273.04318602130661</v>
      </c>
      <c r="H153">
        <v>-273.04318602130661</v>
      </c>
      <c r="I153">
        <v>0.3315774780325178</v>
      </c>
      <c r="J153">
        <v>0.65996874905785341</v>
      </c>
      <c r="K153">
        <v>2.564186729985221</v>
      </c>
      <c r="L153">
        <v>-180.1999699172525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-273.04318602130661</v>
      </c>
      <c r="T153">
        <v>-180.1999699172525</v>
      </c>
      <c r="U153">
        <v>0</v>
      </c>
      <c r="V153">
        <v>0</v>
      </c>
      <c r="W153">
        <v>0</v>
      </c>
    </row>
    <row r="154" spans="1:23" x14ac:dyDescent="0.35">
      <c r="A154" t="s">
        <v>110</v>
      </c>
      <c r="B154" t="s">
        <v>50</v>
      </c>
      <c r="C154">
        <v>92715.9</v>
      </c>
      <c r="D154">
        <v>1.797742287644148</v>
      </c>
      <c r="E154">
        <v>0.79487477114166216</v>
      </c>
      <c r="F154">
        <v>20227.560000000001</v>
      </c>
      <c r="G154">
        <v>5061.6006823259177</v>
      </c>
      <c r="H154">
        <v>5061.6006823259177</v>
      </c>
      <c r="I154">
        <v>0.45091033645542972</v>
      </c>
      <c r="J154">
        <v>0.7113235077202873</v>
      </c>
      <c r="K154">
        <v>1.9078294332809891</v>
      </c>
      <c r="L154">
        <v>3600.4355520314712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1:23" x14ac:dyDescent="0.35">
      <c r="A155" t="s">
        <v>110</v>
      </c>
      <c r="B155" t="s">
        <v>51</v>
      </c>
      <c r="C155">
        <v>92871</v>
      </c>
      <c r="D155">
        <v>1.389152170178735</v>
      </c>
      <c r="E155">
        <v>0.77647994524246977</v>
      </c>
      <c r="F155">
        <v>19436.98</v>
      </c>
      <c r="G155">
        <v>-1556.8530311641989</v>
      </c>
      <c r="H155">
        <v>-1556.8530311641989</v>
      </c>
      <c r="I155">
        <v>0.39270498342102972</v>
      </c>
      <c r="J155">
        <v>0.68684491274705184</v>
      </c>
      <c r="K155">
        <v>1.797742287644148</v>
      </c>
      <c r="L155">
        <v>-1069.3165843499571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1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1:23" x14ac:dyDescent="0.35">
      <c r="A156" t="s">
        <v>110</v>
      </c>
      <c r="B156" t="s">
        <v>52</v>
      </c>
      <c r="C156">
        <v>92861.7</v>
      </c>
      <c r="D156">
        <v>0.69483595992362412</v>
      </c>
      <c r="E156">
        <v>0.85903256065493994</v>
      </c>
      <c r="F156">
        <v>18629.88</v>
      </c>
      <c r="G156">
        <v>-1290.561426222474</v>
      </c>
      <c r="H156">
        <v>-1290.561426222474</v>
      </c>
      <c r="I156">
        <v>0.65391996584751932</v>
      </c>
      <c r="J156">
        <v>0.78715147380622663</v>
      </c>
      <c r="K156">
        <v>1.389152170178735</v>
      </c>
      <c r="L156">
        <v>-1015.8673286884861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</row>
    <row r="157" spans="1:23" x14ac:dyDescent="0.35">
      <c r="A157" t="s">
        <v>110</v>
      </c>
      <c r="B157" t="s">
        <v>53</v>
      </c>
      <c r="C157">
        <v>92662.9</v>
      </c>
      <c r="D157">
        <v>0.22829123787616371</v>
      </c>
      <c r="E157">
        <v>0.80830089038349573</v>
      </c>
      <c r="F157">
        <v>36827.879999999997</v>
      </c>
      <c r="G157">
        <v>17641.959197543922</v>
      </c>
      <c r="H157">
        <v>17641.959197543922</v>
      </c>
      <c r="I157">
        <v>0.49339358770420533</v>
      </c>
      <c r="J157">
        <v>0.72845286246600682</v>
      </c>
      <c r="K157">
        <v>0.69483595992362412</v>
      </c>
      <c r="L157">
        <v>12851.335676959359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0</v>
      </c>
      <c r="U157">
        <v>0</v>
      </c>
      <c r="V157">
        <v>0</v>
      </c>
      <c r="W157">
        <v>0</v>
      </c>
    </row>
    <row r="158" spans="1:23" x14ac:dyDescent="0.35">
      <c r="A158" t="s">
        <v>110</v>
      </c>
      <c r="B158" t="s">
        <v>54</v>
      </c>
      <c r="C158">
        <v>92821.7</v>
      </c>
      <c r="D158">
        <v>0.1140469764269653</v>
      </c>
      <c r="E158">
        <v>0.77392570051405185</v>
      </c>
      <c r="F158">
        <v>25945.24</v>
      </c>
      <c r="G158">
        <v>-10760.52865517087</v>
      </c>
      <c r="H158">
        <v>-10760.52865517087</v>
      </c>
      <c r="I158">
        <v>0.38462278047066922</v>
      </c>
      <c r="J158">
        <v>0.68335767082627219</v>
      </c>
      <c r="K158">
        <v>0.22829123787616371</v>
      </c>
      <c r="L158">
        <v>-7353.2897986569278</v>
      </c>
      <c r="M158">
        <v>0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-10760.52865517087</v>
      </c>
      <c r="T158">
        <v>-7353.2897986569278</v>
      </c>
      <c r="U158">
        <v>0</v>
      </c>
      <c r="V158">
        <v>0</v>
      </c>
      <c r="W158">
        <v>0</v>
      </c>
    </row>
    <row r="159" spans="1:23" x14ac:dyDescent="0.35">
      <c r="A159" t="s">
        <v>110</v>
      </c>
      <c r="B159" t="s">
        <v>55</v>
      </c>
      <c r="C159">
        <v>92710</v>
      </c>
      <c r="D159">
        <v>-0.17350918509056229</v>
      </c>
      <c r="E159">
        <v>0.83766491888430139</v>
      </c>
      <c r="F159">
        <v>38752.269999999997</v>
      </c>
      <c r="G159">
        <v>13434.743327128041</v>
      </c>
      <c r="H159">
        <v>13434.743327128041</v>
      </c>
      <c r="I159">
        <v>0.58630795692781479</v>
      </c>
      <c r="J159">
        <v>0.76361752892203061</v>
      </c>
      <c r="K159">
        <v>0.1140469764269653</v>
      </c>
      <c r="L159">
        <v>10259.00550116325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0</v>
      </c>
      <c r="T159">
        <v>0</v>
      </c>
      <c r="U159">
        <v>0</v>
      </c>
      <c r="V159">
        <v>0</v>
      </c>
      <c r="W159">
        <v>0</v>
      </c>
    </row>
    <row r="160" spans="1:23" x14ac:dyDescent="0.35">
      <c r="A160" t="s">
        <v>110</v>
      </c>
      <c r="B160" t="s">
        <v>56</v>
      </c>
      <c r="C160">
        <v>92343.5</v>
      </c>
      <c r="D160">
        <v>-0.55959697922099205</v>
      </c>
      <c r="E160">
        <v>0.83669672991487087</v>
      </c>
      <c r="F160">
        <v>31598.92</v>
      </c>
      <c r="G160">
        <v>-6578.8883624478913</v>
      </c>
      <c r="H160">
        <v>-6578.8883624478913</v>
      </c>
      <c r="I160">
        <v>0.58324438997270767</v>
      </c>
      <c r="J160">
        <v>0.76250975989844727</v>
      </c>
      <c r="K160">
        <v>-0.17350918509056229</v>
      </c>
      <c r="L160">
        <v>-5016.4665856488309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0</v>
      </c>
      <c r="T160">
        <v>0</v>
      </c>
      <c r="U160">
        <v>0</v>
      </c>
      <c r="V160">
        <v>0</v>
      </c>
      <c r="W160">
        <v>0</v>
      </c>
    </row>
    <row r="161" spans="1:23" x14ac:dyDescent="0.35">
      <c r="A161" t="s">
        <v>110</v>
      </c>
      <c r="B161" t="s">
        <v>57</v>
      </c>
      <c r="C161">
        <v>92949</v>
      </c>
      <c r="D161">
        <v>0.30827789229015973</v>
      </c>
      <c r="E161">
        <v>0.79936370635496823</v>
      </c>
      <c r="F161">
        <v>14113.9</v>
      </c>
      <c r="G161">
        <v>-16534.748271214699</v>
      </c>
      <c r="H161">
        <v>-16534.748271214699</v>
      </c>
      <c r="I161">
        <v>0.46511433383332829</v>
      </c>
      <c r="J161">
        <v>0.71712167490223577</v>
      </c>
      <c r="K161">
        <v>-0.55959697922099205</v>
      </c>
      <c r="L161">
        <v>-11857.42637434033</v>
      </c>
      <c r="M161">
        <v>0</v>
      </c>
      <c r="N161">
        <v>0</v>
      </c>
      <c r="O161">
        <v>0</v>
      </c>
      <c r="P161">
        <v>0</v>
      </c>
      <c r="Q161">
        <v>1</v>
      </c>
      <c r="R161">
        <v>0</v>
      </c>
      <c r="S161">
        <v>-16534.748271214699</v>
      </c>
      <c r="T161">
        <v>-11857.42637434033</v>
      </c>
      <c r="U161">
        <v>0</v>
      </c>
      <c r="V161">
        <v>0</v>
      </c>
      <c r="W161">
        <v>0</v>
      </c>
    </row>
    <row r="162" spans="1:23" x14ac:dyDescent="0.35">
      <c r="A162" t="s">
        <v>110</v>
      </c>
      <c r="B162" t="s">
        <v>58</v>
      </c>
      <c r="C162">
        <v>93322.3</v>
      </c>
      <c r="D162">
        <v>0.53786445639393221</v>
      </c>
      <c r="E162">
        <v>0.52408178645329284</v>
      </c>
      <c r="F162">
        <v>15802.53</v>
      </c>
      <c r="G162">
        <v>1579.518846364859</v>
      </c>
      <c r="H162">
        <v>1579.518846364859</v>
      </c>
      <c r="I162">
        <v>-0.40593937549087428</v>
      </c>
      <c r="J162">
        <v>0.3074902898147131</v>
      </c>
      <c r="K162">
        <v>0.30827789229015973</v>
      </c>
      <c r="L162">
        <v>485.68670783653192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0</v>
      </c>
      <c r="S162">
        <v>1579.518846364859</v>
      </c>
      <c r="T162">
        <v>485.68670783653192</v>
      </c>
      <c r="U162">
        <v>0</v>
      </c>
      <c r="V162">
        <v>0</v>
      </c>
      <c r="W162">
        <v>0</v>
      </c>
    </row>
    <row r="163" spans="1:23" x14ac:dyDescent="0.35">
      <c r="A163" t="s">
        <v>110</v>
      </c>
      <c r="B163" t="s">
        <v>59</v>
      </c>
      <c r="C163">
        <v>93575.1</v>
      </c>
      <c r="D163">
        <v>0.92879808325320934</v>
      </c>
      <c r="E163">
        <v>0.61313599789132134</v>
      </c>
      <c r="F163">
        <v>18492.009999999998</v>
      </c>
      <c r="G163">
        <v>1747.8482793999319</v>
      </c>
      <c r="H163">
        <v>1747.8482793999319</v>
      </c>
      <c r="I163">
        <v>-0.124151885663198</v>
      </c>
      <c r="J163">
        <v>0.43824104273925357</v>
      </c>
      <c r="K163">
        <v>0.53786445639393221</v>
      </c>
      <c r="L163">
        <v>765.97885251423645</v>
      </c>
      <c r="M163">
        <v>0</v>
      </c>
      <c r="N163">
        <v>0</v>
      </c>
      <c r="O163">
        <v>0</v>
      </c>
      <c r="P163">
        <v>0</v>
      </c>
      <c r="Q163">
        <v>1</v>
      </c>
      <c r="R163">
        <v>0</v>
      </c>
      <c r="S163">
        <v>1747.8482793999319</v>
      </c>
      <c r="T163">
        <v>765.97885251423645</v>
      </c>
      <c r="U163">
        <v>0</v>
      </c>
      <c r="V163">
        <v>0</v>
      </c>
      <c r="W163">
        <v>0</v>
      </c>
    </row>
    <row r="164" spans="1:23" x14ac:dyDescent="0.35">
      <c r="A164" t="s">
        <v>110</v>
      </c>
      <c r="B164" t="s">
        <v>60</v>
      </c>
      <c r="C164">
        <v>94115.3</v>
      </c>
      <c r="D164">
        <v>1.9005306599708409</v>
      </c>
      <c r="E164">
        <v>0.4969681717415807</v>
      </c>
      <c r="F164">
        <v>19536.86</v>
      </c>
      <c r="G164">
        <v>296.42782514671848</v>
      </c>
      <c r="H164">
        <v>296.42782514671848</v>
      </c>
      <c r="I164">
        <v>-0.49173293097123327</v>
      </c>
      <c r="J164">
        <v>0.27220462246254462</v>
      </c>
      <c r="K164">
        <v>0.92879808325320934</v>
      </c>
      <c r="L164">
        <v>80.689024231455704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  <c r="S164">
        <v>296.42782514671848</v>
      </c>
      <c r="T164">
        <v>80.689024231455704</v>
      </c>
      <c r="U164">
        <v>0</v>
      </c>
      <c r="V164">
        <v>0</v>
      </c>
      <c r="W164">
        <v>0</v>
      </c>
    </row>
    <row r="165" spans="1:23" x14ac:dyDescent="0.35">
      <c r="A165" t="s">
        <v>110</v>
      </c>
      <c r="B165" t="s">
        <v>61</v>
      </c>
      <c r="C165">
        <v>94333</v>
      </c>
      <c r="D165">
        <v>1.4780119762696939</v>
      </c>
      <c r="E165">
        <v>-0.17525723014232489</v>
      </c>
      <c r="F165">
        <v>20086.099999999999</v>
      </c>
      <c r="G165">
        <v>-19.53534989586478</v>
      </c>
      <c r="H165">
        <v>-19.53534989586478</v>
      </c>
      <c r="I165">
        <v>-2.618804807039492</v>
      </c>
      <c r="J165">
        <v>5.2848634786590437E-3</v>
      </c>
      <c r="K165">
        <v>1.9005306599708409</v>
      </c>
      <c r="L165">
        <v>-0.1032416572074815</v>
      </c>
      <c r="M165">
        <v>0</v>
      </c>
      <c r="N165">
        <v>0</v>
      </c>
      <c r="O165">
        <v>0</v>
      </c>
      <c r="P165">
        <v>0</v>
      </c>
      <c r="Q165">
        <v>1</v>
      </c>
      <c r="R165">
        <v>0</v>
      </c>
      <c r="S165">
        <v>-19.53534989586478</v>
      </c>
      <c r="T165">
        <v>-0.1032416572074815</v>
      </c>
      <c r="U165">
        <v>0</v>
      </c>
      <c r="V165">
        <v>0</v>
      </c>
      <c r="W165">
        <v>0</v>
      </c>
    </row>
    <row r="166" spans="1:23" x14ac:dyDescent="0.35">
      <c r="A166" t="s">
        <v>110</v>
      </c>
      <c r="B166" t="s">
        <v>62</v>
      </c>
      <c r="C166">
        <v>94965.1</v>
      </c>
      <c r="D166">
        <v>1.7450362455612309</v>
      </c>
      <c r="E166">
        <v>6.9457911075346572E-4</v>
      </c>
      <c r="F166">
        <v>14211.19</v>
      </c>
      <c r="G166">
        <v>-6368.2256188433221</v>
      </c>
      <c r="H166">
        <v>-6368.2256188433221</v>
      </c>
      <c r="I166">
        <v>-2.0620538363729808</v>
      </c>
      <c r="J166">
        <v>1.5920365683399919E-2</v>
      </c>
      <c r="K166">
        <v>1.4780119762696939</v>
      </c>
      <c r="L166">
        <v>-101.3844806063814</v>
      </c>
      <c r="M166">
        <v>0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-6368.2256188433221</v>
      </c>
      <c r="T166">
        <v>-101.3844806063814</v>
      </c>
      <c r="U166">
        <v>0</v>
      </c>
      <c r="V166">
        <v>0</v>
      </c>
      <c r="W166">
        <v>0</v>
      </c>
    </row>
    <row r="167" spans="1:23" x14ac:dyDescent="0.35">
      <c r="A167" t="s">
        <v>110</v>
      </c>
      <c r="B167" t="s">
        <v>63</v>
      </c>
      <c r="C167">
        <v>95347.5</v>
      </c>
      <c r="D167">
        <v>1.876379005882691</v>
      </c>
      <c r="E167">
        <v>1.593412955394883E-3</v>
      </c>
      <c r="F167">
        <v>17252.02</v>
      </c>
      <c r="G167">
        <v>2343.4323165346868</v>
      </c>
      <c r="H167">
        <v>2343.4323165346868</v>
      </c>
      <c r="I167">
        <v>-2.059209724581256</v>
      </c>
      <c r="J167">
        <v>1.6009728380907289E-2</v>
      </c>
      <c r="K167">
        <v>1.7450362455612309</v>
      </c>
      <c r="L167">
        <v>37.517714866760699</v>
      </c>
      <c r="M167">
        <v>0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2343.4323165346868</v>
      </c>
      <c r="T167">
        <v>37.517714866760699</v>
      </c>
      <c r="U167">
        <v>0</v>
      </c>
      <c r="V167">
        <v>0</v>
      </c>
      <c r="W167">
        <v>0</v>
      </c>
    </row>
    <row r="168" spans="1:23" x14ac:dyDescent="0.35">
      <c r="A168" t="s">
        <v>110</v>
      </c>
      <c r="B168" t="s">
        <v>64</v>
      </c>
      <c r="C168">
        <v>95602.6</v>
      </c>
      <c r="D168">
        <v>1.5679389979541121</v>
      </c>
      <c r="E168">
        <v>-0.41790530418624461</v>
      </c>
      <c r="F168">
        <v>29838.2</v>
      </c>
      <c r="G168">
        <v>11706.8741061117</v>
      </c>
      <c r="H168">
        <v>11706.8741061117</v>
      </c>
      <c r="I168">
        <v>-3.3865977119706372</v>
      </c>
      <c r="J168">
        <v>1.1427258169064531E-3</v>
      </c>
      <c r="K168">
        <v>1.876379005882691</v>
      </c>
      <c r="L168">
        <v>13.37774727632749</v>
      </c>
      <c r="M168">
        <v>0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11706.8741061117</v>
      </c>
      <c r="T168">
        <v>13.37774727632749</v>
      </c>
      <c r="U168">
        <v>0</v>
      </c>
      <c r="V168">
        <v>0</v>
      </c>
      <c r="W168">
        <v>0</v>
      </c>
    </row>
    <row r="169" spans="1:23" x14ac:dyDescent="0.35">
      <c r="A169" t="s">
        <v>110</v>
      </c>
      <c r="B169" t="s">
        <v>65</v>
      </c>
      <c r="C169">
        <v>96047.1</v>
      </c>
      <c r="D169">
        <v>1.8007620750762849</v>
      </c>
      <c r="E169">
        <v>0.15250477531226719</v>
      </c>
      <c r="F169">
        <v>25360.74</v>
      </c>
      <c r="G169">
        <v>-4702.6314541169268</v>
      </c>
      <c r="H169">
        <v>-4702.6314541169268</v>
      </c>
      <c r="I169">
        <v>-1.5816923416486099</v>
      </c>
      <c r="J169">
        <v>4.0567111838942203E-2</v>
      </c>
      <c r="K169">
        <v>1.5679389979541121</v>
      </c>
      <c r="L169">
        <v>-190.7721761364887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</row>
    <row r="170" spans="1:23" x14ac:dyDescent="0.35">
      <c r="A170" t="s">
        <v>110</v>
      </c>
      <c r="B170" t="s">
        <v>66</v>
      </c>
      <c r="C170">
        <v>96178.4</v>
      </c>
      <c r="D170">
        <v>1.269534455281605</v>
      </c>
      <c r="E170">
        <v>0.55798811427604211</v>
      </c>
      <c r="F170">
        <v>21280.47</v>
      </c>
      <c r="G170">
        <v>-3835.168726222837</v>
      </c>
      <c r="H170">
        <v>-3835.168726222837</v>
      </c>
      <c r="I170">
        <v>-0.29865215288607277</v>
      </c>
      <c r="J170">
        <v>0.35496066800877468</v>
      </c>
      <c r="K170">
        <v>1.8007620750762849</v>
      </c>
      <c r="L170">
        <v>-1361.3340529864199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1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1:23" x14ac:dyDescent="0.35">
      <c r="A171" t="s">
        <v>110</v>
      </c>
      <c r="B171" t="s">
        <v>67</v>
      </c>
      <c r="C171">
        <v>96516.5</v>
      </c>
      <c r="D171">
        <v>1.2185865674472609</v>
      </c>
      <c r="E171">
        <v>0.62519326122012531</v>
      </c>
      <c r="F171">
        <v>18517.900000000001</v>
      </c>
      <c r="G171">
        <v>-2909.1155667876369</v>
      </c>
      <c r="H171">
        <v>-2909.1155667876369</v>
      </c>
      <c r="I171">
        <v>-8.6000001403582813E-2</v>
      </c>
      <c r="J171">
        <v>0.4571056959547426</v>
      </c>
      <c r="K171">
        <v>1.269534455281605</v>
      </c>
      <c r="L171">
        <v>-1329.773295769239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1</v>
      </c>
      <c r="S171">
        <v>0</v>
      </c>
      <c r="T171">
        <v>0</v>
      </c>
      <c r="U171">
        <v>0</v>
      </c>
      <c r="V171">
        <v>0</v>
      </c>
      <c r="W171">
        <v>0</v>
      </c>
    </row>
    <row r="172" spans="1:23" x14ac:dyDescent="0.35">
      <c r="A172" t="s">
        <v>110</v>
      </c>
      <c r="B172" t="s">
        <v>68</v>
      </c>
      <c r="C172">
        <v>96626.4</v>
      </c>
      <c r="D172">
        <v>1.0651979466249319</v>
      </c>
      <c r="E172">
        <v>0.48980128180036892</v>
      </c>
      <c r="F172">
        <v>22826.080000000002</v>
      </c>
      <c r="G172">
        <v>3842.526243353896</v>
      </c>
      <c r="H172">
        <v>3842.526243353896</v>
      </c>
      <c r="I172">
        <v>-0.51441057747210273</v>
      </c>
      <c r="J172">
        <v>0.26331271169001652</v>
      </c>
      <c r="K172">
        <v>1.2185865674472609</v>
      </c>
      <c r="L172">
        <v>1011.7860048775671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1:23" x14ac:dyDescent="0.35">
      <c r="A173" t="s">
        <v>110</v>
      </c>
      <c r="B173" t="s">
        <v>69</v>
      </c>
      <c r="C173">
        <v>97197.7</v>
      </c>
      <c r="D173">
        <v>1.190835248424732</v>
      </c>
      <c r="E173">
        <v>0.53717886111840918</v>
      </c>
      <c r="F173">
        <v>18513.21</v>
      </c>
      <c r="G173">
        <v>-4750.2373136210626</v>
      </c>
      <c r="H173">
        <v>-4750.2373136210626</v>
      </c>
      <c r="I173">
        <v>-0.36449729505050099</v>
      </c>
      <c r="J173">
        <v>0.32541539646366707</v>
      </c>
      <c r="K173">
        <v>1.0651979466249319</v>
      </c>
      <c r="L173">
        <v>-1545.8003587085029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1:23" x14ac:dyDescent="0.35">
      <c r="A174" t="s">
        <v>110</v>
      </c>
      <c r="B174" t="s">
        <v>70</v>
      </c>
      <c r="C174">
        <v>97374.6</v>
      </c>
      <c r="D174">
        <v>1.2360596115928471</v>
      </c>
      <c r="E174">
        <v>0.54698445407629126</v>
      </c>
      <c r="F174">
        <v>30182.29</v>
      </c>
      <c r="G174">
        <v>11282.735474875861</v>
      </c>
      <c r="H174">
        <v>11282.735474875861</v>
      </c>
      <c r="I174">
        <v>-0.33347020064075122</v>
      </c>
      <c r="J174">
        <v>0.3391822742977651</v>
      </c>
      <c r="K174">
        <v>1.190835248424732</v>
      </c>
      <c r="L174">
        <v>3826.9038786684691</v>
      </c>
      <c r="M174">
        <v>0</v>
      </c>
      <c r="N174">
        <v>0</v>
      </c>
      <c r="O174">
        <v>0</v>
      </c>
      <c r="P174">
        <v>0</v>
      </c>
      <c r="Q174">
        <v>1</v>
      </c>
      <c r="R174">
        <v>0</v>
      </c>
      <c r="S174">
        <v>11282.735474875861</v>
      </c>
      <c r="T174">
        <v>3826.9038786684691</v>
      </c>
      <c r="U174">
        <v>0</v>
      </c>
      <c r="V174">
        <v>0</v>
      </c>
      <c r="W174">
        <v>0</v>
      </c>
    </row>
    <row r="175" spans="1:23" x14ac:dyDescent="0.35">
      <c r="A175" t="s">
        <v>110</v>
      </c>
      <c r="B175" t="s">
        <v>71</v>
      </c>
      <c r="C175">
        <v>97732.9</v>
      </c>
      <c r="D175">
        <v>1.2524269316273791</v>
      </c>
      <c r="E175">
        <v>0.54012379098153396</v>
      </c>
      <c r="F175">
        <v>32031.3</v>
      </c>
      <c r="G175">
        <v>1702.312279079182</v>
      </c>
      <c r="H175">
        <v>1702.312279079182</v>
      </c>
      <c r="I175">
        <v>-0.35517887674721882</v>
      </c>
      <c r="J175">
        <v>0.32951979456622588</v>
      </c>
      <c r="K175">
        <v>1.2360596115928471</v>
      </c>
      <c r="L175">
        <v>560.94559248973587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1702.312279079182</v>
      </c>
      <c r="T175">
        <v>560.94559248973587</v>
      </c>
      <c r="U175">
        <v>0</v>
      </c>
      <c r="V175">
        <v>0</v>
      </c>
      <c r="W175">
        <v>0</v>
      </c>
    </row>
    <row r="176" spans="1:23" x14ac:dyDescent="0.35">
      <c r="A176" t="s">
        <v>110</v>
      </c>
      <c r="B176" t="s">
        <v>72</v>
      </c>
      <c r="C176">
        <v>98333.8</v>
      </c>
      <c r="D176">
        <v>1.75158176166586</v>
      </c>
      <c r="E176">
        <v>0.744881045889074</v>
      </c>
      <c r="F176">
        <v>29910.11</v>
      </c>
      <c r="G176">
        <v>-1594.595393211242</v>
      </c>
      <c r="H176">
        <v>-1594.595393211242</v>
      </c>
      <c r="I176">
        <v>0.29271898178979788</v>
      </c>
      <c r="J176">
        <v>0.64231771946247351</v>
      </c>
      <c r="K176">
        <v>1.2524269316273791</v>
      </c>
      <c r="L176">
        <v>-1024.236876432811</v>
      </c>
      <c r="M176">
        <v>0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-1594.595393211242</v>
      </c>
      <c r="T176">
        <v>-1024.236876432811</v>
      </c>
      <c r="U176">
        <v>0</v>
      </c>
      <c r="V176">
        <v>0</v>
      </c>
      <c r="W176">
        <v>0</v>
      </c>
    </row>
    <row r="177" spans="1:23" x14ac:dyDescent="0.35">
      <c r="A177" t="s">
        <v>110</v>
      </c>
      <c r="B177" t="s">
        <v>73</v>
      </c>
      <c r="C177">
        <v>98554.8</v>
      </c>
      <c r="D177">
        <v>1.386569001811538</v>
      </c>
      <c r="E177">
        <v>0.72717486565703748</v>
      </c>
      <c r="F177">
        <v>16514.349999999999</v>
      </c>
      <c r="G177">
        <v>-12857.951240235971</v>
      </c>
      <c r="H177">
        <v>-12857.951240235971</v>
      </c>
      <c r="I177">
        <v>0.23669265803200429</v>
      </c>
      <c r="J177">
        <v>0.61618470167969652</v>
      </c>
      <c r="K177">
        <v>1.75158176166586</v>
      </c>
      <c r="L177">
        <v>-7922.8728491768843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-12857.951240235971</v>
      </c>
      <c r="T177">
        <v>-7922.8728491768843</v>
      </c>
      <c r="U177">
        <v>0</v>
      </c>
      <c r="V177">
        <v>0</v>
      </c>
      <c r="W177">
        <v>0</v>
      </c>
    </row>
    <row r="178" spans="1:23" x14ac:dyDescent="0.35">
      <c r="A178" t="s">
        <v>110</v>
      </c>
      <c r="B178" t="s">
        <v>74</v>
      </c>
      <c r="C178">
        <v>98495.5</v>
      </c>
      <c r="D178">
        <v>1.1445465503328061</v>
      </c>
      <c r="E178">
        <v>0.70593815662445636</v>
      </c>
      <c r="F178">
        <v>16325.61</v>
      </c>
      <c r="G178">
        <v>-289.78211110166382</v>
      </c>
      <c r="H178">
        <v>-289.78211110166382</v>
      </c>
      <c r="I178">
        <v>0.16949494964899181</v>
      </c>
      <c r="J178">
        <v>0.58394513655126079</v>
      </c>
      <c r="K178">
        <v>1.386569001811538</v>
      </c>
      <c r="L178">
        <v>-169.21685443737371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0</v>
      </c>
      <c r="S178">
        <v>-289.78211110166382</v>
      </c>
      <c r="T178">
        <v>-169.21685443737371</v>
      </c>
      <c r="U178">
        <v>0</v>
      </c>
      <c r="V178">
        <v>0</v>
      </c>
      <c r="W178">
        <v>0</v>
      </c>
    </row>
    <row r="179" spans="1:23" x14ac:dyDescent="0.35">
      <c r="A179" t="s">
        <v>110</v>
      </c>
      <c r="B179" t="s">
        <v>75</v>
      </c>
      <c r="C179">
        <v>99282.2</v>
      </c>
      <c r="D179">
        <v>1.5728052698587029</v>
      </c>
      <c r="E179">
        <v>0.7919594390243625</v>
      </c>
      <c r="F179">
        <v>28396.560000000001</v>
      </c>
      <c r="G179">
        <v>11273.465479390619</v>
      </c>
      <c r="H179">
        <v>11273.465479390619</v>
      </c>
      <c r="I179">
        <v>0.44168557205538173</v>
      </c>
      <c r="J179">
        <v>0.70752031758527856</v>
      </c>
      <c r="K179">
        <v>1.1445465503328061</v>
      </c>
      <c r="L179">
        <v>7976.2058762651259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0</v>
      </c>
      <c r="S179">
        <v>11273.465479390619</v>
      </c>
      <c r="T179">
        <v>7976.2058762651259</v>
      </c>
      <c r="U179">
        <v>0</v>
      </c>
      <c r="V179">
        <v>0</v>
      </c>
      <c r="W179">
        <v>0</v>
      </c>
    </row>
    <row r="180" spans="1:23" x14ac:dyDescent="0.35">
      <c r="A180" t="s">
        <v>110</v>
      </c>
      <c r="B180" t="s">
        <v>76</v>
      </c>
      <c r="C180">
        <v>99691.7</v>
      </c>
      <c r="D180">
        <v>1.3714610329931161</v>
      </c>
      <c r="E180">
        <v>0.83382393290147261</v>
      </c>
      <c r="F180">
        <v>13622.16</v>
      </c>
      <c r="G180">
        <v>-15104.230619776299</v>
      </c>
      <c r="H180">
        <v>-15104.230619776299</v>
      </c>
      <c r="I180">
        <v>0.57415421617724061</v>
      </c>
      <c r="J180">
        <v>0.75920180959199679</v>
      </c>
      <c r="K180">
        <v>1.5728052698587029</v>
      </c>
      <c r="L180">
        <v>-11467.15921902901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0</v>
      </c>
      <c r="S180">
        <v>-15104.230619776299</v>
      </c>
      <c r="T180">
        <v>-11467.15921902901</v>
      </c>
      <c r="U180">
        <v>0</v>
      </c>
      <c r="V180">
        <v>0</v>
      </c>
      <c r="W180">
        <v>0</v>
      </c>
    </row>
    <row r="181" spans="1:23" x14ac:dyDescent="0.35">
      <c r="A181" t="s">
        <v>110</v>
      </c>
      <c r="B181" t="s">
        <v>77</v>
      </c>
      <c r="C181">
        <v>100196.6</v>
      </c>
      <c r="D181">
        <v>1.6521517286222169</v>
      </c>
      <c r="E181">
        <v>0.8722103988127422</v>
      </c>
      <c r="F181">
        <v>25653.23</v>
      </c>
      <c r="G181">
        <v>11737.80673016071</v>
      </c>
      <c r="H181">
        <v>11737.80673016071</v>
      </c>
      <c r="I181">
        <v>0.69561760008491347</v>
      </c>
      <c r="J181">
        <v>0.80078936260809142</v>
      </c>
      <c r="K181">
        <v>1.3714610329931161</v>
      </c>
      <c r="L181">
        <v>9399.5107698623615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0</v>
      </c>
      <c r="S181">
        <v>11737.80673016071</v>
      </c>
      <c r="T181">
        <v>9399.5107698623615</v>
      </c>
      <c r="U181">
        <v>0</v>
      </c>
      <c r="V181">
        <v>0</v>
      </c>
      <c r="W181">
        <v>0</v>
      </c>
    </row>
    <row r="182" spans="1:23" x14ac:dyDescent="0.35">
      <c r="A182" t="s">
        <v>110</v>
      </c>
      <c r="B182" t="s">
        <v>78</v>
      </c>
      <c r="C182">
        <v>100632.5</v>
      </c>
      <c r="D182">
        <v>2.146440526743429</v>
      </c>
      <c r="E182">
        <v>0.85978494873275735</v>
      </c>
      <c r="F182">
        <v>28710.76</v>
      </c>
      <c r="G182">
        <v>2480.1654601144551</v>
      </c>
      <c r="H182">
        <v>2480.1654601144551</v>
      </c>
      <c r="I182">
        <v>0.65630069040170824</v>
      </c>
      <c r="J182">
        <v>0.78794813543726538</v>
      </c>
      <c r="K182">
        <v>1.6521517286222169</v>
      </c>
      <c r="L182">
        <v>1954.241749873092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2480.1654601144551</v>
      </c>
      <c r="T182">
        <v>1954.241749873092</v>
      </c>
      <c r="U182">
        <v>0</v>
      </c>
      <c r="V182">
        <v>0</v>
      </c>
      <c r="W182">
        <v>0</v>
      </c>
    </row>
    <row r="183" spans="1:23" x14ac:dyDescent="0.35">
      <c r="A183" t="s">
        <v>110</v>
      </c>
      <c r="B183" t="s">
        <v>79</v>
      </c>
      <c r="C183">
        <v>101557.2</v>
      </c>
      <c r="D183">
        <v>2.265588634742409</v>
      </c>
      <c r="E183">
        <v>0.95186893364701952</v>
      </c>
      <c r="F183">
        <v>26443.05</v>
      </c>
      <c r="G183">
        <v>-2105.371652046339</v>
      </c>
      <c r="H183">
        <v>-2105.371652046339</v>
      </c>
      <c r="I183">
        <v>0.94767506274541768</v>
      </c>
      <c r="J183">
        <v>0.86936434586195999</v>
      </c>
      <c r="K183">
        <v>2.146440526743429</v>
      </c>
      <c r="L183">
        <v>-1830.335049077579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</row>
    <row r="184" spans="1:23" x14ac:dyDescent="0.35">
      <c r="A184" t="s">
        <v>110</v>
      </c>
      <c r="B184" t="s">
        <v>80</v>
      </c>
      <c r="C184">
        <v>101974.39999999999</v>
      </c>
      <c r="D184">
        <v>2.2639377638172631</v>
      </c>
      <c r="E184">
        <v>0.9603496251255691</v>
      </c>
      <c r="F184">
        <v>36588.019999999997</v>
      </c>
      <c r="G184">
        <v>10374.885475181431</v>
      </c>
      <c r="H184">
        <v>10374.885475181431</v>
      </c>
      <c r="I184">
        <v>0.97450987184825777</v>
      </c>
      <c r="J184">
        <v>0.87533971549857914</v>
      </c>
      <c r="K184">
        <v>2.265588634742409</v>
      </c>
      <c r="L184">
        <v>9081.5493001756568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</row>
    <row r="185" spans="1:23" x14ac:dyDescent="0.35">
      <c r="A185" t="s">
        <v>110</v>
      </c>
      <c r="B185" t="s">
        <v>81</v>
      </c>
      <c r="C185">
        <v>102579.3</v>
      </c>
      <c r="D185">
        <v>2.3501902056222281</v>
      </c>
      <c r="E185">
        <v>0.95416092428819077</v>
      </c>
      <c r="F185">
        <v>40489.040000000001</v>
      </c>
      <c r="G185">
        <v>4415.4972307526914</v>
      </c>
      <c r="H185">
        <v>4415.4972307526914</v>
      </c>
      <c r="I185">
        <v>0.95492743496965116</v>
      </c>
      <c r="J185">
        <v>0.87100284236933612</v>
      </c>
      <c r="K185">
        <v>2.2639377638172631</v>
      </c>
      <c r="L185">
        <v>3845.910638459527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</row>
    <row r="186" spans="1:23" x14ac:dyDescent="0.35">
      <c r="A186" t="s">
        <v>110</v>
      </c>
      <c r="B186" t="s">
        <v>82</v>
      </c>
      <c r="C186">
        <v>103388.7</v>
      </c>
      <c r="D186">
        <v>2.7020404646986731</v>
      </c>
      <c r="E186">
        <v>0.93405634585858988</v>
      </c>
      <c r="F186">
        <v>32800.980000000003</v>
      </c>
      <c r="G186">
        <v>-6497.529962925415</v>
      </c>
      <c r="H186">
        <v>-6497.529962925415</v>
      </c>
      <c r="I186">
        <v>0.89131204162395605</v>
      </c>
      <c r="J186">
        <v>0.85602058468777342</v>
      </c>
      <c r="K186">
        <v>2.3501902056222281</v>
      </c>
      <c r="L186">
        <v>-5562.0193978897414</v>
      </c>
      <c r="M186">
        <v>0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-6497.529962925415</v>
      </c>
      <c r="T186">
        <v>-5562.0193978897414</v>
      </c>
      <c r="U186">
        <v>0</v>
      </c>
      <c r="V186">
        <v>0</v>
      </c>
      <c r="W186">
        <v>0</v>
      </c>
    </row>
    <row r="187" spans="1:23" x14ac:dyDescent="0.35">
      <c r="A187" t="s">
        <v>110</v>
      </c>
      <c r="B187" t="s">
        <v>83</v>
      </c>
      <c r="C187">
        <v>103957.9</v>
      </c>
      <c r="D187">
        <v>2.3363822945304822</v>
      </c>
      <c r="E187">
        <v>0.94337076272101905</v>
      </c>
      <c r="F187">
        <v>52716.26</v>
      </c>
      <c r="G187">
        <v>21002.415296564999</v>
      </c>
      <c r="H187">
        <v>21002.415296564999</v>
      </c>
      <c r="I187">
        <v>0.92078494475216999</v>
      </c>
      <c r="J187">
        <v>0.86313426971705465</v>
      </c>
      <c r="K187">
        <v>2.7020404646986731</v>
      </c>
      <c r="L187">
        <v>18127.90438929493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21002.415296564999</v>
      </c>
      <c r="T187">
        <v>18127.90438929493</v>
      </c>
      <c r="U187">
        <v>0</v>
      </c>
      <c r="V187">
        <v>0</v>
      </c>
      <c r="W187">
        <v>0</v>
      </c>
    </row>
    <row r="188" spans="1:23" x14ac:dyDescent="0.35">
      <c r="A188" t="s">
        <v>110</v>
      </c>
      <c r="B188" t="s">
        <v>84</v>
      </c>
      <c r="C188">
        <v>101255.2</v>
      </c>
      <c r="D188">
        <v>-0.70777386987030799</v>
      </c>
      <c r="E188">
        <v>0.939781289487986</v>
      </c>
      <c r="F188">
        <v>55684.71</v>
      </c>
      <c r="G188">
        <v>4447.7439987703037</v>
      </c>
      <c r="H188">
        <v>4447.7439987703037</v>
      </c>
      <c r="I188">
        <v>0.90942704672795494</v>
      </c>
      <c r="J188">
        <v>0.86042857052247967</v>
      </c>
      <c r="K188">
        <v>2.3363822945304822</v>
      </c>
      <c r="L188">
        <v>3826.9660109118699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1:23" x14ac:dyDescent="0.35">
      <c r="A189" t="s">
        <v>110</v>
      </c>
      <c r="B189" t="s">
        <v>85</v>
      </c>
      <c r="C189">
        <v>90213.8</v>
      </c>
      <c r="D189">
        <v>-12.84537492811457</v>
      </c>
      <c r="E189">
        <v>0.94496104744805465</v>
      </c>
      <c r="F189">
        <v>28914.37</v>
      </c>
      <c r="G189">
        <v>-24149.360667720372</v>
      </c>
      <c r="H189">
        <v>-24149.360667720372</v>
      </c>
      <c r="I189">
        <v>0.92581696215040943</v>
      </c>
      <c r="J189">
        <v>0.86431883030494627</v>
      </c>
      <c r="K189">
        <v>-0.70777386987030799</v>
      </c>
      <c r="L189">
        <v>-20872.74716493634</v>
      </c>
      <c r="M189">
        <v>0</v>
      </c>
      <c r="N189">
        <v>0</v>
      </c>
      <c r="O189">
        <v>0</v>
      </c>
      <c r="P189">
        <v>0</v>
      </c>
      <c r="Q189">
        <v>1</v>
      </c>
      <c r="R189">
        <v>0</v>
      </c>
      <c r="S189">
        <v>-24149.360667720372</v>
      </c>
      <c r="T189">
        <v>-20872.74716493634</v>
      </c>
      <c r="U189">
        <v>0</v>
      </c>
      <c r="V189">
        <v>0</v>
      </c>
      <c r="W189">
        <v>0</v>
      </c>
    </row>
    <row r="190" spans="1:23" x14ac:dyDescent="0.35">
      <c r="A190" t="s">
        <v>110</v>
      </c>
      <c r="B190" t="s">
        <v>86</v>
      </c>
      <c r="C190">
        <v>100573.8</v>
      </c>
      <c r="D190">
        <v>-2.760388539948182</v>
      </c>
      <c r="E190">
        <v>0.93404529498222433</v>
      </c>
      <c r="F190">
        <v>27497.73</v>
      </c>
      <c r="G190">
        <v>298.34674216415812</v>
      </c>
      <c r="H190">
        <v>298.34674216415812</v>
      </c>
      <c r="I190">
        <v>0.89127707417366753</v>
      </c>
      <c r="J190">
        <v>0.85601196504259436</v>
      </c>
      <c r="K190">
        <v>-12.84537492811457</v>
      </c>
      <c r="L190">
        <v>255.3883810239972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  <c r="S190">
        <v>298.34674216415812</v>
      </c>
      <c r="T190">
        <v>255.3883810239972</v>
      </c>
      <c r="U190">
        <v>0</v>
      </c>
      <c r="V190">
        <v>0</v>
      </c>
      <c r="W190">
        <v>0</v>
      </c>
    </row>
    <row r="191" spans="1:23" x14ac:dyDescent="0.35">
      <c r="A191" t="s">
        <v>110</v>
      </c>
      <c r="B191" t="s">
        <v>87</v>
      </c>
      <c r="C191">
        <v>100115.1</v>
      </c>
      <c r="D191">
        <v>-3.7665485396877378</v>
      </c>
      <c r="E191">
        <v>0.96111304369167505</v>
      </c>
      <c r="F191">
        <v>22319.62</v>
      </c>
      <c r="G191">
        <v>-4896.0136572600422</v>
      </c>
      <c r="H191">
        <v>-4896.0136572600422</v>
      </c>
      <c r="I191">
        <v>0.97692549934028872</v>
      </c>
      <c r="J191">
        <v>0.87586594724360822</v>
      </c>
      <c r="K191">
        <v>-2.760388539948182</v>
      </c>
      <c r="L191">
        <v>-4288.2516396337096</v>
      </c>
      <c r="M191">
        <v>0</v>
      </c>
      <c r="N191">
        <v>0</v>
      </c>
      <c r="O191">
        <v>0</v>
      </c>
      <c r="P191">
        <v>0</v>
      </c>
      <c r="Q191">
        <v>1</v>
      </c>
      <c r="R191">
        <v>0</v>
      </c>
      <c r="S191">
        <v>-4896.0136572600422</v>
      </c>
      <c r="T191">
        <v>-4288.2516396337096</v>
      </c>
      <c r="U191">
        <v>0</v>
      </c>
      <c r="V191">
        <v>0</v>
      </c>
      <c r="W191">
        <v>0</v>
      </c>
    </row>
    <row r="192" spans="1:23" x14ac:dyDescent="0.35">
      <c r="A192" t="s">
        <v>110</v>
      </c>
      <c r="B192" t="s">
        <v>88</v>
      </c>
      <c r="C192">
        <v>101745.2</v>
      </c>
      <c r="D192">
        <v>0.48275860702189771</v>
      </c>
      <c r="E192">
        <v>0.9501325090220325</v>
      </c>
      <c r="F192">
        <v>11888.73</v>
      </c>
      <c r="G192">
        <v>-10426.43013953445</v>
      </c>
      <c r="H192">
        <v>-10426.43013953445</v>
      </c>
      <c r="I192">
        <v>0.94218062594732699</v>
      </c>
      <c r="J192">
        <v>0.86811126619430867</v>
      </c>
      <c r="K192">
        <v>-3.7665485396877378</v>
      </c>
      <c r="L192">
        <v>-9051.301470317756</v>
      </c>
      <c r="M192">
        <v>0</v>
      </c>
      <c r="N192">
        <v>0</v>
      </c>
      <c r="O192">
        <v>0</v>
      </c>
      <c r="P192">
        <v>0</v>
      </c>
      <c r="Q192">
        <v>1</v>
      </c>
      <c r="R192">
        <v>0</v>
      </c>
      <c r="S192">
        <v>-10426.43013953445</v>
      </c>
      <c r="T192">
        <v>-9051.301470317756</v>
      </c>
      <c r="U192">
        <v>0</v>
      </c>
      <c r="V192">
        <v>0</v>
      </c>
      <c r="W192">
        <v>0</v>
      </c>
    </row>
    <row r="193" spans="1:23" x14ac:dyDescent="0.35">
      <c r="A193" t="s">
        <v>110</v>
      </c>
      <c r="B193" t="s">
        <v>89</v>
      </c>
      <c r="C193">
        <v>103303.9</v>
      </c>
      <c r="D193">
        <v>13.54927208127499</v>
      </c>
      <c r="E193">
        <v>0.92938750290660155</v>
      </c>
      <c r="F193">
        <v>18072.810000000001</v>
      </c>
      <c r="G193">
        <v>5509.7133275447604</v>
      </c>
      <c r="H193">
        <v>5509.7133275447604</v>
      </c>
      <c r="I193">
        <v>0.87653877582780726</v>
      </c>
      <c r="J193">
        <v>0.85234055087669824</v>
      </c>
      <c r="K193">
        <v>0.48275860702189771</v>
      </c>
      <c r="L193">
        <v>4696.1520927721867</v>
      </c>
      <c r="M193">
        <v>0</v>
      </c>
      <c r="N193">
        <v>0</v>
      </c>
      <c r="O193">
        <v>0</v>
      </c>
      <c r="P193">
        <v>0</v>
      </c>
      <c r="Q193">
        <v>1</v>
      </c>
      <c r="R193">
        <v>0</v>
      </c>
      <c r="S193">
        <v>5509.7133275447604</v>
      </c>
      <c r="T193">
        <v>4696.1520927721867</v>
      </c>
      <c r="U193">
        <v>0</v>
      </c>
      <c r="V193">
        <v>0</v>
      </c>
      <c r="W193">
        <v>0</v>
      </c>
    </row>
    <row r="194" spans="1:23" x14ac:dyDescent="0.35">
      <c r="A194" t="s">
        <v>110</v>
      </c>
      <c r="B194" t="s">
        <v>90</v>
      </c>
      <c r="C194">
        <v>105331.9</v>
      </c>
      <c r="D194">
        <v>4.6224530861090916</v>
      </c>
      <c r="E194">
        <v>0.90228308288329961</v>
      </c>
      <c r="F194">
        <v>21508.560000000001</v>
      </c>
      <c r="G194">
        <v>2469.4532050039338</v>
      </c>
      <c r="H194">
        <v>2469.4532050039338</v>
      </c>
      <c r="I194">
        <v>0.79077431440291202</v>
      </c>
      <c r="J194">
        <v>0.82942372977896861</v>
      </c>
      <c r="K194">
        <v>13.54927208127499</v>
      </c>
      <c r="L194">
        <v>2048.2230878089908</v>
      </c>
      <c r="M194">
        <v>0</v>
      </c>
      <c r="N194">
        <v>0</v>
      </c>
      <c r="O194">
        <v>0</v>
      </c>
      <c r="P194">
        <v>0</v>
      </c>
      <c r="Q194">
        <v>1</v>
      </c>
      <c r="R194">
        <v>0</v>
      </c>
      <c r="S194">
        <v>2469.4532050039338</v>
      </c>
      <c r="T194">
        <v>2048.2230878089908</v>
      </c>
      <c r="U194">
        <v>0</v>
      </c>
      <c r="V194">
        <v>0</v>
      </c>
      <c r="W194">
        <v>0</v>
      </c>
    </row>
    <row r="195" spans="1:23" x14ac:dyDescent="0.35">
      <c r="A195" t="s">
        <v>110</v>
      </c>
      <c r="B195" t="s">
        <v>91</v>
      </c>
      <c r="C195">
        <v>106304.5</v>
      </c>
      <c r="D195">
        <v>5.9987093376205696</v>
      </c>
      <c r="E195">
        <v>0.88784888074947876</v>
      </c>
      <c r="F195">
        <v>19802.650000000001</v>
      </c>
      <c r="G195">
        <v>-2218.2724663803642</v>
      </c>
      <c r="H195">
        <v>-2218.2724663803642</v>
      </c>
      <c r="I195">
        <v>0.74510126288434242</v>
      </c>
      <c r="J195">
        <v>0.81610866864379139</v>
      </c>
      <c r="K195">
        <v>4.6224530861090916</v>
      </c>
      <c r="L195">
        <v>-1810.3513892268579</v>
      </c>
      <c r="M195">
        <v>0</v>
      </c>
      <c r="N195">
        <v>0</v>
      </c>
      <c r="O195">
        <v>0</v>
      </c>
      <c r="P195">
        <v>0</v>
      </c>
      <c r="Q195">
        <v>1</v>
      </c>
      <c r="R195">
        <v>0</v>
      </c>
      <c r="S195">
        <v>-2218.2724663803642</v>
      </c>
      <c r="T195">
        <v>-1810.3513892268579</v>
      </c>
      <c r="U195">
        <v>0</v>
      </c>
      <c r="V195">
        <v>0</v>
      </c>
      <c r="W195">
        <v>0</v>
      </c>
    </row>
    <row r="196" spans="1:23" x14ac:dyDescent="0.35">
      <c r="A196" t="s">
        <v>110</v>
      </c>
      <c r="B196" t="s">
        <v>92</v>
      </c>
      <c r="C196">
        <v>106977.2</v>
      </c>
      <c r="D196">
        <v>5.014407888133106</v>
      </c>
      <c r="E196">
        <v>0.78064944858667973</v>
      </c>
      <c r="F196">
        <v>26455.02</v>
      </c>
      <c r="G196">
        <v>6249.2545952329347</v>
      </c>
      <c r="H196">
        <v>6249.2545952329347</v>
      </c>
      <c r="I196">
        <v>0.40589822675248782</v>
      </c>
      <c r="J196">
        <v>0.69249218548200264</v>
      </c>
      <c r="K196">
        <v>5.9987093376205696</v>
      </c>
      <c r="L196">
        <v>4327.5599722863026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</row>
    <row r="197" spans="1:23" x14ac:dyDescent="0.35">
      <c r="A197" t="s">
        <v>110</v>
      </c>
      <c r="B197" t="s">
        <v>93</v>
      </c>
      <c r="C197">
        <v>108183.7</v>
      </c>
      <c r="D197">
        <v>4.6155578586742658</v>
      </c>
      <c r="E197">
        <v>0.85804143414093403</v>
      </c>
      <c r="F197">
        <v>29343.64</v>
      </c>
      <c r="G197">
        <v>2660.8418006622051</v>
      </c>
      <c r="H197">
        <v>2660.8418006622051</v>
      </c>
      <c r="I197">
        <v>0.65078381935906571</v>
      </c>
      <c r="J197">
        <v>0.78609869585174297</v>
      </c>
      <c r="K197">
        <v>5.014407888133106</v>
      </c>
      <c r="L197">
        <v>2091.6842693683629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1:23" x14ac:dyDescent="0.35">
      <c r="A198" t="s">
        <v>110</v>
      </c>
      <c r="B198" t="s">
        <v>94</v>
      </c>
      <c r="C198">
        <v>108971.7</v>
      </c>
      <c r="D198">
        <v>3.3971898259849751</v>
      </c>
      <c r="E198">
        <v>0.92404375584932341</v>
      </c>
      <c r="F198">
        <v>24504.76</v>
      </c>
      <c r="G198">
        <v>-4610.2754712220849</v>
      </c>
      <c r="H198">
        <v>-4610.2754712220849</v>
      </c>
      <c r="I198">
        <v>0.85962996213748222</v>
      </c>
      <c r="J198">
        <v>0.84803348535559275</v>
      </c>
      <c r="K198">
        <v>4.6155578586742658</v>
      </c>
      <c r="L198">
        <v>-3909.6679763098618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1</v>
      </c>
      <c r="S198">
        <v>0</v>
      </c>
      <c r="T198">
        <v>0</v>
      </c>
      <c r="U198">
        <v>0</v>
      </c>
      <c r="V198">
        <v>0</v>
      </c>
      <c r="W198">
        <v>0</v>
      </c>
    </row>
    <row r="199" spans="1:23" x14ac:dyDescent="0.35">
      <c r="A199" t="s">
        <v>110</v>
      </c>
      <c r="B199" t="s">
        <v>95</v>
      </c>
      <c r="C199">
        <v>109322.8</v>
      </c>
      <c r="D199">
        <v>2.7997356139841938</v>
      </c>
      <c r="E199">
        <v>0.88940926748725335</v>
      </c>
      <c r="F199">
        <v>26500.43</v>
      </c>
      <c r="G199">
        <v>2181.4839460196272</v>
      </c>
      <c r="H199">
        <v>2181.4839460196272</v>
      </c>
      <c r="I199">
        <v>0.75003867634180565</v>
      </c>
      <c r="J199">
        <v>0.81758601278855747</v>
      </c>
      <c r="K199">
        <v>3.3971898259849751</v>
      </c>
      <c r="L199">
        <v>1783.5507613884361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1:23" x14ac:dyDescent="0.35">
      <c r="A200" t="s">
        <v>110</v>
      </c>
      <c r="B200" t="s">
        <v>96</v>
      </c>
      <c r="C200">
        <v>109617.1</v>
      </c>
      <c r="D200">
        <v>2.4377656597463422</v>
      </c>
      <c r="E200">
        <v>0.81312265699315933</v>
      </c>
      <c r="F200">
        <v>26400.05</v>
      </c>
      <c r="G200">
        <v>-84.520772908697836</v>
      </c>
      <c r="H200">
        <v>-84.520772908697836</v>
      </c>
      <c r="I200">
        <v>0.50865073823680551</v>
      </c>
      <c r="J200">
        <v>0.73444662660721816</v>
      </c>
      <c r="K200">
        <v>2.7997356139841938</v>
      </c>
      <c r="L200">
        <v>-62.075996541027877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1:23" x14ac:dyDescent="0.35">
      <c r="A201" t="s">
        <v>110</v>
      </c>
      <c r="B201" t="s">
        <v>97</v>
      </c>
      <c r="C201">
        <v>109947.3</v>
      </c>
      <c r="D201">
        <v>1.6170451968710471</v>
      </c>
      <c r="E201">
        <v>0.69124205056268784</v>
      </c>
      <c r="F201">
        <v>30702.400000000001</v>
      </c>
      <c r="G201">
        <v>4416.8820192602216</v>
      </c>
      <c r="H201">
        <v>4416.8820192602216</v>
      </c>
      <c r="I201">
        <v>0.1229931753868185</v>
      </c>
      <c r="J201">
        <v>0.56118835974633419</v>
      </c>
      <c r="K201">
        <v>2.4377656597463422</v>
      </c>
      <c r="L201">
        <v>2478.7027755817198</v>
      </c>
      <c r="M201">
        <v>0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4416.8820192602216</v>
      </c>
      <c r="T201">
        <v>2478.7027755817198</v>
      </c>
      <c r="U201">
        <v>0</v>
      </c>
      <c r="V201">
        <v>0</v>
      </c>
      <c r="W201">
        <v>0</v>
      </c>
    </row>
    <row r="202" spans="1:23" x14ac:dyDescent="0.35">
      <c r="A202" t="s">
        <v>110</v>
      </c>
      <c r="B202" t="s">
        <v>98</v>
      </c>
      <c r="C202">
        <v>110141.2</v>
      </c>
      <c r="D202">
        <v>1.0674963508111719</v>
      </c>
      <c r="E202">
        <v>0.67942917749200116</v>
      </c>
      <c r="F202">
        <v>17905.28</v>
      </c>
      <c r="G202">
        <v>-12517.608803376361</v>
      </c>
      <c r="H202">
        <v>-12517.608803376361</v>
      </c>
      <c r="I202">
        <v>8.5614596693118467E-2</v>
      </c>
      <c r="J202">
        <v>0.54270301360348361</v>
      </c>
      <c r="K202">
        <v>1.6170451968710471</v>
      </c>
      <c r="L202">
        <v>-6793.3440207018484</v>
      </c>
      <c r="M202">
        <v>0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-12517.608803376361</v>
      </c>
      <c r="T202">
        <v>-6793.3440207018484</v>
      </c>
      <c r="U202">
        <v>0</v>
      </c>
      <c r="V202">
        <v>0</v>
      </c>
      <c r="W202">
        <v>0</v>
      </c>
    </row>
    <row r="203" spans="1:23" x14ac:dyDescent="0.35">
      <c r="A203" t="s">
        <v>110</v>
      </c>
      <c r="B203" t="s">
        <v>99</v>
      </c>
      <c r="C203">
        <v>110517.1</v>
      </c>
      <c r="D203">
        <v>1.0865286504825551</v>
      </c>
      <c r="E203">
        <v>0.68594884720688165</v>
      </c>
      <c r="F203">
        <v>16655.52</v>
      </c>
      <c r="G203">
        <v>-1255.046474869388</v>
      </c>
      <c r="H203">
        <v>-1255.046474869388</v>
      </c>
      <c r="I203">
        <v>0.106244293299215</v>
      </c>
      <c r="J203">
        <v>0.5529231667515756</v>
      </c>
      <c r="K203">
        <v>1.0674963508111719</v>
      </c>
      <c r="L203">
        <v>-693.94427130518397</v>
      </c>
      <c r="M203">
        <v>0</v>
      </c>
      <c r="N203">
        <v>0</v>
      </c>
      <c r="O203">
        <v>0</v>
      </c>
      <c r="P203">
        <v>0</v>
      </c>
      <c r="Q203">
        <v>1</v>
      </c>
      <c r="R203">
        <v>0</v>
      </c>
      <c r="S203">
        <v>-1255.046474869388</v>
      </c>
      <c r="T203">
        <v>-693.94427130518397</v>
      </c>
      <c r="U203">
        <v>0</v>
      </c>
      <c r="V203">
        <v>0</v>
      </c>
      <c r="W203">
        <v>0</v>
      </c>
    </row>
    <row r="204" spans="1:23" x14ac:dyDescent="0.35">
      <c r="A204" t="s">
        <v>110</v>
      </c>
      <c r="B204" t="s">
        <v>100</v>
      </c>
      <c r="C204">
        <v>110940.6</v>
      </c>
      <c r="D204">
        <v>1.2001538699714911</v>
      </c>
      <c r="E204">
        <v>0.71485305626356588</v>
      </c>
      <c r="F204">
        <v>16042.91</v>
      </c>
      <c r="G204">
        <v>-1325.5086914047929</v>
      </c>
      <c r="H204">
        <v>-1325.5086914047929</v>
      </c>
      <c r="I204">
        <v>0.19770369071586949</v>
      </c>
      <c r="J204">
        <v>0.59758373575376489</v>
      </c>
      <c r="K204">
        <v>1.0865286504825551</v>
      </c>
      <c r="L204">
        <v>-792.10243558376067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-1325.5086914047929</v>
      </c>
      <c r="T204">
        <v>-792.10243558376067</v>
      </c>
      <c r="U204">
        <v>0</v>
      </c>
      <c r="V204">
        <v>0</v>
      </c>
      <c r="W204">
        <v>0</v>
      </c>
    </row>
    <row r="205" spans="1:23" x14ac:dyDescent="0.35">
      <c r="A205" t="s">
        <v>110</v>
      </c>
      <c r="B205" t="s">
        <v>101</v>
      </c>
      <c r="C205">
        <v>111156.4</v>
      </c>
      <c r="D205">
        <v>1.093705851699561</v>
      </c>
      <c r="E205">
        <v>0.49642492306339542</v>
      </c>
      <c r="F205">
        <v>15096.69</v>
      </c>
      <c r="G205">
        <v>-1747.62351995877</v>
      </c>
      <c r="H205">
        <v>-1747.62351995877</v>
      </c>
      <c r="I205">
        <v>-0.49345189157855462</v>
      </c>
      <c r="J205">
        <v>0.2715240720525337</v>
      </c>
      <c r="K205">
        <v>1.2001538699714911</v>
      </c>
      <c r="L205">
        <v>-474.52185455398762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0</v>
      </c>
      <c r="S205">
        <v>-1747.62351995877</v>
      </c>
      <c r="T205">
        <v>-474.52185455398762</v>
      </c>
      <c r="U205">
        <v>0</v>
      </c>
      <c r="V205">
        <v>0</v>
      </c>
      <c r="W205">
        <v>0</v>
      </c>
    </row>
    <row r="206" spans="1:23" x14ac:dyDescent="0.35">
      <c r="A206" t="s">
        <v>110</v>
      </c>
      <c r="B206" t="s">
        <v>102</v>
      </c>
      <c r="C206">
        <v>111397.5</v>
      </c>
      <c r="D206">
        <v>1.1341706590417451</v>
      </c>
      <c r="E206">
        <v>-0.21778405832477779</v>
      </c>
      <c r="F206">
        <v>19263.25</v>
      </c>
      <c r="G206">
        <v>3296.2288795207619</v>
      </c>
      <c r="H206">
        <v>3296.2288795207619</v>
      </c>
      <c r="I206">
        <v>-2.7533692253905029</v>
      </c>
      <c r="J206">
        <v>4.042914001734405E-3</v>
      </c>
      <c r="K206">
        <v>1.093705851699561</v>
      </c>
      <c r="L206">
        <v>13.326369889935799</v>
      </c>
      <c r="M206">
        <v>0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3296.2288795207619</v>
      </c>
      <c r="T206">
        <v>13.326369889935799</v>
      </c>
      <c r="U206">
        <v>0</v>
      </c>
      <c r="V206">
        <v>0</v>
      </c>
      <c r="W206">
        <v>0</v>
      </c>
    </row>
    <row r="207" spans="1:23" x14ac:dyDescent="0.35">
      <c r="A207" t="s">
        <v>110</v>
      </c>
      <c r="B207" t="s">
        <v>103</v>
      </c>
      <c r="C207">
        <v>111560.7</v>
      </c>
      <c r="D207">
        <v>0.93985772737068052</v>
      </c>
      <c r="E207">
        <v>-0.1191213590048897</v>
      </c>
      <c r="F207">
        <v>26370.25</v>
      </c>
      <c r="G207">
        <v>6352.7743362205329</v>
      </c>
      <c r="H207">
        <v>6352.7743362205329</v>
      </c>
      <c r="I207">
        <v>-2.4411783258020989</v>
      </c>
      <c r="J207">
        <v>7.5221204511447207E-3</v>
      </c>
      <c r="K207">
        <v>1.1341706590417451</v>
      </c>
      <c r="L207">
        <v>47.786333755991798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6352.7743362205329</v>
      </c>
      <c r="T207">
        <v>47.786333755991798</v>
      </c>
      <c r="U207">
        <v>0</v>
      </c>
      <c r="V207">
        <v>0</v>
      </c>
      <c r="W207">
        <v>0</v>
      </c>
    </row>
    <row r="208" spans="1:23" x14ac:dyDescent="0.35">
      <c r="A208" t="s">
        <v>110</v>
      </c>
      <c r="B208" t="s">
        <v>104</v>
      </c>
      <c r="C208">
        <v>112003.7</v>
      </c>
      <c r="D208">
        <v>0.95369835224230848</v>
      </c>
      <c r="E208">
        <v>-0.14083607549773239</v>
      </c>
      <c r="F208">
        <v>48145.7</v>
      </c>
      <c r="G208">
        <v>21516.57673025272</v>
      </c>
      <c r="H208">
        <v>21516.57673025272</v>
      </c>
      <c r="I208">
        <v>-2.5098885569526601</v>
      </c>
      <c r="J208">
        <v>6.5626460974417544E-3</v>
      </c>
      <c r="K208">
        <v>0.93985772737068052</v>
      </c>
      <c r="L208">
        <v>141.20567830909911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1:23" x14ac:dyDescent="0.35">
      <c r="A209" t="s">
        <v>110</v>
      </c>
      <c r="B209" t="s">
        <v>105</v>
      </c>
      <c r="C209">
        <v>112282.5</v>
      </c>
      <c r="D209">
        <v>1.0079798410360921</v>
      </c>
      <c r="E209">
        <v>0.10251013611618939</v>
      </c>
      <c r="F209">
        <v>80038.14</v>
      </c>
      <c r="G209">
        <v>32860.236300339107</v>
      </c>
      <c r="H209">
        <v>32860.236300339107</v>
      </c>
      <c r="I209">
        <v>-1.739886588236337</v>
      </c>
      <c r="J209">
        <v>2.9893256905209518E-2</v>
      </c>
      <c r="K209">
        <v>0.95369835224230848</v>
      </c>
      <c r="L209">
        <v>982.29948569192879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1:23" x14ac:dyDescent="0.35">
      <c r="A210" t="s">
        <v>110</v>
      </c>
      <c r="B210" t="s">
        <v>106</v>
      </c>
      <c r="C210">
        <v>112543.1</v>
      </c>
      <c r="D210">
        <v>1.023137379760205</v>
      </c>
      <c r="E210">
        <v>7.2056943060549869E-2</v>
      </c>
      <c r="F210">
        <v>106862.2</v>
      </c>
      <c r="G210">
        <v>30173.051455287681</v>
      </c>
      <c r="H210">
        <v>30173.051455287681</v>
      </c>
      <c r="I210">
        <v>-1.83624731828848</v>
      </c>
      <c r="J210">
        <v>2.4783179804717032E-2</v>
      </c>
      <c r="K210">
        <v>1.0079798410360921</v>
      </c>
      <c r="L210">
        <v>747.78415947337362</v>
      </c>
      <c r="M210">
        <v>0</v>
      </c>
      <c r="N210">
        <v>0</v>
      </c>
      <c r="O210">
        <v>0</v>
      </c>
      <c r="P210">
        <v>0</v>
      </c>
      <c r="Q210">
        <v>1</v>
      </c>
      <c r="R210">
        <v>0</v>
      </c>
      <c r="S210">
        <v>30173.051455287681</v>
      </c>
      <c r="T210">
        <v>747.78415947337362</v>
      </c>
      <c r="U210">
        <v>0</v>
      </c>
      <c r="V210">
        <v>0</v>
      </c>
      <c r="W210">
        <v>0</v>
      </c>
    </row>
    <row r="211" spans="1:23" x14ac:dyDescent="0.35">
      <c r="A211" t="s">
        <v>110</v>
      </c>
      <c r="B211" t="s">
        <v>107</v>
      </c>
      <c r="C211">
        <v>112601.4</v>
      </c>
      <c r="D211">
        <v>0.92853116308210382</v>
      </c>
      <c r="E211">
        <v>7.4520220338948812E-2</v>
      </c>
      <c r="F211">
        <v>94947.06</v>
      </c>
      <c r="G211">
        <v>-5865.0461574176588</v>
      </c>
      <c r="H211">
        <v>-5865.0461574176588</v>
      </c>
      <c r="I211">
        <v>-1.8284529567437411</v>
      </c>
      <c r="J211">
        <v>2.516274740388463E-2</v>
      </c>
      <c r="K211">
        <v>1.023137379760205</v>
      </c>
      <c r="L211">
        <v>-147.58067497122471</v>
      </c>
      <c r="M211">
        <v>0</v>
      </c>
      <c r="N211">
        <v>0</v>
      </c>
      <c r="O211">
        <v>0</v>
      </c>
      <c r="P211">
        <v>0</v>
      </c>
      <c r="Q211">
        <v>1</v>
      </c>
      <c r="R211">
        <v>0</v>
      </c>
      <c r="S211">
        <v>-5865.0461574176588</v>
      </c>
      <c r="T211">
        <v>-147.58067497122471</v>
      </c>
      <c r="U211">
        <v>0</v>
      </c>
      <c r="V211">
        <v>0</v>
      </c>
      <c r="W211">
        <v>0</v>
      </c>
    </row>
    <row r="212" spans="1:23" x14ac:dyDescent="0.35">
      <c r="A212" t="s">
        <v>110</v>
      </c>
      <c r="B212" t="s">
        <v>108</v>
      </c>
      <c r="C212">
        <v>112852.8</v>
      </c>
      <c r="D212">
        <v>0.75524081889695471</v>
      </c>
      <c r="E212">
        <v>6.3968290518102058E-2</v>
      </c>
      <c r="F212">
        <v>81871.73</v>
      </c>
      <c r="G212">
        <v>-6116.8052336188266</v>
      </c>
      <c r="H212">
        <v>-6116.8052336188266</v>
      </c>
      <c r="I212">
        <v>-1.861841628307279</v>
      </c>
      <c r="J212">
        <v>2.3575641262213259E-2</v>
      </c>
      <c r="K212">
        <v>0.92853116308210382</v>
      </c>
      <c r="L212">
        <v>-144.20760585862601</v>
      </c>
      <c r="M212">
        <v>0</v>
      </c>
      <c r="N212">
        <v>0</v>
      </c>
      <c r="O212">
        <v>0</v>
      </c>
      <c r="P212">
        <v>0</v>
      </c>
      <c r="Q212">
        <v>1</v>
      </c>
      <c r="R212">
        <v>0</v>
      </c>
      <c r="S212">
        <v>-6116.8052336188266</v>
      </c>
      <c r="T212">
        <v>-144.20760585862601</v>
      </c>
      <c r="U212">
        <v>0</v>
      </c>
      <c r="V212">
        <v>0</v>
      </c>
      <c r="W212">
        <v>0</v>
      </c>
    </row>
    <row r="213" spans="1:23" x14ac:dyDescent="0.35">
      <c r="A213" t="s">
        <v>111</v>
      </c>
      <c r="B213" t="s">
        <v>4</v>
      </c>
      <c r="C213">
        <v>595706.69999999995</v>
      </c>
      <c r="F213">
        <v>5832.3329999999996</v>
      </c>
      <c r="G213">
        <v>-3714.5931994258599</v>
      </c>
      <c r="H213">
        <v>-3714.5931994258599</v>
      </c>
      <c r="M213">
        <v>0</v>
      </c>
      <c r="N213">
        <v>0</v>
      </c>
    </row>
    <row r="214" spans="1:23" x14ac:dyDescent="0.35">
      <c r="A214" t="s">
        <v>111</v>
      </c>
      <c r="B214" t="s">
        <v>5</v>
      </c>
      <c r="C214">
        <v>600717</v>
      </c>
      <c r="F214">
        <v>5569.9409999999998</v>
      </c>
      <c r="G214">
        <v>-1919.831103877337</v>
      </c>
      <c r="H214">
        <v>-1919.831103877337</v>
      </c>
      <c r="M214">
        <v>0</v>
      </c>
      <c r="N214">
        <v>0</v>
      </c>
    </row>
    <row r="215" spans="1:23" x14ac:dyDescent="0.35">
      <c r="A215" t="s">
        <v>111</v>
      </c>
      <c r="B215" t="s">
        <v>6</v>
      </c>
      <c r="C215">
        <v>600864.30000000005</v>
      </c>
      <c r="F215">
        <v>13816.67</v>
      </c>
      <c r="G215">
        <v>6474.4940275934759</v>
      </c>
      <c r="H215">
        <v>6474.4940275934759</v>
      </c>
      <c r="M215">
        <v>0</v>
      </c>
      <c r="N215">
        <v>0</v>
      </c>
    </row>
    <row r="216" spans="1:23" x14ac:dyDescent="0.35">
      <c r="A216" t="s">
        <v>111</v>
      </c>
      <c r="B216" t="s">
        <v>7</v>
      </c>
      <c r="C216">
        <v>598359.19999999995</v>
      </c>
      <c r="F216">
        <v>11881.05</v>
      </c>
      <c r="G216">
        <v>-3395.2229350538159</v>
      </c>
      <c r="H216">
        <v>-3395.2229350538159</v>
      </c>
      <c r="M216">
        <v>0</v>
      </c>
      <c r="N216">
        <v>0</v>
      </c>
    </row>
    <row r="217" spans="1:23" x14ac:dyDescent="0.35">
      <c r="A217" t="s">
        <v>111</v>
      </c>
      <c r="B217" t="s">
        <v>8</v>
      </c>
      <c r="C217">
        <v>610958.9</v>
      </c>
      <c r="D217">
        <v>2.5281258289798441</v>
      </c>
      <c r="F217">
        <v>22324.51</v>
      </c>
      <c r="G217">
        <v>9331.4609908810216</v>
      </c>
      <c r="H217">
        <v>9331.4609908810216</v>
      </c>
      <c r="M217">
        <v>0</v>
      </c>
      <c r="N217">
        <v>0</v>
      </c>
      <c r="Q217">
        <v>0</v>
      </c>
      <c r="R217">
        <v>1</v>
      </c>
      <c r="S217">
        <v>0</v>
      </c>
      <c r="U217">
        <v>0</v>
      </c>
      <c r="V217">
        <v>0</v>
      </c>
    </row>
    <row r="218" spans="1:23" x14ac:dyDescent="0.35">
      <c r="A218" t="s">
        <v>111</v>
      </c>
      <c r="B218" t="s">
        <v>9</v>
      </c>
      <c r="C218">
        <v>609706.30000000005</v>
      </c>
      <c r="D218">
        <v>1.48534240390504</v>
      </c>
      <c r="F218">
        <v>13179.21</v>
      </c>
      <c r="G218">
        <v>-9943.8528374191192</v>
      </c>
      <c r="H218">
        <v>-9943.8528374191192</v>
      </c>
      <c r="K218">
        <v>2.5281258289798441</v>
      </c>
      <c r="M218">
        <v>0</v>
      </c>
      <c r="N218">
        <v>0</v>
      </c>
      <c r="Q218">
        <v>0</v>
      </c>
      <c r="R218">
        <v>1</v>
      </c>
      <c r="S218">
        <v>0</v>
      </c>
      <c r="U218">
        <v>0</v>
      </c>
      <c r="V218">
        <v>0</v>
      </c>
    </row>
    <row r="219" spans="1:23" x14ac:dyDescent="0.35">
      <c r="A219" t="s">
        <v>111</v>
      </c>
      <c r="B219" t="s">
        <v>10</v>
      </c>
      <c r="C219">
        <v>609485.30000000005</v>
      </c>
      <c r="D219">
        <v>1.4245711809553649</v>
      </c>
      <c r="F219">
        <v>25155.95</v>
      </c>
      <c r="G219">
        <v>11353.658528725049</v>
      </c>
      <c r="H219">
        <v>11353.658528725049</v>
      </c>
      <c r="K219">
        <v>1.48534240390504</v>
      </c>
      <c r="M219">
        <v>0</v>
      </c>
      <c r="N219">
        <v>0</v>
      </c>
      <c r="Q219">
        <v>0</v>
      </c>
      <c r="R219">
        <v>1</v>
      </c>
      <c r="S219">
        <v>0</v>
      </c>
      <c r="U219">
        <v>0</v>
      </c>
      <c r="V219">
        <v>0</v>
      </c>
    </row>
    <row r="220" spans="1:23" x14ac:dyDescent="0.35">
      <c r="A220" t="s">
        <v>111</v>
      </c>
      <c r="B220" t="s">
        <v>11</v>
      </c>
      <c r="C220">
        <v>607717</v>
      </c>
      <c r="D220">
        <v>1.5518070561874311</v>
      </c>
      <c r="F220">
        <v>23448.18</v>
      </c>
      <c r="G220">
        <v>-2327.5821782993439</v>
      </c>
      <c r="H220">
        <v>-2327.5821782993439</v>
      </c>
      <c r="K220">
        <v>1.4245711809553649</v>
      </c>
      <c r="M220">
        <v>0</v>
      </c>
      <c r="N220">
        <v>0</v>
      </c>
      <c r="Q220">
        <v>0</v>
      </c>
      <c r="R220">
        <v>1</v>
      </c>
      <c r="S220">
        <v>0</v>
      </c>
      <c r="U220">
        <v>0</v>
      </c>
      <c r="V220">
        <v>0</v>
      </c>
    </row>
    <row r="221" spans="1:23" x14ac:dyDescent="0.35">
      <c r="A221" t="s">
        <v>111</v>
      </c>
      <c r="B221" t="s">
        <v>12</v>
      </c>
      <c r="C221">
        <v>604861.69999999995</v>
      </c>
      <c r="D221">
        <v>-1.0029853275616789</v>
      </c>
      <c r="E221">
        <v>0.81692501639075499</v>
      </c>
      <c r="F221">
        <v>22597.360000000001</v>
      </c>
      <c r="G221">
        <v>-922.17355643885821</v>
      </c>
      <c r="H221">
        <v>-922.17355643885821</v>
      </c>
      <c r="I221">
        <v>0.52068225581210592</v>
      </c>
      <c r="J221">
        <v>0.73911320370210865</v>
      </c>
      <c r="K221">
        <v>1.5518070561874311</v>
      </c>
      <c r="L221">
        <v>-681.59065166889184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0</v>
      </c>
      <c r="U221">
        <v>0</v>
      </c>
      <c r="V221">
        <v>0</v>
      </c>
      <c r="W221">
        <v>0</v>
      </c>
    </row>
    <row r="222" spans="1:23" x14ac:dyDescent="0.35">
      <c r="A222" t="s">
        <v>111</v>
      </c>
      <c r="B222" t="s">
        <v>13</v>
      </c>
      <c r="C222">
        <v>607367</v>
      </c>
      <c r="D222">
        <v>-0.3844144606145915</v>
      </c>
      <c r="E222">
        <v>0.86103525027398387</v>
      </c>
      <c r="F222">
        <v>17938.45</v>
      </c>
      <c r="G222">
        <v>-4851.7453407365683</v>
      </c>
      <c r="H222">
        <v>-4851.7453407365683</v>
      </c>
      <c r="I222">
        <v>0.66025692478007969</v>
      </c>
      <c r="J222">
        <v>0.78926718499482806</v>
      </c>
      <c r="K222">
        <v>-1.0029853275616789</v>
      </c>
      <c r="L222">
        <v>-3829.3233873949239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</row>
    <row r="223" spans="1:23" x14ac:dyDescent="0.35">
      <c r="A223" t="s">
        <v>111</v>
      </c>
      <c r="B223" t="s">
        <v>14</v>
      </c>
      <c r="C223">
        <v>611272.1</v>
      </c>
      <c r="D223">
        <v>0.29273650538481188</v>
      </c>
      <c r="E223">
        <v>0.88709551580826351</v>
      </c>
      <c r="F223">
        <v>14136.45</v>
      </c>
      <c r="G223">
        <v>-4222.8378093282299</v>
      </c>
      <c r="H223">
        <v>-4222.8378093282299</v>
      </c>
      <c r="I223">
        <v>0.74271744731536227</v>
      </c>
      <c r="J223">
        <v>0.81539208632830207</v>
      </c>
      <c r="K223">
        <v>-0.3844144606145915</v>
      </c>
      <c r="L223">
        <v>-3443.2685315741819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0</v>
      </c>
      <c r="U223">
        <v>0</v>
      </c>
      <c r="V223">
        <v>0</v>
      </c>
      <c r="W223">
        <v>0</v>
      </c>
    </row>
    <row r="224" spans="1:23" x14ac:dyDescent="0.35">
      <c r="A224" t="s">
        <v>111</v>
      </c>
      <c r="B224" t="s">
        <v>15</v>
      </c>
      <c r="C224">
        <v>609798.40000000002</v>
      </c>
      <c r="D224">
        <v>0.34190976601525558</v>
      </c>
      <c r="E224">
        <v>0.96170359307728204</v>
      </c>
      <c r="F224">
        <v>27832.880000000001</v>
      </c>
      <c r="G224">
        <v>12885.617455236321</v>
      </c>
      <c r="H224">
        <v>12885.617455236321</v>
      </c>
      <c r="I224">
        <v>0.97879412999011794</v>
      </c>
      <c r="J224">
        <v>0.87627170974186175</v>
      </c>
      <c r="K224">
        <v>0.29273650538481188</v>
      </c>
      <c r="L224">
        <v>11291.30203857951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1:23" x14ac:dyDescent="0.35">
      <c r="A225" t="s">
        <v>111</v>
      </c>
      <c r="B225" t="s">
        <v>16</v>
      </c>
      <c r="C225">
        <v>601380.30000000005</v>
      </c>
      <c r="D225">
        <v>-0.57723237403456717</v>
      </c>
      <c r="E225">
        <v>0.93384920527255222</v>
      </c>
      <c r="F225">
        <v>25718.62</v>
      </c>
      <c r="G225">
        <v>-2578.9762101676129</v>
      </c>
      <c r="H225">
        <v>-2578.9762101676129</v>
      </c>
      <c r="I225">
        <v>0.89065660237141042</v>
      </c>
      <c r="J225">
        <v>0.85585894435855159</v>
      </c>
      <c r="K225">
        <v>0.34190976601525558</v>
      </c>
      <c r="L225">
        <v>-2207.2398567598721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0</v>
      </c>
      <c r="V225">
        <v>0</v>
      </c>
      <c r="W225">
        <v>0</v>
      </c>
    </row>
    <row r="226" spans="1:23" x14ac:dyDescent="0.35">
      <c r="A226" t="s">
        <v>111</v>
      </c>
      <c r="B226" t="s">
        <v>17</v>
      </c>
      <c r="C226">
        <v>602338.1</v>
      </c>
      <c r="D226">
        <v>-0.83143056430008833</v>
      </c>
      <c r="E226">
        <v>0.90185105456239423</v>
      </c>
      <c r="F226">
        <v>34454.82</v>
      </c>
      <c r="G226">
        <v>8892.3153268391106</v>
      </c>
      <c r="H226">
        <v>8892.3153268391106</v>
      </c>
      <c r="I226">
        <v>0.78940727994023407</v>
      </c>
      <c r="J226">
        <v>0.82903656522506552</v>
      </c>
      <c r="K226">
        <v>-0.57723237403456717</v>
      </c>
      <c r="L226">
        <v>7372.0545554609034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1:23" x14ac:dyDescent="0.35">
      <c r="A227" t="s">
        <v>111</v>
      </c>
      <c r="B227" t="s">
        <v>18</v>
      </c>
      <c r="C227">
        <v>607643.1</v>
      </c>
      <c r="D227">
        <v>-0.59544925233081658</v>
      </c>
      <c r="E227">
        <v>0.88017878809897976</v>
      </c>
      <c r="F227">
        <v>23886.34</v>
      </c>
      <c r="G227">
        <v>-10175.62221530782</v>
      </c>
      <c r="H227">
        <v>-10175.62221530782</v>
      </c>
      <c r="I227">
        <v>0.72083137019954935</v>
      </c>
      <c r="J227">
        <v>0.80871200426310841</v>
      </c>
      <c r="K227">
        <v>-0.83143056430008833</v>
      </c>
      <c r="L227">
        <v>-8229.1478363657952</v>
      </c>
      <c r="M227">
        <v>0</v>
      </c>
      <c r="N227">
        <v>0</v>
      </c>
      <c r="O227">
        <v>0</v>
      </c>
      <c r="P227">
        <v>0</v>
      </c>
      <c r="Q227">
        <v>1</v>
      </c>
      <c r="R227">
        <v>0</v>
      </c>
      <c r="S227">
        <v>-10175.62221530782</v>
      </c>
      <c r="T227">
        <v>-8229.1478363657952</v>
      </c>
      <c r="U227">
        <v>0</v>
      </c>
      <c r="V227">
        <v>0</v>
      </c>
      <c r="W227">
        <v>0</v>
      </c>
    </row>
    <row r="228" spans="1:23" x14ac:dyDescent="0.35">
      <c r="A228" t="s">
        <v>111</v>
      </c>
      <c r="B228" t="s">
        <v>19</v>
      </c>
      <c r="C228">
        <v>608453.6</v>
      </c>
      <c r="D228">
        <v>-0.22077543008063749</v>
      </c>
      <c r="E228">
        <v>0.86865487719567136</v>
      </c>
      <c r="F228">
        <v>12058.21</v>
      </c>
      <c r="G228">
        <v>-11403.891117199109</v>
      </c>
      <c r="H228">
        <v>-11403.891117199109</v>
      </c>
      <c r="I228">
        <v>0.68436713258512949</v>
      </c>
      <c r="J228">
        <v>0.79717557808927475</v>
      </c>
      <c r="K228">
        <v>-0.59544925233081658</v>
      </c>
      <c r="L228">
        <v>-9090.9034938203476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-11403.891117199109</v>
      </c>
      <c r="T228">
        <v>-9090.9034938203476</v>
      </c>
      <c r="U228">
        <v>0</v>
      </c>
      <c r="V228">
        <v>0</v>
      </c>
      <c r="W228">
        <v>0</v>
      </c>
    </row>
    <row r="229" spans="1:23" x14ac:dyDescent="0.35">
      <c r="A229" t="s">
        <v>111</v>
      </c>
      <c r="B229" t="s">
        <v>20</v>
      </c>
      <c r="C229">
        <v>607495.9</v>
      </c>
      <c r="D229">
        <v>1.0117913103391201</v>
      </c>
      <c r="E229">
        <v>0.86571305632832274</v>
      </c>
      <c r="F229">
        <v>16122.31</v>
      </c>
      <c r="G229">
        <v>3477.0160780143342</v>
      </c>
      <c r="H229">
        <v>3477.0160780143342</v>
      </c>
      <c r="I229">
        <v>0.67505855184148078</v>
      </c>
      <c r="J229">
        <v>0.79414877255865668</v>
      </c>
      <c r="K229">
        <v>-0.22077543008063749</v>
      </c>
      <c r="L229">
        <v>2761.2680505217982</v>
      </c>
      <c r="M229">
        <v>0</v>
      </c>
      <c r="N229">
        <v>0</v>
      </c>
      <c r="O229">
        <v>0</v>
      </c>
      <c r="P229">
        <v>0</v>
      </c>
      <c r="Q229">
        <v>1</v>
      </c>
      <c r="R229">
        <v>0</v>
      </c>
      <c r="S229">
        <v>3477.0160780143342</v>
      </c>
      <c r="T229">
        <v>2761.2680505217982</v>
      </c>
      <c r="U229">
        <v>0</v>
      </c>
      <c r="V229">
        <v>0</v>
      </c>
      <c r="W229">
        <v>0</v>
      </c>
    </row>
    <row r="230" spans="1:23" x14ac:dyDescent="0.35">
      <c r="A230" t="s">
        <v>111</v>
      </c>
      <c r="B230" t="s">
        <v>21</v>
      </c>
      <c r="C230">
        <v>611106.30000000005</v>
      </c>
      <c r="D230">
        <v>1.4452005564209469</v>
      </c>
      <c r="E230">
        <v>0.88559895013457668</v>
      </c>
      <c r="F230">
        <v>9975.3389999999999</v>
      </c>
      <c r="G230">
        <v>-7181.6860400218247</v>
      </c>
      <c r="H230">
        <v>-7181.6860400218247</v>
      </c>
      <c r="I230">
        <v>0.73798197801255516</v>
      </c>
      <c r="J230">
        <v>0.81396218596557701</v>
      </c>
      <c r="K230">
        <v>1.0117913103391201</v>
      </c>
      <c r="L230">
        <v>-5845.6208680546324</v>
      </c>
      <c r="M230">
        <v>0</v>
      </c>
      <c r="N230">
        <v>0</v>
      </c>
      <c r="O230">
        <v>0</v>
      </c>
      <c r="P230">
        <v>0</v>
      </c>
      <c r="Q230">
        <v>1</v>
      </c>
      <c r="R230">
        <v>0</v>
      </c>
      <c r="S230">
        <v>-7181.6860400218247</v>
      </c>
      <c r="T230">
        <v>-5845.6208680546324</v>
      </c>
      <c r="U230">
        <v>0</v>
      </c>
      <c r="V230">
        <v>0</v>
      </c>
      <c r="W230">
        <v>0</v>
      </c>
    </row>
    <row r="231" spans="1:23" x14ac:dyDescent="0.35">
      <c r="A231" t="s">
        <v>111</v>
      </c>
      <c r="B231" t="s">
        <v>22</v>
      </c>
      <c r="C231">
        <v>609116.9</v>
      </c>
      <c r="D231">
        <v>0.24225002806643581</v>
      </c>
      <c r="E231">
        <v>0.57905627416859118</v>
      </c>
      <c r="F231">
        <v>14397.81</v>
      </c>
      <c r="G231">
        <v>3353.6931959349681</v>
      </c>
      <c r="H231">
        <v>3353.6931959349681</v>
      </c>
      <c r="I231">
        <v>-0.2319877717687259</v>
      </c>
      <c r="J231">
        <v>0.38604313921240008</v>
      </c>
      <c r="K231">
        <v>1.4452005564209469</v>
      </c>
      <c r="L231">
        <v>1294.6702493140019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1</v>
      </c>
      <c r="S231">
        <v>0</v>
      </c>
      <c r="T231">
        <v>0</v>
      </c>
      <c r="U231">
        <v>0</v>
      </c>
      <c r="V231">
        <v>0</v>
      </c>
      <c r="W231">
        <v>0</v>
      </c>
    </row>
    <row r="232" spans="1:23" x14ac:dyDescent="0.35">
      <c r="A232" t="s">
        <v>111</v>
      </c>
      <c r="B232" t="s">
        <v>23</v>
      </c>
      <c r="C232">
        <v>608748.5</v>
      </c>
      <c r="D232">
        <v>4.8455388923517383E-2</v>
      </c>
      <c r="E232">
        <v>0.62466859983125189</v>
      </c>
      <c r="F232">
        <v>13202.73</v>
      </c>
      <c r="G232">
        <v>-2405.1200373209231</v>
      </c>
      <c r="H232">
        <v>-2405.1200373209231</v>
      </c>
      <c r="I232">
        <v>-8.7660147660484133E-2</v>
      </c>
      <c r="J232">
        <v>0.45628184999362842</v>
      </c>
      <c r="K232">
        <v>0.24225002806643581</v>
      </c>
      <c r="L232">
        <v>-1097.4126200855351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</row>
    <row r="233" spans="1:23" x14ac:dyDescent="0.35">
      <c r="A233" t="s">
        <v>111</v>
      </c>
      <c r="B233" t="s">
        <v>24</v>
      </c>
      <c r="C233">
        <v>609945.80000000005</v>
      </c>
      <c r="D233">
        <v>0.40246745399912609</v>
      </c>
      <c r="E233">
        <v>0.75765313179853655</v>
      </c>
      <c r="F233">
        <v>11537.9</v>
      </c>
      <c r="G233">
        <v>-2694.6719418449161</v>
      </c>
      <c r="H233">
        <v>-2694.6719418449161</v>
      </c>
      <c r="I233">
        <v>0.33313272494887791</v>
      </c>
      <c r="J233">
        <v>0.66066642726225944</v>
      </c>
      <c r="K233">
        <v>4.8455388923517383E-2</v>
      </c>
      <c r="L233">
        <v>-1780.2792844625351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1:23" x14ac:dyDescent="0.35">
      <c r="A234" t="s">
        <v>111</v>
      </c>
      <c r="B234" t="s">
        <v>25</v>
      </c>
      <c r="C234">
        <v>613408.9</v>
      </c>
      <c r="D234">
        <v>0.37608397412805261</v>
      </c>
      <c r="E234">
        <v>0.74350844693943086</v>
      </c>
      <c r="F234">
        <v>11866.98</v>
      </c>
      <c r="G234">
        <v>-828.06583405836682</v>
      </c>
      <c r="H234">
        <v>-828.06583405836682</v>
      </c>
      <c r="I234">
        <v>0.28837577099365042</v>
      </c>
      <c r="J234">
        <v>0.64031959416026785</v>
      </c>
      <c r="K234">
        <v>0.40246745399912609</v>
      </c>
      <c r="L234">
        <v>-530.22677880223716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</row>
    <row r="235" spans="1:23" x14ac:dyDescent="0.35">
      <c r="A235" t="s">
        <v>111</v>
      </c>
      <c r="B235" t="s">
        <v>26</v>
      </c>
      <c r="C235">
        <v>618345.69999999995</v>
      </c>
      <c r="D235">
        <v>1.5037482861358951</v>
      </c>
      <c r="E235">
        <v>0.90445187419264739</v>
      </c>
      <c r="F235">
        <v>20193.73</v>
      </c>
      <c r="G235">
        <v>7096.9915636258847</v>
      </c>
      <c r="H235">
        <v>7096.9915636258847</v>
      </c>
      <c r="I235">
        <v>0.79763685632151038</v>
      </c>
      <c r="J235">
        <v>0.83135678432926485</v>
      </c>
      <c r="K235">
        <v>0.37608397412805261</v>
      </c>
      <c r="L235">
        <v>5900.1320847479356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7096.9915636258847</v>
      </c>
      <c r="T235">
        <v>5900.1320847479356</v>
      </c>
      <c r="U235">
        <v>0</v>
      </c>
      <c r="V235">
        <v>0</v>
      </c>
      <c r="W235">
        <v>0</v>
      </c>
    </row>
    <row r="236" spans="1:23" x14ac:dyDescent="0.35">
      <c r="A236" t="s">
        <v>111</v>
      </c>
      <c r="B236" t="s">
        <v>27</v>
      </c>
      <c r="C236">
        <v>620556.1</v>
      </c>
      <c r="D236">
        <v>1.9210801188686211</v>
      </c>
      <c r="E236">
        <v>0.89096774595581885</v>
      </c>
      <c r="F236">
        <v>12165.63</v>
      </c>
      <c r="G236">
        <v>-8911.6409368498116</v>
      </c>
      <c r="H236">
        <v>-8911.6409368498116</v>
      </c>
      <c r="I236">
        <v>0.75497005160768127</v>
      </c>
      <c r="J236">
        <v>0.81905232997795119</v>
      </c>
      <c r="K236">
        <v>1.5037482861358951</v>
      </c>
      <c r="L236">
        <v>-7299.1002732537299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1:23" x14ac:dyDescent="0.35">
      <c r="A237" t="s">
        <v>111</v>
      </c>
      <c r="B237" t="s">
        <v>28</v>
      </c>
      <c r="C237">
        <v>627629.69999999995</v>
      </c>
      <c r="D237">
        <v>2.8580242114201311</v>
      </c>
      <c r="E237">
        <v>0.94891138462264468</v>
      </c>
      <c r="F237">
        <v>11552.83</v>
      </c>
      <c r="G237">
        <v>-1385.556303605184</v>
      </c>
      <c r="H237">
        <v>-1385.556303605184</v>
      </c>
      <c r="I237">
        <v>0.93831671458688248</v>
      </c>
      <c r="J237">
        <v>0.86722395640701322</v>
      </c>
      <c r="K237">
        <v>1.9210801188686211</v>
      </c>
      <c r="L237">
        <v>-1201.5876194371649</v>
      </c>
      <c r="M237">
        <v>0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-1385.556303605184</v>
      </c>
      <c r="T237">
        <v>-1201.5876194371649</v>
      </c>
      <c r="U237">
        <v>0</v>
      </c>
      <c r="V237">
        <v>0</v>
      </c>
      <c r="W237">
        <v>0</v>
      </c>
    </row>
    <row r="238" spans="1:23" x14ac:dyDescent="0.35">
      <c r="A238" t="s">
        <v>111</v>
      </c>
      <c r="B238" t="s">
        <v>29</v>
      </c>
      <c r="C238">
        <v>638387.4</v>
      </c>
      <c r="D238">
        <v>3.9913548231359059</v>
      </c>
      <c r="E238">
        <v>0.92131138781615707</v>
      </c>
      <c r="F238">
        <v>8235.1579999999994</v>
      </c>
      <c r="G238">
        <v>-4527.5681324086381</v>
      </c>
      <c r="H238">
        <v>-4527.5681324086381</v>
      </c>
      <c r="I238">
        <v>0.8509841371178859</v>
      </c>
      <c r="J238">
        <v>0.84579162804548147</v>
      </c>
      <c r="K238">
        <v>2.8580242114201311</v>
      </c>
      <c r="L238">
        <v>-3829.3792217967421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</row>
    <row r="239" spans="1:23" x14ac:dyDescent="0.35">
      <c r="A239" t="s">
        <v>111</v>
      </c>
      <c r="B239" t="s">
        <v>30</v>
      </c>
      <c r="C239">
        <v>643250.4</v>
      </c>
      <c r="D239">
        <v>3.9486386830439271</v>
      </c>
      <c r="E239">
        <v>0.90886276550023581</v>
      </c>
      <c r="F239">
        <v>11854.69</v>
      </c>
      <c r="G239">
        <v>2246.9163671678002</v>
      </c>
      <c r="H239">
        <v>2246.9163671678002</v>
      </c>
      <c r="I239">
        <v>0.8115939052852531</v>
      </c>
      <c r="J239">
        <v>0.83523429876458577</v>
      </c>
      <c r="K239">
        <v>3.9913548231359059</v>
      </c>
      <c r="L239">
        <v>1876.7016163140679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</row>
    <row r="240" spans="1:23" x14ac:dyDescent="0.35">
      <c r="A240" t="s">
        <v>111</v>
      </c>
      <c r="B240" t="s">
        <v>31</v>
      </c>
      <c r="C240">
        <v>652681.80000000005</v>
      </c>
      <c r="D240">
        <v>5.0473709562226121</v>
      </c>
      <c r="E240">
        <v>0.89973923419807744</v>
      </c>
      <c r="F240">
        <v>9051.4310000000005</v>
      </c>
      <c r="G240">
        <v>-4203.3719888323176</v>
      </c>
      <c r="H240">
        <v>-4203.3719888323176</v>
      </c>
      <c r="I240">
        <v>0.78272500686388546</v>
      </c>
      <c r="J240">
        <v>0.82713400404399895</v>
      </c>
      <c r="K240">
        <v>3.9486386830439271</v>
      </c>
      <c r="L240">
        <v>-3476.7519036092622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</row>
    <row r="241" spans="1:23" x14ac:dyDescent="0.35">
      <c r="A241" t="s">
        <v>111</v>
      </c>
      <c r="B241" t="s">
        <v>32</v>
      </c>
      <c r="C241">
        <v>653474.1</v>
      </c>
      <c r="D241">
        <v>4.035255665720185</v>
      </c>
      <c r="E241">
        <v>0.89269134483124712</v>
      </c>
      <c r="F241">
        <v>13357.51</v>
      </c>
      <c r="G241">
        <v>2981.2693730277952</v>
      </c>
      <c r="H241">
        <v>2981.2693730277952</v>
      </c>
      <c r="I241">
        <v>0.76042390485879596</v>
      </c>
      <c r="J241">
        <v>0.82066329095715085</v>
      </c>
      <c r="K241">
        <v>5.0473709562226121</v>
      </c>
      <c r="L241">
        <v>2446.618334898752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</row>
    <row r="242" spans="1:23" x14ac:dyDescent="0.35">
      <c r="A242" t="s">
        <v>111</v>
      </c>
      <c r="B242" t="s">
        <v>33</v>
      </c>
      <c r="C242">
        <v>657747.6</v>
      </c>
      <c r="D242">
        <v>2.987596201228889</v>
      </c>
      <c r="E242">
        <v>0.87474991362462762</v>
      </c>
      <c r="F242">
        <v>18459.61</v>
      </c>
      <c r="G242">
        <v>3803.4009892178929</v>
      </c>
      <c r="H242">
        <v>3803.4009892178929</v>
      </c>
      <c r="I242">
        <v>0.70365319427710249</v>
      </c>
      <c r="J242">
        <v>0.80334074274397049</v>
      </c>
      <c r="K242">
        <v>4.035255665720185</v>
      </c>
      <c r="L242">
        <v>3055.4269756314538</v>
      </c>
      <c r="M242">
        <v>0</v>
      </c>
      <c r="N242">
        <v>0</v>
      </c>
      <c r="O242">
        <v>0</v>
      </c>
      <c r="P242">
        <v>0</v>
      </c>
      <c r="Q242">
        <v>1</v>
      </c>
      <c r="R242">
        <v>0</v>
      </c>
      <c r="S242">
        <v>3803.4009892178929</v>
      </c>
      <c r="T242">
        <v>3055.4269756314538</v>
      </c>
      <c r="U242">
        <v>0</v>
      </c>
      <c r="V242">
        <v>0</v>
      </c>
      <c r="W242">
        <v>0</v>
      </c>
    </row>
    <row r="243" spans="1:23" x14ac:dyDescent="0.35">
      <c r="A243" t="s">
        <v>111</v>
      </c>
      <c r="B243" t="s">
        <v>34</v>
      </c>
      <c r="C243">
        <v>661284.19999999995</v>
      </c>
      <c r="D243">
        <v>2.764962905803952</v>
      </c>
      <c r="E243">
        <v>0.8778886749210989</v>
      </c>
      <c r="F243">
        <v>21867.71</v>
      </c>
      <c r="G243">
        <v>2532.642848660435</v>
      </c>
      <c r="H243">
        <v>2532.642848660435</v>
      </c>
      <c r="I243">
        <v>0.71358493869007045</v>
      </c>
      <c r="J243">
        <v>0.80645996683592236</v>
      </c>
      <c r="K243">
        <v>2.987596201228889</v>
      </c>
      <c r="L243">
        <v>2042.47506773793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0</v>
      </c>
      <c r="T243">
        <v>0</v>
      </c>
      <c r="U243">
        <v>0</v>
      </c>
      <c r="V243">
        <v>0</v>
      </c>
      <c r="W243">
        <v>0</v>
      </c>
    </row>
    <row r="244" spans="1:23" x14ac:dyDescent="0.35">
      <c r="A244" t="s">
        <v>111</v>
      </c>
      <c r="B244" t="s">
        <v>35</v>
      </c>
      <c r="C244">
        <v>666368.19999999995</v>
      </c>
      <c r="D244">
        <v>2.075264954743842</v>
      </c>
      <c r="E244">
        <v>0.65669882084584086</v>
      </c>
      <c r="F244">
        <v>13843.68</v>
      </c>
      <c r="G244">
        <v>-8502.2952960938928</v>
      </c>
      <c r="H244">
        <v>-8502.2952960938928</v>
      </c>
      <c r="I244">
        <v>1.3690652403671989E-2</v>
      </c>
      <c r="J244">
        <v>0.5068448985516919</v>
      </c>
      <c r="K244">
        <v>2.764962905803952</v>
      </c>
      <c r="L244">
        <v>-4309.3449968052364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1:23" x14ac:dyDescent="0.35">
      <c r="A245" t="s">
        <v>111</v>
      </c>
      <c r="B245" t="s">
        <v>36</v>
      </c>
      <c r="C245">
        <v>670015.9</v>
      </c>
      <c r="D245">
        <v>2.4998543914581139</v>
      </c>
      <c r="E245">
        <v>0.70868895182436142</v>
      </c>
      <c r="F245">
        <v>13176.87</v>
      </c>
      <c r="G245">
        <v>-1287.1085488489391</v>
      </c>
      <c r="H245">
        <v>-1287.1085488489391</v>
      </c>
      <c r="I245">
        <v>0.1781990823552892</v>
      </c>
      <c r="J245">
        <v>0.58816825252934979</v>
      </c>
      <c r="K245">
        <v>2.075264954743842</v>
      </c>
      <c r="L245">
        <v>-757.03638599206761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1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1:23" x14ac:dyDescent="0.35">
      <c r="A246" t="s">
        <v>111</v>
      </c>
      <c r="B246" t="s">
        <v>37</v>
      </c>
      <c r="C246">
        <v>667436.9</v>
      </c>
      <c r="D246">
        <v>1.4623582859774471</v>
      </c>
      <c r="E246">
        <v>0.59779593232513317</v>
      </c>
      <c r="F246">
        <v>18019.05</v>
      </c>
      <c r="G246">
        <v>3782.8150578267828</v>
      </c>
      <c r="H246">
        <v>3782.8150578267828</v>
      </c>
      <c r="I246">
        <v>-0.17269129216500281</v>
      </c>
      <c r="J246">
        <v>0.41450257837038229</v>
      </c>
      <c r="K246">
        <v>2.4998543914581139</v>
      </c>
      <c r="L246">
        <v>1567.9865949675079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0</v>
      </c>
      <c r="U246">
        <v>0</v>
      </c>
      <c r="V246">
        <v>0</v>
      </c>
      <c r="W246">
        <v>0</v>
      </c>
    </row>
    <row r="247" spans="1:23" x14ac:dyDescent="0.35">
      <c r="A247" t="s">
        <v>111</v>
      </c>
      <c r="B247" t="s">
        <v>38</v>
      </c>
      <c r="C247">
        <v>663826.4</v>
      </c>
      <c r="D247">
        <v>0.38369674484871408</v>
      </c>
      <c r="E247">
        <v>0.64417779008696052</v>
      </c>
      <c r="F247">
        <v>14048.15</v>
      </c>
      <c r="G247">
        <v>-4873.0704452221198</v>
      </c>
      <c r="H247">
        <v>-4873.0704452221198</v>
      </c>
      <c r="I247">
        <v>-2.5928695975548519E-2</v>
      </c>
      <c r="J247">
        <v>0.48703855652975658</v>
      </c>
      <c r="K247">
        <v>1.4623582859774471</v>
      </c>
      <c r="L247">
        <v>-2373.3731955088001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1</v>
      </c>
      <c r="S247">
        <v>0</v>
      </c>
      <c r="T247">
        <v>0</v>
      </c>
      <c r="U247">
        <v>0</v>
      </c>
      <c r="V247">
        <v>0</v>
      </c>
      <c r="W247">
        <v>0</v>
      </c>
    </row>
    <row r="248" spans="1:23" x14ac:dyDescent="0.35">
      <c r="A248" t="s">
        <v>111</v>
      </c>
      <c r="B248" t="s">
        <v>39</v>
      </c>
      <c r="C248">
        <v>653657.80000000005</v>
      </c>
      <c r="D248">
        <v>-1.9258397698072189</v>
      </c>
      <c r="E248">
        <v>0.73181655015334635</v>
      </c>
      <c r="F248">
        <v>13245.42</v>
      </c>
      <c r="G248">
        <v>-1612.889016524221</v>
      </c>
      <c r="H248">
        <v>-1612.889016524221</v>
      </c>
      <c r="I248">
        <v>0.251379988385798</v>
      </c>
      <c r="J248">
        <v>0.6231077164327582</v>
      </c>
      <c r="K248">
        <v>0.38369674484871408</v>
      </c>
      <c r="L248">
        <v>-1005.003591945885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0</v>
      </c>
      <c r="U248">
        <v>0</v>
      </c>
      <c r="V248">
        <v>0</v>
      </c>
      <c r="W248">
        <v>0</v>
      </c>
    </row>
    <row r="249" spans="1:23" x14ac:dyDescent="0.35">
      <c r="A249" t="s">
        <v>111</v>
      </c>
      <c r="B249" t="s">
        <v>40</v>
      </c>
      <c r="C249">
        <v>622914</v>
      </c>
      <c r="D249">
        <v>-7.28929759214427</v>
      </c>
      <c r="E249">
        <v>0.47921799832113288</v>
      </c>
      <c r="F249">
        <v>21794.11</v>
      </c>
      <c r="G249">
        <v>7502.5523747752904</v>
      </c>
      <c r="H249">
        <v>7502.5523747752904</v>
      </c>
      <c r="I249">
        <v>-0.54789845903988155</v>
      </c>
      <c r="J249">
        <v>0.25052825344369212</v>
      </c>
      <c r="K249">
        <v>-1.9258397698072189</v>
      </c>
      <c r="L249">
        <v>1879.601342822278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1</v>
      </c>
      <c r="S249">
        <v>0</v>
      </c>
      <c r="T249">
        <v>0</v>
      </c>
      <c r="U249">
        <v>0</v>
      </c>
      <c r="V249">
        <v>0</v>
      </c>
      <c r="W249">
        <v>0</v>
      </c>
    </row>
    <row r="250" spans="1:23" x14ac:dyDescent="0.35">
      <c r="A250" t="s">
        <v>111</v>
      </c>
      <c r="B250" t="s">
        <v>41</v>
      </c>
      <c r="C250">
        <v>624461.30000000005</v>
      </c>
      <c r="D250">
        <v>-6.6555495901004642</v>
      </c>
      <c r="E250">
        <v>0.54005425574481658</v>
      </c>
      <c r="F250">
        <v>18972.07</v>
      </c>
      <c r="G250">
        <v>-3571.395125890052</v>
      </c>
      <c r="H250">
        <v>-3571.395125890052</v>
      </c>
      <c r="I250">
        <v>-0.35539890182512079</v>
      </c>
      <c r="J250">
        <v>0.32942257871985992</v>
      </c>
      <c r="K250">
        <v>-7.28929759214427</v>
      </c>
      <c r="L250">
        <v>-1176.4981919982399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0</v>
      </c>
      <c r="U250">
        <v>0</v>
      </c>
      <c r="V250">
        <v>0</v>
      </c>
      <c r="W250">
        <v>0</v>
      </c>
    </row>
    <row r="251" spans="1:23" x14ac:dyDescent="0.35">
      <c r="A251" t="s">
        <v>111</v>
      </c>
      <c r="B251" t="s">
        <v>42</v>
      </c>
      <c r="C251">
        <v>628440.19999999995</v>
      </c>
      <c r="D251">
        <v>-5.4779793182687513</v>
      </c>
      <c r="E251">
        <v>0.66592030360570487</v>
      </c>
      <c r="F251">
        <v>14507.25</v>
      </c>
      <c r="G251">
        <v>-4886.0951899900501</v>
      </c>
      <c r="H251">
        <v>-4886.0951899900501</v>
      </c>
      <c r="I251">
        <v>4.2869491196709048E-2</v>
      </c>
      <c r="J251">
        <v>0.52142162436680728</v>
      </c>
      <c r="K251">
        <v>-6.6555495901004642</v>
      </c>
      <c r="L251">
        <v>-2547.7156907754561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1:23" x14ac:dyDescent="0.35">
      <c r="A252" t="s">
        <v>111</v>
      </c>
      <c r="B252" t="s">
        <v>43</v>
      </c>
      <c r="C252">
        <v>633229.6</v>
      </c>
      <c r="D252">
        <v>-3.1750899330556601</v>
      </c>
      <c r="E252">
        <v>0.77756678025908077</v>
      </c>
      <c r="F252">
        <v>18951.79</v>
      </c>
      <c r="G252">
        <v>3701.552958534176</v>
      </c>
      <c r="H252">
        <v>3701.552958534176</v>
      </c>
      <c r="I252">
        <v>0.39614397306837218</v>
      </c>
      <c r="J252">
        <v>0.6883223857403723</v>
      </c>
      <c r="K252">
        <v>-5.4779793182687513</v>
      </c>
      <c r="L252">
        <v>2547.8617633625772</v>
      </c>
      <c r="M252">
        <v>0</v>
      </c>
      <c r="N252">
        <v>0</v>
      </c>
      <c r="O252">
        <v>0</v>
      </c>
      <c r="P252">
        <v>0</v>
      </c>
      <c r="Q252">
        <v>1</v>
      </c>
      <c r="R252">
        <v>0</v>
      </c>
      <c r="S252">
        <v>3701.552958534176</v>
      </c>
      <c r="T252">
        <v>2547.8617633625772</v>
      </c>
      <c r="U252">
        <v>0</v>
      </c>
      <c r="V252">
        <v>0</v>
      </c>
      <c r="W252">
        <v>0</v>
      </c>
    </row>
    <row r="253" spans="1:23" x14ac:dyDescent="0.35">
      <c r="A253" t="s">
        <v>111</v>
      </c>
      <c r="B253" t="s">
        <v>44</v>
      </c>
      <c r="C253">
        <v>637797.9</v>
      </c>
      <c r="D253">
        <v>2.3612994477064699</v>
      </c>
      <c r="E253">
        <v>0.74833600160619318</v>
      </c>
      <c r="F253">
        <v>19711.91</v>
      </c>
      <c r="G253">
        <v>-36.739168690150109</v>
      </c>
      <c r="H253">
        <v>-36.739168690150109</v>
      </c>
      <c r="I253">
        <v>0.30365123623652079</v>
      </c>
      <c r="J253">
        <v>0.64732521429162737</v>
      </c>
      <c r="K253">
        <v>-3.1750899330556601</v>
      </c>
      <c r="L253">
        <v>-23.782190245247669</v>
      </c>
      <c r="M253">
        <v>0</v>
      </c>
      <c r="N253">
        <v>0</v>
      </c>
      <c r="O253">
        <v>0</v>
      </c>
      <c r="P253">
        <v>0</v>
      </c>
      <c r="Q253">
        <v>1</v>
      </c>
      <c r="R253">
        <v>0</v>
      </c>
      <c r="S253">
        <v>-36.739168690150109</v>
      </c>
      <c r="T253">
        <v>-23.782190245247669</v>
      </c>
      <c r="U253">
        <v>0</v>
      </c>
      <c r="V253">
        <v>0</v>
      </c>
      <c r="W253">
        <v>0</v>
      </c>
    </row>
    <row r="254" spans="1:23" x14ac:dyDescent="0.35">
      <c r="A254" t="s">
        <v>111</v>
      </c>
      <c r="B254" t="s">
        <v>45</v>
      </c>
      <c r="C254">
        <v>651576.6</v>
      </c>
      <c r="D254">
        <v>4.2505606411064631</v>
      </c>
      <c r="E254">
        <v>0.75658956745084172</v>
      </c>
      <c r="F254">
        <v>21449.03</v>
      </c>
      <c r="G254">
        <v>1198.9148978520791</v>
      </c>
      <c r="H254">
        <v>1198.9148978520791</v>
      </c>
      <c r="I254">
        <v>0.32976736891497832</v>
      </c>
      <c r="J254">
        <v>0.65915586601568954</v>
      </c>
      <c r="K254">
        <v>2.3612994477064699</v>
      </c>
      <c r="L254">
        <v>790.27178777279903</v>
      </c>
      <c r="M254">
        <v>0</v>
      </c>
      <c r="N254">
        <v>0</v>
      </c>
      <c r="O254">
        <v>0</v>
      </c>
      <c r="P254">
        <v>0</v>
      </c>
      <c r="Q254">
        <v>1</v>
      </c>
      <c r="R254">
        <v>0</v>
      </c>
      <c r="S254">
        <v>1198.9148978520791</v>
      </c>
      <c r="T254">
        <v>790.27178777279903</v>
      </c>
      <c r="U254">
        <v>0</v>
      </c>
      <c r="V254">
        <v>0</v>
      </c>
      <c r="W254">
        <v>0</v>
      </c>
    </row>
    <row r="255" spans="1:23" x14ac:dyDescent="0.35">
      <c r="A255" t="s">
        <v>111</v>
      </c>
      <c r="B255" t="s">
        <v>46</v>
      </c>
      <c r="C255">
        <v>657913.30000000005</v>
      </c>
      <c r="D255">
        <v>4.5832283398181239</v>
      </c>
      <c r="E255">
        <v>0.73828645481002464</v>
      </c>
      <c r="F255">
        <v>19653.439999999999</v>
      </c>
      <c r="G255">
        <v>-2226.0035218636149</v>
      </c>
      <c r="H255">
        <v>-2226.0035218636149</v>
      </c>
      <c r="I255">
        <v>0.27185221719104058</v>
      </c>
      <c r="J255">
        <v>0.63267374202514326</v>
      </c>
      <c r="K255">
        <v>4.2505606411064631</v>
      </c>
      <c r="L255">
        <v>-1408.333977938601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</row>
    <row r="256" spans="1:23" x14ac:dyDescent="0.35">
      <c r="A256" t="s">
        <v>111</v>
      </c>
      <c r="B256" t="s">
        <v>47</v>
      </c>
      <c r="C256">
        <v>662113.19999999995</v>
      </c>
      <c r="D256">
        <v>4.4603464699765993</v>
      </c>
      <c r="E256">
        <v>0.56063290365914697</v>
      </c>
      <c r="F256">
        <v>14901.64</v>
      </c>
      <c r="G256">
        <v>-5163.8778878903649</v>
      </c>
      <c r="H256">
        <v>-5163.8778878903649</v>
      </c>
      <c r="I256">
        <v>-0.29028344634930642</v>
      </c>
      <c r="J256">
        <v>0.35880216209679178</v>
      </c>
      <c r="K256">
        <v>4.5832283398181239</v>
      </c>
      <c r="L256">
        <v>-1852.810550978877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-5163.8778878903649</v>
      </c>
      <c r="T256">
        <v>-1852.810550978877</v>
      </c>
      <c r="U256">
        <v>0</v>
      </c>
      <c r="V256">
        <v>0</v>
      </c>
      <c r="W256">
        <v>0</v>
      </c>
    </row>
    <row r="257" spans="1:23" x14ac:dyDescent="0.35">
      <c r="A257" t="s">
        <v>111</v>
      </c>
      <c r="B257" t="s">
        <v>48</v>
      </c>
      <c r="C257">
        <v>674123.5</v>
      </c>
      <c r="D257">
        <v>5.5391866545962234</v>
      </c>
      <c r="E257">
        <v>0.89152267707934296</v>
      </c>
      <c r="F257">
        <v>13397.83</v>
      </c>
      <c r="G257">
        <v>-2196.1557660518852</v>
      </c>
      <c r="H257">
        <v>-2196.1557660518852</v>
      </c>
      <c r="I257">
        <v>0.75672597809111242</v>
      </c>
      <c r="J257">
        <v>0.81957222323526202</v>
      </c>
      <c r="K257">
        <v>4.4603464699765993</v>
      </c>
      <c r="L257">
        <v>-1799.908263754083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-2196.1557660518852</v>
      </c>
      <c r="T257">
        <v>-1799.908263754083</v>
      </c>
      <c r="U257">
        <v>0</v>
      </c>
      <c r="V257">
        <v>0</v>
      </c>
      <c r="W257">
        <v>0</v>
      </c>
    </row>
    <row r="258" spans="1:23" x14ac:dyDescent="0.35">
      <c r="A258" t="s">
        <v>111</v>
      </c>
      <c r="B258" t="s">
        <v>49</v>
      </c>
      <c r="C258">
        <v>676186.6</v>
      </c>
      <c r="D258">
        <v>3.7074108974289581</v>
      </c>
      <c r="E258">
        <v>0.86416991922390018</v>
      </c>
      <c r="F258">
        <v>14121</v>
      </c>
      <c r="G258">
        <v>-273.04318602130661</v>
      </c>
      <c r="H258">
        <v>-273.04318602130661</v>
      </c>
      <c r="I258">
        <v>0.67017572009109494</v>
      </c>
      <c r="J258">
        <v>0.79254772970894538</v>
      </c>
      <c r="K258">
        <v>5.5391866545962234</v>
      </c>
      <c r="L258">
        <v>-216.3997571936838</v>
      </c>
      <c r="M258">
        <v>0</v>
      </c>
      <c r="N258">
        <v>0</v>
      </c>
      <c r="O258">
        <v>0</v>
      </c>
      <c r="P258">
        <v>0</v>
      </c>
      <c r="Q258">
        <v>1</v>
      </c>
      <c r="R258">
        <v>0</v>
      </c>
      <c r="S258">
        <v>-273.04318602130661</v>
      </c>
      <c r="T258">
        <v>-216.3997571936838</v>
      </c>
      <c r="U258">
        <v>0</v>
      </c>
      <c r="V258">
        <v>0</v>
      </c>
      <c r="W258">
        <v>0</v>
      </c>
    </row>
    <row r="259" spans="1:23" x14ac:dyDescent="0.35">
      <c r="A259" t="s">
        <v>111</v>
      </c>
      <c r="B259" t="s">
        <v>50</v>
      </c>
      <c r="C259">
        <v>679797.1</v>
      </c>
      <c r="D259">
        <v>3.2721211566451389</v>
      </c>
      <c r="E259">
        <v>0.82753376833525494</v>
      </c>
      <c r="F259">
        <v>20227.560000000001</v>
      </c>
      <c r="G259">
        <v>5061.6006823259177</v>
      </c>
      <c r="H259">
        <v>5061.6006823259177</v>
      </c>
      <c r="I259">
        <v>0.55425072531369046</v>
      </c>
      <c r="J259">
        <v>0.75184962997100657</v>
      </c>
      <c r="K259">
        <v>3.7074108974289581</v>
      </c>
      <c r="L259">
        <v>3805.5626000677362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</row>
    <row r="260" spans="1:23" x14ac:dyDescent="0.35">
      <c r="A260" t="s">
        <v>111</v>
      </c>
      <c r="B260" t="s">
        <v>51</v>
      </c>
      <c r="C260">
        <v>679576</v>
      </c>
      <c r="D260">
        <v>2.6032535985535841</v>
      </c>
      <c r="E260">
        <v>0.83866145085159094</v>
      </c>
      <c r="F260">
        <v>19436.98</v>
      </c>
      <c r="G260">
        <v>-1556.8530311641989</v>
      </c>
      <c r="H260">
        <v>-1556.8530311641989</v>
      </c>
      <c r="I260">
        <v>0.58946120748229269</v>
      </c>
      <c r="J260">
        <v>0.76475399579248482</v>
      </c>
      <c r="K260">
        <v>3.2721211566451389</v>
      </c>
      <c r="L260">
        <v>-1190.6095764444631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1:23" x14ac:dyDescent="0.35">
      <c r="A261" t="s">
        <v>111</v>
      </c>
      <c r="B261" t="s">
        <v>52</v>
      </c>
      <c r="C261">
        <v>681491.8</v>
      </c>
      <c r="D261">
        <v>1.0870890234171531</v>
      </c>
      <c r="E261">
        <v>0.8717479714617179</v>
      </c>
      <c r="F261">
        <v>18629.88</v>
      </c>
      <c r="G261">
        <v>-1290.561426222474</v>
      </c>
      <c r="H261">
        <v>-1290.561426222474</v>
      </c>
      <c r="I261">
        <v>0.69415437627585774</v>
      </c>
      <c r="J261">
        <v>0.80032210786477509</v>
      </c>
      <c r="K261">
        <v>2.6032535985535841</v>
      </c>
      <c r="L261">
        <v>-1032.8648409633399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</row>
    <row r="262" spans="1:23" x14ac:dyDescent="0.35">
      <c r="A262" t="s">
        <v>111</v>
      </c>
      <c r="B262" t="s">
        <v>53</v>
      </c>
      <c r="C262">
        <v>682449.6</v>
      </c>
      <c r="D262">
        <v>0.92196047233744582</v>
      </c>
      <c r="E262">
        <v>0.88730722613337609</v>
      </c>
      <c r="F262">
        <v>36827.879999999997</v>
      </c>
      <c r="G262">
        <v>17641.959197543922</v>
      </c>
      <c r="H262">
        <v>17641.959197543922</v>
      </c>
      <c r="I262">
        <v>0.74338734624681924</v>
      </c>
      <c r="J262">
        <v>0.81559367798071036</v>
      </c>
      <c r="K262">
        <v>1.0870890234171531</v>
      </c>
      <c r="L262">
        <v>14388.67038871046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1:23" x14ac:dyDescent="0.35">
      <c r="A263" t="s">
        <v>111</v>
      </c>
      <c r="B263" t="s">
        <v>54</v>
      </c>
      <c r="C263">
        <v>683407.5</v>
      </c>
      <c r="D263">
        <v>0.52969428677011765</v>
      </c>
      <c r="E263">
        <v>0.83443438382022705</v>
      </c>
      <c r="F263">
        <v>25945.24</v>
      </c>
      <c r="G263">
        <v>-10760.52865517087</v>
      </c>
      <c r="H263">
        <v>-10760.52865517087</v>
      </c>
      <c r="I263">
        <v>0.57608581973962258</v>
      </c>
      <c r="J263">
        <v>0.75990735219644279</v>
      </c>
      <c r="K263">
        <v>0.92196047233744582</v>
      </c>
      <c r="L263">
        <v>-8177.0048385848486</v>
      </c>
      <c r="M263">
        <v>0</v>
      </c>
      <c r="N263">
        <v>0</v>
      </c>
      <c r="O263">
        <v>0</v>
      </c>
      <c r="P263">
        <v>0</v>
      </c>
      <c r="Q263">
        <v>1</v>
      </c>
      <c r="R263">
        <v>0</v>
      </c>
      <c r="S263">
        <v>-10760.52865517087</v>
      </c>
      <c r="T263">
        <v>-8177.0048385848486</v>
      </c>
      <c r="U263">
        <v>0</v>
      </c>
      <c r="V263">
        <v>0</v>
      </c>
      <c r="W263">
        <v>0</v>
      </c>
    </row>
    <row r="264" spans="1:23" x14ac:dyDescent="0.35">
      <c r="A264" t="s">
        <v>111</v>
      </c>
      <c r="B264" t="s">
        <v>55</v>
      </c>
      <c r="C264">
        <v>681491.7</v>
      </c>
      <c r="D264">
        <v>0.28149977624688483</v>
      </c>
      <c r="E264">
        <v>0.83930578699152292</v>
      </c>
      <c r="F264">
        <v>38752.269999999997</v>
      </c>
      <c r="G264">
        <v>13434.743327128041</v>
      </c>
      <c r="H264">
        <v>13434.743327128041</v>
      </c>
      <c r="I264">
        <v>0.59150003148112218</v>
      </c>
      <c r="J264">
        <v>0.76548679424210464</v>
      </c>
      <c r="K264">
        <v>0.52969428677011765</v>
      </c>
      <c r="L264">
        <v>10284.11860094875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</row>
    <row r="265" spans="1:23" x14ac:dyDescent="0.35">
      <c r="A265" t="s">
        <v>111</v>
      </c>
      <c r="B265" t="s">
        <v>56</v>
      </c>
      <c r="C265">
        <v>677899.5</v>
      </c>
      <c r="D265">
        <v>-0.52851719177327527</v>
      </c>
      <c r="E265">
        <v>0.79672372582687234</v>
      </c>
      <c r="F265">
        <v>31598.92</v>
      </c>
      <c r="G265">
        <v>-6578.8883624478913</v>
      </c>
      <c r="H265">
        <v>-6578.8883624478913</v>
      </c>
      <c r="I265">
        <v>0.45676084359189528</v>
      </c>
      <c r="J265">
        <v>0.71372026796869092</v>
      </c>
      <c r="K265">
        <v>0.28149977624688483</v>
      </c>
      <c r="L265">
        <v>-4695.4859649824111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</row>
    <row r="266" spans="1:23" x14ac:dyDescent="0.35">
      <c r="A266" t="s">
        <v>111</v>
      </c>
      <c r="B266" t="s">
        <v>57</v>
      </c>
      <c r="C266">
        <v>686594.3</v>
      </c>
      <c r="D266">
        <v>0.60549010337530751</v>
      </c>
      <c r="E266">
        <v>0.82975248539924595</v>
      </c>
      <c r="F266">
        <v>14113.9</v>
      </c>
      <c r="G266">
        <v>-16534.748271214699</v>
      </c>
      <c r="H266">
        <v>-16534.748271214699</v>
      </c>
      <c r="I266">
        <v>0.56127124351270818</v>
      </c>
      <c r="J266">
        <v>0.75446001708329147</v>
      </c>
      <c r="K266">
        <v>-0.52851719177327527</v>
      </c>
      <c r="L266">
        <v>-12474.806463168559</v>
      </c>
      <c r="M266">
        <v>0</v>
      </c>
      <c r="N266">
        <v>0</v>
      </c>
      <c r="O266">
        <v>0</v>
      </c>
      <c r="P266">
        <v>0</v>
      </c>
      <c r="Q266">
        <v>1</v>
      </c>
      <c r="R266">
        <v>0</v>
      </c>
      <c r="S266">
        <v>-16534.748271214699</v>
      </c>
      <c r="T266">
        <v>-12474.806463168559</v>
      </c>
      <c r="U266">
        <v>0</v>
      </c>
      <c r="V266">
        <v>0</v>
      </c>
      <c r="W266">
        <v>0</v>
      </c>
    </row>
    <row r="267" spans="1:23" x14ac:dyDescent="0.35">
      <c r="A267" t="s">
        <v>111</v>
      </c>
      <c r="B267" t="s">
        <v>58</v>
      </c>
      <c r="C267">
        <v>689394.4</v>
      </c>
      <c r="D267">
        <v>0.87222168842202785</v>
      </c>
      <c r="E267">
        <v>0.67484016361504884</v>
      </c>
      <c r="F267">
        <v>15802.53</v>
      </c>
      <c r="G267">
        <v>1579.518846364859</v>
      </c>
      <c r="H267">
        <v>1579.518846364859</v>
      </c>
      <c r="I267">
        <v>7.1093927987061434E-2</v>
      </c>
      <c r="J267">
        <v>0.53548719593385818</v>
      </c>
      <c r="K267">
        <v>0.60549010337530751</v>
      </c>
      <c r="L267">
        <v>845.81211796460104</v>
      </c>
      <c r="M267">
        <v>0</v>
      </c>
      <c r="N267">
        <v>0</v>
      </c>
      <c r="O267">
        <v>0</v>
      </c>
      <c r="P267">
        <v>0</v>
      </c>
      <c r="Q267">
        <v>1</v>
      </c>
      <c r="R267">
        <v>0</v>
      </c>
      <c r="S267">
        <v>1579.518846364859</v>
      </c>
      <c r="T267">
        <v>845.81211796460104</v>
      </c>
      <c r="U267">
        <v>0</v>
      </c>
      <c r="V267">
        <v>0</v>
      </c>
      <c r="W267">
        <v>0</v>
      </c>
    </row>
    <row r="268" spans="1:23" x14ac:dyDescent="0.35">
      <c r="A268" t="s">
        <v>111</v>
      </c>
      <c r="B268" t="s">
        <v>59</v>
      </c>
      <c r="C268">
        <v>690573.3</v>
      </c>
      <c r="D268">
        <v>1.323805012993382</v>
      </c>
      <c r="E268">
        <v>0.68295200505445097</v>
      </c>
      <c r="F268">
        <v>18492.009999999998</v>
      </c>
      <c r="G268">
        <v>1747.8482793999319</v>
      </c>
      <c r="H268">
        <v>1747.8482793999319</v>
      </c>
      <c r="I268">
        <v>9.6761612874484371E-2</v>
      </c>
      <c r="J268">
        <v>0.54823037636304395</v>
      </c>
      <c r="K268">
        <v>0.87222168842202785</v>
      </c>
      <c r="L268">
        <v>958.22352004092352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1747.8482793999319</v>
      </c>
      <c r="T268">
        <v>958.22352004092352</v>
      </c>
      <c r="U268">
        <v>0</v>
      </c>
      <c r="V268">
        <v>0</v>
      </c>
      <c r="W268">
        <v>0</v>
      </c>
    </row>
    <row r="269" spans="1:23" x14ac:dyDescent="0.35">
      <c r="A269" t="s">
        <v>111</v>
      </c>
      <c r="B269" t="s">
        <v>60</v>
      </c>
      <c r="C269">
        <v>697996.7</v>
      </c>
      <c r="D269">
        <v>2.9215328092765511</v>
      </c>
      <c r="E269">
        <v>0.4222904124546224</v>
      </c>
      <c r="F269">
        <v>19536.86</v>
      </c>
      <c r="G269">
        <v>296.42782514671848</v>
      </c>
      <c r="H269">
        <v>296.42782514671848</v>
      </c>
      <c r="I269">
        <v>-0.72803010317258521</v>
      </c>
      <c r="J269">
        <v>0.18907064610072441</v>
      </c>
      <c r="K269">
        <v>1.323805012993382</v>
      </c>
      <c r="L269">
        <v>56.045800422722643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296.42782514671848</v>
      </c>
      <c r="T269">
        <v>56.045800422722643</v>
      </c>
      <c r="U269">
        <v>0</v>
      </c>
      <c r="V269">
        <v>0</v>
      </c>
      <c r="W269">
        <v>0</v>
      </c>
    </row>
    <row r="270" spans="1:23" x14ac:dyDescent="0.35">
      <c r="A270" t="s">
        <v>111</v>
      </c>
      <c r="B270" t="s">
        <v>61</v>
      </c>
      <c r="C270">
        <v>698438.8</v>
      </c>
      <c r="D270">
        <v>1.710397932553505</v>
      </c>
      <c r="E270">
        <v>-0.57656892185515507</v>
      </c>
      <c r="F270">
        <v>20086.099999999999</v>
      </c>
      <c r="G270">
        <v>-19.53534989586478</v>
      </c>
      <c r="H270">
        <v>-19.53534989586478</v>
      </c>
      <c r="I270">
        <v>-3.8886449686690252</v>
      </c>
      <c r="J270">
        <v>4.1897093999373618E-4</v>
      </c>
      <c r="K270">
        <v>2.9215328092765511</v>
      </c>
      <c r="L270">
        <v>-8.1847439089770043E-3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-19.53534989586478</v>
      </c>
      <c r="T270">
        <v>-8.1847439089770043E-3</v>
      </c>
      <c r="U270">
        <v>0</v>
      </c>
      <c r="V270">
        <v>0</v>
      </c>
      <c r="W270">
        <v>0</v>
      </c>
    </row>
    <row r="271" spans="1:23" x14ac:dyDescent="0.35">
      <c r="A271" t="s">
        <v>111</v>
      </c>
      <c r="B271" t="s">
        <v>62</v>
      </c>
      <c r="C271">
        <v>701680.9</v>
      </c>
      <c r="D271">
        <v>1.7665211234001741</v>
      </c>
      <c r="E271">
        <v>0.16307698360506989</v>
      </c>
      <c r="F271">
        <v>14211.19</v>
      </c>
      <c r="G271">
        <v>-6368.2256188433221</v>
      </c>
      <c r="H271">
        <v>-6368.2256188433221</v>
      </c>
      <c r="I271">
        <v>-1.548239504453623</v>
      </c>
      <c r="J271">
        <v>4.3252726242993013E-2</v>
      </c>
      <c r="K271">
        <v>1.710397932553505</v>
      </c>
      <c r="L271">
        <v>-275.44311934544498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-6368.2256188433221</v>
      </c>
      <c r="T271">
        <v>-275.44311934544498</v>
      </c>
      <c r="U271">
        <v>0</v>
      </c>
      <c r="V271">
        <v>0</v>
      </c>
      <c r="W271">
        <v>0</v>
      </c>
    </row>
    <row r="272" spans="1:23" x14ac:dyDescent="0.35">
      <c r="A272" t="s">
        <v>111</v>
      </c>
      <c r="B272" t="s">
        <v>63</v>
      </c>
      <c r="C272">
        <v>707575.5</v>
      </c>
      <c r="D272">
        <v>2.4322215429319249</v>
      </c>
      <c r="E272">
        <v>0.31698990020332007</v>
      </c>
      <c r="F272">
        <v>17252.02</v>
      </c>
      <c r="G272">
        <v>2343.4323165346868</v>
      </c>
      <c r="H272">
        <v>2343.4323165346868</v>
      </c>
      <c r="I272">
        <v>-1.061224530990426</v>
      </c>
      <c r="J272">
        <v>0.1069339620506119</v>
      </c>
      <c r="K272">
        <v>1.7665211234001741</v>
      </c>
      <c r="L272">
        <v>250.59250240449771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2343.4323165346868</v>
      </c>
      <c r="T272">
        <v>250.59250240449771</v>
      </c>
      <c r="U272">
        <v>0</v>
      </c>
      <c r="V272">
        <v>0</v>
      </c>
      <c r="W272">
        <v>0</v>
      </c>
    </row>
    <row r="273" spans="1:23" x14ac:dyDescent="0.35">
      <c r="A273" t="s">
        <v>111</v>
      </c>
      <c r="B273" t="s">
        <v>64</v>
      </c>
      <c r="C273">
        <v>706083.5</v>
      </c>
      <c r="D273">
        <v>1.151912749683992</v>
      </c>
      <c r="E273">
        <v>-0.20778052839428349</v>
      </c>
      <c r="F273">
        <v>29838.2</v>
      </c>
      <c r="G273">
        <v>11706.8741061117</v>
      </c>
      <c r="H273">
        <v>11706.8741061117</v>
      </c>
      <c r="I273">
        <v>-2.72171581402442</v>
      </c>
      <c r="J273">
        <v>4.3059955173507776E-3</v>
      </c>
      <c r="K273">
        <v>2.4322215429319249</v>
      </c>
      <c r="L273">
        <v>50.4097474231069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11706.8741061117</v>
      </c>
      <c r="T273">
        <v>50.4097474231069</v>
      </c>
      <c r="U273">
        <v>0</v>
      </c>
      <c r="V273">
        <v>0</v>
      </c>
      <c r="W273">
        <v>0</v>
      </c>
    </row>
    <row r="274" spans="1:23" x14ac:dyDescent="0.35">
      <c r="A274" t="s">
        <v>111</v>
      </c>
      <c r="B274" t="s">
        <v>65</v>
      </c>
      <c r="C274">
        <v>710504.4</v>
      </c>
      <c r="D274">
        <v>1.712758180214097</v>
      </c>
      <c r="E274">
        <v>0.25726184777019512</v>
      </c>
      <c r="F274">
        <v>25360.74</v>
      </c>
      <c r="G274">
        <v>-4702.6314541169268</v>
      </c>
      <c r="H274">
        <v>-4702.6314541169268</v>
      </c>
      <c r="I274">
        <v>-1.2502174791693941</v>
      </c>
      <c r="J274">
        <v>7.5827693449918174E-2</v>
      </c>
      <c r="K274">
        <v>1.151912749683992</v>
      </c>
      <c r="L274">
        <v>-356.58969631072131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1</v>
      </c>
      <c r="S274">
        <v>0</v>
      </c>
      <c r="T274">
        <v>0</v>
      </c>
      <c r="U274">
        <v>0</v>
      </c>
      <c r="V274">
        <v>0</v>
      </c>
      <c r="W274">
        <v>0</v>
      </c>
    </row>
    <row r="275" spans="1:23" x14ac:dyDescent="0.35">
      <c r="A275" t="s">
        <v>111</v>
      </c>
      <c r="B275" t="s">
        <v>66</v>
      </c>
      <c r="C275">
        <v>714041.1</v>
      </c>
      <c r="D275">
        <v>1.746178142984395</v>
      </c>
      <c r="E275">
        <v>0.56618257854764298</v>
      </c>
      <c r="F275">
        <v>21280.47</v>
      </c>
      <c r="G275">
        <v>-3835.168726222837</v>
      </c>
      <c r="H275">
        <v>-3835.168726222837</v>
      </c>
      <c r="I275">
        <v>-0.27272303083456989</v>
      </c>
      <c r="J275">
        <v>0.36692160144264069</v>
      </c>
      <c r="K275">
        <v>1.712758180214097</v>
      </c>
      <c r="L275">
        <v>-1407.2062508284159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</row>
    <row r="276" spans="1:23" x14ac:dyDescent="0.35">
      <c r="A276" t="s">
        <v>111</v>
      </c>
      <c r="B276" t="s">
        <v>67</v>
      </c>
      <c r="C276">
        <v>717798.8</v>
      </c>
      <c r="D276">
        <v>1.4344969332441051</v>
      </c>
      <c r="E276">
        <v>0.57359668134859498</v>
      </c>
      <c r="F276">
        <v>18517.900000000001</v>
      </c>
      <c r="G276">
        <v>-2909.1155667876369</v>
      </c>
      <c r="H276">
        <v>-2909.1155667876369</v>
      </c>
      <c r="I276">
        <v>-0.24926314742345859</v>
      </c>
      <c r="J276">
        <v>0.3778870574295114</v>
      </c>
      <c r="K276">
        <v>1.746178142984395</v>
      </c>
      <c r="L276">
        <v>-1099.317121255765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</row>
    <row r="277" spans="1:23" x14ac:dyDescent="0.35">
      <c r="A277" t="s">
        <v>111</v>
      </c>
      <c r="B277" t="s">
        <v>68</v>
      </c>
      <c r="C277">
        <v>723988.4</v>
      </c>
      <c r="D277">
        <v>2.5041867703573621</v>
      </c>
      <c r="E277">
        <v>0.60245053964195627</v>
      </c>
      <c r="F277">
        <v>22826.080000000002</v>
      </c>
      <c r="G277">
        <v>3842.526243353896</v>
      </c>
      <c r="H277">
        <v>3842.526243353896</v>
      </c>
      <c r="I277">
        <v>-0.15796307110996771</v>
      </c>
      <c r="J277">
        <v>0.42166889777883959</v>
      </c>
      <c r="K277">
        <v>1.4344969332441051</v>
      </c>
      <c r="L277">
        <v>1620.273805721303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0</v>
      </c>
      <c r="T277">
        <v>0</v>
      </c>
      <c r="U277">
        <v>0</v>
      </c>
      <c r="V277">
        <v>0</v>
      </c>
      <c r="W277">
        <v>0</v>
      </c>
    </row>
    <row r="278" spans="1:23" x14ac:dyDescent="0.35">
      <c r="A278" t="s">
        <v>111</v>
      </c>
      <c r="B278" t="s">
        <v>69</v>
      </c>
      <c r="C278">
        <v>726051.4</v>
      </c>
      <c r="D278">
        <v>2.1645670876807701</v>
      </c>
      <c r="E278">
        <v>0.60354532205925437</v>
      </c>
      <c r="F278">
        <v>18513.21</v>
      </c>
      <c r="G278">
        <v>-4750.2373136210626</v>
      </c>
      <c r="H278">
        <v>-4750.2373136210626</v>
      </c>
      <c r="I278">
        <v>-0.15449893410514351</v>
      </c>
      <c r="J278">
        <v>0.42335936669815882</v>
      </c>
      <c r="K278">
        <v>2.5041867703573621</v>
      </c>
      <c r="L278">
        <v>-2011.0574607605761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1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1:23" x14ac:dyDescent="0.35">
      <c r="A279" t="s">
        <v>111</v>
      </c>
      <c r="B279" t="s">
        <v>70</v>
      </c>
      <c r="C279">
        <v>728998.7</v>
      </c>
      <c r="D279">
        <v>2.073142503421475</v>
      </c>
      <c r="E279">
        <v>0.59518888641765066</v>
      </c>
      <c r="F279">
        <v>30182.29</v>
      </c>
      <c r="G279">
        <v>11282.735474875861</v>
      </c>
      <c r="H279">
        <v>11282.735474875861</v>
      </c>
      <c r="I279">
        <v>-0.180940569883286</v>
      </c>
      <c r="J279">
        <v>0.41050427144486762</v>
      </c>
      <c r="K279">
        <v>2.1645670876807701</v>
      </c>
      <c r="L279">
        <v>4631.6111060190769</v>
      </c>
      <c r="M279">
        <v>0</v>
      </c>
      <c r="N279">
        <v>0</v>
      </c>
      <c r="O279">
        <v>0</v>
      </c>
      <c r="P279">
        <v>0</v>
      </c>
      <c r="Q279">
        <v>1</v>
      </c>
      <c r="R279">
        <v>0</v>
      </c>
      <c r="S279">
        <v>11282.735474875861</v>
      </c>
      <c r="T279">
        <v>4631.6111060190769</v>
      </c>
      <c r="U279">
        <v>0</v>
      </c>
      <c r="V279">
        <v>0</v>
      </c>
      <c r="W279">
        <v>0</v>
      </c>
    </row>
    <row r="280" spans="1:23" x14ac:dyDescent="0.35">
      <c r="A280" t="s">
        <v>111</v>
      </c>
      <c r="B280" t="s">
        <v>71</v>
      </c>
      <c r="C280">
        <v>732314.3</v>
      </c>
      <c r="D280">
        <v>2.0020486455168189</v>
      </c>
      <c r="E280">
        <v>0.61255748572744229</v>
      </c>
      <c r="F280">
        <v>32031.3</v>
      </c>
      <c r="G280">
        <v>1702.312279079182</v>
      </c>
      <c r="H280">
        <v>1702.312279079182</v>
      </c>
      <c r="I280">
        <v>-0.12598242784488581</v>
      </c>
      <c r="J280">
        <v>0.4373399403921896</v>
      </c>
      <c r="K280">
        <v>2.073142503421475</v>
      </c>
      <c r="L280">
        <v>744.48915066138193</v>
      </c>
      <c r="M280">
        <v>0</v>
      </c>
      <c r="N280">
        <v>0</v>
      </c>
      <c r="O280">
        <v>0</v>
      </c>
      <c r="P280">
        <v>0</v>
      </c>
      <c r="Q280">
        <v>1</v>
      </c>
      <c r="R280">
        <v>0</v>
      </c>
      <c r="S280">
        <v>1702.312279079182</v>
      </c>
      <c r="T280">
        <v>744.48915066138193</v>
      </c>
      <c r="U280">
        <v>0</v>
      </c>
      <c r="V280">
        <v>0</v>
      </c>
      <c r="W280">
        <v>0</v>
      </c>
    </row>
    <row r="281" spans="1:23" x14ac:dyDescent="0.35">
      <c r="A281" t="s">
        <v>111</v>
      </c>
      <c r="B281" t="s">
        <v>72</v>
      </c>
      <c r="C281">
        <v>741708.80000000005</v>
      </c>
      <c r="D281">
        <v>2.4181343149511751</v>
      </c>
      <c r="E281">
        <v>0.88341465929877139</v>
      </c>
      <c r="F281">
        <v>29910.11</v>
      </c>
      <c r="G281">
        <v>-1594.595393211242</v>
      </c>
      <c r="H281">
        <v>-1594.595393211242</v>
      </c>
      <c r="I281">
        <v>0.73107039211744573</v>
      </c>
      <c r="J281">
        <v>0.8118598838043084</v>
      </c>
      <c r="K281">
        <v>2.0020486455168189</v>
      </c>
      <c r="L281">
        <v>-1294.588030647365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-1594.595393211242</v>
      </c>
      <c r="T281">
        <v>-1294.588030647365</v>
      </c>
      <c r="U281">
        <v>0</v>
      </c>
      <c r="V281">
        <v>0</v>
      </c>
      <c r="W281">
        <v>0</v>
      </c>
    </row>
    <row r="282" spans="1:23" x14ac:dyDescent="0.35">
      <c r="A282" t="s">
        <v>111</v>
      </c>
      <c r="B282" t="s">
        <v>73</v>
      </c>
      <c r="C282">
        <v>747308.8</v>
      </c>
      <c r="D282">
        <v>2.88576753761139</v>
      </c>
      <c r="E282">
        <v>0.87363491265033066</v>
      </c>
      <c r="F282">
        <v>16514.349999999999</v>
      </c>
      <c r="G282">
        <v>-12857.951240235971</v>
      </c>
      <c r="H282">
        <v>-12857.951240235971</v>
      </c>
      <c r="I282">
        <v>0.70012508122518702</v>
      </c>
      <c r="J282">
        <v>0.80222358256049908</v>
      </c>
      <c r="K282">
        <v>2.4181343149511751</v>
      </c>
      <c r="L282">
        <v>-10314.951708330311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-12857.951240235971</v>
      </c>
      <c r="T282">
        <v>-10314.951708330311</v>
      </c>
      <c r="U282">
        <v>0</v>
      </c>
      <c r="V282">
        <v>0</v>
      </c>
      <c r="W282">
        <v>0</v>
      </c>
    </row>
    <row r="283" spans="1:23" x14ac:dyDescent="0.35">
      <c r="A283" t="s">
        <v>111</v>
      </c>
      <c r="B283" t="s">
        <v>74</v>
      </c>
      <c r="C283">
        <v>753645.7</v>
      </c>
      <c r="D283">
        <v>3.3250414931695231</v>
      </c>
      <c r="E283">
        <v>0.7399073296763623</v>
      </c>
      <c r="F283">
        <v>16325.61</v>
      </c>
      <c r="G283">
        <v>-289.78211110166382</v>
      </c>
      <c r="H283">
        <v>-289.78211110166382</v>
      </c>
      <c r="I283">
        <v>0.27698102864795737</v>
      </c>
      <c r="J283">
        <v>0.63505432911846171</v>
      </c>
      <c r="K283">
        <v>2.88576753761139</v>
      </c>
      <c r="L283">
        <v>-184.02738415619859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-289.78211110166382</v>
      </c>
      <c r="T283">
        <v>-184.02738415619859</v>
      </c>
      <c r="U283">
        <v>0</v>
      </c>
      <c r="V283">
        <v>0</v>
      </c>
      <c r="W283">
        <v>0</v>
      </c>
    </row>
    <row r="284" spans="1:23" x14ac:dyDescent="0.35">
      <c r="A284" t="s">
        <v>111</v>
      </c>
      <c r="B284" t="s">
        <v>75</v>
      </c>
      <c r="C284">
        <v>761529.9</v>
      </c>
      <c r="D284">
        <v>3.9119642781295529</v>
      </c>
      <c r="E284">
        <v>0.7878634069179774</v>
      </c>
      <c r="F284">
        <v>28396.560000000001</v>
      </c>
      <c r="G284">
        <v>11273.465479390619</v>
      </c>
      <c r="H284">
        <v>11273.465479390619</v>
      </c>
      <c r="I284">
        <v>0.42872480819173192</v>
      </c>
      <c r="J284">
        <v>0.70212753085281154</v>
      </c>
      <c r="K284">
        <v>3.3250414931695231</v>
      </c>
      <c r="L284">
        <v>7915.4104811989428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11273.465479390619</v>
      </c>
      <c r="T284">
        <v>7915.4104811989428</v>
      </c>
      <c r="U284">
        <v>0</v>
      </c>
      <c r="V284">
        <v>0</v>
      </c>
      <c r="W284">
        <v>0</v>
      </c>
    </row>
    <row r="285" spans="1:23" x14ac:dyDescent="0.35">
      <c r="A285" t="s">
        <v>111</v>
      </c>
      <c r="B285" t="s">
        <v>76</v>
      </c>
      <c r="C285">
        <v>757679.8</v>
      </c>
      <c r="D285">
        <v>2.130415564670693</v>
      </c>
      <c r="E285">
        <v>0.69298691073508456</v>
      </c>
      <c r="F285">
        <v>13622.16</v>
      </c>
      <c r="G285">
        <v>-15104.230619776299</v>
      </c>
      <c r="H285">
        <v>-15104.230619776299</v>
      </c>
      <c r="I285">
        <v>0.12851430414805759</v>
      </c>
      <c r="J285">
        <v>0.56390571813027512</v>
      </c>
      <c r="K285">
        <v>3.9119642781295529</v>
      </c>
      <c r="L285">
        <v>-8517.3620144502438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-15104.230619776299</v>
      </c>
      <c r="T285">
        <v>-8517.3620144502438</v>
      </c>
      <c r="U285">
        <v>0</v>
      </c>
      <c r="V285">
        <v>0</v>
      </c>
      <c r="W285">
        <v>0</v>
      </c>
    </row>
    <row r="286" spans="1:23" x14ac:dyDescent="0.35">
      <c r="A286" t="s">
        <v>111</v>
      </c>
      <c r="B286" t="s">
        <v>77</v>
      </c>
      <c r="C286">
        <v>762837.6</v>
      </c>
      <c r="D286">
        <v>2.0566678000395302</v>
      </c>
      <c r="E286">
        <v>0.56265433977785118</v>
      </c>
      <c r="F286">
        <v>25653.23</v>
      </c>
      <c r="G286">
        <v>11737.80673016071</v>
      </c>
      <c r="H286">
        <v>11737.80673016071</v>
      </c>
      <c r="I286">
        <v>-0.28388716928909069</v>
      </c>
      <c r="J286">
        <v>0.3617505430536001</v>
      </c>
      <c r="K286">
        <v>2.130415564670693</v>
      </c>
      <c r="L286">
        <v>4246.1579588938393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11737.80673016071</v>
      </c>
      <c r="T286">
        <v>4246.1579588938393</v>
      </c>
      <c r="U286">
        <v>0</v>
      </c>
      <c r="V286">
        <v>0</v>
      </c>
      <c r="W286">
        <v>0</v>
      </c>
    </row>
    <row r="287" spans="1:23" x14ac:dyDescent="0.35">
      <c r="A287" t="s">
        <v>111</v>
      </c>
      <c r="B287" t="s">
        <v>78</v>
      </c>
      <c r="C287">
        <v>759521.8</v>
      </c>
      <c r="D287">
        <v>0.77666610440255246</v>
      </c>
      <c r="E287">
        <v>0.44492198396704907</v>
      </c>
      <c r="F287">
        <v>28710.76</v>
      </c>
      <c r="G287">
        <v>2480.1654601144551</v>
      </c>
      <c r="H287">
        <v>2480.1654601144551</v>
      </c>
      <c r="I287">
        <v>-0.6564187371926602</v>
      </c>
      <c r="J287">
        <v>0.21201241934267029</v>
      </c>
      <c r="K287">
        <v>2.0566678000395302</v>
      </c>
      <c r="L287">
        <v>525.82587956899272</v>
      </c>
      <c r="M287">
        <v>0</v>
      </c>
      <c r="N287">
        <v>0</v>
      </c>
      <c r="O287">
        <v>0</v>
      </c>
      <c r="P287">
        <v>0</v>
      </c>
      <c r="Q287">
        <v>1</v>
      </c>
      <c r="R287">
        <v>0</v>
      </c>
      <c r="S287">
        <v>2480.1654601144551</v>
      </c>
      <c r="T287">
        <v>525.82587956899272</v>
      </c>
      <c r="U287">
        <v>0</v>
      </c>
      <c r="V287">
        <v>0</v>
      </c>
      <c r="W287">
        <v>0</v>
      </c>
    </row>
    <row r="288" spans="1:23" x14ac:dyDescent="0.35">
      <c r="A288" t="s">
        <v>111</v>
      </c>
      <c r="B288" t="s">
        <v>79</v>
      </c>
      <c r="C288">
        <v>762469.1</v>
      </c>
      <c r="D288">
        <v>0.12325468965536771</v>
      </c>
      <c r="E288">
        <v>0.8361420665273126</v>
      </c>
      <c r="F288">
        <v>26443.05</v>
      </c>
      <c r="G288">
        <v>-2105.371652046339</v>
      </c>
      <c r="H288">
        <v>-2105.371652046339</v>
      </c>
      <c r="I288">
        <v>0.58148931066589549</v>
      </c>
      <c r="J288">
        <v>0.76187352449179224</v>
      </c>
      <c r="K288">
        <v>0.77666610440255246</v>
      </c>
      <c r="L288">
        <v>-1604.0269209096509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1</v>
      </c>
      <c r="S288">
        <v>0</v>
      </c>
      <c r="T288">
        <v>0</v>
      </c>
      <c r="U288">
        <v>0</v>
      </c>
      <c r="V288">
        <v>0</v>
      </c>
      <c r="W288">
        <v>0</v>
      </c>
    </row>
    <row r="289" spans="1:23" x14ac:dyDescent="0.35">
      <c r="A289" t="s">
        <v>111</v>
      </c>
      <c r="B289" t="s">
        <v>80</v>
      </c>
      <c r="C289">
        <v>767921.6</v>
      </c>
      <c r="D289">
        <v>1.3426775649348099</v>
      </c>
      <c r="E289">
        <v>0.87093019182300402</v>
      </c>
      <c r="F289">
        <v>36588.019999999997</v>
      </c>
      <c r="G289">
        <v>10374.885475181431</v>
      </c>
      <c r="H289">
        <v>10374.885475181431</v>
      </c>
      <c r="I289">
        <v>0.69156673816302439</v>
      </c>
      <c r="J289">
        <v>0.79949377882241801</v>
      </c>
      <c r="K289">
        <v>0.12325468965536771</v>
      </c>
      <c r="L289">
        <v>8294.6563934026217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1:23" x14ac:dyDescent="0.35">
      <c r="A290" t="s">
        <v>111</v>
      </c>
      <c r="B290" t="s">
        <v>81</v>
      </c>
      <c r="C290">
        <v>767921.6</v>
      </c>
      <c r="D290">
        <v>0.66424800102276482</v>
      </c>
      <c r="E290">
        <v>0.81394769066014228</v>
      </c>
      <c r="F290">
        <v>40489.040000000001</v>
      </c>
      <c r="G290">
        <v>4415.4972307526914</v>
      </c>
      <c r="H290">
        <v>4415.4972307526914</v>
      </c>
      <c r="I290">
        <v>0.51126132972134442</v>
      </c>
      <c r="J290">
        <v>0.73546369158685487</v>
      </c>
      <c r="K290">
        <v>1.3426775649348099</v>
      </c>
      <c r="L290">
        <v>3247.4378935209088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1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1:23" x14ac:dyDescent="0.35">
      <c r="A291" t="s">
        <v>111</v>
      </c>
      <c r="B291" t="s">
        <v>82</v>
      </c>
      <c r="C291">
        <v>772121.5</v>
      </c>
      <c r="D291">
        <v>1.6452896342951639</v>
      </c>
      <c r="E291">
        <v>0.80393138313577928</v>
      </c>
      <c r="F291">
        <v>32800.980000000003</v>
      </c>
      <c r="G291">
        <v>-6497.529962925415</v>
      </c>
      <c r="H291">
        <v>-6497.529962925415</v>
      </c>
      <c r="I291">
        <v>0.47956748718368492</v>
      </c>
      <c r="J291">
        <v>0.72294857915847954</v>
      </c>
      <c r="K291">
        <v>0.66424800102276482</v>
      </c>
      <c r="L291">
        <v>-4697.3800547365772</v>
      </c>
      <c r="M291">
        <v>0</v>
      </c>
      <c r="N291">
        <v>0</v>
      </c>
      <c r="O291">
        <v>0</v>
      </c>
      <c r="P291">
        <v>0</v>
      </c>
      <c r="Q291">
        <v>1</v>
      </c>
      <c r="R291">
        <v>0</v>
      </c>
      <c r="S291">
        <v>-6497.529962925415</v>
      </c>
      <c r="T291">
        <v>-4697.3800547365772</v>
      </c>
      <c r="U291">
        <v>0</v>
      </c>
      <c r="V291">
        <v>0</v>
      </c>
      <c r="W291">
        <v>0</v>
      </c>
    </row>
    <row r="292" spans="1:23" x14ac:dyDescent="0.35">
      <c r="A292" t="s">
        <v>111</v>
      </c>
      <c r="B292" t="s">
        <v>83</v>
      </c>
      <c r="C292">
        <v>768511.1</v>
      </c>
      <c r="D292">
        <v>0.78930235256171688</v>
      </c>
      <c r="E292">
        <v>0.82294032780015258</v>
      </c>
      <c r="F292">
        <v>52716.26</v>
      </c>
      <c r="G292">
        <v>21002.415296564999</v>
      </c>
      <c r="H292">
        <v>21002.415296564999</v>
      </c>
      <c r="I292">
        <v>0.53971604966884534</v>
      </c>
      <c r="J292">
        <v>0.74638649836631077</v>
      </c>
      <c r="K292">
        <v>1.6452896342951639</v>
      </c>
      <c r="L292">
        <v>15675.919210438189</v>
      </c>
      <c r="M292">
        <v>0</v>
      </c>
      <c r="N292">
        <v>0</v>
      </c>
      <c r="O292">
        <v>0</v>
      </c>
      <c r="P292">
        <v>0</v>
      </c>
      <c r="Q292">
        <v>1</v>
      </c>
      <c r="R292">
        <v>0</v>
      </c>
      <c r="S292">
        <v>21002.415296564999</v>
      </c>
      <c r="T292">
        <v>15675.919210438189</v>
      </c>
      <c r="U292">
        <v>0</v>
      </c>
      <c r="V292">
        <v>0</v>
      </c>
      <c r="W292">
        <v>0</v>
      </c>
    </row>
    <row r="293" spans="1:23" x14ac:dyDescent="0.35">
      <c r="A293" t="s">
        <v>111</v>
      </c>
      <c r="B293" t="s">
        <v>84</v>
      </c>
      <c r="C293">
        <v>754088.2</v>
      </c>
      <c r="D293">
        <v>-1.8178307309377371</v>
      </c>
      <c r="E293">
        <v>0.91082672988616642</v>
      </c>
      <c r="F293">
        <v>55684.71</v>
      </c>
      <c r="G293">
        <v>4447.7439987703037</v>
      </c>
      <c r="H293">
        <v>4447.7439987703037</v>
      </c>
      <c r="I293">
        <v>0.81780832889853106</v>
      </c>
      <c r="J293">
        <v>0.83693761251362642</v>
      </c>
      <c r="K293">
        <v>0.78930235256171688</v>
      </c>
      <c r="L293">
        <v>3722.4842434026282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0</v>
      </c>
      <c r="V293">
        <v>0</v>
      </c>
      <c r="W293">
        <v>0</v>
      </c>
    </row>
    <row r="294" spans="1:23" x14ac:dyDescent="0.35">
      <c r="A294" t="s">
        <v>111</v>
      </c>
      <c r="B294" t="s">
        <v>85</v>
      </c>
      <c r="C294">
        <v>686666.8</v>
      </c>
      <c r="D294">
        <v>-11.18384773132251</v>
      </c>
      <c r="E294">
        <v>0.95244092322723806</v>
      </c>
      <c r="F294">
        <v>28914.37</v>
      </c>
      <c r="G294">
        <v>-24149.360667720372</v>
      </c>
      <c r="H294">
        <v>-24149.360667720372</v>
      </c>
      <c r="I294">
        <v>0.94948496601012211</v>
      </c>
      <c r="J294">
        <v>0.86977489784955653</v>
      </c>
      <c r="K294">
        <v>-1.8178307309377371</v>
      </c>
      <c r="L294">
        <v>-21004.507707898581</v>
      </c>
      <c r="M294">
        <v>0</v>
      </c>
      <c r="N294">
        <v>0</v>
      </c>
      <c r="O294">
        <v>0</v>
      </c>
      <c r="P294">
        <v>0</v>
      </c>
      <c r="Q294">
        <v>1</v>
      </c>
      <c r="R294">
        <v>0</v>
      </c>
      <c r="S294">
        <v>-24149.360667720372</v>
      </c>
      <c r="T294">
        <v>-21004.507707898581</v>
      </c>
      <c r="U294">
        <v>0</v>
      </c>
      <c r="V294">
        <v>0</v>
      </c>
      <c r="W294">
        <v>0</v>
      </c>
    </row>
    <row r="295" spans="1:23" x14ac:dyDescent="0.35">
      <c r="A295" t="s">
        <v>111</v>
      </c>
      <c r="B295" t="s">
        <v>86</v>
      </c>
      <c r="C295">
        <v>747014.5</v>
      </c>
      <c r="D295">
        <v>-3.305732513932512</v>
      </c>
      <c r="E295">
        <v>0.95181956778374255</v>
      </c>
      <c r="F295">
        <v>27497.73</v>
      </c>
      <c r="G295">
        <v>298.34674216415812</v>
      </c>
      <c r="H295">
        <v>298.34674216415812</v>
      </c>
      <c r="I295">
        <v>0.9475188580868017</v>
      </c>
      <c r="J295">
        <v>0.86932886144768884</v>
      </c>
      <c r="K295">
        <v>-11.18384773132251</v>
      </c>
      <c r="L295">
        <v>259.36143368219467</v>
      </c>
      <c r="M295">
        <v>0</v>
      </c>
      <c r="N295">
        <v>0</v>
      </c>
      <c r="O295">
        <v>0</v>
      </c>
      <c r="P295">
        <v>0</v>
      </c>
      <c r="Q295">
        <v>1</v>
      </c>
      <c r="R295">
        <v>0</v>
      </c>
      <c r="S295">
        <v>298.34674216415812</v>
      </c>
      <c r="T295">
        <v>259.36143368219467</v>
      </c>
      <c r="U295">
        <v>0</v>
      </c>
      <c r="V295">
        <v>0</v>
      </c>
      <c r="W295">
        <v>0</v>
      </c>
    </row>
    <row r="296" spans="1:23" x14ac:dyDescent="0.35">
      <c r="A296" t="s">
        <v>111</v>
      </c>
      <c r="B296" t="s">
        <v>87</v>
      </c>
      <c r="C296">
        <v>753277.7</v>
      </c>
      <c r="D296">
        <v>-2.002105528218963</v>
      </c>
      <c r="E296">
        <v>0.94027232248340475</v>
      </c>
      <c r="F296">
        <v>22319.62</v>
      </c>
      <c r="G296">
        <v>-4896.0136572600422</v>
      </c>
      <c r="H296">
        <v>-4896.0136572600422</v>
      </c>
      <c r="I296">
        <v>0.91098078520890147</v>
      </c>
      <c r="J296">
        <v>0.86080133349810717</v>
      </c>
      <c r="K296">
        <v>-3.305732513932512</v>
      </c>
      <c r="L296">
        <v>-4214.4950849943889</v>
      </c>
      <c r="M296">
        <v>0</v>
      </c>
      <c r="N296">
        <v>0</v>
      </c>
      <c r="O296">
        <v>0</v>
      </c>
      <c r="P296">
        <v>0</v>
      </c>
      <c r="Q296">
        <v>1</v>
      </c>
      <c r="R296">
        <v>0</v>
      </c>
      <c r="S296">
        <v>-4896.0136572600422</v>
      </c>
      <c r="T296">
        <v>-4214.4950849943889</v>
      </c>
      <c r="U296">
        <v>0</v>
      </c>
      <c r="V296">
        <v>0</v>
      </c>
      <c r="W296">
        <v>0</v>
      </c>
    </row>
    <row r="297" spans="1:23" x14ac:dyDescent="0.35">
      <c r="A297" t="s">
        <v>111</v>
      </c>
      <c r="B297" t="s">
        <v>88</v>
      </c>
      <c r="C297">
        <v>749703.9</v>
      </c>
      <c r="D297">
        <v>-0.58310087177853398</v>
      </c>
      <c r="E297">
        <v>0.93218204016510653</v>
      </c>
      <c r="F297">
        <v>11888.73</v>
      </c>
      <c r="G297">
        <v>-10426.43013953445</v>
      </c>
      <c r="H297">
        <v>-10426.43013953445</v>
      </c>
      <c r="I297">
        <v>0.88538131821393595</v>
      </c>
      <c r="J297">
        <v>0.85455248671035078</v>
      </c>
      <c r="K297">
        <v>-2.002105528218963</v>
      </c>
      <c r="L297">
        <v>-8909.9318032509163</v>
      </c>
      <c r="M297">
        <v>0</v>
      </c>
      <c r="N297">
        <v>0</v>
      </c>
      <c r="O297">
        <v>0</v>
      </c>
      <c r="P297">
        <v>0</v>
      </c>
      <c r="Q297">
        <v>1</v>
      </c>
      <c r="R297">
        <v>0</v>
      </c>
      <c r="S297">
        <v>-10426.43013953445</v>
      </c>
      <c r="T297">
        <v>-8909.9318032509163</v>
      </c>
      <c r="U297">
        <v>0</v>
      </c>
      <c r="V297">
        <v>0</v>
      </c>
      <c r="W297">
        <v>0</v>
      </c>
    </row>
    <row r="298" spans="1:23" x14ac:dyDescent="0.35">
      <c r="A298" t="s">
        <v>111</v>
      </c>
      <c r="B298" t="s">
        <v>89</v>
      </c>
      <c r="C298">
        <v>766650.6</v>
      </c>
      <c r="D298">
        <v>11.018198921754561</v>
      </c>
      <c r="E298">
        <v>0.96118517899553257</v>
      </c>
      <c r="F298">
        <v>18072.810000000001</v>
      </c>
      <c r="G298">
        <v>5509.7133275447604</v>
      </c>
      <c r="H298">
        <v>5509.7133275447604</v>
      </c>
      <c r="I298">
        <v>0.97715375161352469</v>
      </c>
      <c r="J298">
        <v>0.87591557208870507</v>
      </c>
      <c r="K298">
        <v>-0.58310087177853398</v>
      </c>
      <c r="L298">
        <v>4826.0437013411311</v>
      </c>
      <c r="M298">
        <v>0</v>
      </c>
      <c r="N298">
        <v>0</v>
      </c>
      <c r="O298">
        <v>0</v>
      </c>
      <c r="P298">
        <v>0</v>
      </c>
      <c r="Q298">
        <v>1</v>
      </c>
      <c r="R298">
        <v>0</v>
      </c>
      <c r="S298">
        <v>5509.7133275447604</v>
      </c>
      <c r="T298">
        <v>4826.0437013411311</v>
      </c>
      <c r="U298">
        <v>0</v>
      </c>
      <c r="V298">
        <v>0</v>
      </c>
      <c r="W298">
        <v>0</v>
      </c>
    </row>
    <row r="299" spans="1:23" x14ac:dyDescent="0.35">
      <c r="A299" t="s">
        <v>111</v>
      </c>
      <c r="B299" t="s">
        <v>90</v>
      </c>
      <c r="C299">
        <v>767976.9</v>
      </c>
      <c r="D299">
        <v>2.767505864864729</v>
      </c>
      <c r="E299">
        <v>0.94363223728723922</v>
      </c>
      <c r="F299">
        <v>21508.560000000001</v>
      </c>
      <c r="G299">
        <v>2469.4532050039338</v>
      </c>
      <c r="H299">
        <v>2469.4532050039338</v>
      </c>
      <c r="I299">
        <v>0.92161230889901036</v>
      </c>
      <c r="J299">
        <v>0.86332963113049188</v>
      </c>
      <c r="K299">
        <v>11.018198921754561</v>
      </c>
      <c r="L299">
        <v>2131.952124570058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0</v>
      </c>
      <c r="S299">
        <v>2469.4532050039338</v>
      </c>
      <c r="T299">
        <v>2131.952124570058</v>
      </c>
      <c r="U299">
        <v>0</v>
      </c>
      <c r="V299">
        <v>0</v>
      </c>
      <c r="W299">
        <v>0</v>
      </c>
    </row>
    <row r="300" spans="1:23" x14ac:dyDescent="0.35">
      <c r="A300" t="s">
        <v>111</v>
      </c>
      <c r="B300" t="s">
        <v>91</v>
      </c>
      <c r="C300">
        <v>771587.2</v>
      </c>
      <c r="D300">
        <v>2.4015740674120591</v>
      </c>
      <c r="E300">
        <v>0.92749299529371809</v>
      </c>
      <c r="F300">
        <v>19802.650000000001</v>
      </c>
      <c r="G300">
        <v>-2218.2724663803642</v>
      </c>
      <c r="H300">
        <v>-2218.2724663803642</v>
      </c>
      <c r="I300">
        <v>0.87054412901578815</v>
      </c>
      <c r="J300">
        <v>0.85082524171435492</v>
      </c>
      <c r="K300">
        <v>2.767505864864729</v>
      </c>
      <c r="L300">
        <v>-1887.3622073963711</v>
      </c>
      <c r="M300">
        <v>0</v>
      </c>
      <c r="N300">
        <v>0</v>
      </c>
      <c r="O300">
        <v>0</v>
      </c>
      <c r="P300">
        <v>0</v>
      </c>
      <c r="Q300">
        <v>1</v>
      </c>
      <c r="R300">
        <v>0</v>
      </c>
      <c r="S300">
        <v>-2218.2724663803642</v>
      </c>
      <c r="T300">
        <v>-1887.3622073963711</v>
      </c>
      <c r="U300">
        <v>0</v>
      </c>
      <c r="V300">
        <v>0</v>
      </c>
      <c r="W300">
        <v>0</v>
      </c>
    </row>
    <row r="301" spans="1:23" x14ac:dyDescent="0.35">
      <c r="A301" t="s">
        <v>111</v>
      </c>
      <c r="B301" t="s">
        <v>92</v>
      </c>
      <c r="C301">
        <v>777555.7</v>
      </c>
      <c r="D301">
        <v>3.6476952782440661</v>
      </c>
      <c r="E301">
        <v>0.89152902999123629</v>
      </c>
      <c r="F301">
        <v>26455.02</v>
      </c>
      <c r="G301">
        <v>6249.2545952329347</v>
      </c>
      <c r="H301">
        <v>6249.2545952329347</v>
      </c>
      <c r="I301">
        <v>0.75674608012858613</v>
      </c>
      <c r="J301">
        <v>0.81957816827994001</v>
      </c>
      <c r="K301">
        <v>2.4015740674120591</v>
      </c>
      <c r="L301">
        <v>5121.7526342760066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1</v>
      </c>
      <c r="S301">
        <v>0</v>
      </c>
      <c r="T301">
        <v>0</v>
      </c>
      <c r="U301">
        <v>0</v>
      </c>
      <c r="V301">
        <v>0</v>
      </c>
      <c r="W301">
        <v>0</v>
      </c>
    </row>
    <row r="302" spans="1:23" x14ac:dyDescent="0.35">
      <c r="A302" t="s">
        <v>111</v>
      </c>
      <c r="B302" t="s">
        <v>93</v>
      </c>
      <c r="C302">
        <v>778513.5</v>
      </c>
      <c r="D302">
        <v>1.5355175656360069</v>
      </c>
      <c r="E302">
        <v>0.93723621945310143</v>
      </c>
      <c r="F302">
        <v>29343.64</v>
      </c>
      <c r="G302">
        <v>2660.8418006622051</v>
      </c>
      <c r="H302">
        <v>2660.8418006622051</v>
      </c>
      <c r="I302">
        <v>0.90137387456478524</v>
      </c>
      <c r="J302">
        <v>0.85848308773733284</v>
      </c>
      <c r="K302">
        <v>3.6476952782440661</v>
      </c>
      <c r="L302">
        <v>2284.2876850130551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1</v>
      </c>
      <c r="S302">
        <v>0</v>
      </c>
      <c r="T302">
        <v>0</v>
      </c>
      <c r="U302">
        <v>0</v>
      </c>
      <c r="V302">
        <v>0</v>
      </c>
      <c r="W302">
        <v>0</v>
      </c>
    </row>
    <row r="303" spans="1:23" x14ac:dyDescent="0.35">
      <c r="A303" t="s">
        <v>111</v>
      </c>
      <c r="B303" t="s">
        <v>94</v>
      </c>
      <c r="C303">
        <v>781018.7</v>
      </c>
      <c r="D303">
        <v>1.6839438644696449</v>
      </c>
      <c r="E303">
        <v>0.93953059895453872</v>
      </c>
      <c r="F303">
        <v>24504.76</v>
      </c>
      <c r="G303">
        <v>-4610.2754712220849</v>
      </c>
      <c r="H303">
        <v>-4610.2754712220849</v>
      </c>
      <c r="I303">
        <v>0.90863380567845298</v>
      </c>
      <c r="J303">
        <v>0.86023793894544487</v>
      </c>
      <c r="K303">
        <v>1.5355175656360069</v>
      </c>
      <c r="L303">
        <v>-3965.9338693348259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1</v>
      </c>
      <c r="S303">
        <v>0</v>
      </c>
      <c r="T303">
        <v>0</v>
      </c>
      <c r="U303">
        <v>0</v>
      </c>
      <c r="V303">
        <v>0</v>
      </c>
      <c r="W303">
        <v>0</v>
      </c>
    </row>
    <row r="304" spans="1:23" x14ac:dyDescent="0.35">
      <c r="A304" t="s">
        <v>111</v>
      </c>
      <c r="B304" t="s">
        <v>95</v>
      </c>
      <c r="C304">
        <v>778439.9</v>
      </c>
      <c r="D304">
        <v>0.88420965630963466</v>
      </c>
      <c r="E304">
        <v>0.87137118059987695</v>
      </c>
      <c r="F304">
        <v>26500.43</v>
      </c>
      <c r="G304">
        <v>2181.4839460196272</v>
      </c>
      <c r="H304">
        <v>2181.4839460196272</v>
      </c>
      <c r="I304">
        <v>0.6929621255172056</v>
      </c>
      <c r="J304">
        <v>0.79994077581115852</v>
      </c>
      <c r="K304">
        <v>1.6839438644696449</v>
      </c>
      <c r="L304">
        <v>1745.057960198528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1</v>
      </c>
      <c r="S304">
        <v>0</v>
      </c>
      <c r="T304">
        <v>0</v>
      </c>
      <c r="U304">
        <v>0</v>
      </c>
      <c r="V304">
        <v>0</v>
      </c>
      <c r="W304">
        <v>0</v>
      </c>
    </row>
    <row r="305" spans="1:23" x14ac:dyDescent="0.35">
      <c r="A305" t="s">
        <v>111</v>
      </c>
      <c r="B305" t="s">
        <v>96</v>
      </c>
      <c r="C305">
        <v>773153.2</v>
      </c>
      <c r="D305">
        <v>-0.56780635336424168</v>
      </c>
      <c r="E305">
        <v>0.89086127507100199</v>
      </c>
      <c r="F305">
        <v>26400.05</v>
      </c>
      <c r="G305">
        <v>-84.520772908697836</v>
      </c>
      <c r="H305">
        <v>-84.520772908697836</v>
      </c>
      <c r="I305">
        <v>0.75463315385868324</v>
      </c>
      <c r="J305">
        <v>0.8189524482362589</v>
      </c>
      <c r="K305">
        <v>0.88420965630963466</v>
      </c>
      <c r="L305">
        <v>-69.218493900398954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1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1:23" x14ac:dyDescent="0.35">
      <c r="A306" t="s">
        <v>111</v>
      </c>
      <c r="B306" t="s">
        <v>97</v>
      </c>
      <c r="C306">
        <v>772342.6</v>
      </c>
      <c r="D306">
        <v>-0.79580981982438748</v>
      </c>
      <c r="E306">
        <v>0.88380248662654914</v>
      </c>
      <c r="F306">
        <v>30702.400000000001</v>
      </c>
      <c r="G306">
        <v>4416.8820192602216</v>
      </c>
      <c r="H306">
        <v>4416.8820192602216</v>
      </c>
      <c r="I306">
        <v>0.73229756472855934</v>
      </c>
      <c r="J306">
        <v>0.81223448196002446</v>
      </c>
      <c r="K306">
        <v>-0.56780635336424168</v>
      </c>
      <c r="L306">
        <v>3587.5438787923731</v>
      </c>
      <c r="M306">
        <v>0</v>
      </c>
      <c r="N306">
        <v>0</v>
      </c>
      <c r="O306">
        <v>0</v>
      </c>
      <c r="P306">
        <v>0</v>
      </c>
      <c r="Q306">
        <v>1</v>
      </c>
      <c r="R306">
        <v>0</v>
      </c>
      <c r="S306">
        <v>4416.8820192602216</v>
      </c>
      <c r="T306">
        <v>3587.5438787923731</v>
      </c>
      <c r="U306">
        <v>0</v>
      </c>
      <c r="V306">
        <v>0</v>
      </c>
      <c r="W306">
        <v>0</v>
      </c>
    </row>
    <row r="307" spans="1:23" x14ac:dyDescent="0.35">
      <c r="A307" t="s">
        <v>111</v>
      </c>
      <c r="B307" t="s">
        <v>98</v>
      </c>
      <c r="C307">
        <v>773521.5</v>
      </c>
      <c r="D307">
        <v>-0.96456278545081309</v>
      </c>
      <c r="E307">
        <v>0.88580887975662803</v>
      </c>
      <c r="F307">
        <v>17905.28</v>
      </c>
      <c r="G307">
        <v>-12517.608803376361</v>
      </c>
      <c r="H307">
        <v>-12517.608803376361</v>
      </c>
      <c r="I307">
        <v>0.73864624240031507</v>
      </c>
      <c r="J307">
        <v>0.81416327817655632</v>
      </c>
      <c r="K307">
        <v>-0.79580981982438748</v>
      </c>
      <c r="L307">
        <v>-10191.377418288621</v>
      </c>
      <c r="M307">
        <v>0</v>
      </c>
      <c r="N307">
        <v>0</v>
      </c>
      <c r="O307">
        <v>0</v>
      </c>
      <c r="P307">
        <v>0</v>
      </c>
      <c r="Q307">
        <v>1</v>
      </c>
      <c r="R307">
        <v>0</v>
      </c>
      <c r="S307">
        <v>-12517.608803376361</v>
      </c>
      <c r="T307">
        <v>-10191.377418288621</v>
      </c>
      <c r="U307">
        <v>0</v>
      </c>
      <c r="V307">
        <v>0</v>
      </c>
      <c r="W307">
        <v>0</v>
      </c>
    </row>
    <row r="308" spans="1:23" x14ac:dyDescent="0.35">
      <c r="A308" t="s">
        <v>111</v>
      </c>
      <c r="B308" t="s">
        <v>99</v>
      </c>
      <c r="C308">
        <v>771163.7</v>
      </c>
      <c r="D308">
        <v>-0.93911158644464821</v>
      </c>
      <c r="E308">
        <v>0.91523910538367848</v>
      </c>
      <c r="F308">
        <v>16655.52</v>
      </c>
      <c r="G308">
        <v>-1255.046474869388</v>
      </c>
      <c r="H308">
        <v>-1255.046474869388</v>
      </c>
      <c r="I308">
        <v>0.83177007417192894</v>
      </c>
      <c r="J308">
        <v>0.84071265363922165</v>
      </c>
      <c r="K308">
        <v>-0.96456278545081309</v>
      </c>
      <c r="L308">
        <v>-1055.1334523279941</v>
      </c>
      <c r="M308">
        <v>0</v>
      </c>
      <c r="N308">
        <v>0</v>
      </c>
      <c r="O308">
        <v>0</v>
      </c>
      <c r="P308">
        <v>0</v>
      </c>
      <c r="Q308">
        <v>1</v>
      </c>
      <c r="R308">
        <v>0</v>
      </c>
      <c r="S308">
        <v>-1255.046474869388</v>
      </c>
      <c r="T308">
        <v>-1055.1334523279941</v>
      </c>
      <c r="U308">
        <v>0</v>
      </c>
      <c r="V308">
        <v>0</v>
      </c>
      <c r="W308">
        <v>0</v>
      </c>
    </row>
    <row r="309" spans="1:23" x14ac:dyDescent="0.35">
      <c r="A309" t="s">
        <v>111</v>
      </c>
      <c r="B309" t="s">
        <v>100</v>
      </c>
      <c r="C309">
        <v>772803.1</v>
      </c>
      <c r="D309">
        <v>-4.5292354769013589E-2</v>
      </c>
      <c r="E309">
        <v>0.91452905060422274</v>
      </c>
      <c r="F309">
        <v>16042.91</v>
      </c>
      <c r="G309">
        <v>-1325.5086914047929</v>
      </c>
      <c r="H309">
        <v>-1325.5086914047929</v>
      </c>
      <c r="I309">
        <v>0.82952330166435118</v>
      </c>
      <c r="J309">
        <v>0.84010997937856191</v>
      </c>
      <c r="K309">
        <v>-0.93911158644464821</v>
      </c>
      <c r="L309">
        <v>-1113.5730794021861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0</v>
      </c>
      <c r="S309">
        <v>-1325.5086914047929</v>
      </c>
      <c r="T309">
        <v>-1113.5730794021861</v>
      </c>
      <c r="U309">
        <v>0</v>
      </c>
      <c r="V309">
        <v>0</v>
      </c>
      <c r="W309">
        <v>0</v>
      </c>
    </row>
    <row r="310" spans="1:23" x14ac:dyDescent="0.35">
      <c r="A310" t="s">
        <v>111</v>
      </c>
      <c r="B310" t="s">
        <v>101</v>
      </c>
      <c r="C310">
        <v>771771.5</v>
      </c>
      <c r="D310">
        <v>-7.3971220914428953E-2</v>
      </c>
      <c r="E310">
        <v>0.79382857474080215</v>
      </c>
      <c r="F310">
        <v>15096.69</v>
      </c>
      <c r="G310">
        <v>-1747.62351995877</v>
      </c>
      <c r="H310">
        <v>-1747.62351995877</v>
      </c>
      <c r="I310">
        <v>0.44759993649899149</v>
      </c>
      <c r="J310">
        <v>0.70996207709507275</v>
      </c>
      <c r="K310">
        <v>-4.5292354769013589E-2</v>
      </c>
      <c r="L310">
        <v>-1240.746424210131</v>
      </c>
      <c r="M310">
        <v>0</v>
      </c>
      <c r="N310">
        <v>0</v>
      </c>
      <c r="O310">
        <v>0</v>
      </c>
      <c r="P310">
        <v>0</v>
      </c>
      <c r="Q310">
        <v>1</v>
      </c>
      <c r="R310">
        <v>0</v>
      </c>
      <c r="S310">
        <v>-1747.62351995877</v>
      </c>
      <c r="T310">
        <v>-1240.746424210131</v>
      </c>
      <c r="U310">
        <v>0</v>
      </c>
      <c r="V310">
        <v>0</v>
      </c>
      <c r="W310">
        <v>0</v>
      </c>
    </row>
    <row r="311" spans="1:23" x14ac:dyDescent="0.35">
      <c r="A311" t="s">
        <v>111</v>
      </c>
      <c r="B311" t="s">
        <v>102</v>
      </c>
      <c r="C311">
        <v>772582.1</v>
      </c>
      <c r="D311">
        <v>-0.1215183918592307</v>
      </c>
      <c r="E311">
        <v>0.57716475886141771</v>
      </c>
      <c r="F311">
        <v>19263.25</v>
      </c>
      <c r="G311">
        <v>3296.2288795207619</v>
      </c>
      <c r="H311">
        <v>3296.2288795207619</v>
      </c>
      <c r="I311">
        <v>-0.23797295025464121</v>
      </c>
      <c r="J311">
        <v>0.38320989768161812</v>
      </c>
      <c r="K311">
        <v>-7.3971220914428953E-2</v>
      </c>
      <c r="L311">
        <v>1263.147531656346</v>
      </c>
      <c r="M311">
        <v>0</v>
      </c>
      <c r="N311">
        <v>0</v>
      </c>
      <c r="O311">
        <v>0</v>
      </c>
      <c r="P311">
        <v>0</v>
      </c>
      <c r="Q311">
        <v>1</v>
      </c>
      <c r="R311">
        <v>0</v>
      </c>
      <c r="S311">
        <v>3296.2288795207619</v>
      </c>
      <c r="T311">
        <v>1263.147531656346</v>
      </c>
      <c r="U311">
        <v>0</v>
      </c>
      <c r="V311">
        <v>0</v>
      </c>
      <c r="W311">
        <v>0</v>
      </c>
    </row>
    <row r="312" spans="1:23" x14ac:dyDescent="0.35">
      <c r="A312" t="s">
        <v>111</v>
      </c>
      <c r="B312" t="s">
        <v>103</v>
      </c>
      <c r="C312">
        <v>774276.8</v>
      </c>
      <c r="D312">
        <v>0.40287597105180711</v>
      </c>
      <c r="E312">
        <v>0.66545520379695777</v>
      </c>
      <c r="F312">
        <v>26370.25</v>
      </c>
      <c r="G312">
        <v>6352.7743362205329</v>
      </c>
      <c r="H312">
        <v>6352.7743362205329</v>
      </c>
      <c r="I312">
        <v>4.1397811132286973E-2</v>
      </c>
      <c r="J312">
        <v>0.52068708921803664</v>
      </c>
      <c r="K312">
        <v>-0.1215183918592307</v>
      </c>
      <c r="L312">
        <v>3307.8075775857142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6352.7743362205329</v>
      </c>
      <c r="T312">
        <v>3307.8075775857142</v>
      </c>
      <c r="U312">
        <v>0</v>
      </c>
      <c r="V312">
        <v>0</v>
      </c>
      <c r="W312">
        <v>0</v>
      </c>
    </row>
    <row r="313" spans="1:23" x14ac:dyDescent="0.35">
      <c r="A313" t="s">
        <v>111</v>
      </c>
      <c r="B313" t="s">
        <v>104</v>
      </c>
      <c r="C313">
        <v>775197.8</v>
      </c>
      <c r="D313">
        <v>0.30939283178072158</v>
      </c>
      <c r="E313">
        <v>0.1088739892907218</v>
      </c>
      <c r="F313">
        <v>48145.7</v>
      </c>
      <c r="G313">
        <v>21516.57673025272</v>
      </c>
      <c r="H313">
        <v>21516.57673025272</v>
      </c>
      <c r="I313">
        <v>-1.7197499300960171</v>
      </c>
      <c r="J313">
        <v>3.1083543516642019E-2</v>
      </c>
      <c r="K313">
        <v>0.40287597105180711</v>
      </c>
      <c r="L313">
        <v>668.81144912397735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0</v>
      </c>
      <c r="V313">
        <v>0</v>
      </c>
      <c r="W313">
        <v>0</v>
      </c>
    </row>
    <row r="314" spans="1:23" x14ac:dyDescent="0.35">
      <c r="A314" t="s">
        <v>111</v>
      </c>
      <c r="B314" t="s">
        <v>105</v>
      </c>
      <c r="C314">
        <v>775050.5</v>
      </c>
      <c r="D314">
        <v>0.42396667639917712</v>
      </c>
      <c r="E314">
        <v>0.2225774510015896</v>
      </c>
      <c r="F314">
        <v>80038.14</v>
      </c>
      <c r="G314">
        <v>32860.236300339107</v>
      </c>
      <c r="H314">
        <v>32860.236300339107</v>
      </c>
      <c r="I314">
        <v>-1.359966686352188</v>
      </c>
      <c r="J314">
        <v>6.180732968002179E-2</v>
      </c>
      <c r="K314">
        <v>0.30939283178072158</v>
      </c>
      <c r="L314">
        <v>2031.0034583784791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1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1:23" x14ac:dyDescent="0.35">
      <c r="A315" t="s">
        <v>111</v>
      </c>
      <c r="B315" t="s">
        <v>106</v>
      </c>
      <c r="C315">
        <v>774829.4</v>
      </c>
      <c r="D315">
        <v>0.2904594647224909</v>
      </c>
      <c r="E315">
        <v>-9.0881689576844837E-2</v>
      </c>
      <c r="F315">
        <v>106862.2</v>
      </c>
      <c r="G315">
        <v>30173.051455287681</v>
      </c>
      <c r="H315">
        <v>30173.051455287681</v>
      </c>
      <c r="I315">
        <v>-2.3518216807519128</v>
      </c>
      <c r="J315">
        <v>8.9808140782785244E-3</v>
      </c>
      <c r="K315">
        <v>0.42396667639917712</v>
      </c>
      <c r="L315">
        <v>270.97856529427003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30173.051455287681</v>
      </c>
      <c r="T315">
        <v>270.97856529427003</v>
      </c>
      <c r="U315">
        <v>0</v>
      </c>
      <c r="V315">
        <v>0</v>
      </c>
      <c r="W315">
        <v>0</v>
      </c>
    </row>
    <row r="316" spans="1:23" x14ac:dyDescent="0.35">
      <c r="A316" t="s">
        <v>111</v>
      </c>
      <c r="B316" t="s">
        <v>107</v>
      </c>
      <c r="C316">
        <v>776892.5</v>
      </c>
      <c r="D316">
        <v>0.33725557607102402</v>
      </c>
      <c r="E316">
        <v>-0.21594257032012221</v>
      </c>
      <c r="F316">
        <v>94947.06</v>
      </c>
      <c r="G316">
        <v>-5865.0461574176588</v>
      </c>
      <c r="H316">
        <v>-5865.0461574176588</v>
      </c>
      <c r="I316">
        <v>-2.747542344505248</v>
      </c>
      <c r="J316">
        <v>4.0901109288741418E-3</v>
      </c>
      <c r="K316">
        <v>0.2904594647224909</v>
      </c>
      <c r="L316">
        <v>-23.988689386805259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-5865.0461574176588</v>
      </c>
      <c r="T316">
        <v>-23.988689386805259</v>
      </c>
      <c r="U316">
        <v>0</v>
      </c>
      <c r="V316">
        <v>0</v>
      </c>
      <c r="W316">
        <v>0</v>
      </c>
    </row>
    <row r="317" spans="1:23" x14ac:dyDescent="0.35">
      <c r="A317" t="s">
        <v>111</v>
      </c>
      <c r="B317" t="s">
        <v>108</v>
      </c>
      <c r="C317">
        <v>780355.5</v>
      </c>
      <c r="D317">
        <v>0.66313624879249689</v>
      </c>
      <c r="E317">
        <v>-0.3139285904662974</v>
      </c>
      <c r="F317">
        <v>81871.73</v>
      </c>
      <c r="G317">
        <v>-6116.8052336188266</v>
      </c>
      <c r="H317">
        <v>-6116.8052336188266</v>
      </c>
      <c r="I317">
        <v>-3.0575920794850369</v>
      </c>
      <c r="J317">
        <v>2.204199683102022E-3</v>
      </c>
      <c r="K317">
        <v>0.33725557607102402</v>
      </c>
      <c r="L317">
        <v>-13.482660157539399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-6116.8052336188266</v>
      </c>
      <c r="T317">
        <v>-13.482660157539399</v>
      </c>
      <c r="U317">
        <v>0</v>
      </c>
      <c r="V317">
        <v>0</v>
      </c>
      <c r="W317">
        <v>0</v>
      </c>
    </row>
    <row r="318" spans="1:23" x14ac:dyDescent="0.35">
      <c r="A318" t="s">
        <v>111</v>
      </c>
      <c r="B318" t="s">
        <v>109</v>
      </c>
      <c r="C318">
        <v>782934.3</v>
      </c>
      <c r="D318">
        <v>1.01205959035842</v>
      </c>
      <c r="E318">
        <v>0.110313178854492</v>
      </c>
      <c r="F318">
        <v>77922.84</v>
      </c>
      <c r="G318">
        <v>1879.7276364797731</v>
      </c>
      <c r="H318">
        <v>1879.7276364797731</v>
      </c>
      <c r="I318">
        <v>-1.715196011667991</v>
      </c>
      <c r="J318">
        <v>3.1359022102927181E-2</v>
      </c>
      <c r="K318">
        <v>0.66313624879249689</v>
      </c>
      <c r="L318">
        <v>58.946420499852259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1879.7276364797731</v>
      </c>
      <c r="T318">
        <v>58.946420499852259</v>
      </c>
      <c r="U318">
        <v>0</v>
      </c>
      <c r="V318">
        <v>0</v>
      </c>
      <c r="W318">
        <v>0</v>
      </c>
    </row>
    <row r="319" spans="1:23" x14ac:dyDescent="0.35">
      <c r="A319" t="s">
        <v>112</v>
      </c>
      <c r="B319" t="s">
        <v>4</v>
      </c>
      <c r="C319">
        <v>215690.7</v>
      </c>
      <c r="F319">
        <v>5832.3329999999996</v>
      </c>
      <c r="G319">
        <v>-3714.5931994258599</v>
      </c>
      <c r="H319">
        <v>-3714.5931994258599</v>
      </c>
      <c r="M319">
        <v>0</v>
      </c>
      <c r="N319">
        <v>0</v>
      </c>
    </row>
    <row r="320" spans="1:23" x14ac:dyDescent="0.35">
      <c r="A320" t="s">
        <v>112</v>
      </c>
      <c r="B320" t="s">
        <v>5</v>
      </c>
      <c r="C320">
        <v>218416.9</v>
      </c>
      <c r="F320">
        <v>5569.9409999999998</v>
      </c>
      <c r="G320">
        <v>-1919.831103877337</v>
      </c>
      <c r="H320">
        <v>-1919.831103877337</v>
      </c>
      <c r="M320">
        <v>0</v>
      </c>
      <c r="N320">
        <v>0</v>
      </c>
    </row>
    <row r="321" spans="1:23" x14ac:dyDescent="0.35">
      <c r="A321" t="s">
        <v>112</v>
      </c>
      <c r="B321" t="s">
        <v>6</v>
      </c>
      <c r="C321">
        <v>220644.6</v>
      </c>
      <c r="F321">
        <v>13816.67</v>
      </c>
      <c r="G321">
        <v>6474.4940275934759</v>
      </c>
      <c r="H321">
        <v>6474.4940275934759</v>
      </c>
      <c r="M321">
        <v>0</v>
      </c>
      <c r="N321">
        <v>0</v>
      </c>
    </row>
    <row r="322" spans="1:23" x14ac:dyDescent="0.35">
      <c r="A322" t="s">
        <v>112</v>
      </c>
      <c r="B322" t="s">
        <v>7</v>
      </c>
      <c r="C322">
        <v>223006.4</v>
      </c>
      <c r="F322">
        <v>11881.05</v>
      </c>
      <c r="G322">
        <v>-3395.2229350538159</v>
      </c>
      <c r="H322">
        <v>-3395.2229350538159</v>
      </c>
      <c r="M322">
        <v>0</v>
      </c>
      <c r="N322">
        <v>0</v>
      </c>
    </row>
    <row r="323" spans="1:23" x14ac:dyDescent="0.35">
      <c r="A323" t="s">
        <v>112</v>
      </c>
      <c r="B323" t="s">
        <v>8</v>
      </c>
      <c r="C323">
        <v>225271</v>
      </c>
      <c r="D323">
        <v>4.3458684860047683</v>
      </c>
      <c r="F323">
        <v>22324.51</v>
      </c>
      <c r="G323">
        <v>9331.4609908810216</v>
      </c>
      <c r="H323">
        <v>9331.4609908810216</v>
      </c>
      <c r="M323">
        <v>0</v>
      </c>
      <c r="N323">
        <v>0</v>
      </c>
      <c r="Q323">
        <v>0</v>
      </c>
      <c r="R323">
        <v>1</v>
      </c>
      <c r="S323">
        <v>0</v>
      </c>
      <c r="U323">
        <v>0</v>
      </c>
      <c r="V323">
        <v>0</v>
      </c>
    </row>
    <row r="324" spans="1:23" x14ac:dyDescent="0.35">
      <c r="A324" t="s">
        <v>112</v>
      </c>
      <c r="B324" t="s">
        <v>9</v>
      </c>
      <c r="C324">
        <v>227022.1</v>
      </c>
      <c r="D324">
        <v>3.864174774134856</v>
      </c>
      <c r="F324">
        <v>13179.21</v>
      </c>
      <c r="G324">
        <v>-9943.8528374191192</v>
      </c>
      <c r="H324">
        <v>-9943.8528374191192</v>
      </c>
      <c r="K324">
        <v>4.3458684860047683</v>
      </c>
      <c r="M324">
        <v>0</v>
      </c>
      <c r="N324">
        <v>0</v>
      </c>
      <c r="Q324">
        <v>0</v>
      </c>
      <c r="R324">
        <v>1</v>
      </c>
      <c r="S324">
        <v>0</v>
      </c>
      <c r="U324">
        <v>0</v>
      </c>
      <c r="V324">
        <v>0</v>
      </c>
    </row>
    <row r="325" spans="1:23" x14ac:dyDescent="0.35">
      <c r="A325" t="s">
        <v>112</v>
      </c>
      <c r="B325" t="s">
        <v>10</v>
      </c>
      <c r="C325">
        <v>229204.6</v>
      </c>
      <c r="D325">
        <v>3.8061792178651261</v>
      </c>
      <c r="F325">
        <v>25155.95</v>
      </c>
      <c r="G325">
        <v>11353.658528725049</v>
      </c>
      <c r="H325">
        <v>11353.658528725049</v>
      </c>
      <c r="K325">
        <v>3.864174774134856</v>
      </c>
      <c r="M325">
        <v>0</v>
      </c>
      <c r="N325">
        <v>0</v>
      </c>
      <c r="Q325">
        <v>0</v>
      </c>
      <c r="R325">
        <v>1</v>
      </c>
      <c r="S325">
        <v>0</v>
      </c>
      <c r="U325">
        <v>0</v>
      </c>
      <c r="V325">
        <v>0</v>
      </c>
    </row>
    <row r="326" spans="1:23" x14ac:dyDescent="0.35">
      <c r="A326" t="s">
        <v>112</v>
      </c>
      <c r="B326" t="s">
        <v>11</v>
      </c>
      <c r="C326">
        <v>230663</v>
      </c>
      <c r="D326">
        <v>3.3757300269596691</v>
      </c>
      <c r="F326">
        <v>23448.18</v>
      </c>
      <c r="G326">
        <v>-2327.5821782993439</v>
      </c>
      <c r="H326">
        <v>-2327.5821782993439</v>
      </c>
      <c r="K326">
        <v>3.8061792178651261</v>
      </c>
      <c r="M326">
        <v>0</v>
      </c>
      <c r="N326">
        <v>0</v>
      </c>
      <c r="Q326">
        <v>0</v>
      </c>
      <c r="R326">
        <v>1</v>
      </c>
      <c r="S326">
        <v>0</v>
      </c>
      <c r="U326">
        <v>0</v>
      </c>
      <c r="V326">
        <v>0</v>
      </c>
    </row>
    <row r="327" spans="1:23" x14ac:dyDescent="0.35">
      <c r="A327" t="s">
        <v>112</v>
      </c>
      <c r="B327" t="s">
        <v>12</v>
      </c>
      <c r="C327">
        <v>231753.3</v>
      </c>
      <c r="D327">
        <v>2.8369321939231922</v>
      </c>
      <c r="E327">
        <v>0.72713171049578629</v>
      </c>
      <c r="F327">
        <v>22597.360000000001</v>
      </c>
      <c r="G327">
        <v>-922.17355643885821</v>
      </c>
      <c r="H327">
        <v>-922.17355643885821</v>
      </c>
      <c r="I327">
        <v>0.2365561054269594</v>
      </c>
      <c r="J327">
        <v>0.61612010994383581</v>
      </c>
      <c r="K327">
        <v>3.3757300269596691</v>
      </c>
      <c r="L327">
        <v>-568.16967298040743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0</v>
      </c>
      <c r="V327">
        <v>0</v>
      </c>
      <c r="W327">
        <v>0</v>
      </c>
    </row>
    <row r="328" spans="1:23" x14ac:dyDescent="0.35">
      <c r="A328" t="s">
        <v>112</v>
      </c>
      <c r="B328" t="s">
        <v>13</v>
      </c>
      <c r="C328">
        <v>233696</v>
      </c>
      <c r="D328">
        <v>2.8973755866971138</v>
      </c>
      <c r="E328">
        <v>0.80872522515617029</v>
      </c>
      <c r="F328">
        <v>17938.45</v>
      </c>
      <c r="G328">
        <v>-4851.7453407365683</v>
      </c>
      <c r="H328">
        <v>-4851.7453407365683</v>
      </c>
      <c r="I328">
        <v>0.49473627805548381</v>
      </c>
      <c r="J328">
        <v>0.72898372971816405</v>
      </c>
      <c r="K328">
        <v>2.8369321939231922</v>
      </c>
      <c r="L328">
        <v>-3536.843414132868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0</v>
      </c>
      <c r="U328">
        <v>0</v>
      </c>
      <c r="V328">
        <v>0</v>
      </c>
      <c r="W328">
        <v>0</v>
      </c>
    </row>
    <row r="329" spans="1:23" x14ac:dyDescent="0.35">
      <c r="A329" t="s">
        <v>112</v>
      </c>
      <c r="B329" t="s">
        <v>14</v>
      </c>
      <c r="C329">
        <v>235005.3</v>
      </c>
      <c r="D329">
        <v>2.4993012634112302</v>
      </c>
      <c r="E329">
        <v>0.93655103120202499</v>
      </c>
      <c r="F329">
        <v>14136.45</v>
      </c>
      <c r="G329">
        <v>-4222.8378093282299</v>
      </c>
      <c r="H329">
        <v>-4222.8378093282299</v>
      </c>
      <c r="I329">
        <v>0.89920578532776352</v>
      </c>
      <c r="J329">
        <v>0.85795546662088484</v>
      </c>
      <c r="K329">
        <v>2.8973755866971138</v>
      </c>
      <c r="L329">
        <v>-3623.006783166516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0</v>
      </c>
      <c r="U329">
        <v>0</v>
      </c>
      <c r="V329">
        <v>0</v>
      </c>
      <c r="W329">
        <v>0</v>
      </c>
    </row>
    <row r="330" spans="1:23" x14ac:dyDescent="0.35">
      <c r="A330" t="s">
        <v>112</v>
      </c>
      <c r="B330" t="s">
        <v>15</v>
      </c>
      <c r="C330">
        <v>236840.3</v>
      </c>
      <c r="D330">
        <v>2.642830347123847</v>
      </c>
      <c r="E330">
        <v>0.93368623459838951</v>
      </c>
      <c r="F330">
        <v>27832.880000000001</v>
      </c>
      <c r="G330">
        <v>12885.617455236321</v>
      </c>
      <c r="H330">
        <v>12885.617455236321</v>
      </c>
      <c r="I330">
        <v>0.89014092662237754</v>
      </c>
      <c r="J330">
        <v>0.85573166558569591</v>
      </c>
      <c r="K330">
        <v>2.4993012634112302</v>
      </c>
      <c r="L330">
        <v>11026.630887069499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1</v>
      </c>
      <c r="S330">
        <v>0</v>
      </c>
      <c r="T330">
        <v>0</v>
      </c>
      <c r="U330">
        <v>0</v>
      </c>
      <c r="V330">
        <v>0</v>
      </c>
      <c r="W330">
        <v>0</v>
      </c>
    </row>
    <row r="331" spans="1:23" x14ac:dyDescent="0.35">
      <c r="A331" t="s">
        <v>112</v>
      </c>
      <c r="B331" t="s">
        <v>16</v>
      </c>
      <c r="C331">
        <v>239122.9</v>
      </c>
      <c r="D331">
        <v>3.1304201877297091</v>
      </c>
      <c r="E331">
        <v>0.94788286821664047</v>
      </c>
      <c r="F331">
        <v>25718.62</v>
      </c>
      <c r="G331">
        <v>-2578.9762101676129</v>
      </c>
      <c r="H331">
        <v>-2578.9762101676129</v>
      </c>
      <c r="I331">
        <v>0.93506225809780119</v>
      </c>
      <c r="J331">
        <v>0.86647268437054215</v>
      </c>
      <c r="K331">
        <v>2.642830347123847</v>
      </c>
      <c r="L331">
        <v>-2234.6124397516992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</row>
    <row r="332" spans="1:23" x14ac:dyDescent="0.35">
      <c r="A332" t="s">
        <v>112</v>
      </c>
      <c r="B332" t="s">
        <v>17</v>
      </c>
      <c r="C332">
        <v>240039.4</v>
      </c>
      <c r="D332">
        <v>2.6781951097086081</v>
      </c>
      <c r="E332">
        <v>0.95756488187950739</v>
      </c>
      <c r="F332">
        <v>34454.82</v>
      </c>
      <c r="G332">
        <v>8892.3153268391106</v>
      </c>
      <c r="H332">
        <v>8892.3153268391106</v>
      </c>
      <c r="I332">
        <v>0.96569831991319433</v>
      </c>
      <c r="J332">
        <v>0.87340392620777019</v>
      </c>
      <c r="K332">
        <v>3.1304201877297091</v>
      </c>
      <c r="L332">
        <v>7766.58311953881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1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1:23" x14ac:dyDescent="0.35">
      <c r="A333" t="s">
        <v>112</v>
      </c>
      <c r="B333" t="s">
        <v>18</v>
      </c>
      <c r="C333">
        <v>241827.3</v>
      </c>
      <c r="D333">
        <v>2.8615767952080411</v>
      </c>
      <c r="E333">
        <v>0.9302276732657383</v>
      </c>
      <c r="F333">
        <v>23886.34</v>
      </c>
      <c r="G333">
        <v>-10175.62221530782</v>
      </c>
      <c r="H333">
        <v>-10175.62221530782</v>
      </c>
      <c r="I333">
        <v>0.87919726319977742</v>
      </c>
      <c r="J333">
        <v>0.85300847192694551</v>
      </c>
      <c r="K333">
        <v>2.6781951097086081</v>
      </c>
      <c r="L333">
        <v>-8679.891956785601</v>
      </c>
      <c r="M333">
        <v>0</v>
      </c>
      <c r="N333">
        <v>0</v>
      </c>
      <c r="O333">
        <v>0</v>
      </c>
      <c r="P333">
        <v>0</v>
      </c>
      <c r="Q333">
        <v>1</v>
      </c>
      <c r="R333">
        <v>0</v>
      </c>
      <c r="S333">
        <v>-10175.62221530782</v>
      </c>
      <c r="T333">
        <v>-8679.891956785601</v>
      </c>
      <c r="U333">
        <v>0</v>
      </c>
      <c r="V333">
        <v>0</v>
      </c>
      <c r="W333">
        <v>0</v>
      </c>
    </row>
    <row r="334" spans="1:23" x14ac:dyDescent="0.35">
      <c r="A334" t="s">
        <v>112</v>
      </c>
      <c r="B334" t="s">
        <v>19</v>
      </c>
      <c r="C334">
        <v>243855</v>
      </c>
      <c r="D334">
        <v>2.9187712013597902</v>
      </c>
      <c r="E334">
        <v>0.91255275742064168</v>
      </c>
      <c r="F334">
        <v>12058.21</v>
      </c>
      <c r="G334">
        <v>-11403.891117199109</v>
      </c>
      <c r="H334">
        <v>-11403.891117199109</v>
      </c>
      <c r="I334">
        <v>0.8232698669713453</v>
      </c>
      <c r="J334">
        <v>0.83842283699865383</v>
      </c>
      <c r="K334">
        <v>2.8615767952080411</v>
      </c>
      <c r="L334">
        <v>-9561.2827433058283</v>
      </c>
      <c r="M334">
        <v>0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-11403.891117199109</v>
      </c>
      <c r="T334">
        <v>-9561.2827433058283</v>
      </c>
      <c r="U334">
        <v>0</v>
      </c>
      <c r="V334">
        <v>0</v>
      </c>
      <c r="W334">
        <v>0</v>
      </c>
    </row>
    <row r="335" spans="1:23" x14ac:dyDescent="0.35">
      <c r="A335" t="s">
        <v>112</v>
      </c>
      <c r="B335" t="s">
        <v>20</v>
      </c>
      <c r="C335">
        <v>245281.3</v>
      </c>
      <c r="D335">
        <v>2.5428069470608601</v>
      </c>
      <c r="E335">
        <v>0.92515628447659215</v>
      </c>
      <c r="F335">
        <v>16122.31</v>
      </c>
      <c r="G335">
        <v>3477.0160780143342</v>
      </c>
      <c r="H335">
        <v>3477.0160780143342</v>
      </c>
      <c r="I335">
        <v>0.86315025212913121</v>
      </c>
      <c r="J335">
        <v>0.84893860225988083</v>
      </c>
      <c r="K335">
        <v>2.9187712013597902</v>
      </c>
      <c r="L335">
        <v>2951.7731693046221</v>
      </c>
      <c r="M335">
        <v>0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3477.0160780143342</v>
      </c>
      <c r="T335">
        <v>2951.7731693046221</v>
      </c>
      <c r="U335">
        <v>0</v>
      </c>
      <c r="V335">
        <v>0</v>
      </c>
      <c r="W335">
        <v>0</v>
      </c>
    </row>
    <row r="336" spans="1:23" x14ac:dyDescent="0.35">
      <c r="A336" t="s">
        <v>112</v>
      </c>
      <c r="B336" t="s">
        <v>21</v>
      </c>
      <c r="C336">
        <v>247885.7</v>
      </c>
      <c r="D336">
        <v>3.2164676292320089</v>
      </c>
      <c r="E336">
        <v>0.90475912778958556</v>
      </c>
      <c r="F336">
        <v>9975.3389999999999</v>
      </c>
      <c r="G336">
        <v>-7181.6860400218247</v>
      </c>
      <c r="H336">
        <v>-7181.6860400218247</v>
      </c>
      <c r="I336">
        <v>0.79860907558462724</v>
      </c>
      <c r="J336">
        <v>0.83162922420497498</v>
      </c>
      <c r="K336">
        <v>2.5428069470608601</v>
      </c>
      <c r="L336">
        <v>-5972.4999899470486</v>
      </c>
      <c r="M336">
        <v>0</v>
      </c>
      <c r="N336">
        <v>0</v>
      </c>
      <c r="O336">
        <v>0</v>
      </c>
      <c r="P336">
        <v>0</v>
      </c>
      <c r="Q336">
        <v>1</v>
      </c>
      <c r="R336">
        <v>0</v>
      </c>
      <c r="S336">
        <v>-7181.6860400218247</v>
      </c>
      <c r="T336">
        <v>-5972.4999899470486</v>
      </c>
      <c r="U336">
        <v>0</v>
      </c>
      <c r="V336">
        <v>0</v>
      </c>
      <c r="W336">
        <v>0</v>
      </c>
    </row>
    <row r="337" spans="1:23" x14ac:dyDescent="0.35">
      <c r="A337" t="s">
        <v>112</v>
      </c>
      <c r="B337" t="s">
        <v>22</v>
      </c>
      <c r="C337">
        <v>249976.6</v>
      </c>
      <c r="D337">
        <v>3.3143478448083799</v>
      </c>
      <c r="E337">
        <v>0.62532254249779329</v>
      </c>
      <c r="F337">
        <v>14397.81</v>
      </c>
      <c r="G337">
        <v>3353.6931959349681</v>
      </c>
      <c r="H337">
        <v>3353.6931959349681</v>
      </c>
      <c r="I337">
        <v>-8.5590926457799629E-2</v>
      </c>
      <c r="J337">
        <v>0.45730873521033399</v>
      </c>
      <c r="K337">
        <v>3.2164676292320089</v>
      </c>
      <c r="L337">
        <v>1533.673193716523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1</v>
      </c>
      <c r="S337">
        <v>0</v>
      </c>
      <c r="T337">
        <v>0</v>
      </c>
      <c r="U337">
        <v>0</v>
      </c>
      <c r="V337">
        <v>0</v>
      </c>
      <c r="W337">
        <v>0</v>
      </c>
    </row>
    <row r="338" spans="1:23" x14ac:dyDescent="0.35">
      <c r="A338" t="s">
        <v>112</v>
      </c>
      <c r="B338" t="s">
        <v>23</v>
      </c>
      <c r="C338">
        <v>251750.3</v>
      </c>
      <c r="D338">
        <v>3.1863936902055978</v>
      </c>
      <c r="E338">
        <v>0.60075324455875223</v>
      </c>
      <c r="F338">
        <v>13202.73</v>
      </c>
      <c r="G338">
        <v>-2405.1200373209231</v>
      </c>
      <c r="H338">
        <v>-2405.1200373209231</v>
      </c>
      <c r="I338">
        <v>-0.16333369326550429</v>
      </c>
      <c r="J338">
        <v>0.41905171960244619</v>
      </c>
      <c r="K338">
        <v>3.3143478448083799</v>
      </c>
      <c r="L338">
        <v>-1007.869687489632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1</v>
      </c>
      <c r="S338">
        <v>0</v>
      </c>
      <c r="T338">
        <v>0</v>
      </c>
      <c r="U338">
        <v>0</v>
      </c>
      <c r="V338">
        <v>0</v>
      </c>
      <c r="W338">
        <v>0</v>
      </c>
    </row>
    <row r="339" spans="1:23" x14ac:dyDescent="0.35">
      <c r="A339" t="s">
        <v>112</v>
      </c>
      <c r="B339" t="s">
        <v>24</v>
      </c>
      <c r="C339">
        <v>253999.8</v>
      </c>
      <c r="D339">
        <v>3.4927764441961568</v>
      </c>
      <c r="E339">
        <v>0.64506230013411403</v>
      </c>
      <c r="F339">
        <v>11537.9</v>
      </c>
      <c r="G339">
        <v>-2694.6719418449161</v>
      </c>
      <c r="H339">
        <v>-2694.6719418449161</v>
      </c>
      <c r="I339">
        <v>-2.3129907890291131E-2</v>
      </c>
      <c r="J339">
        <v>0.48843710800201529</v>
      </c>
      <c r="K339">
        <v>3.1863936902055978</v>
      </c>
      <c r="L339">
        <v>-1316.177770288906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0</v>
      </c>
      <c r="W339">
        <v>0</v>
      </c>
    </row>
    <row r="340" spans="1:23" x14ac:dyDescent="0.35">
      <c r="A340" t="s">
        <v>112</v>
      </c>
      <c r="B340" t="s">
        <v>25</v>
      </c>
      <c r="C340">
        <v>256254</v>
      </c>
      <c r="D340">
        <v>3.3201387259779098</v>
      </c>
      <c r="E340">
        <v>0.54527046494477205</v>
      </c>
      <c r="F340">
        <v>11866.98</v>
      </c>
      <c r="G340">
        <v>-828.06583405836682</v>
      </c>
      <c r="H340">
        <v>-828.06583405836682</v>
      </c>
      <c r="I340">
        <v>-0.33889364650775339</v>
      </c>
      <c r="J340">
        <v>0.33675533465776131</v>
      </c>
      <c r="K340">
        <v>3.4927764441961568</v>
      </c>
      <c r="L340">
        <v>-278.8555870669835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1</v>
      </c>
      <c r="S340">
        <v>0</v>
      </c>
      <c r="T340">
        <v>0</v>
      </c>
      <c r="U340">
        <v>0</v>
      </c>
      <c r="V340">
        <v>0</v>
      </c>
      <c r="W340">
        <v>0</v>
      </c>
    </row>
    <row r="341" spans="1:23" x14ac:dyDescent="0.35">
      <c r="A341" t="s">
        <v>112</v>
      </c>
      <c r="B341" t="s">
        <v>26</v>
      </c>
      <c r="C341">
        <v>258708.4</v>
      </c>
      <c r="D341">
        <v>3.433424522587015</v>
      </c>
      <c r="E341">
        <v>0.90250884824097077</v>
      </c>
      <c r="F341">
        <v>20193.73</v>
      </c>
      <c r="G341">
        <v>7096.9915636258847</v>
      </c>
      <c r="H341">
        <v>7096.9915636258847</v>
      </c>
      <c r="I341">
        <v>0.79148868660834637</v>
      </c>
      <c r="J341">
        <v>0.82962577341846411</v>
      </c>
      <c r="K341">
        <v>3.3201387259779098</v>
      </c>
      <c r="L341">
        <v>5887.8471149174393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7096.9915636258847</v>
      </c>
      <c r="T341">
        <v>5887.8471149174393</v>
      </c>
      <c r="U341">
        <v>0</v>
      </c>
      <c r="V341">
        <v>0</v>
      </c>
      <c r="W341">
        <v>0</v>
      </c>
    </row>
    <row r="342" spans="1:23" x14ac:dyDescent="0.35">
      <c r="A342" t="s">
        <v>112</v>
      </c>
      <c r="B342" t="s">
        <v>27</v>
      </c>
      <c r="C342">
        <v>261261.8</v>
      </c>
      <c r="D342">
        <v>3.7085246466763562</v>
      </c>
      <c r="E342">
        <v>0.76360943516795787</v>
      </c>
      <c r="F342">
        <v>12165.63</v>
      </c>
      <c r="G342">
        <v>-8911.6409368498116</v>
      </c>
      <c r="H342">
        <v>-8911.6409368498116</v>
      </c>
      <c r="I342">
        <v>0.35197980413826968</v>
      </c>
      <c r="J342">
        <v>0.66906508289819899</v>
      </c>
      <c r="K342">
        <v>3.433424522587015</v>
      </c>
      <c r="L342">
        <v>-5962.4677821724026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1</v>
      </c>
      <c r="S342">
        <v>0</v>
      </c>
      <c r="T342">
        <v>0</v>
      </c>
      <c r="U342">
        <v>0</v>
      </c>
      <c r="V342">
        <v>0</v>
      </c>
      <c r="W342">
        <v>0</v>
      </c>
    </row>
    <row r="343" spans="1:23" x14ac:dyDescent="0.35">
      <c r="A343" t="s">
        <v>112</v>
      </c>
      <c r="B343" t="s">
        <v>28</v>
      </c>
      <c r="C343">
        <v>264301.40000000002</v>
      </c>
      <c r="D343">
        <v>3.9756638990535049</v>
      </c>
      <c r="E343">
        <v>0.75189918837690994</v>
      </c>
      <c r="F343">
        <v>11552.83</v>
      </c>
      <c r="G343">
        <v>-1385.556303605184</v>
      </c>
      <c r="H343">
        <v>-1385.556303605184</v>
      </c>
      <c r="I343">
        <v>0.31492595800087192</v>
      </c>
      <c r="J343">
        <v>0.65245588383755482</v>
      </c>
      <c r="K343">
        <v>3.7085246466763562</v>
      </c>
      <c r="L343">
        <v>-904.01436267541601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-1385.556303605184</v>
      </c>
      <c r="T343">
        <v>-904.01436267541601</v>
      </c>
      <c r="U343">
        <v>0</v>
      </c>
      <c r="V343">
        <v>0</v>
      </c>
      <c r="W343">
        <v>0</v>
      </c>
    </row>
    <row r="344" spans="1:23" x14ac:dyDescent="0.35">
      <c r="A344" t="s">
        <v>112</v>
      </c>
      <c r="B344" t="s">
        <v>29</v>
      </c>
      <c r="C344">
        <v>266680.2</v>
      </c>
      <c r="D344">
        <v>3.9881047625195412</v>
      </c>
      <c r="E344">
        <v>0.81682503740825541</v>
      </c>
      <c r="F344">
        <v>8235.1579999999994</v>
      </c>
      <c r="G344">
        <v>-4527.5681324086381</v>
      </c>
      <c r="H344">
        <v>-4527.5681324086381</v>
      </c>
      <c r="I344">
        <v>0.52036589989744275</v>
      </c>
      <c r="J344">
        <v>0.73899118266573016</v>
      </c>
      <c r="K344">
        <v>3.9756638990535049</v>
      </c>
      <c r="L344">
        <v>-3345.83292876833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1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1:23" x14ac:dyDescent="0.35">
      <c r="A345" t="s">
        <v>112</v>
      </c>
      <c r="B345" t="s">
        <v>30</v>
      </c>
      <c r="C345">
        <v>269197.8</v>
      </c>
      <c r="D345">
        <v>3.9744866667259662</v>
      </c>
      <c r="E345">
        <v>0.83163138330265451</v>
      </c>
      <c r="F345">
        <v>11854.69</v>
      </c>
      <c r="G345">
        <v>2246.9163671678002</v>
      </c>
      <c r="H345">
        <v>2246.9163671678002</v>
      </c>
      <c r="I345">
        <v>0.5672164977044476</v>
      </c>
      <c r="J345">
        <v>0.75665606458227441</v>
      </c>
      <c r="K345">
        <v>3.9881047625195412</v>
      </c>
      <c r="L345">
        <v>1700.1428958266879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1</v>
      </c>
      <c r="S345">
        <v>0</v>
      </c>
      <c r="T345">
        <v>0</v>
      </c>
      <c r="U345">
        <v>0</v>
      </c>
      <c r="V345">
        <v>0</v>
      </c>
      <c r="W345">
        <v>0</v>
      </c>
    </row>
    <row r="346" spans="1:23" x14ac:dyDescent="0.35">
      <c r="A346" t="s">
        <v>112</v>
      </c>
      <c r="B346" t="s">
        <v>31</v>
      </c>
      <c r="C346">
        <v>271703.09999999998</v>
      </c>
      <c r="D346">
        <v>3.91869562870848</v>
      </c>
      <c r="E346">
        <v>0.78190546741472688</v>
      </c>
      <c r="F346">
        <v>9051.4310000000005</v>
      </c>
      <c r="G346">
        <v>-4203.3719888323176</v>
      </c>
      <c r="H346">
        <v>-4203.3719888323176</v>
      </c>
      <c r="I346">
        <v>0.40987255190810379</v>
      </c>
      <c r="J346">
        <v>0.69418223004436186</v>
      </c>
      <c r="K346">
        <v>3.9744866667259662</v>
      </c>
      <c r="L346">
        <v>-2917.906140913622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0</v>
      </c>
    </row>
    <row r="347" spans="1:23" x14ac:dyDescent="0.35">
      <c r="A347" t="s">
        <v>112</v>
      </c>
      <c r="B347" t="s">
        <v>32</v>
      </c>
      <c r="C347">
        <v>274172.5</v>
      </c>
      <c r="D347">
        <v>3.666735173363163</v>
      </c>
      <c r="E347">
        <v>0.76651628312051245</v>
      </c>
      <c r="F347">
        <v>13357.51</v>
      </c>
      <c r="G347">
        <v>2981.2693730277952</v>
      </c>
      <c r="H347">
        <v>2981.2693730277952</v>
      </c>
      <c r="I347">
        <v>0.36117772273902088</v>
      </c>
      <c r="J347">
        <v>0.67312549118677079</v>
      </c>
      <c r="K347">
        <v>3.91869562870848</v>
      </c>
      <c r="L347">
        <v>2006.768411079411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1</v>
      </c>
      <c r="S347">
        <v>0</v>
      </c>
      <c r="T347">
        <v>0</v>
      </c>
      <c r="U347">
        <v>0</v>
      </c>
      <c r="V347">
        <v>0</v>
      </c>
      <c r="W347">
        <v>0</v>
      </c>
    </row>
    <row r="348" spans="1:23" x14ac:dyDescent="0.35">
      <c r="A348" t="s">
        <v>112</v>
      </c>
      <c r="B348" t="s">
        <v>33</v>
      </c>
      <c r="C348">
        <v>276578.7</v>
      </c>
      <c r="D348">
        <v>3.6445222045832342</v>
      </c>
      <c r="E348">
        <v>0.63185169684165921</v>
      </c>
      <c r="F348">
        <v>18459.61</v>
      </c>
      <c r="G348">
        <v>3803.4009892178929</v>
      </c>
      <c r="H348">
        <v>3803.4009892178929</v>
      </c>
      <c r="I348">
        <v>-6.4931218359258344E-2</v>
      </c>
      <c r="J348">
        <v>0.46757993969296169</v>
      </c>
      <c r="K348">
        <v>3.666735173363163</v>
      </c>
      <c r="L348">
        <v>1778.394005166653</v>
      </c>
      <c r="M348">
        <v>0</v>
      </c>
      <c r="N348">
        <v>0</v>
      </c>
      <c r="O348">
        <v>0</v>
      </c>
      <c r="P348">
        <v>0</v>
      </c>
      <c r="Q348">
        <v>1</v>
      </c>
      <c r="R348">
        <v>0</v>
      </c>
      <c r="S348">
        <v>3803.4009892178929</v>
      </c>
      <c r="T348">
        <v>1778.394005166653</v>
      </c>
      <c r="U348">
        <v>0</v>
      </c>
      <c r="V348">
        <v>0</v>
      </c>
      <c r="W348">
        <v>0</v>
      </c>
    </row>
    <row r="349" spans="1:23" x14ac:dyDescent="0.35">
      <c r="A349" t="s">
        <v>112</v>
      </c>
      <c r="B349" t="s">
        <v>34</v>
      </c>
      <c r="C349">
        <v>278651.59999999998</v>
      </c>
      <c r="D349">
        <v>3.451583059465078</v>
      </c>
      <c r="E349">
        <v>0.53282126992297918</v>
      </c>
      <c r="F349">
        <v>21867.71</v>
      </c>
      <c r="G349">
        <v>2532.642848660435</v>
      </c>
      <c r="H349">
        <v>2532.642848660435</v>
      </c>
      <c r="I349">
        <v>-0.37828569051015748</v>
      </c>
      <c r="J349">
        <v>0.31939111891464927</v>
      </c>
      <c r="K349">
        <v>3.6445222045832342</v>
      </c>
      <c r="L349">
        <v>808.90363324484099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1</v>
      </c>
      <c r="S349">
        <v>0</v>
      </c>
      <c r="T349">
        <v>0</v>
      </c>
      <c r="U349">
        <v>0</v>
      </c>
      <c r="V349">
        <v>0</v>
      </c>
      <c r="W349">
        <v>0</v>
      </c>
    </row>
    <row r="350" spans="1:23" x14ac:dyDescent="0.35">
      <c r="A350" t="s">
        <v>112</v>
      </c>
      <c r="B350" t="s">
        <v>35</v>
      </c>
      <c r="C350">
        <v>280353.59999999998</v>
      </c>
      <c r="D350">
        <v>3.1341737568526971</v>
      </c>
      <c r="E350">
        <v>0.36626911640312038</v>
      </c>
      <c r="F350">
        <v>13843.68</v>
      </c>
      <c r="G350">
        <v>-8502.2952960938928</v>
      </c>
      <c r="H350">
        <v>-8502.2952960938928</v>
      </c>
      <c r="I350">
        <v>-0.90529404315178719</v>
      </c>
      <c r="J350">
        <v>0.1405670652057735</v>
      </c>
      <c r="K350">
        <v>3.451583059465078</v>
      </c>
      <c r="L350">
        <v>-1195.1426972847721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1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1:23" x14ac:dyDescent="0.35">
      <c r="A351" t="s">
        <v>112</v>
      </c>
      <c r="B351" t="s">
        <v>36</v>
      </c>
      <c r="C351">
        <v>280877.5</v>
      </c>
      <c r="D351">
        <v>2.4161160881627701</v>
      </c>
      <c r="E351">
        <v>0.53684905368063607</v>
      </c>
      <c r="F351">
        <v>13176.87</v>
      </c>
      <c r="G351">
        <v>-1287.1085488489391</v>
      </c>
      <c r="H351">
        <v>-1287.1085488489391</v>
      </c>
      <c r="I351">
        <v>-0.36554087972230798</v>
      </c>
      <c r="J351">
        <v>0.32495738765710652</v>
      </c>
      <c r="K351">
        <v>3.1341737568526971</v>
      </c>
      <c r="L351">
        <v>-418.25543166508038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0</v>
      </c>
      <c r="U351">
        <v>0</v>
      </c>
      <c r="V351">
        <v>0</v>
      </c>
      <c r="W351">
        <v>0</v>
      </c>
    </row>
    <row r="352" spans="1:23" x14ac:dyDescent="0.35">
      <c r="A352" t="s">
        <v>112</v>
      </c>
      <c r="B352" t="s">
        <v>37</v>
      </c>
      <c r="C352">
        <v>280976.59999999998</v>
      </c>
      <c r="D352">
        <v>1.577598208700713</v>
      </c>
      <c r="E352">
        <v>0.25145887340084427</v>
      </c>
      <c r="F352">
        <v>18019.05</v>
      </c>
      <c r="G352">
        <v>3782.8150578267828</v>
      </c>
      <c r="H352">
        <v>3782.8150578267828</v>
      </c>
      <c r="I352">
        <v>-1.2685793910281229</v>
      </c>
      <c r="J352">
        <v>7.3293920595785239E-2</v>
      </c>
      <c r="K352">
        <v>2.4161160881627701</v>
      </c>
      <c r="L352">
        <v>277.257346476897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1:23" x14ac:dyDescent="0.35">
      <c r="A353" t="s">
        <v>112</v>
      </c>
      <c r="B353" t="s">
        <v>38</v>
      </c>
      <c r="C353">
        <v>280381.90000000002</v>
      </c>
      <c r="D353">
        <v>0.61903464657388363</v>
      </c>
      <c r="E353">
        <v>0.31538663966049729</v>
      </c>
      <c r="F353">
        <v>14048.15</v>
      </c>
      <c r="G353">
        <v>-4873.0704452221198</v>
      </c>
      <c r="H353">
        <v>-4873.0704452221198</v>
      </c>
      <c r="I353">
        <v>-1.0662976067788319</v>
      </c>
      <c r="J353">
        <v>0.1059688709762055</v>
      </c>
      <c r="K353">
        <v>1.577598208700713</v>
      </c>
      <c r="L353">
        <v>-516.39377326770318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1:23" x14ac:dyDescent="0.35">
      <c r="A354" t="s">
        <v>112</v>
      </c>
      <c r="B354" t="s">
        <v>39</v>
      </c>
      <c r="C354">
        <v>276034</v>
      </c>
      <c r="D354">
        <v>-1.5527617042849611</v>
      </c>
      <c r="E354">
        <v>0.54210660150928069</v>
      </c>
      <c r="F354">
        <v>13245.42</v>
      </c>
      <c r="G354">
        <v>-1612.889016524221</v>
      </c>
      <c r="H354">
        <v>-1612.889016524221</v>
      </c>
      <c r="I354">
        <v>-0.34890481971616571</v>
      </c>
      <c r="J354">
        <v>0.33229803774102767</v>
      </c>
      <c r="K354">
        <v>0.61903464657388363</v>
      </c>
      <c r="L354">
        <v>-535.95985528505457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</row>
    <row r="355" spans="1:23" x14ac:dyDescent="0.35">
      <c r="A355" t="s">
        <v>112</v>
      </c>
      <c r="B355" t="s">
        <v>40</v>
      </c>
      <c r="C355">
        <v>268652.09999999998</v>
      </c>
      <c r="D355">
        <v>-4.4501397216078971</v>
      </c>
      <c r="E355">
        <v>0.240183670362939</v>
      </c>
      <c r="F355">
        <v>21794.11</v>
      </c>
      <c r="G355">
        <v>7502.5523747752904</v>
      </c>
      <c r="H355">
        <v>7502.5523747752904</v>
      </c>
      <c r="I355">
        <v>-1.3042566611992219</v>
      </c>
      <c r="J355">
        <v>6.8592523076371231E-2</v>
      </c>
      <c r="K355">
        <v>-1.5527617042849611</v>
      </c>
      <c r="L355">
        <v>514.61899689845791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</row>
    <row r="356" spans="1:23" x14ac:dyDescent="0.35">
      <c r="A356" t="s">
        <v>112</v>
      </c>
      <c r="B356" t="s">
        <v>41</v>
      </c>
      <c r="C356">
        <v>268828.7</v>
      </c>
      <c r="D356">
        <v>-4.4197018062191464</v>
      </c>
      <c r="E356">
        <v>0.44045158299222398</v>
      </c>
      <c r="F356">
        <v>18972.07</v>
      </c>
      <c r="G356">
        <v>-3571.395125890052</v>
      </c>
      <c r="H356">
        <v>-3571.395125890052</v>
      </c>
      <c r="I356">
        <v>-0.67056408808486123</v>
      </c>
      <c r="J356">
        <v>0.20732459162134659</v>
      </c>
      <c r="K356">
        <v>-4.4501397216078971</v>
      </c>
      <c r="L356">
        <v>-740.43803599362286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>
        <v>0</v>
      </c>
      <c r="T356">
        <v>0</v>
      </c>
      <c r="U356">
        <v>0</v>
      </c>
      <c r="V356">
        <v>0</v>
      </c>
      <c r="W356">
        <v>0</v>
      </c>
    </row>
    <row r="357" spans="1:23" x14ac:dyDescent="0.35">
      <c r="A357" t="s">
        <v>112</v>
      </c>
      <c r="B357" t="s">
        <v>42</v>
      </c>
      <c r="C357">
        <v>269358.2</v>
      </c>
      <c r="D357">
        <v>-4.0110510111204123</v>
      </c>
      <c r="E357">
        <v>0.59392975692335848</v>
      </c>
      <c r="F357">
        <v>14507.25</v>
      </c>
      <c r="G357">
        <v>-4886.0951899900501</v>
      </c>
      <c r="H357">
        <v>-4886.0951899900501</v>
      </c>
      <c r="I357">
        <v>-0.18492473788427369</v>
      </c>
      <c r="J357">
        <v>0.40857739402897392</v>
      </c>
      <c r="K357">
        <v>-4.4197018062191464</v>
      </c>
      <c r="L357">
        <v>-1996.348039703639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1</v>
      </c>
      <c r="S357">
        <v>0</v>
      </c>
      <c r="T357">
        <v>0</v>
      </c>
      <c r="U357">
        <v>0</v>
      </c>
      <c r="V357">
        <v>0</v>
      </c>
      <c r="W357">
        <v>0</v>
      </c>
    </row>
    <row r="358" spans="1:23" x14ac:dyDescent="0.35">
      <c r="A358" t="s">
        <v>112</v>
      </c>
      <c r="B358" t="s">
        <v>43</v>
      </c>
      <c r="C358">
        <v>269293.09999999998</v>
      </c>
      <c r="D358">
        <v>-2.4723669029492741</v>
      </c>
      <c r="E358">
        <v>0.6899991703303614</v>
      </c>
      <c r="F358">
        <v>18951.79</v>
      </c>
      <c r="G358">
        <v>3701.552958534176</v>
      </c>
      <c r="H358">
        <v>3701.552958534176</v>
      </c>
      <c r="I358">
        <v>0.1190604236935713</v>
      </c>
      <c r="J358">
        <v>0.55925050981277991</v>
      </c>
      <c r="K358">
        <v>-4.0110510111204123</v>
      </c>
      <c r="L358">
        <v>2070.095379159241</v>
      </c>
      <c r="M358">
        <v>0</v>
      </c>
      <c r="N358">
        <v>0</v>
      </c>
      <c r="O358">
        <v>0</v>
      </c>
      <c r="P358">
        <v>0</v>
      </c>
      <c r="Q358">
        <v>1</v>
      </c>
      <c r="R358">
        <v>0</v>
      </c>
      <c r="S358">
        <v>3701.552958534176</v>
      </c>
      <c r="T358">
        <v>2070.095379159241</v>
      </c>
      <c r="U358">
        <v>0</v>
      </c>
      <c r="V358">
        <v>0</v>
      </c>
      <c r="W358">
        <v>0</v>
      </c>
    </row>
    <row r="359" spans="1:23" x14ac:dyDescent="0.35">
      <c r="A359" t="s">
        <v>112</v>
      </c>
      <c r="B359" t="s">
        <v>44</v>
      </c>
      <c r="C359">
        <v>269052.40000000002</v>
      </c>
      <c r="D359">
        <v>0.148892216431805</v>
      </c>
      <c r="E359">
        <v>0.64690290506217807</v>
      </c>
      <c r="F359">
        <v>19711.91</v>
      </c>
      <c r="G359">
        <v>-36.739168690150109</v>
      </c>
      <c r="H359">
        <v>-36.739168690150109</v>
      </c>
      <c r="I359">
        <v>-1.7305821257346841E-2</v>
      </c>
      <c r="J359">
        <v>0.49134795309210438</v>
      </c>
      <c r="K359">
        <v>-2.4723669029492741</v>
      </c>
      <c r="L359">
        <v>-18.05171533421079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-36.739168690150109</v>
      </c>
      <c r="T359">
        <v>-18.05171533421079</v>
      </c>
      <c r="U359">
        <v>0</v>
      </c>
      <c r="V359">
        <v>0</v>
      </c>
      <c r="W359">
        <v>0</v>
      </c>
    </row>
    <row r="360" spans="1:23" x14ac:dyDescent="0.35">
      <c r="A360" t="s">
        <v>112</v>
      </c>
      <c r="B360" t="s">
        <v>45</v>
      </c>
      <c r="C360">
        <v>269384.7</v>
      </c>
      <c r="D360">
        <v>0.20660957077080219</v>
      </c>
      <c r="E360">
        <v>0.69953429690571478</v>
      </c>
      <c r="F360">
        <v>21449.03</v>
      </c>
      <c r="G360">
        <v>1198.9148978520791</v>
      </c>
      <c r="H360">
        <v>1198.9148978520791</v>
      </c>
      <c r="I360">
        <v>0.14923170183382811</v>
      </c>
      <c r="J360">
        <v>0.57406684016748544</v>
      </c>
      <c r="K360">
        <v>0.148892216431805</v>
      </c>
      <c r="L360">
        <v>688.25728703966649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1198.9148978520791</v>
      </c>
      <c r="T360">
        <v>688.25728703966649</v>
      </c>
      <c r="U360">
        <v>0</v>
      </c>
      <c r="V360">
        <v>0</v>
      </c>
      <c r="W360">
        <v>0</v>
      </c>
    </row>
    <row r="361" spans="1:23" x14ac:dyDescent="0.35">
      <c r="A361" t="s">
        <v>112</v>
      </c>
      <c r="B361" t="s">
        <v>46</v>
      </c>
      <c r="C361">
        <v>269214.7</v>
      </c>
      <c r="D361">
        <v>-5.3288980338901608E-2</v>
      </c>
      <c r="E361">
        <v>0.68448434321080931</v>
      </c>
      <c r="F361">
        <v>19653.439999999999</v>
      </c>
      <c r="G361">
        <v>-2226.0035218636149</v>
      </c>
      <c r="H361">
        <v>-2226.0035218636149</v>
      </c>
      <c r="I361">
        <v>0.1016102743322063</v>
      </c>
      <c r="J361">
        <v>0.55063100787679897</v>
      </c>
      <c r="K361">
        <v>0.20660957077080219</v>
      </c>
      <c r="L361">
        <v>-1225.7065627810659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1:23" x14ac:dyDescent="0.35">
      <c r="A362" t="s">
        <v>112</v>
      </c>
      <c r="B362" t="s">
        <v>47</v>
      </c>
      <c r="C362">
        <v>269493.2</v>
      </c>
      <c r="D362">
        <v>7.4278061338979032E-2</v>
      </c>
      <c r="E362">
        <v>0.58431308377877378</v>
      </c>
      <c r="F362">
        <v>14901.64</v>
      </c>
      <c r="G362">
        <v>-5163.8778878903649</v>
      </c>
      <c r="H362">
        <v>-5163.8778878903649</v>
      </c>
      <c r="I362">
        <v>-0.2153540476512969</v>
      </c>
      <c r="J362">
        <v>0.39395725763060518</v>
      </c>
      <c r="K362">
        <v>-5.3288980338901608E-2</v>
      </c>
      <c r="L362">
        <v>-2034.3471714526099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-5163.8778878903649</v>
      </c>
      <c r="T362">
        <v>-2034.3471714526099</v>
      </c>
      <c r="U362">
        <v>0</v>
      </c>
      <c r="V362">
        <v>0</v>
      </c>
      <c r="W362">
        <v>0</v>
      </c>
    </row>
    <row r="363" spans="1:23" x14ac:dyDescent="0.35">
      <c r="A363" t="s">
        <v>112</v>
      </c>
      <c r="B363" t="s">
        <v>48</v>
      </c>
      <c r="C363">
        <v>269280.8</v>
      </c>
      <c r="D363">
        <v>8.485451527213915E-2</v>
      </c>
      <c r="E363">
        <v>0.64537580635038505</v>
      </c>
      <c r="F363">
        <v>13397.83</v>
      </c>
      <c r="G363">
        <v>-2196.1557660518852</v>
      </c>
      <c r="H363">
        <v>-2196.1557660518852</v>
      </c>
      <c r="I363">
        <v>-2.213790393784628E-2</v>
      </c>
      <c r="J363">
        <v>0.48893285592571673</v>
      </c>
      <c r="K363">
        <v>7.4278061338979032E-2</v>
      </c>
      <c r="L363">
        <v>-1073.7727107534779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-2196.1557660518852</v>
      </c>
      <c r="T363">
        <v>-1073.7727107534779</v>
      </c>
      <c r="U363">
        <v>0</v>
      </c>
      <c r="V363">
        <v>0</v>
      </c>
      <c r="W363">
        <v>0</v>
      </c>
    </row>
    <row r="364" spans="1:23" x14ac:dyDescent="0.35">
      <c r="A364" t="s">
        <v>112</v>
      </c>
      <c r="B364" t="s">
        <v>49</v>
      </c>
      <c r="C364">
        <v>268584.2</v>
      </c>
      <c r="D364">
        <v>-0.29760106608823322</v>
      </c>
      <c r="E364">
        <v>0.61735803179619597</v>
      </c>
      <c r="F364">
        <v>14121</v>
      </c>
      <c r="G364">
        <v>-273.04318602130661</v>
      </c>
      <c r="H364">
        <v>-273.04318602130661</v>
      </c>
      <c r="I364">
        <v>-0.1107924238611038</v>
      </c>
      <c r="J364">
        <v>0.4448293427810962</v>
      </c>
      <c r="K364">
        <v>8.485451527213915E-2</v>
      </c>
      <c r="L364">
        <v>-121.4576209887144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-273.04318602130661</v>
      </c>
      <c r="T364">
        <v>-121.4576209887144</v>
      </c>
      <c r="U364">
        <v>0</v>
      </c>
      <c r="V364">
        <v>0</v>
      </c>
      <c r="W364">
        <v>0</v>
      </c>
    </row>
    <row r="365" spans="1:23" x14ac:dyDescent="0.35">
      <c r="A365" t="s">
        <v>112</v>
      </c>
      <c r="B365" t="s">
        <v>50</v>
      </c>
      <c r="C365">
        <v>266945.40000000002</v>
      </c>
      <c r="D365">
        <v>-0.84650594140194446</v>
      </c>
      <c r="E365">
        <v>0.62013792120995015</v>
      </c>
      <c r="F365">
        <v>20227.560000000001</v>
      </c>
      <c r="G365">
        <v>5061.6006823259177</v>
      </c>
      <c r="H365">
        <v>5061.6006823259177</v>
      </c>
      <c r="I365">
        <v>-0.10199623053962981</v>
      </c>
      <c r="J365">
        <v>0.44917800029012173</v>
      </c>
      <c r="K365">
        <v>-0.29760106608823322</v>
      </c>
      <c r="L365">
        <v>2273.559672754272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</row>
    <row r="366" spans="1:23" x14ac:dyDescent="0.35">
      <c r="A366" t="s">
        <v>112</v>
      </c>
      <c r="B366" t="s">
        <v>51</v>
      </c>
      <c r="C366">
        <v>265441.7</v>
      </c>
      <c r="D366">
        <v>-1.514792723763134</v>
      </c>
      <c r="E366">
        <v>0.61223858261045283</v>
      </c>
      <c r="F366">
        <v>19436.98</v>
      </c>
      <c r="G366">
        <v>-1556.8530311641989</v>
      </c>
      <c r="H366">
        <v>-1556.8530311641989</v>
      </c>
      <c r="I366">
        <v>-0.12699150880112131</v>
      </c>
      <c r="J366">
        <v>0.43684338675081191</v>
      </c>
      <c r="K366">
        <v>-0.84650594140194446</v>
      </c>
      <c r="L366">
        <v>-680.10095080703593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</row>
    <row r="367" spans="1:23" x14ac:dyDescent="0.35">
      <c r="A367" t="s">
        <v>112</v>
      </c>
      <c r="B367" t="s">
        <v>52</v>
      </c>
      <c r="C367">
        <v>262943.90000000002</v>
      </c>
      <c r="D367">
        <v>-2.3813999883816672</v>
      </c>
      <c r="E367">
        <v>0.49158960077890179</v>
      </c>
      <c r="F367">
        <v>18629.88</v>
      </c>
      <c r="G367">
        <v>-1290.561426222474</v>
      </c>
      <c r="H367">
        <v>-1290.561426222474</v>
      </c>
      <c r="I367">
        <v>-0.50875193530532936</v>
      </c>
      <c r="J367">
        <v>0.26551390137004349</v>
      </c>
      <c r="K367">
        <v>-1.514792723763134</v>
      </c>
      <c r="L367">
        <v>-342.66199923401649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</row>
    <row r="368" spans="1:23" x14ac:dyDescent="0.35">
      <c r="A368" t="s">
        <v>112</v>
      </c>
      <c r="B368" t="s">
        <v>53</v>
      </c>
      <c r="C368">
        <v>260395.2</v>
      </c>
      <c r="D368">
        <v>-3.0963981844756301</v>
      </c>
      <c r="E368">
        <v>0.47972458400874718</v>
      </c>
      <c r="F368">
        <v>36827.879999999997</v>
      </c>
      <c r="G368">
        <v>17641.959197543922</v>
      </c>
      <c r="H368">
        <v>17641.959197543922</v>
      </c>
      <c r="I368">
        <v>-0.54629550835410956</v>
      </c>
      <c r="J368">
        <v>0.25113068711998843</v>
      </c>
      <c r="K368">
        <v>-2.3813999883816672</v>
      </c>
      <c r="L368">
        <v>4430.4373354220024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1:23" x14ac:dyDescent="0.35">
      <c r="A369" t="s">
        <v>112</v>
      </c>
      <c r="B369" t="s">
        <v>54</v>
      </c>
      <c r="C369">
        <v>259199.2</v>
      </c>
      <c r="D369">
        <v>-2.9447265052796521</v>
      </c>
      <c r="E369">
        <v>0.43269597683990918</v>
      </c>
      <c r="F369">
        <v>25945.24</v>
      </c>
      <c r="G369">
        <v>-10760.52865517087</v>
      </c>
      <c r="H369">
        <v>-10760.52865517087</v>
      </c>
      <c r="I369">
        <v>-0.69510456466045456</v>
      </c>
      <c r="J369">
        <v>0.19937437264266181</v>
      </c>
      <c r="K369">
        <v>-3.0963981844756301</v>
      </c>
      <c r="L369">
        <v>-2145.3736499280781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-10760.52865517087</v>
      </c>
      <c r="T369">
        <v>-2145.3736499280781</v>
      </c>
      <c r="U369">
        <v>0</v>
      </c>
      <c r="V369">
        <v>0</v>
      </c>
      <c r="W369">
        <v>0</v>
      </c>
    </row>
    <row r="370" spans="1:23" x14ac:dyDescent="0.35">
      <c r="A370" t="s">
        <v>112</v>
      </c>
      <c r="B370" t="s">
        <v>55</v>
      </c>
      <c r="C370">
        <v>257049.8</v>
      </c>
      <c r="D370">
        <v>-3.2125390439676802</v>
      </c>
      <c r="E370">
        <v>0.53192834549392742</v>
      </c>
      <c r="F370">
        <v>38752.269999999997</v>
      </c>
      <c r="G370">
        <v>13434.743327128041</v>
      </c>
      <c r="H370">
        <v>13434.743327128041</v>
      </c>
      <c r="I370">
        <v>-0.38111110358613992</v>
      </c>
      <c r="J370">
        <v>0.31816399553861802</v>
      </c>
      <c r="K370">
        <v>-2.9447265052796521</v>
      </c>
      <c r="L370">
        <v>4274.4516159948435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1:23" x14ac:dyDescent="0.35">
      <c r="A371" t="s">
        <v>112</v>
      </c>
      <c r="B371" t="s">
        <v>56</v>
      </c>
      <c r="C371">
        <v>256343.7</v>
      </c>
      <c r="D371">
        <v>-2.5421579287176761</v>
      </c>
      <c r="E371">
        <v>0.4597495028162647</v>
      </c>
      <c r="F371">
        <v>31598.92</v>
      </c>
      <c r="G371">
        <v>-6578.8883624478913</v>
      </c>
      <c r="H371">
        <v>-6578.8883624478913</v>
      </c>
      <c r="I371">
        <v>-0.60950114340990502</v>
      </c>
      <c r="J371">
        <v>0.2281120772182523</v>
      </c>
      <c r="K371">
        <v>-3.2125390439676802</v>
      </c>
      <c r="L371">
        <v>-1500.723890144975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1:23" x14ac:dyDescent="0.35">
      <c r="A372" t="s">
        <v>112</v>
      </c>
      <c r="B372" t="s">
        <v>57</v>
      </c>
      <c r="C372">
        <v>256081.3</v>
      </c>
      <c r="D372">
        <v>-1.6705504797493891</v>
      </c>
      <c r="E372">
        <v>0.48871656071844249</v>
      </c>
      <c r="F372">
        <v>14113.9</v>
      </c>
      <c r="G372">
        <v>-16534.748271214699</v>
      </c>
      <c r="H372">
        <v>-16534.748271214699</v>
      </c>
      <c r="I372">
        <v>-0.51784287815618535</v>
      </c>
      <c r="J372">
        <v>0.26198328752649702</v>
      </c>
      <c r="K372">
        <v>-2.5421579287176761</v>
      </c>
      <c r="L372">
        <v>-4331.8277105158904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-16534.748271214699</v>
      </c>
      <c r="T372">
        <v>-4331.8277105158904</v>
      </c>
      <c r="U372">
        <v>0</v>
      </c>
      <c r="V372">
        <v>0</v>
      </c>
      <c r="W372">
        <v>0</v>
      </c>
    </row>
    <row r="373" spans="1:23" x14ac:dyDescent="0.35">
      <c r="A373" t="s">
        <v>112</v>
      </c>
      <c r="B373" t="s">
        <v>58</v>
      </c>
      <c r="C373">
        <v>255918.9</v>
      </c>
      <c r="D373">
        <v>-1.273628063977154</v>
      </c>
      <c r="E373">
        <v>3.2583433389872199E-2</v>
      </c>
      <c r="F373">
        <v>15802.53</v>
      </c>
      <c r="G373">
        <v>1579.518846364859</v>
      </c>
      <c r="H373">
        <v>1579.518846364859</v>
      </c>
      <c r="I373">
        <v>-1.961150352352502</v>
      </c>
      <c r="J373">
        <v>1.941124347075035E-2</v>
      </c>
      <c r="K373">
        <v>-1.6705504797493891</v>
      </c>
      <c r="L373">
        <v>30.660424893426988</v>
      </c>
      <c r="M373">
        <v>0</v>
      </c>
      <c r="N373">
        <v>0</v>
      </c>
      <c r="O373">
        <v>0</v>
      </c>
      <c r="P373">
        <v>0</v>
      </c>
      <c r="Q373">
        <v>1</v>
      </c>
      <c r="R373">
        <v>0</v>
      </c>
      <c r="S373">
        <v>1579.518846364859</v>
      </c>
      <c r="T373">
        <v>30.660424893426988</v>
      </c>
      <c r="U373">
        <v>0</v>
      </c>
      <c r="V373">
        <v>0</v>
      </c>
      <c r="W373">
        <v>0</v>
      </c>
    </row>
    <row r="374" spans="1:23" x14ac:dyDescent="0.35">
      <c r="A374" t="s">
        <v>112</v>
      </c>
      <c r="B374" t="s">
        <v>59</v>
      </c>
      <c r="C374">
        <v>256406</v>
      </c>
      <c r="D374">
        <v>-0.25077147337126859</v>
      </c>
      <c r="E374">
        <v>7.5049292120235769E-2</v>
      </c>
      <c r="F374">
        <v>18492.009999999998</v>
      </c>
      <c r="G374">
        <v>1747.8482793999319</v>
      </c>
      <c r="H374">
        <v>1747.8482793999319</v>
      </c>
      <c r="I374">
        <v>-1.826778855016489</v>
      </c>
      <c r="J374">
        <v>2.524500814578854E-2</v>
      </c>
      <c r="K374">
        <v>-1.273628063977154</v>
      </c>
      <c r="L374">
        <v>44.124444051053757</v>
      </c>
      <c r="M374">
        <v>0</v>
      </c>
      <c r="N374">
        <v>0</v>
      </c>
      <c r="O374">
        <v>0</v>
      </c>
      <c r="P374">
        <v>0</v>
      </c>
      <c r="Q374">
        <v>1</v>
      </c>
      <c r="R374">
        <v>0</v>
      </c>
      <c r="S374">
        <v>1747.8482793999319</v>
      </c>
      <c r="T374">
        <v>44.124444051053757</v>
      </c>
      <c r="U374">
        <v>0</v>
      </c>
      <c r="V374">
        <v>0</v>
      </c>
      <c r="W374">
        <v>0</v>
      </c>
    </row>
    <row r="375" spans="1:23" x14ac:dyDescent="0.35">
      <c r="A375" t="s">
        <v>112</v>
      </c>
      <c r="B375" t="s">
        <v>60</v>
      </c>
      <c r="C375">
        <v>257375.5</v>
      </c>
      <c r="D375">
        <v>0.40169858842798778</v>
      </c>
      <c r="E375">
        <v>0.37947426275088308</v>
      </c>
      <c r="F375">
        <v>19536.86</v>
      </c>
      <c r="G375">
        <v>296.42782514671848</v>
      </c>
      <c r="H375">
        <v>296.42782514671848</v>
      </c>
      <c r="I375">
        <v>-0.86350999967920461</v>
      </c>
      <c r="J375">
        <v>0.1509691515193573</v>
      </c>
      <c r="K375">
        <v>-0.25077147337126859</v>
      </c>
      <c r="L375">
        <v>44.751457249128507</v>
      </c>
      <c r="M375">
        <v>0</v>
      </c>
      <c r="N375">
        <v>0</v>
      </c>
      <c r="O375">
        <v>0</v>
      </c>
      <c r="P375">
        <v>0</v>
      </c>
      <c r="Q375">
        <v>1</v>
      </c>
      <c r="R375">
        <v>0</v>
      </c>
      <c r="S375">
        <v>296.42782514671848</v>
      </c>
      <c r="T375">
        <v>44.751457249128507</v>
      </c>
      <c r="U375">
        <v>0</v>
      </c>
      <c r="V375">
        <v>0</v>
      </c>
      <c r="W375">
        <v>0</v>
      </c>
    </row>
    <row r="376" spans="1:23" x14ac:dyDescent="0.35">
      <c r="A376" t="s">
        <v>112</v>
      </c>
      <c r="B376" t="s">
        <v>61</v>
      </c>
      <c r="C376">
        <v>258765</v>
      </c>
      <c r="D376">
        <v>1.0425341726513579</v>
      </c>
      <c r="E376">
        <v>-0.49823237213184068</v>
      </c>
      <c r="F376">
        <v>20086.099999999999</v>
      </c>
      <c r="G376">
        <v>-19.53534989586478</v>
      </c>
      <c r="H376">
        <v>-19.53534989586478</v>
      </c>
      <c r="I376">
        <v>-3.640770563272095</v>
      </c>
      <c r="J376">
        <v>6.8765107015529971E-4</v>
      </c>
      <c r="K376">
        <v>0.40169858842798778</v>
      </c>
      <c r="L376">
        <v>-1.343350426174964E-2</v>
      </c>
      <c r="M376">
        <v>0</v>
      </c>
      <c r="N376">
        <v>0</v>
      </c>
      <c r="O376">
        <v>0</v>
      </c>
      <c r="P376">
        <v>0</v>
      </c>
      <c r="Q376">
        <v>1</v>
      </c>
      <c r="R376">
        <v>0</v>
      </c>
      <c r="S376">
        <v>-19.53534989586478</v>
      </c>
      <c r="T376">
        <v>-1.343350426174964E-2</v>
      </c>
      <c r="U376">
        <v>0</v>
      </c>
      <c r="V376">
        <v>0</v>
      </c>
      <c r="W376">
        <v>0</v>
      </c>
    </row>
    <row r="377" spans="1:23" x14ac:dyDescent="0.35">
      <c r="A377" t="s">
        <v>112</v>
      </c>
      <c r="B377" t="s">
        <v>62</v>
      </c>
      <c r="C377">
        <v>260834.2</v>
      </c>
      <c r="D377">
        <v>1.9024359010552609</v>
      </c>
      <c r="E377">
        <v>-0.2117682198897928</v>
      </c>
      <c r="F377">
        <v>14211.19</v>
      </c>
      <c r="G377">
        <v>-6368.2256188433221</v>
      </c>
      <c r="H377">
        <v>-6368.2256188433221</v>
      </c>
      <c r="I377">
        <v>-2.7343337639066529</v>
      </c>
      <c r="J377">
        <v>4.1991401154248976E-3</v>
      </c>
      <c r="K377">
        <v>1.0425341726513579</v>
      </c>
      <c r="L377">
        <v>-26.741071660161541</v>
      </c>
      <c r="M377">
        <v>0</v>
      </c>
      <c r="N377">
        <v>0</v>
      </c>
      <c r="O377">
        <v>0</v>
      </c>
      <c r="P377">
        <v>0</v>
      </c>
      <c r="Q377">
        <v>1</v>
      </c>
      <c r="R377">
        <v>0</v>
      </c>
      <c r="S377">
        <v>-6368.2256188433221</v>
      </c>
      <c r="T377">
        <v>-26.741071660161541</v>
      </c>
      <c r="U377">
        <v>0</v>
      </c>
      <c r="V377">
        <v>0</v>
      </c>
      <c r="W377">
        <v>0</v>
      </c>
    </row>
    <row r="378" spans="1:23" x14ac:dyDescent="0.35">
      <c r="A378" t="s">
        <v>112</v>
      </c>
      <c r="B378" t="s">
        <v>63</v>
      </c>
      <c r="C378">
        <v>263356.5</v>
      </c>
      <c r="D378">
        <v>2.67465018982015</v>
      </c>
      <c r="E378">
        <v>-0.17263586604225739</v>
      </c>
      <c r="F378">
        <v>17252.02</v>
      </c>
      <c r="G378">
        <v>2343.4323165346868</v>
      </c>
      <c r="H378">
        <v>2343.4323165346868</v>
      </c>
      <c r="I378">
        <v>-2.6105102233499098</v>
      </c>
      <c r="J378">
        <v>5.3727912305235239E-3</v>
      </c>
      <c r="K378">
        <v>1.9024359010552609</v>
      </c>
      <c r="L378">
        <v>12.590772599602991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2343.4323165346868</v>
      </c>
      <c r="T378">
        <v>12.590772599602991</v>
      </c>
      <c r="U378">
        <v>0</v>
      </c>
      <c r="V378">
        <v>0</v>
      </c>
      <c r="W378">
        <v>0</v>
      </c>
    </row>
    <row r="379" spans="1:23" x14ac:dyDescent="0.35">
      <c r="A379" t="s">
        <v>112</v>
      </c>
      <c r="B379" t="s">
        <v>64</v>
      </c>
      <c r="C379">
        <v>266562.2</v>
      </c>
      <c r="D379">
        <v>3.5071504209047188</v>
      </c>
      <c r="E379">
        <v>-0.16593425714297361</v>
      </c>
      <c r="F379">
        <v>29838.2</v>
      </c>
      <c r="G379">
        <v>11706.8741061117</v>
      </c>
      <c r="H379">
        <v>11706.8741061117</v>
      </c>
      <c r="I379">
        <v>-2.5893048303758781</v>
      </c>
      <c r="J379">
        <v>5.6042520453991164E-3</v>
      </c>
      <c r="K379">
        <v>2.67465018982015</v>
      </c>
      <c r="L379">
        <v>65.608273154406461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11706.8741061117</v>
      </c>
      <c r="T379">
        <v>65.608273154406461</v>
      </c>
      <c r="U379">
        <v>0</v>
      </c>
      <c r="V379">
        <v>0</v>
      </c>
      <c r="W379">
        <v>0</v>
      </c>
    </row>
    <row r="380" spans="1:23" x14ac:dyDescent="0.35">
      <c r="A380" t="s">
        <v>112</v>
      </c>
      <c r="B380" t="s">
        <v>65</v>
      </c>
      <c r="C380">
        <v>269547</v>
      </c>
      <c r="D380">
        <v>4.0822458261379966</v>
      </c>
      <c r="E380">
        <v>0.2655667554515832</v>
      </c>
      <c r="F380">
        <v>25360.74</v>
      </c>
      <c r="G380">
        <v>-4702.6314541169268</v>
      </c>
      <c r="H380">
        <v>-4702.6314541169268</v>
      </c>
      <c r="I380">
        <v>-1.223938889409296</v>
      </c>
      <c r="J380">
        <v>7.9593881694544275E-2</v>
      </c>
      <c r="K380">
        <v>3.5071504209047188</v>
      </c>
      <c r="L380">
        <v>-374.30069161202539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1</v>
      </c>
      <c r="S380">
        <v>0</v>
      </c>
      <c r="T380">
        <v>0</v>
      </c>
      <c r="U380">
        <v>0</v>
      </c>
      <c r="V380">
        <v>0</v>
      </c>
      <c r="W380">
        <v>0</v>
      </c>
    </row>
    <row r="381" spans="1:23" x14ac:dyDescent="0.35">
      <c r="A381" t="s">
        <v>112</v>
      </c>
      <c r="B381" t="s">
        <v>66</v>
      </c>
      <c r="C381">
        <v>272019.3</v>
      </c>
      <c r="D381">
        <v>4.1988063236716027</v>
      </c>
      <c r="E381">
        <v>0.66387638737229515</v>
      </c>
      <c r="F381">
        <v>21280.47</v>
      </c>
      <c r="G381">
        <v>-3835.168726222837</v>
      </c>
      <c r="H381">
        <v>-3835.168726222837</v>
      </c>
      <c r="I381">
        <v>3.6402082013805251E-2</v>
      </c>
      <c r="J381">
        <v>0.51819300579585814</v>
      </c>
      <c r="K381">
        <v>4.0822458261379966</v>
      </c>
      <c r="L381">
        <v>-1987.357609975684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1</v>
      </c>
      <c r="S381">
        <v>0</v>
      </c>
      <c r="T381">
        <v>0</v>
      </c>
      <c r="U381">
        <v>0</v>
      </c>
      <c r="V381">
        <v>0</v>
      </c>
      <c r="W381">
        <v>0</v>
      </c>
    </row>
    <row r="382" spans="1:23" x14ac:dyDescent="0.35">
      <c r="A382" t="s">
        <v>112</v>
      </c>
      <c r="B382" t="s">
        <v>67</v>
      </c>
      <c r="C382">
        <v>274449.09999999998</v>
      </c>
      <c r="D382">
        <v>4.1257188097720574</v>
      </c>
      <c r="E382">
        <v>0.57985759945850146</v>
      </c>
      <c r="F382">
        <v>18517.900000000001</v>
      </c>
      <c r="G382">
        <v>-2909.1155667876369</v>
      </c>
      <c r="H382">
        <v>-2909.1155667876369</v>
      </c>
      <c r="I382">
        <v>-0.2294521989043658</v>
      </c>
      <c r="J382">
        <v>0.38724576331311489</v>
      </c>
      <c r="K382">
        <v>4.1988063236716027</v>
      </c>
      <c r="L382">
        <v>-1126.542678226743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</row>
    <row r="383" spans="1:23" x14ac:dyDescent="0.35">
      <c r="A383" t="s">
        <v>112</v>
      </c>
      <c r="B383" t="s">
        <v>68</v>
      </c>
      <c r="C383">
        <v>276354.90000000002</v>
      </c>
      <c r="D383">
        <v>3.6078297014386722</v>
      </c>
      <c r="E383">
        <v>0.50164177704477531</v>
      </c>
      <c r="F383">
        <v>22826.080000000002</v>
      </c>
      <c r="G383">
        <v>3842.526243353896</v>
      </c>
      <c r="H383">
        <v>3842.526243353896</v>
      </c>
      <c r="I383">
        <v>-0.47694459602820838</v>
      </c>
      <c r="J383">
        <v>0.27810334705924528</v>
      </c>
      <c r="K383">
        <v>4.1257188097720574</v>
      </c>
      <c r="L383">
        <v>1068.619409439706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</row>
    <row r="384" spans="1:23" x14ac:dyDescent="0.35">
      <c r="A384" t="s">
        <v>112</v>
      </c>
      <c r="B384" t="s">
        <v>69</v>
      </c>
      <c r="C384">
        <v>277269.59999999998</v>
      </c>
      <c r="D384">
        <v>2.8247545875759958</v>
      </c>
      <c r="E384">
        <v>0.40002921240657979</v>
      </c>
      <c r="F384">
        <v>18513.21</v>
      </c>
      <c r="G384">
        <v>-4750.2373136210626</v>
      </c>
      <c r="H384">
        <v>-4750.2373136210626</v>
      </c>
      <c r="I384">
        <v>-0.79846953080655947</v>
      </c>
      <c r="J384">
        <v>0.1684098581059251</v>
      </c>
      <c r="K384">
        <v>3.6078297014386722</v>
      </c>
      <c r="L384">
        <v>-799.98679195639397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</row>
    <row r="385" spans="1:23" x14ac:dyDescent="0.35">
      <c r="A385" t="s">
        <v>112</v>
      </c>
      <c r="B385" t="s">
        <v>70</v>
      </c>
      <c r="C385">
        <v>279461.5</v>
      </c>
      <c r="D385">
        <v>2.6991517471249851</v>
      </c>
      <c r="E385">
        <v>0.59776043634074527</v>
      </c>
      <c r="F385">
        <v>30182.29</v>
      </c>
      <c r="G385">
        <v>11282.735474875861</v>
      </c>
      <c r="H385">
        <v>11282.735474875861</v>
      </c>
      <c r="I385">
        <v>-0.17280360941736081</v>
      </c>
      <c r="J385">
        <v>0.41444806282678809</v>
      </c>
      <c r="K385">
        <v>2.8247545875759958</v>
      </c>
      <c r="L385">
        <v>4676.1078609493807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11282.735474875861</v>
      </c>
      <c r="T385">
        <v>4676.1078609493807</v>
      </c>
      <c r="U385">
        <v>0</v>
      </c>
      <c r="V385">
        <v>0</v>
      </c>
      <c r="W385">
        <v>0</v>
      </c>
    </row>
    <row r="386" spans="1:23" x14ac:dyDescent="0.35">
      <c r="A386" t="s">
        <v>112</v>
      </c>
      <c r="B386" t="s">
        <v>71</v>
      </c>
      <c r="C386">
        <v>281049.3</v>
      </c>
      <c r="D386">
        <v>2.376428308028053</v>
      </c>
      <c r="E386">
        <v>0.65430939132979626</v>
      </c>
      <c r="F386">
        <v>32031.3</v>
      </c>
      <c r="G386">
        <v>1702.312279079182</v>
      </c>
      <c r="H386">
        <v>1702.312279079182</v>
      </c>
      <c r="I386">
        <v>6.1299617347650706E-3</v>
      </c>
      <c r="J386">
        <v>0.50306494247761235</v>
      </c>
      <c r="K386">
        <v>2.6991517471249851</v>
      </c>
      <c r="L386">
        <v>856.37362875390193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1702.312279079182</v>
      </c>
      <c r="T386">
        <v>856.37362875390193</v>
      </c>
      <c r="U386">
        <v>0</v>
      </c>
      <c r="V386">
        <v>0</v>
      </c>
      <c r="W386">
        <v>0</v>
      </c>
    </row>
    <row r="387" spans="1:23" x14ac:dyDescent="0.35">
      <c r="A387" t="s">
        <v>112</v>
      </c>
      <c r="B387" t="s">
        <v>72</v>
      </c>
      <c r="C387">
        <v>283039.2</v>
      </c>
      <c r="D387">
        <v>2.3899494691729308</v>
      </c>
      <c r="E387">
        <v>0.84901836377849371</v>
      </c>
      <c r="F387">
        <v>29910.11</v>
      </c>
      <c r="G387">
        <v>-1594.595393211242</v>
      </c>
      <c r="H387">
        <v>-1594.595393211242</v>
      </c>
      <c r="I387">
        <v>0.6222328018730493</v>
      </c>
      <c r="J387">
        <v>0.77634036060576495</v>
      </c>
      <c r="K387">
        <v>2.376428308028053</v>
      </c>
      <c r="L387">
        <v>-1237.9487625859081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-1594.595393211242</v>
      </c>
      <c r="T387">
        <v>-1237.9487625859081</v>
      </c>
      <c r="U387">
        <v>0</v>
      </c>
      <c r="V387">
        <v>0</v>
      </c>
      <c r="W387">
        <v>0</v>
      </c>
    </row>
    <row r="388" spans="1:23" x14ac:dyDescent="0.35">
      <c r="A388" t="s">
        <v>112</v>
      </c>
      <c r="B388" t="s">
        <v>73</v>
      </c>
      <c r="C388">
        <v>285999.5</v>
      </c>
      <c r="D388">
        <v>3.099974451561903</v>
      </c>
      <c r="E388">
        <v>0.82854294095070802</v>
      </c>
      <c r="F388">
        <v>16514.349999999999</v>
      </c>
      <c r="G388">
        <v>-12857.951240235971</v>
      </c>
      <c r="H388">
        <v>-12857.951240235971</v>
      </c>
      <c r="I388">
        <v>0.55744397371283261</v>
      </c>
      <c r="J388">
        <v>0.7530392524675722</v>
      </c>
      <c r="K388">
        <v>2.3899494691729308</v>
      </c>
      <c r="L388">
        <v>-9682.5419902117865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0</v>
      </c>
      <c r="S388">
        <v>-12857.951240235971</v>
      </c>
      <c r="T388">
        <v>-9682.5419902117865</v>
      </c>
      <c r="U388">
        <v>0</v>
      </c>
      <c r="V388">
        <v>0</v>
      </c>
      <c r="W388">
        <v>0</v>
      </c>
    </row>
    <row r="389" spans="1:23" x14ac:dyDescent="0.35">
      <c r="A389" t="s">
        <v>112</v>
      </c>
      <c r="B389" t="s">
        <v>74</v>
      </c>
      <c r="C389">
        <v>287805.3</v>
      </c>
      <c r="D389">
        <v>2.94196727177179</v>
      </c>
      <c r="E389">
        <v>0.69370505144492223</v>
      </c>
      <c r="F389">
        <v>16325.61</v>
      </c>
      <c r="G389">
        <v>-289.78211110166382</v>
      </c>
      <c r="H389">
        <v>-289.78211110166382</v>
      </c>
      <c r="I389">
        <v>0.13078666235212791</v>
      </c>
      <c r="J389">
        <v>0.56502301045744396</v>
      </c>
      <c r="K389">
        <v>3.099974451561903</v>
      </c>
      <c r="L389">
        <v>-163.73356079137551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0</v>
      </c>
      <c r="S389">
        <v>-289.78211110166382</v>
      </c>
      <c r="T389">
        <v>-163.73356079137551</v>
      </c>
      <c r="U389">
        <v>0</v>
      </c>
      <c r="V389">
        <v>0</v>
      </c>
      <c r="W389">
        <v>0</v>
      </c>
    </row>
    <row r="390" spans="1:23" x14ac:dyDescent="0.35">
      <c r="A390" t="s">
        <v>112</v>
      </c>
      <c r="B390" t="s">
        <v>75</v>
      </c>
      <c r="C390">
        <v>289558.3</v>
      </c>
      <c r="D390">
        <v>2.9826559646094828</v>
      </c>
      <c r="E390">
        <v>0.70252809281546502</v>
      </c>
      <c r="F390">
        <v>28396.560000000001</v>
      </c>
      <c r="G390">
        <v>11273.465479390619</v>
      </c>
      <c r="H390">
        <v>11273.465479390619</v>
      </c>
      <c r="I390">
        <v>0.15870474326378839</v>
      </c>
      <c r="J390">
        <v>0.57869279475896807</v>
      </c>
      <c r="K390">
        <v>2.94196727177179</v>
      </c>
      <c r="L390">
        <v>6523.873244887307</v>
      </c>
      <c r="M390">
        <v>0</v>
      </c>
      <c r="N390">
        <v>0</v>
      </c>
      <c r="O390">
        <v>0</v>
      </c>
      <c r="P390">
        <v>0</v>
      </c>
      <c r="Q390">
        <v>1</v>
      </c>
      <c r="R390">
        <v>0</v>
      </c>
      <c r="S390">
        <v>11273.465479390619</v>
      </c>
      <c r="T390">
        <v>6523.873244887307</v>
      </c>
      <c r="U390">
        <v>0</v>
      </c>
      <c r="V390">
        <v>0</v>
      </c>
      <c r="W390">
        <v>0</v>
      </c>
    </row>
    <row r="391" spans="1:23" x14ac:dyDescent="0.35">
      <c r="A391" t="s">
        <v>112</v>
      </c>
      <c r="B391" t="s">
        <v>76</v>
      </c>
      <c r="C391">
        <v>290795.8</v>
      </c>
      <c r="D391">
        <v>2.7035898687114659</v>
      </c>
      <c r="E391">
        <v>0.64401801291028304</v>
      </c>
      <c r="F391">
        <v>13622.16</v>
      </c>
      <c r="G391">
        <v>-15104.230619776299</v>
      </c>
      <c r="H391">
        <v>-15104.230619776299</v>
      </c>
      <c r="I391">
        <v>-2.6434266782595979E-2</v>
      </c>
      <c r="J391">
        <v>0.48678594432925149</v>
      </c>
      <c r="K391">
        <v>2.9826559646094828</v>
      </c>
      <c r="L391">
        <v>-7352.5271656146006</v>
      </c>
      <c r="M391">
        <v>0</v>
      </c>
      <c r="N391">
        <v>0</v>
      </c>
      <c r="O391">
        <v>0</v>
      </c>
      <c r="P391">
        <v>0</v>
      </c>
      <c r="Q391">
        <v>1</v>
      </c>
      <c r="R391">
        <v>0</v>
      </c>
      <c r="S391">
        <v>-15104.230619776299</v>
      </c>
      <c r="T391">
        <v>-7352.5271656146006</v>
      </c>
      <c r="U391">
        <v>0</v>
      </c>
      <c r="V391">
        <v>0</v>
      </c>
      <c r="W391">
        <v>0</v>
      </c>
    </row>
    <row r="392" spans="1:23" x14ac:dyDescent="0.35">
      <c r="A392" t="s">
        <v>112</v>
      </c>
      <c r="B392" t="s">
        <v>77</v>
      </c>
      <c r="C392">
        <v>292692.2</v>
      </c>
      <c r="D392">
        <v>2.313148233068048</v>
      </c>
      <c r="E392">
        <v>0.50932841042435184</v>
      </c>
      <c r="F392">
        <v>25653.23</v>
      </c>
      <c r="G392">
        <v>11737.80673016071</v>
      </c>
      <c r="H392">
        <v>11737.80673016071</v>
      </c>
      <c r="I392">
        <v>-0.45262236476838991</v>
      </c>
      <c r="J392">
        <v>0.28797389743231488</v>
      </c>
      <c r="K392">
        <v>2.7035898687114659</v>
      </c>
      <c r="L392">
        <v>3380.1819513916371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11737.80673016071</v>
      </c>
      <c r="T392">
        <v>3380.1819513916371</v>
      </c>
      <c r="U392">
        <v>0</v>
      </c>
      <c r="V392">
        <v>0</v>
      </c>
      <c r="W392">
        <v>0</v>
      </c>
    </row>
    <row r="393" spans="1:23" x14ac:dyDescent="0.35">
      <c r="A393" t="s">
        <v>112</v>
      </c>
      <c r="B393" t="s">
        <v>78</v>
      </c>
      <c r="C393">
        <v>294326.2</v>
      </c>
      <c r="D393">
        <v>2.240446623150703</v>
      </c>
      <c r="E393">
        <v>0.39954035035254087</v>
      </c>
      <c r="F393">
        <v>28710.76</v>
      </c>
      <c r="G393">
        <v>2480.1654601144551</v>
      </c>
      <c r="H393">
        <v>2480.1654601144551</v>
      </c>
      <c r="I393">
        <v>-0.80001639994228235</v>
      </c>
      <c r="J393">
        <v>0.16797703067975669</v>
      </c>
      <c r="K393">
        <v>2.313148233068048</v>
      </c>
      <c r="L393">
        <v>416.61082958451868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2480.1654601144551</v>
      </c>
      <c r="T393">
        <v>416.61082958451868</v>
      </c>
      <c r="U393">
        <v>0</v>
      </c>
      <c r="V393">
        <v>0</v>
      </c>
      <c r="W393">
        <v>0</v>
      </c>
    </row>
    <row r="394" spans="1:23" x14ac:dyDescent="0.35">
      <c r="A394" t="s">
        <v>112</v>
      </c>
      <c r="B394" t="s">
        <v>79</v>
      </c>
      <c r="C394">
        <v>296049</v>
      </c>
      <c r="D394">
        <v>2.2168322733225421</v>
      </c>
      <c r="E394">
        <v>0.64461341966249552</v>
      </c>
      <c r="F394">
        <v>26443.05</v>
      </c>
      <c r="G394">
        <v>-2105.371652046339</v>
      </c>
      <c r="H394">
        <v>-2105.371652046339</v>
      </c>
      <c r="I394">
        <v>-2.4550266335866319E-2</v>
      </c>
      <c r="J394">
        <v>0.48772733237565058</v>
      </c>
      <c r="K394">
        <v>2.240446623150703</v>
      </c>
      <c r="L394">
        <v>-1026.8472995118771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</row>
    <row r="395" spans="1:23" x14ac:dyDescent="0.35">
      <c r="A395" t="s">
        <v>112</v>
      </c>
      <c r="B395" t="s">
        <v>80</v>
      </c>
      <c r="C395">
        <v>297864.3</v>
      </c>
      <c r="D395">
        <v>2.4016711026909641</v>
      </c>
      <c r="E395">
        <v>0.80710251308548131</v>
      </c>
      <c r="F395">
        <v>36588.019999999997</v>
      </c>
      <c r="G395">
        <v>10374.885475181431</v>
      </c>
      <c r="H395">
        <v>10374.885475181431</v>
      </c>
      <c r="I395">
        <v>0.48960165327212118</v>
      </c>
      <c r="J395">
        <v>0.72695010634595703</v>
      </c>
      <c r="K395">
        <v>2.2168322733225421</v>
      </c>
      <c r="L395">
        <v>7542.0240995102668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</row>
    <row r="396" spans="1:23" x14ac:dyDescent="0.35">
      <c r="A396" t="s">
        <v>112</v>
      </c>
      <c r="B396" t="s">
        <v>81</v>
      </c>
      <c r="C396">
        <v>298723.3</v>
      </c>
      <c r="D396">
        <v>2.039618196957695</v>
      </c>
      <c r="E396">
        <v>0.81862819015116506</v>
      </c>
      <c r="F396">
        <v>40489.040000000001</v>
      </c>
      <c r="G396">
        <v>4415.4972307526914</v>
      </c>
      <c r="H396">
        <v>4415.4972307526914</v>
      </c>
      <c r="I396">
        <v>0.52607147942024812</v>
      </c>
      <c r="J396">
        <v>0.74118619372596906</v>
      </c>
      <c r="K396">
        <v>2.4016711026909641</v>
      </c>
      <c r="L396">
        <v>3272.7055858691442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</row>
    <row r="397" spans="1:23" x14ac:dyDescent="0.35">
      <c r="A397" t="s">
        <v>112</v>
      </c>
      <c r="B397" t="s">
        <v>82</v>
      </c>
      <c r="C397">
        <v>299295.3</v>
      </c>
      <c r="D397">
        <v>1.674203534606135</v>
      </c>
      <c r="E397">
        <v>0.84102745848656146</v>
      </c>
      <c r="F397">
        <v>32800.980000000003</v>
      </c>
      <c r="G397">
        <v>-6497.529962925415</v>
      </c>
      <c r="H397">
        <v>-6497.529962925415</v>
      </c>
      <c r="I397">
        <v>0.59694778606858923</v>
      </c>
      <c r="J397">
        <v>0.76743706011115198</v>
      </c>
      <c r="K397">
        <v>2.039618196957695</v>
      </c>
      <c r="L397">
        <v>-4986.4452927316024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-6497.529962925415</v>
      </c>
      <c r="T397">
        <v>-4986.4452927316024</v>
      </c>
      <c r="U397">
        <v>0</v>
      </c>
      <c r="V397">
        <v>0</v>
      </c>
      <c r="W397">
        <v>0</v>
      </c>
    </row>
    <row r="398" spans="1:23" x14ac:dyDescent="0.35">
      <c r="A398" t="s">
        <v>112</v>
      </c>
      <c r="B398" t="s">
        <v>83</v>
      </c>
      <c r="C398">
        <v>301003</v>
      </c>
      <c r="D398">
        <v>1.6595250312338889</v>
      </c>
      <c r="E398">
        <v>0.88340305309031475</v>
      </c>
      <c r="F398">
        <v>52716.26</v>
      </c>
      <c r="G398">
        <v>21002.415296564999</v>
      </c>
      <c r="H398">
        <v>21002.415296564999</v>
      </c>
      <c r="I398">
        <v>0.73103366747192255</v>
      </c>
      <c r="J398">
        <v>0.81184866465194128</v>
      </c>
      <c r="K398">
        <v>1.674203534606135</v>
      </c>
      <c r="L398">
        <v>17050.782812981801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21002.415296564999</v>
      </c>
      <c r="T398">
        <v>17050.782812981801</v>
      </c>
      <c r="U398">
        <v>0</v>
      </c>
      <c r="V398">
        <v>0</v>
      </c>
      <c r="W398">
        <v>0</v>
      </c>
    </row>
    <row r="399" spans="1:23" x14ac:dyDescent="0.35">
      <c r="A399" t="s">
        <v>112</v>
      </c>
      <c r="B399" t="s">
        <v>84</v>
      </c>
      <c r="C399">
        <v>285418.90000000002</v>
      </c>
      <c r="D399">
        <v>-4.268008797065046</v>
      </c>
      <c r="E399">
        <v>0.8548390182890917</v>
      </c>
      <c r="F399">
        <v>55684.71</v>
      </c>
      <c r="G399">
        <v>4447.7439987703037</v>
      </c>
      <c r="H399">
        <v>4447.7439987703037</v>
      </c>
      <c r="I399">
        <v>0.64065065766235052</v>
      </c>
      <c r="J399">
        <v>0.78267120766173692</v>
      </c>
      <c r="K399">
        <v>1.6595250312338889</v>
      </c>
      <c r="L399">
        <v>3481.1211668877968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1</v>
      </c>
      <c r="S399">
        <v>0</v>
      </c>
      <c r="T399">
        <v>0</v>
      </c>
      <c r="U399">
        <v>0</v>
      </c>
      <c r="V399">
        <v>0</v>
      </c>
      <c r="W399">
        <v>0</v>
      </c>
    </row>
    <row r="400" spans="1:23" x14ac:dyDescent="0.35">
      <c r="A400" t="s">
        <v>112</v>
      </c>
      <c r="B400" t="s">
        <v>85</v>
      </c>
      <c r="C400">
        <v>234641.8</v>
      </c>
      <c r="D400">
        <v>-24.145763090077551</v>
      </c>
      <c r="E400">
        <v>0.864790329982152</v>
      </c>
      <c r="F400">
        <v>28914.37</v>
      </c>
      <c r="G400">
        <v>-24149.360667720372</v>
      </c>
      <c r="H400">
        <v>-24149.360667720372</v>
      </c>
      <c r="I400">
        <v>0.67213883881851777</v>
      </c>
      <c r="J400">
        <v>0.79319252383604855</v>
      </c>
      <c r="K400">
        <v>-4.268008797065046</v>
      </c>
      <c r="L400">
        <v>-19155.092337056121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0</v>
      </c>
      <c r="S400">
        <v>-24149.360667720372</v>
      </c>
      <c r="T400">
        <v>-19155.092337056121</v>
      </c>
      <c r="U400">
        <v>0</v>
      </c>
      <c r="V400">
        <v>0</v>
      </c>
      <c r="W400">
        <v>0</v>
      </c>
    </row>
    <row r="401" spans="1:23" x14ac:dyDescent="0.35">
      <c r="A401" t="s">
        <v>112</v>
      </c>
      <c r="B401" t="s">
        <v>86</v>
      </c>
      <c r="C401">
        <v>271955.09999999998</v>
      </c>
      <c r="D401">
        <v>-9.5793732287186177</v>
      </c>
      <c r="E401">
        <v>0.84283420785985763</v>
      </c>
      <c r="F401">
        <v>27497.73</v>
      </c>
      <c r="G401">
        <v>298.34674216415812</v>
      </c>
      <c r="H401">
        <v>298.34674216415812</v>
      </c>
      <c r="I401">
        <v>0.60266474613625698</v>
      </c>
      <c r="J401">
        <v>0.76947151343896447</v>
      </c>
      <c r="K401">
        <v>-24.145763090077551</v>
      </c>
      <c r="L401">
        <v>229.56931922263919</v>
      </c>
      <c r="M401">
        <v>0</v>
      </c>
      <c r="N401">
        <v>0</v>
      </c>
      <c r="O401">
        <v>0</v>
      </c>
      <c r="P401">
        <v>0</v>
      </c>
      <c r="Q401">
        <v>1</v>
      </c>
      <c r="R401">
        <v>0</v>
      </c>
      <c r="S401">
        <v>298.34674216415812</v>
      </c>
      <c r="T401">
        <v>229.56931922263919</v>
      </c>
      <c r="U401">
        <v>0</v>
      </c>
      <c r="V401">
        <v>0</v>
      </c>
      <c r="W401">
        <v>0</v>
      </c>
    </row>
    <row r="402" spans="1:23" x14ac:dyDescent="0.35">
      <c r="A402" t="s">
        <v>112</v>
      </c>
      <c r="B402" t="s">
        <v>87</v>
      </c>
      <c r="C402">
        <v>273928.90000000002</v>
      </c>
      <c r="D402">
        <v>-9.4251647812750043</v>
      </c>
      <c r="E402">
        <v>0.905956178197447</v>
      </c>
      <c r="F402">
        <v>22319.62</v>
      </c>
      <c r="G402">
        <v>-4896.0136572600422</v>
      </c>
      <c r="H402">
        <v>-4896.0136572600422</v>
      </c>
      <c r="I402">
        <v>0.80239681143879515</v>
      </c>
      <c r="J402">
        <v>0.83268729414736053</v>
      </c>
      <c r="K402">
        <v>-9.5793732287186177</v>
      </c>
      <c r="L402">
        <v>-4076.8483643723871</v>
      </c>
      <c r="M402">
        <v>0</v>
      </c>
      <c r="N402">
        <v>0</v>
      </c>
      <c r="O402">
        <v>0</v>
      </c>
      <c r="P402">
        <v>0</v>
      </c>
      <c r="Q402">
        <v>1</v>
      </c>
      <c r="R402">
        <v>0</v>
      </c>
      <c r="S402">
        <v>-4896.0136572600422</v>
      </c>
      <c r="T402">
        <v>-4076.8483643723871</v>
      </c>
      <c r="U402">
        <v>0</v>
      </c>
      <c r="V402">
        <v>0</v>
      </c>
      <c r="W402">
        <v>0</v>
      </c>
    </row>
    <row r="403" spans="1:23" x14ac:dyDescent="0.35">
      <c r="A403" t="s">
        <v>112</v>
      </c>
      <c r="B403" t="s">
        <v>88</v>
      </c>
      <c r="C403">
        <v>277220.59999999998</v>
      </c>
      <c r="D403">
        <v>-2.914434656635847</v>
      </c>
      <c r="E403">
        <v>0.89082132409090398</v>
      </c>
      <c r="F403">
        <v>11888.73</v>
      </c>
      <c r="G403">
        <v>-10426.43013953445</v>
      </c>
      <c r="H403">
        <v>-10426.43013953445</v>
      </c>
      <c r="I403">
        <v>0.75450674000114415</v>
      </c>
      <c r="J403">
        <v>0.81891495861591757</v>
      </c>
      <c r="K403">
        <v>-9.4251647812750043</v>
      </c>
      <c r="L403">
        <v>-8538.3596062286106</v>
      </c>
      <c r="M403">
        <v>0</v>
      </c>
      <c r="N403">
        <v>0</v>
      </c>
      <c r="O403">
        <v>0</v>
      </c>
      <c r="P403">
        <v>0</v>
      </c>
      <c r="Q403">
        <v>1</v>
      </c>
      <c r="R403">
        <v>0</v>
      </c>
      <c r="S403">
        <v>-10426.43013953445</v>
      </c>
      <c r="T403">
        <v>-8538.3596062286106</v>
      </c>
      <c r="U403">
        <v>0</v>
      </c>
      <c r="V403">
        <v>0</v>
      </c>
      <c r="W403">
        <v>0</v>
      </c>
    </row>
    <row r="404" spans="1:23" x14ac:dyDescent="0.35">
      <c r="A404" t="s">
        <v>112</v>
      </c>
      <c r="B404" t="s">
        <v>89</v>
      </c>
      <c r="C404">
        <v>281021</v>
      </c>
      <c r="D404">
        <v>18.036930367139441</v>
      </c>
      <c r="E404">
        <v>0.88749421539322637</v>
      </c>
      <c r="F404">
        <v>18072.810000000001</v>
      </c>
      <c r="G404">
        <v>5509.7133275447604</v>
      </c>
      <c r="H404">
        <v>5509.7133275447604</v>
      </c>
      <c r="I404">
        <v>0.74397902218563339</v>
      </c>
      <c r="J404">
        <v>0.81577158838622132</v>
      </c>
      <c r="K404">
        <v>-2.914434656635847</v>
      </c>
      <c r="L404">
        <v>4494.6675927639217</v>
      </c>
      <c r="M404">
        <v>0</v>
      </c>
      <c r="N404">
        <v>0</v>
      </c>
      <c r="O404">
        <v>0</v>
      </c>
      <c r="P404">
        <v>0</v>
      </c>
      <c r="Q404">
        <v>1</v>
      </c>
      <c r="R404">
        <v>0</v>
      </c>
      <c r="S404">
        <v>5509.7133275447604</v>
      </c>
      <c r="T404">
        <v>4494.6675927639217</v>
      </c>
      <c r="U404">
        <v>0</v>
      </c>
      <c r="V404">
        <v>0</v>
      </c>
      <c r="W404">
        <v>0</v>
      </c>
    </row>
    <row r="405" spans="1:23" x14ac:dyDescent="0.35">
      <c r="A405" t="s">
        <v>112</v>
      </c>
      <c r="B405" t="s">
        <v>90</v>
      </c>
      <c r="C405">
        <v>286560.2</v>
      </c>
      <c r="D405">
        <v>5.2311657105822356</v>
      </c>
      <c r="E405">
        <v>0.84654208270113374</v>
      </c>
      <c r="F405">
        <v>21508.560000000001</v>
      </c>
      <c r="G405">
        <v>2469.4532050039338</v>
      </c>
      <c r="H405">
        <v>2469.4532050039338</v>
      </c>
      <c r="I405">
        <v>0.61439729339310933</v>
      </c>
      <c r="J405">
        <v>0.77360752913141428</v>
      </c>
      <c r="K405">
        <v>18.036930367139441</v>
      </c>
      <c r="L405">
        <v>1910.387592228745</v>
      </c>
      <c r="M405">
        <v>0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2469.4532050039338</v>
      </c>
      <c r="T405">
        <v>1910.387592228745</v>
      </c>
      <c r="U405">
        <v>0</v>
      </c>
      <c r="V405">
        <v>0</v>
      </c>
      <c r="W405">
        <v>0</v>
      </c>
    </row>
    <row r="406" spans="1:23" x14ac:dyDescent="0.35">
      <c r="A406" t="s">
        <v>112</v>
      </c>
      <c r="B406" t="s">
        <v>91</v>
      </c>
      <c r="C406">
        <v>292381.7</v>
      </c>
      <c r="D406">
        <v>6.5191556753887117</v>
      </c>
      <c r="E406">
        <v>0.82154324066752549</v>
      </c>
      <c r="F406">
        <v>19802.650000000001</v>
      </c>
      <c r="G406">
        <v>-2218.2724663803642</v>
      </c>
      <c r="H406">
        <v>-2218.2724663803642</v>
      </c>
      <c r="I406">
        <v>0.53529535277179308</v>
      </c>
      <c r="J406">
        <v>0.74470923545638978</v>
      </c>
      <c r="K406">
        <v>5.2311657105822356</v>
      </c>
      <c r="L406">
        <v>-1651.9679924720811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0</v>
      </c>
      <c r="S406">
        <v>-2218.2724663803642</v>
      </c>
      <c r="T406">
        <v>-1651.9679924720811</v>
      </c>
      <c r="U406">
        <v>0</v>
      </c>
      <c r="V406">
        <v>0</v>
      </c>
      <c r="W406">
        <v>0</v>
      </c>
    </row>
    <row r="407" spans="1:23" x14ac:dyDescent="0.35">
      <c r="A407" t="s">
        <v>112</v>
      </c>
      <c r="B407" t="s">
        <v>92</v>
      </c>
      <c r="C407">
        <v>296976.90000000002</v>
      </c>
      <c r="D407">
        <v>6.8840778871202186</v>
      </c>
      <c r="E407">
        <v>0.51496722009446527</v>
      </c>
      <c r="F407">
        <v>26455.02</v>
      </c>
      <c r="G407">
        <v>6249.2545952329347</v>
      </c>
      <c r="H407">
        <v>6249.2545952329347</v>
      </c>
      <c r="I407">
        <v>-0.4347799068217153</v>
      </c>
      <c r="J407">
        <v>0.29534590388071708</v>
      </c>
      <c r="K407">
        <v>6.5191556753887117</v>
      </c>
      <c r="L407">
        <v>1845.691747009796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</row>
    <row r="408" spans="1:23" x14ac:dyDescent="0.35">
      <c r="A408" t="s">
        <v>112</v>
      </c>
      <c r="B408" t="s">
        <v>93</v>
      </c>
      <c r="C408">
        <v>302030</v>
      </c>
      <c r="D408">
        <v>7.2096950552094086</v>
      </c>
      <c r="E408">
        <v>0.52812710020298648</v>
      </c>
      <c r="F408">
        <v>29343.64</v>
      </c>
      <c r="G408">
        <v>2660.8418006622051</v>
      </c>
      <c r="H408">
        <v>2660.8418006622051</v>
      </c>
      <c r="I408">
        <v>-0.39313909587821599</v>
      </c>
      <c r="J408">
        <v>0.31296837194426042</v>
      </c>
      <c r="K408">
        <v>6.8840778871202186</v>
      </c>
      <c r="L408">
        <v>832.75932635448453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</row>
    <row r="409" spans="1:23" x14ac:dyDescent="0.35">
      <c r="A409" t="s">
        <v>112</v>
      </c>
      <c r="B409" t="s">
        <v>94</v>
      </c>
      <c r="C409">
        <v>304493.8</v>
      </c>
      <c r="D409">
        <v>6.0702089448438077</v>
      </c>
      <c r="E409">
        <v>0.7084873192433131</v>
      </c>
      <c r="F409">
        <v>24504.76</v>
      </c>
      <c r="G409">
        <v>-4610.2754712220849</v>
      </c>
      <c r="H409">
        <v>-4610.2754712220849</v>
      </c>
      <c r="I409">
        <v>0.17756107166535551</v>
      </c>
      <c r="J409">
        <v>0.58785913178062921</v>
      </c>
      <c r="K409">
        <v>7.2096950552094086</v>
      </c>
      <c r="L409">
        <v>-2710.192535782146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1</v>
      </c>
      <c r="S409">
        <v>0</v>
      </c>
      <c r="T409">
        <v>0</v>
      </c>
      <c r="U409">
        <v>0</v>
      </c>
      <c r="V409">
        <v>0</v>
      </c>
      <c r="W409">
        <v>0</v>
      </c>
    </row>
    <row r="410" spans="1:23" x14ac:dyDescent="0.35">
      <c r="A410" t="s">
        <v>112</v>
      </c>
      <c r="B410" t="s">
        <v>95</v>
      </c>
      <c r="C410">
        <v>306125.90000000002</v>
      </c>
      <c r="D410">
        <v>4.5936314825756881</v>
      </c>
      <c r="E410">
        <v>0.6160407621705245</v>
      </c>
      <c r="F410">
        <v>26500.43</v>
      </c>
      <c r="G410">
        <v>2181.4839460196272</v>
      </c>
      <c r="H410">
        <v>2181.4839460196272</v>
      </c>
      <c r="I410">
        <v>-0.1149605602720641</v>
      </c>
      <c r="J410">
        <v>0.44277160684031358</v>
      </c>
      <c r="K410">
        <v>6.0702089448438077</v>
      </c>
      <c r="L410">
        <v>965.89915207545835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1</v>
      </c>
      <c r="S410">
        <v>0</v>
      </c>
      <c r="T410">
        <v>0</v>
      </c>
      <c r="U410">
        <v>0</v>
      </c>
      <c r="V410">
        <v>0</v>
      </c>
      <c r="W410">
        <v>0</v>
      </c>
    </row>
    <row r="411" spans="1:23" x14ac:dyDescent="0.35">
      <c r="A411" t="s">
        <v>112</v>
      </c>
      <c r="B411" t="s">
        <v>96</v>
      </c>
      <c r="C411">
        <v>307687.2</v>
      </c>
      <c r="D411">
        <v>3.54293245026357</v>
      </c>
      <c r="E411">
        <v>0.70234644566014837</v>
      </c>
      <c r="F411">
        <v>26400.05</v>
      </c>
      <c r="G411">
        <v>-84.520772908697836</v>
      </c>
      <c r="H411">
        <v>-84.520772908697836</v>
      </c>
      <c r="I411">
        <v>0.15812997094135151</v>
      </c>
      <c r="J411">
        <v>0.57841250189260318</v>
      </c>
      <c r="K411">
        <v>4.5936314825756881</v>
      </c>
      <c r="L411">
        <v>-48.88787172001647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1</v>
      </c>
      <c r="S411">
        <v>0</v>
      </c>
      <c r="T411">
        <v>0</v>
      </c>
      <c r="U411">
        <v>0</v>
      </c>
      <c r="V411">
        <v>0</v>
      </c>
      <c r="W411">
        <v>0</v>
      </c>
    </row>
    <row r="412" spans="1:23" x14ac:dyDescent="0.35">
      <c r="A412" t="s">
        <v>112</v>
      </c>
      <c r="B412" t="s">
        <v>97</v>
      </c>
      <c r="C412">
        <v>308129.90000000002</v>
      </c>
      <c r="D412">
        <v>1.9995097117879299</v>
      </c>
      <c r="E412">
        <v>0.70641616053738476</v>
      </c>
      <c r="F412">
        <v>30702.400000000001</v>
      </c>
      <c r="G412">
        <v>4416.8820192602216</v>
      </c>
      <c r="H412">
        <v>4416.8820192602216</v>
      </c>
      <c r="I412">
        <v>0.1710074611919819</v>
      </c>
      <c r="J412">
        <v>0.58467988849232688</v>
      </c>
      <c r="K412">
        <v>3.54293245026357</v>
      </c>
      <c r="L412">
        <v>2582.46208650483</v>
      </c>
      <c r="M412">
        <v>0</v>
      </c>
      <c r="N412">
        <v>0</v>
      </c>
      <c r="O412">
        <v>0</v>
      </c>
      <c r="P412">
        <v>0</v>
      </c>
      <c r="Q412">
        <v>1</v>
      </c>
      <c r="R412">
        <v>0</v>
      </c>
      <c r="S412">
        <v>4416.8820192602216</v>
      </c>
      <c r="T412">
        <v>2582.46208650483</v>
      </c>
      <c r="U412">
        <v>0</v>
      </c>
      <c r="V412">
        <v>0</v>
      </c>
      <c r="W412">
        <v>0</v>
      </c>
    </row>
    <row r="413" spans="1:23" x14ac:dyDescent="0.35">
      <c r="A413" t="s">
        <v>112</v>
      </c>
      <c r="B413" t="s">
        <v>98</v>
      </c>
      <c r="C413">
        <v>310563.5</v>
      </c>
      <c r="D413">
        <v>1.9737663626419431</v>
      </c>
      <c r="E413">
        <v>0.71124511664650181</v>
      </c>
      <c r="F413">
        <v>17905.28</v>
      </c>
      <c r="G413">
        <v>-12517.608803376361</v>
      </c>
      <c r="H413">
        <v>-12517.608803376361</v>
      </c>
      <c r="I413">
        <v>0.1862873609126485</v>
      </c>
      <c r="J413">
        <v>0.59208097518597469</v>
      </c>
      <c r="K413">
        <v>1.9995097117879299</v>
      </c>
      <c r="L413">
        <v>-7411.4380272996186</v>
      </c>
      <c r="M413">
        <v>0</v>
      </c>
      <c r="N413">
        <v>0</v>
      </c>
      <c r="O413">
        <v>0</v>
      </c>
      <c r="P413">
        <v>0</v>
      </c>
      <c r="Q413">
        <v>1</v>
      </c>
      <c r="R413">
        <v>0</v>
      </c>
      <c r="S413">
        <v>-12517.608803376361</v>
      </c>
      <c r="T413">
        <v>-7411.4380272996186</v>
      </c>
      <c r="U413">
        <v>0</v>
      </c>
      <c r="V413">
        <v>0</v>
      </c>
      <c r="W413">
        <v>0</v>
      </c>
    </row>
    <row r="414" spans="1:23" x14ac:dyDescent="0.35">
      <c r="A414" t="s">
        <v>112</v>
      </c>
      <c r="B414" t="s">
        <v>99</v>
      </c>
      <c r="C414">
        <v>313012.09999999998</v>
      </c>
      <c r="D414">
        <v>2.2245392696400632</v>
      </c>
      <c r="E414">
        <v>0.83404210728897354</v>
      </c>
      <c r="F414">
        <v>16655.52</v>
      </c>
      <c r="G414">
        <v>-1255.046474869388</v>
      </c>
      <c r="H414">
        <v>-1255.046474869388</v>
      </c>
      <c r="I414">
        <v>0.57484456885125612</v>
      </c>
      <c r="J414">
        <v>0.75945413210041901</v>
      </c>
      <c r="K414">
        <v>1.9737663626419431</v>
      </c>
      <c r="L414">
        <v>-953.15023131762177</v>
      </c>
      <c r="M414">
        <v>0</v>
      </c>
      <c r="N414">
        <v>0</v>
      </c>
      <c r="O414">
        <v>0</v>
      </c>
      <c r="P414">
        <v>0</v>
      </c>
      <c r="Q414">
        <v>1</v>
      </c>
      <c r="R414">
        <v>0</v>
      </c>
      <c r="S414">
        <v>-1255.046474869388</v>
      </c>
      <c r="T414">
        <v>-953.15023131762177</v>
      </c>
      <c r="U414">
        <v>0</v>
      </c>
      <c r="V414">
        <v>0</v>
      </c>
      <c r="W414">
        <v>0</v>
      </c>
    </row>
    <row r="415" spans="1:23" x14ac:dyDescent="0.35">
      <c r="A415" t="s">
        <v>112</v>
      </c>
      <c r="B415" t="s">
        <v>100</v>
      </c>
      <c r="C415">
        <v>316496.3</v>
      </c>
      <c r="D415">
        <v>2.8227868649839349</v>
      </c>
      <c r="E415">
        <v>0.83343863543018815</v>
      </c>
      <c r="F415">
        <v>16042.91</v>
      </c>
      <c r="G415">
        <v>-1325.5086914047929</v>
      </c>
      <c r="H415">
        <v>-1325.5086914047929</v>
      </c>
      <c r="I415">
        <v>0.57293504859923394</v>
      </c>
      <c r="J415">
        <v>0.75875576507158471</v>
      </c>
      <c r="K415">
        <v>2.2245392696400632</v>
      </c>
      <c r="L415">
        <v>-1005.737361255879</v>
      </c>
      <c r="M415">
        <v>0</v>
      </c>
      <c r="N415">
        <v>0</v>
      </c>
      <c r="O415">
        <v>0</v>
      </c>
      <c r="P415">
        <v>0</v>
      </c>
      <c r="Q415">
        <v>1</v>
      </c>
      <c r="R415">
        <v>0</v>
      </c>
      <c r="S415">
        <v>-1325.5086914047929</v>
      </c>
      <c r="T415">
        <v>-1005.737361255879</v>
      </c>
      <c r="U415">
        <v>0</v>
      </c>
      <c r="V415">
        <v>0</v>
      </c>
      <c r="W415">
        <v>0</v>
      </c>
    </row>
    <row r="416" spans="1:23" x14ac:dyDescent="0.35">
      <c r="A416" t="s">
        <v>112</v>
      </c>
      <c r="B416" t="s">
        <v>101</v>
      </c>
      <c r="C416">
        <v>319404.7</v>
      </c>
      <c r="D416">
        <v>3.5937503456015598</v>
      </c>
      <c r="E416">
        <v>0.83553340036861312</v>
      </c>
      <c r="F416">
        <v>15096.69</v>
      </c>
      <c r="G416">
        <v>-1747.62351995877</v>
      </c>
      <c r="H416">
        <v>-1747.62351995877</v>
      </c>
      <c r="I416">
        <v>0.57956335448444818</v>
      </c>
      <c r="J416">
        <v>0.7611739970984327</v>
      </c>
      <c r="K416">
        <v>2.8227868649839349</v>
      </c>
      <c r="L416">
        <v>-1330.245580110249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0</v>
      </c>
      <c r="S416">
        <v>-1747.62351995877</v>
      </c>
      <c r="T416">
        <v>-1330.245580110249</v>
      </c>
      <c r="U416">
        <v>0</v>
      </c>
      <c r="V416">
        <v>0</v>
      </c>
      <c r="W416">
        <v>0</v>
      </c>
    </row>
    <row r="417" spans="1:23" x14ac:dyDescent="0.35">
      <c r="A417" t="s">
        <v>112</v>
      </c>
      <c r="B417" t="s">
        <v>102</v>
      </c>
      <c r="C417">
        <v>321848.7</v>
      </c>
      <c r="D417">
        <v>3.5693170020665148</v>
      </c>
      <c r="E417">
        <v>0.46081514583496269</v>
      </c>
      <c r="F417">
        <v>19263.25</v>
      </c>
      <c r="G417">
        <v>3296.2288795207619</v>
      </c>
      <c r="H417">
        <v>3296.2288795207619</v>
      </c>
      <c r="I417">
        <v>-0.60612920999493936</v>
      </c>
      <c r="J417">
        <v>0.22930169351429011</v>
      </c>
      <c r="K417">
        <v>3.5937503456015598</v>
      </c>
      <c r="L417">
        <v>755.8308642848217</v>
      </c>
      <c r="M417">
        <v>0</v>
      </c>
      <c r="N417">
        <v>0</v>
      </c>
      <c r="O417">
        <v>0</v>
      </c>
      <c r="P417">
        <v>0</v>
      </c>
      <c r="Q417">
        <v>1</v>
      </c>
      <c r="R417">
        <v>0</v>
      </c>
      <c r="S417">
        <v>3296.2288795207619</v>
      </c>
      <c r="T417">
        <v>755.8308642848217</v>
      </c>
      <c r="U417">
        <v>0</v>
      </c>
      <c r="V417">
        <v>0</v>
      </c>
      <c r="W417">
        <v>0</v>
      </c>
    </row>
    <row r="418" spans="1:23" x14ac:dyDescent="0.35">
      <c r="A418" t="s">
        <v>112</v>
      </c>
      <c r="B418" t="s">
        <v>103</v>
      </c>
      <c r="C418">
        <v>324467.20000000001</v>
      </c>
      <c r="D418">
        <v>3.5942604513014862</v>
      </c>
      <c r="E418">
        <v>0.60963212496913655</v>
      </c>
      <c r="F418">
        <v>26370.25</v>
      </c>
      <c r="G418">
        <v>6352.7743362205329</v>
      </c>
      <c r="H418">
        <v>6352.7743362205329</v>
      </c>
      <c r="I418">
        <v>-0.13523892511337271</v>
      </c>
      <c r="J418">
        <v>0.43278978726369749</v>
      </c>
      <c r="K418">
        <v>3.5693170020665148</v>
      </c>
      <c r="L418">
        <v>2749.415853507162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6352.7743362205329</v>
      </c>
      <c r="T418">
        <v>2749.415853507162</v>
      </c>
      <c r="U418">
        <v>0</v>
      </c>
      <c r="V418">
        <v>0</v>
      </c>
      <c r="W418">
        <v>0</v>
      </c>
    </row>
    <row r="419" spans="1:23" x14ac:dyDescent="0.35">
      <c r="A419" t="s">
        <v>112</v>
      </c>
      <c r="B419" t="s">
        <v>104</v>
      </c>
      <c r="C419">
        <v>326246.59999999998</v>
      </c>
      <c r="D419">
        <v>3.0341985974111658</v>
      </c>
      <c r="E419">
        <v>-4.0782939207617643E-2</v>
      </c>
      <c r="F419">
        <v>48145.7</v>
      </c>
      <c r="G419">
        <v>21516.57673025272</v>
      </c>
      <c r="H419">
        <v>21516.57673025272</v>
      </c>
      <c r="I419">
        <v>-2.1932980030719209</v>
      </c>
      <c r="J419">
        <v>1.229008743323442E-2</v>
      </c>
      <c r="K419">
        <v>3.5942604513014862</v>
      </c>
      <c r="L419">
        <v>264.44060927870322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1</v>
      </c>
      <c r="S419">
        <v>0</v>
      </c>
      <c r="T419">
        <v>0</v>
      </c>
      <c r="U419">
        <v>0</v>
      </c>
      <c r="V419">
        <v>0</v>
      </c>
      <c r="W419">
        <v>0</v>
      </c>
    </row>
    <row r="420" spans="1:23" x14ac:dyDescent="0.35">
      <c r="A420" t="s">
        <v>112</v>
      </c>
      <c r="B420" t="s">
        <v>105</v>
      </c>
      <c r="C420">
        <v>328577.3</v>
      </c>
      <c r="D420">
        <v>2.831317150404483</v>
      </c>
      <c r="E420">
        <v>3.9935192810109987E-2</v>
      </c>
      <c r="F420">
        <v>80038.14</v>
      </c>
      <c r="G420">
        <v>32860.236300339107</v>
      </c>
      <c r="H420">
        <v>32860.236300339107</v>
      </c>
      <c r="I420">
        <v>-1.9378877373745751</v>
      </c>
      <c r="J420">
        <v>2.031691244520006E-2</v>
      </c>
      <c r="K420">
        <v>3.0341985974111658</v>
      </c>
      <c r="L420">
        <v>667.61854384257447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0</v>
      </c>
      <c r="U420">
        <v>0</v>
      </c>
      <c r="V420">
        <v>0</v>
      </c>
      <c r="W420">
        <v>0</v>
      </c>
    </row>
    <row r="421" spans="1:23" x14ac:dyDescent="0.35">
      <c r="A421" t="s">
        <v>112</v>
      </c>
      <c r="B421" t="s">
        <v>106</v>
      </c>
      <c r="C421">
        <v>330538.8</v>
      </c>
      <c r="D421">
        <v>2.6642490941349979</v>
      </c>
      <c r="E421">
        <v>-6.8935251846999876E-2</v>
      </c>
      <c r="F421">
        <v>106862.2</v>
      </c>
      <c r="G421">
        <v>30173.051455287681</v>
      </c>
      <c r="H421">
        <v>30173.051455287681</v>
      </c>
      <c r="I421">
        <v>-2.2823782316584822</v>
      </c>
      <c r="J421">
        <v>1.0305113586716709E-2</v>
      </c>
      <c r="K421">
        <v>2.831317150404483</v>
      </c>
      <c r="L421">
        <v>310.93672250458758</v>
      </c>
      <c r="M421">
        <v>0</v>
      </c>
      <c r="N421">
        <v>0</v>
      </c>
      <c r="O421">
        <v>0</v>
      </c>
      <c r="P421">
        <v>0</v>
      </c>
      <c r="Q421">
        <v>1</v>
      </c>
      <c r="R421">
        <v>0</v>
      </c>
      <c r="S421">
        <v>30173.051455287681</v>
      </c>
      <c r="T421">
        <v>310.93672250458758</v>
      </c>
      <c r="U421">
        <v>0</v>
      </c>
      <c r="V421">
        <v>0</v>
      </c>
      <c r="W421">
        <v>0</v>
      </c>
    </row>
    <row r="422" spans="1:23" x14ac:dyDescent="0.35">
      <c r="A422" t="s">
        <v>112</v>
      </c>
      <c r="B422" t="s">
        <v>107</v>
      </c>
      <c r="C422">
        <v>333076.2</v>
      </c>
      <c r="D422">
        <v>2.6186840179023481</v>
      </c>
      <c r="E422">
        <v>-4.8486214405895553E-2</v>
      </c>
      <c r="F422">
        <v>94947.06</v>
      </c>
      <c r="G422">
        <v>-5865.0461574176588</v>
      </c>
      <c r="H422">
        <v>-5865.0461574176588</v>
      </c>
      <c r="I422">
        <v>-2.217672892776998</v>
      </c>
      <c r="J422">
        <v>1.171216679993926E-2</v>
      </c>
      <c r="K422">
        <v>2.6642490941349979</v>
      </c>
      <c r="L422">
        <v>-68.692398885018463</v>
      </c>
      <c r="M422">
        <v>0</v>
      </c>
      <c r="N422">
        <v>0</v>
      </c>
      <c r="O422">
        <v>0</v>
      </c>
      <c r="P422">
        <v>0</v>
      </c>
      <c r="Q422">
        <v>1</v>
      </c>
      <c r="R422">
        <v>0</v>
      </c>
      <c r="S422">
        <v>-5865.0461574176588</v>
      </c>
      <c r="T422">
        <v>-68.692398885018463</v>
      </c>
      <c r="U422">
        <v>0</v>
      </c>
      <c r="V422">
        <v>0</v>
      </c>
      <c r="W422">
        <v>0</v>
      </c>
    </row>
    <row r="423" spans="1:23" x14ac:dyDescent="0.35">
      <c r="A423" t="s">
        <v>112</v>
      </c>
      <c r="B423" t="s">
        <v>108</v>
      </c>
      <c r="C423">
        <v>335153.90000000002</v>
      </c>
      <c r="D423">
        <v>2.6936292190237272</v>
      </c>
      <c r="E423">
        <v>-0.1130778428156369</v>
      </c>
      <c r="F423">
        <v>81871.73</v>
      </c>
      <c r="G423">
        <v>-6116.8052336188266</v>
      </c>
      <c r="H423">
        <v>-6116.8052336188266</v>
      </c>
      <c r="I423">
        <v>-2.4220552856987401</v>
      </c>
      <c r="J423">
        <v>7.8130931261429174E-3</v>
      </c>
      <c r="K423">
        <v>2.6186840179023481</v>
      </c>
      <c r="L423">
        <v>-47.791168924742273</v>
      </c>
      <c r="M423">
        <v>0</v>
      </c>
      <c r="N423">
        <v>0</v>
      </c>
      <c r="O423">
        <v>0</v>
      </c>
      <c r="P423">
        <v>0</v>
      </c>
      <c r="Q423">
        <v>1</v>
      </c>
      <c r="R423">
        <v>0</v>
      </c>
      <c r="S423">
        <v>-6116.8052336188266</v>
      </c>
      <c r="T423">
        <v>-47.791168924742273</v>
      </c>
      <c r="U423">
        <v>0</v>
      </c>
      <c r="V423">
        <v>0</v>
      </c>
      <c r="W423">
        <v>0</v>
      </c>
    </row>
    <row r="424" spans="1:23" x14ac:dyDescent="0.35">
      <c r="A424" t="s">
        <v>112</v>
      </c>
      <c r="B424" t="s">
        <v>109</v>
      </c>
      <c r="C424">
        <v>337477</v>
      </c>
      <c r="D424">
        <v>2.6725237574759482</v>
      </c>
      <c r="E424">
        <v>0.29481685807748848</v>
      </c>
      <c r="F424">
        <v>77922.84</v>
      </c>
      <c r="G424">
        <v>1879.7276364797731</v>
      </c>
      <c r="H424">
        <v>1879.7276364797731</v>
      </c>
      <c r="I424">
        <v>-1.1313850071946241</v>
      </c>
      <c r="J424">
        <v>9.4253627223275752E-2</v>
      </c>
      <c r="K424">
        <v>2.6936292190237272</v>
      </c>
      <c r="L424">
        <v>177.17114793005371</v>
      </c>
      <c r="M424">
        <v>0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1879.7276364797731</v>
      </c>
      <c r="T424">
        <v>177.17114793005371</v>
      </c>
      <c r="U424">
        <v>0</v>
      </c>
      <c r="V424">
        <v>0</v>
      </c>
      <c r="W424">
        <v>0</v>
      </c>
    </row>
    <row r="425" spans="1:23" x14ac:dyDescent="0.35">
      <c r="A425" t="s">
        <v>113</v>
      </c>
      <c r="B425" t="s">
        <v>4</v>
      </c>
      <c r="C425">
        <v>431476.2</v>
      </c>
      <c r="F425">
        <v>5832.3329999999996</v>
      </c>
      <c r="G425">
        <v>-3714.5931994258599</v>
      </c>
      <c r="H425">
        <v>-3714.5931994258599</v>
      </c>
      <c r="M425">
        <v>0</v>
      </c>
      <c r="N425">
        <v>0</v>
      </c>
    </row>
    <row r="426" spans="1:23" x14ac:dyDescent="0.35">
      <c r="A426" t="s">
        <v>113</v>
      </c>
      <c r="B426" t="s">
        <v>5</v>
      </c>
      <c r="C426">
        <v>436441.5</v>
      </c>
      <c r="F426">
        <v>5569.9409999999998</v>
      </c>
      <c r="G426">
        <v>-1919.831103877337</v>
      </c>
      <c r="H426">
        <v>-1919.831103877337</v>
      </c>
      <c r="M426">
        <v>0</v>
      </c>
      <c r="N426">
        <v>0</v>
      </c>
    </row>
    <row r="427" spans="1:23" x14ac:dyDescent="0.35">
      <c r="A427" t="s">
        <v>113</v>
      </c>
      <c r="B427" t="s">
        <v>6</v>
      </c>
      <c r="C427">
        <v>439852.79999999999</v>
      </c>
      <c r="F427">
        <v>13816.67</v>
      </c>
      <c r="G427">
        <v>6474.4940275934759</v>
      </c>
      <c r="H427">
        <v>6474.4940275934759</v>
      </c>
      <c r="M427">
        <v>0</v>
      </c>
      <c r="N427">
        <v>0</v>
      </c>
    </row>
    <row r="428" spans="1:23" x14ac:dyDescent="0.35">
      <c r="A428" t="s">
        <v>113</v>
      </c>
      <c r="B428" t="s">
        <v>7</v>
      </c>
      <c r="C428">
        <v>442456.7</v>
      </c>
      <c r="F428">
        <v>11881.05</v>
      </c>
      <c r="G428">
        <v>-3395.2229350538159</v>
      </c>
      <c r="H428">
        <v>-3395.2229350538159</v>
      </c>
      <c r="M428">
        <v>0</v>
      </c>
      <c r="N428">
        <v>0</v>
      </c>
    </row>
    <row r="429" spans="1:23" x14ac:dyDescent="0.35">
      <c r="A429" t="s">
        <v>113</v>
      </c>
      <c r="B429" t="s">
        <v>8</v>
      </c>
      <c r="C429">
        <v>444659</v>
      </c>
      <c r="D429">
        <v>3.0095343708258451</v>
      </c>
      <c r="F429">
        <v>22324.51</v>
      </c>
      <c r="G429">
        <v>9331.4609908810216</v>
      </c>
      <c r="H429">
        <v>9331.4609908810216</v>
      </c>
      <c r="M429">
        <v>0</v>
      </c>
      <c r="N429">
        <v>0</v>
      </c>
      <c r="Q429">
        <v>0</v>
      </c>
      <c r="R429">
        <v>1</v>
      </c>
      <c r="S429">
        <v>0</v>
      </c>
      <c r="U429">
        <v>0</v>
      </c>
      <c r="V429">
        <v>0</v>
      </c>
    </row>
    <row r="430" spans="1:23" x14ac:dyDescent="0.35">
      <c r="A430" t="s">
        <v>113</v>
      </c>
      <c r="B430" t="s">
        <v>9</v>
      </c>
      <c r="C430">
        <v>444855.3</v>
      </c>
      <c r="D430">
        <v>1.9094715068626871</v>
      </c>
      <c r="F430">
        <v>13179.21</v>
      </c>
      <c r="G430">
        <v>-9943.8528374191192</v>
      </c>
      <c r="H430">
        <v>-9943.8528374191192</v>
      </c>
      <c r="K430">
        <v>3.0095343708258451</v>
      </c>
      <c r="M430">
        <v>0</v>
      </c>
      <c r="N430">
        <v>0</v>
      </c>
      <c r="Q430">
        <v>0</v>
      </c>
      <c r="R430">
        <v>1</v>
      </c>
      <c r="S430">
        <v>0</v>
      </c>
      <c r="U430">
        <v>0</v>
      </c>
      <c r="V430">
        <v>0</v>
      </c>
    </row>
    <row r="431" spans="1:23" x14ac:dyDescent="0.35">
      <c r="A431" t="s">
        <v>113</v>
      </c>
      <c r="B431" t="s">
        <v>10</v>
      </c>
      <c r="C431">
        <v>447420</v>
      </c>
      <c r="D431">
        <v>1.705762529881174</v>
      </c>
      <c r="F431">
        <v>25155.95</v>
      </c>
      <c r="G431">
        <v>11353.658528725049</v>
      </c>
      <c r="H431">
        <v>11353.658528725049</v>
      </c>
      <c r="K431">
        <v>1.9094715068626871</v>
      </c>
      <c r="M431">
        <v>0</v>
      </c>
      <c r="N431">
        <v>0</v>
      </c>
      <c r="Q431">
        <v>0</v>
      </c>
      <c r="R431">
        <v>1</v>
      </c>
      <c r="S431">
        <v>0</v>
      </c>
      <c r="U431">
        <v>0</v>
      </c>
      <c r="V431">
        <v>0</v>
      </c>
    </row>
    <row r="432" spans="1:23" x14ac:dyDescent="0.35">
      <c r="A432" t="s">
        <v>113</v>
      </c>
      <c r="B432" t="s">
        <v>11</v>
      </c>
      <c r="C432">
        <v>445445.9</v>
      </c>
      <c r="D432">
        <v>0.67331963960295049</v>
      </c>
      <c r="F432">
        <v>23448.18</v>
      </c>
      <c r="G432">
        <v>-2327.5821782993439</v>
      </c>
      <c r="H432">
        <v>-2327.5821782993439</v>
      </c>
      <c r="K432">
        <v>1.705762529881174</v>
      </c>
      <c r="M432">
        <v>0</v>
      </c>
      <c r="N432">
        <v>0</v>
      </c>
      <c r="Q432">
        <v>0</v>
      </c>
      <c r="R432">
        <v>1</v>
      </c>
      <c r="S432">
        <v>0</v>
      </c>
      <c r="U432">
        <v>0</v>
      </c>
      <c r="V432">
        <v>0</v>
      </c>
    </row>
    <row r="433" spans="1:23" x14ac:dyDescent="0.35">
      <c r="A433" t="s">
        <v>113</v>
      </c>
      <c r="B433" t="s">
        <v>12</v>
      </c>
      <c r="C433">
        <v>448014.5</v>
      </c>
      <c r="D433">
        <v>0.75179016831290602</v>
      </c>
      <c r="E433">
        <v>0.79742296439265015</v>
      </c>
      <c r="F433">
        <v>22597.360000000001</v>
      </c>
      <c r="G433">
        <v>-922.17355643885821</v>
      </c>
      <c r="H433">
        <v>-922.17355643885821</v>
      </c>
      <c r="I433">
        <v>0.4589733911745365</v>
      </c>
      <c r="J433">
        <v>0.71462356380121062</v>
      </c>
      <c r="K433">
        <v>0.67331963960295049</v>
      </c>
      <c r="L433">
        <v>-659.00695334557372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1</v>
      </c>
      <c r="S433">
        <v>0</v>
      </c>
      <c r="T433">
        <v>0</v>
      </c>
      <c r="U433">
        <v>0</v>
      </c>
      <c r="V433">
        <v>0</v>
      </c>
      <c r="W433">
        <v>0</v>
      </c>
    </row>
    <row r="434" spans="1:23" x14ac:dyDescent="0.35">
      <c r="A434" t="s">
        <v>113</v>
      </c>
      <c r="B434" t="s">
        <v>13</v>
      </c>
      <c r="C434">
        <v>450143.3</v>
      </c>
      <c r="D434">
        <v>1.181691576797788</v>
      </c>
      <c r="E434">
        <v>0.83375337901225111</v>
      </c>
      <c r="F434">
        <v>17938.45</v>
      </c>
      <c r="G434">
        <v>-4851.7453407365683</v>
      </c>
      <c r="H434">
        <v>-4851.7453407365683</v>
      </c>
      <c r="I434">
        <v>0.57393096785444642</v>
      </c>
      <c r="J434">
        <v>0.75912017411931076</v>
      </c>
      <c r="K434">
        <v>0.75179016831290602</v>
      </c>
      <c r="L434">
        <v>-3683.0577678424979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</v>
      </c>
      <c r="S434">
        <v>0</v>
      </c>
      <c r="T434">
        <v>0</v>
      </c>
      <c r="U434">
        <v>0</v>
      </c>
      <c r="V434">
        <v>0</v>
      </c>
      <c r="W434">
        <v>0</v>
      </c>
    </row>
    <row r="435" spans="1:23" x14ac:dyDescent="0.35">
      <c r="A435" t="s">
        <v>113</v>
      </c>
      <c r="B435" t="s">
        <v>14</v>
      </c>
      <c r="C435">
        <v>451956.1</v>
      </c>
      <c r="D435">
        <v>1.0087300437836499</v>
      </c>
      <c r="E435">
        <v>0.8790550911599404</v>
      </c>
      <c r="F435">
        <v>14136.45</v>
      </c>
      <c r="G435">
        <v>-4222.8378093282299</v>
      </c>
      <c r="H435">
        <v>-4222.8378093282299</v>
      </c>
      <c r="I435">
        <v>0.71727574116566262</v>
      </c>
      <c r="J435">
        <v>0.80760949897853629</v>
      </c>
      <c r="K435">
        <v>1.181691576797788</v>
      </c>
      <c r="L435">
        <v>-3410.403927459191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</row>
    <row r="436" spans="1:23" x14ac:dyDescent="0.35">
      <c r="A436" t="s">
        <v>113</v>
      </c>
      <c r="B436" t="s">
        <v>15</v>
      </c>
      <c r="C436">
        <v>452344.9</v>
      </c>
      <c r="D436">
        <v>1.5369139003831629</v>
      </c>
      <c r="E436">
        <v>0.95790048950492057</v>
      </c>
      <c r="F436">
        <v>27832.880000000001</v>
      </c>
      <c r="G436">
        <v>12885.617455236321</v>
      </c>
      <c r="H436">
        <v>12885.617455236321</v>
      </c>
      <c r="I436">
        <v>0.96676025767902385</v>
      </c>
      <c r="J436">
        <v>0.87363857589982796</v>
      </c>
      <c r="K436">
        <v>1.0087300437836499</v>
      </c>
      <c r="L436">
        <v>11257.372483182629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</row>
    <row r="437" spans="1:23" x14ac:dyDescent="0.35">
      <c r="A437" t="s">
        <v>113</v>
      </c>
      <c r="B437" t="s">
        <v>16</v>
      </c>
      <c r="C437">
        <v>453618.3</v>
      </c>
      <c r="D437">
        <v>1.24304975524487</v>
      </c>
      <c r="E437">
        <v>0.92941087641527109</v>
      </c>
      <c r="F437">
        <v>25718.62</v>
      </c>
      <c r="G437">
        <v>-2578.9762101676129</v>
      </c>
      <c r="H437">
        <v>-2578.9762101676129</v>
      </c>
      <c r="I437">
        <v>0.87661273484928537</v>
      </c>
      <c r="J437">
        <v>0.85235916629983643</v>
      </c>
      <c r="K437">
        <v>1.5369139003831629</v>
      </c>
      <c r="L437">
        <v>-2198.2140124055791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</row>
    <row r="438" spans="1:23" x14ac:dyDescent="0.35">
      <c r="A438" t="s">
        <v>113</v>
      </c>
      <c r="B438" t="s">
        <v>17</v>
      </c>
      <c r="C438">
        <v>451662.9</v>
      </c>
      <c r="D438">
        <v>0.33701286113838103</v>
      </c>
      <c r="E438">
        <v>0.91810423364612903</v>
      </c>
      <c r="F438">
        <v>34454.82</v>
      </c>
      <c r="G438">
        <v>8892.3153268391106</v>
      </c>
      <c r="H438">
        <v>8892.3153268391106</v>
      </c>
      <c r="I438">
        <v>0.84083598232015955</v>
      </c>
      <c r="J438">
        <v>0.8431257998808559</v>
      </c>
      <c r="K438">
        <v>1.24304975524487</v>
      </c>
      <c r="L438">
        <v>7497.3404727340194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</row>
    <row r="439" spans="1:23" x14ac:dyDescent="0.35">
      <c r="A439" t="s">
        <v>113</v>
      </c>
      <c r="B439" t="s">
        <v>18</v>
      </c>
      <c r="C439">
        <v>456638.9</v>
      </c>
      <c r="D439">
        <v>1.030787416418542</v>
      </c>
      <c r="E439">
        <v>0.90886022437255864</v>
      </c>
      <c r="F439">
        <v>23886.34</v>
      </c>
      <c r="G439">
        <v>-10175.62221530782</v>
      </c>
      <c r="H439">
        <v>-10175.62221530782</v>
      </c>
      <c r="I439">
        <v>0.81158586458759352</v>
      </c>
      <c r="J439">
        <v>0.83523208566375773</v>
      </c>
      <c r="K439">
        <v>0.33701286113838103</v>
      </c>
      <c r="L439">
        <v>-8499.0061658180148</v>
      </c>
      <c r="M439">
        <v>0</v>
      </c>
      <c r="N439">
        <v>0</v>
      </c>
      <c r="O439">
        <v>0</v>
      </c>
      <c r="P439">
        <v>0</v>
      </c>
      <c r="Q439">
        <v>1</v>
      </c>
      <c r="R439">
        <v>0</v>
      </c>
      <c r="S439">
        <v>-10175.62221530782</v>
      </c>
      <c r="T439">
        <v>-8499.0061658180148</v>
      </c>
      <c r="U439">
        <v>0</v>
      </c>
      <c r="V439">
        <v>0</v>
      </c>
      <c r="W439">
        <v>0</v>
      </c>
    </row>
    <row r="440" spans="1:23" x14ac:dyDescent="0.35">
      <c r="A440" t="s">
        <v>113</v>
      </c>
      <c r="B440" t="s">
        <v>19</v>
      </c>
      <c r="C440">
        <v>458359.1</v>
      </c>
      <c r="D440">
        <v>1.3207996081624369</v>
      </c>
      <c r="E440">
        <v>0.90108215068435848</v>
      </c>
      <c r="F440">
        <v>12058.21</v>
      </c>
      <c r="G440">
        <v>-11403.891117199109</v>
      </c>
      <c r="H440">
        <v>-11403.891117199109</v>
      </c>
      <c r="I440">
        <v>0.78697429569151911</v>
      </c>
      <c r="J440">
        <v>0.82834578284222005</v>
      </c>
      <c r="K440">
        <v>1.030787416418542</v>
      </c>
      <c r="L440">
        <v>-9446.3651149237394</v>
      </c>
      <c r="M440">
        <v>0</v>
      </c>
      <c r="N440">
        <v>0</v>
      </c>
      <c r="O440">
        <v>0</v>
      </c>
      <c r="P440">
        <v>0</v>
      </c>
      <c r="Q440">
        <v>1</v>
      </c>
      <c r="R440">
        <v>0</v>
      </c>
      <c r="S440">
        <v>-11403.891117199109</v>
      </c>
      <c r="T440">
        <v>-9446.3651149237394</v>
      </c>
      <c r="U440">
        <v>0</v>
      </c>
      <c r="V440">
        <v>0</v>
      </c>
      <c r="W440">
        <v>0</v>
      </c>
    </row>
    <row r="441" spans="1:23" x14ac:dyDescent="0.35">
      <c r="A441" t="s">
        <v>113</v>
      </c>
      <c r="B441" t="s">
        <v>20</v>
      </c>
      <c r="C441">
        <v>463090.1</v>
      </c>
      <c r="D441">
        <v>2.066554007089926</v>
      </c>
      <c r="E441">
        <v>0.89304575582811829</v>
      </c>
      <c r="F441">
        <v>16122.31</v>
      </c>
      <c r="G441">
        <v>3477.0160780143342</v>
      </c>
      <c r="H441">
        <v>3477.0160780143342</v>
      </c>
      <c r="I441">
        <v>0.76154534070739865</v>
      </c>
      <c r="J441">
        <v>0.82099314834603054</v>
      </c>
      <c r="K441">
        <v>1.3207996081624369</v>
      </c>
      <c r="L441">
        <v>2854.606376738755</v>
      </c>
      <c r="M441">
        <v>0</v>
      </c>
      <c r="N441">
        <v>0</v>
      </c>
      <c r="O441">
        <v>0</v>
      </c>
      <c r="P441">
        <v>0</v>
      </c>
      <c r="Q441">
        <v>1</v>
      </c>
      <c r="R441">
        <v>0</v>
      </c>
      <c r="S441">
        <v>3477.0160780143342</v>
      </c>
      <c r="T441">
        <v>2854.606376738755</v>
      </c>
      <c r="U441">
        <v>0</v>
      </c>
      <c r="V441">
        <v>0</v>
      </c>
      <c r="W441">
        <v>0</v>
      </c>
    </row>
    <row r="442" spans="1:23" x14ac:dyDescent="0.35">
      <c r="A442" t="s">
        <v>113</v>
      </c>
      <c r="B442" t="s">
        <v>21</v>
      </c>
      <c r="C442">
        <v>465190.7</v>
      </c>
      <c r="D442">
        <v>2.9511323915607912</v>
      </c>
      <c r="E442">
        <v>0.89545781554742399</v>
      </c>
      <c r="F442">
        <v>9975.3389999999999</v>
      </c>
      <c r="G442">
        <v>-7181.6860400218247</v>
      </c>
      <c r="H442">
        <v>-7181.6860400218247</v>
      </c>
      <c r="I442">
        <v>0.76917763841283149</v>
      </c>
      <c r="J442">
        <v>0.82322550365868885</v>
      </c>
      <c r="K442">
        <v>2.066554007089926</v>
      </c>
      <c r="L442">
        <v>-5912.1471074155425</v>
      </c>
      <c r="M442">
        <v>0</v>
      </c>
      <c r="N442">
        <v>0</v>
      </c>
      <c r="O442">
        <v>0</v>
      </c>
      <c r="P442">
        <v>0</v>
      </c>
      <c r="Q442">
        <v>1</v>
      </c>
      <c r="R442">
        <v>0</v>
      </c>
      <c r="S442">
        <v>-7181.6860400218247</v>
      </c>
      <c r="T442">
        <v>-5912.1471074155425</v>
      </c>
      <c r="U442">
        <v>0</v>
      </c>
      <c r="V442">
        <v>0</v>
      </c>
      <c r="W442">
        <v>0</v>
      </c>
    </row>
    <row r="443" spans="1:23" x14ac:dyDescent="0.35">
      <c r="A443" t="s">
        <v>113</v>
      </c>
      <c r="B443" t="s">
        <v>22</v>
      </c>
      <c r="C443">
        <v>466838.2</v>
      </c>
      <c r="D443">
        <v>2.2089805440203292</v>
      </c>
      <c r="E443">
        <v>0.58317561378437122</v>
      </c>
      <c r="F443">
        <v>14397.81</v>
      </c>
      <c r="G443">
        <v>3353.6931959349681</v>
      </c>
      <c r="H443">
        <v>3353.6931959349681</v>
      </c>
      <c r="I443">
        <v>-0.21895325772009919</v>
      </c>
      <c r="J443">
        <v>0.39223991761599608</v>
      </c>
      <c r="K443">
        <v>2.9511323915607912</v>
      </c>
      <c r="L443">
        <v>1315.4523428828591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1</v>
      </c>
      <c r="S443">
        <v>0</v>
      </c>
      <c r="T443">
        <v>0</v>
      </c>
      <c r="U443">
        <v>0</v>
      </c>
      <c r="V443">
        <v>0</v>
      </c>
      <c r="W443">
        <v>0</v>
      </c>
    </row>
    <row r="444" spans="1:23" x14ac:dyDescent="0.35">
      <c r="A444" t="s">
        <v>113</v>
      </c>
      <c r="B444" t="s">
        <v>23</v>
      </c>
      <c r="C444">
        <v>471008.3</v>
      </c>
      <c r="D444">
        <v>2.7222777907632789</v>
      </c>
      <c r="E444">
        <v>0.54833308010088799</v>
      </c>
      <c r="F444">
        <v>13202.73</v>
      </c>
      <c r="G444">
        <v>-2405.1200373209231</v>
      </c>
      <c r="H444">
        <v>-2405.1200373209231</v>
      </c>
      <c r="I444">
        <v>-0.3292028455538798</v>
      </c>
      <c r="J444">
        <v>0.34109784180852848</v>
      </c>
      <c r="K444">
        <v>2.2089805440203292</v>
      </c>
      <c r="L444">
        <v>-820.38125402061428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1</v>
      </c>
      <c r="S444">
        <v>0</v>
      </c>
      <c r="T444">
        <v>0</v>
      </c>
      <c r="U444">
        <v>0</v>
      </c>
      <c r="V444">
        <v>0</v>
      </c>
      <c r="W444">
        <v>0</v>
      </c>
    </row>
    <row r="445" spans="1:23" x14ac:dyDescent="0.35">
      <c r="A445" t="s">
        <v>113</v>
      </c>
      <c r="B445" t="s">
        <v>24</v>
      </c>
      <c r="C445">
        <v>472380.8</v>
      </c>
      <c r="D445">
        <v>1.9863804388806741</v>
      </c>
      <c r="E445">
        <v>0.74174941920246984</v>
      </c>
      <c r="F445">
        <v>11537.9</v>
      </c>
      <c r="G445">
        <v>-2694.6719418449161</v>
      </c>
      <c r="H445">
        <v>-2694.6719418449161</v>
      </c>
      <c r="I445">
        <v>0.28280981288193963</v>
      </c>
      <c r="J445">
        <v>0.63775181353057231</v>
      </c>
      <c r="K445">
        <v>2.7222777907632789</v>
      </c>
      <c r="L445">
        <v>-1718.5319177815441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1</v>
      </c>
      <c r="S445">
        <v>0</v>
      </c>
      <c r="T445">
        <v>0</v>
      </c>
      <c r="U445">
        <v>0</v>
      </c>
      <c r="V445">
        <v>0</v>
      </c>
      <c r="W445">
        <v>0</v>
      </c>
    </row>
    <row r="446" spans="1:23" x14ac:dyDescent="0.35">
      <c r="A446" t="s">
        <v>113</v>
      </c>
      <c r="B446" t="s">
        <v>25</v>
      </c>
      <c r="C446">
        <v>473386.8</v>
      </c>
      <c r="D446">
        <v>1.7465384251298821</v>
      </c>
      <c r="E446">
        <v>0.70037615434459854</v>
      </c>
      <c r="F446">
        <v>11866.98</v>
      </c>
      <c r="G446">
        <v>-828.06583405836682</v>
      </c>
      <c r="H446">
        <v>-828.06583405836682</v>
      </c>
      <c r="I446">
        <v>0.15189552750433999</v>
      </c>
      <c r="J446">
        <v>0.5753690091383129</v>
      </c>
      <c r="K446">
        <v>1.9863804388806741</v>
      </c>
      <c r="L446">
        <v>-476.44341844345308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</row>
    <row r="447" spans="1:23" x14ac:dyDescent="0.35">
      <c r="A447" t="s">
        <v>113</v>
      </c>
      <c r="B447" t="s">
        <v>26</v>
      </c>
      <c r="C447">
        <v>477075.1</v>
      </c>
      <c r="D447">
        <v>2.169119001762017</v>
      </c>
      <c r="E447">
        <v>0.89185908254976332</v>
      </c>
      <c r="F447">
        <v>20193.73</v>
      </c>
      <c r="G447">
        <v>7096.9915636258847</v>
      </c>
      <c r="H447">
        <v>7096.9915636258847</v>
      </c>
      <c r="I447">
        <v>0.7577904404174115</v>
      </c>
      <c r="J447">
        <v>0.81988682082151321</v>
      </c>
      <c r="K447">
        <v>1.7465384251298821</v>
      </c>
      <c r="L447">
        <v>5818.7298504983264</v>
      </c>
      <c r="M447">
        <v>0</v>
      </c>
      <c r="N447">
        <v>0</v>
      </c>
      <c r="O447">
        <v>0</v>
      </c>
      <c r="P447">
        <v>0</v>
      </c>
      <c r="Q447">
        <v>1</v>
      </c>
      <c r="R447">
        <v>0</v>
      </c>
      <c r="S447">
        <v>7096.9915636258847</v>
      </c>
      <c r="T447">
        <v>5818.7298504983264</v>
      </c>
      <c r="U447">
        <v>0</v>
      </c>
      <c r="V447">
        <v>0</v>
      </c>
      <c r="W447">
        <v>0</v>
      </c>
    </row>
    <row r="448" spans="1:23" x14ac:dyDescent="0.35">
      <c r="A448" t="s">
        <v>113</v>
      </c>
      <c r="B448" t="s">
        <v>27</v>
      </c>
      <c r="C448">
        <v>480362</v>
      </c>
      <c r="D448">
        <v>1.966427038599351</v>
      </c>
      <c r="E448">
        <v>0.84160127957997377</v>
      </c>
      <c r="F448">
        <v>12165.63</v>
      </c>
      <c r="G448">
        <v>-8911.6409368498116</v>
      </c>
      <c r="H448">
        <v>-8911.6409368498116</v>
      </c>
      <c r="I448">
        <v>0.59876348465164098</v>
      </c>
      <c r="J448">
        <v>0.76808455296698541</v>
      </c>
      <c r="K448">
        <v>2.169119001762017</v>
      </c>
      <c r="L448">
        <v>-6844.893745182575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</row>
    <row r="449" spans="1:23" x14ac:dyDescent="0.35">
      <c r="A449" t="s">
        <v>113</v>
      </c>
      <c r="B449" t="s">
        <v>28</v>
      </c>
      <c r="C449">
        <v>484500.5</v>
      </c>
      <c r="D449">
        <v>2.5333023347234129</v>
      </c>
      <c r="E449">
        <v>0.7563984151825609</v>
      </c>
      <c r="F449">
        <v>11552.83</v>
      </c>
      <c r="G449">
        <v>-1385.556303605184</v>
      </c>
      <c r="H449">
        <v>-1385.556303605184</v>
      </c>
      <c r="I449">
        <v>0.32916252028419568</v>
      </c>
      <c r="J449">
        <v>0.65888403174206056</v>
      </c>
      <c r="K449">
        <v>1.966427038599351</v>
      </c>
      <c r="L449">
        <v>-912.92092352501049</v>
      </c>
      <c r="M449">
        <v>0</v>
      </c>
      <c r="N449">
        <v>0</v>
      </c>
      <c r="O449">
        <v>0</v>
      </c>
      <c r="P449">
        <v>0</v>
      </c>
      <c r="Q449">
        <v>1</v>
      </c>
      <c r="R449">
        <v>0</v>
      </c>
      <c r="S449">
        <v>-1385.556303605184</v>
      </c>
      <c r="T449">
        <v>-912.92092352501049</v>
      </c>
      <c r="U449">
        <v>0</v>
      </c>
      <c r="V449">
        <v>0</v>
      </c>
      <c r="W449">
        <v>0</v>
      </c>
    </row>
    <row r="450" spans="1:23" x14ac:dyDescent="0.35">
      <c r="A450" t="s">
        <v>113</v>
      </c>
      <c r="B450" t="s">
        <v>29</v>
      </c>
      <c r="C450">
        <v>490428.3</v>
      </c>
      <c r="D450">
        <v>3.5366277656004361</v>
      </c>
      <c r="E450">
        <v>0.77590363106817051</v>
      </c>
      <c r="F450">
        <v>8235.1579999999994</v>
      </c>
      <c r="G450">
        <v>-4527.5681324086381</v>
      </c>
      <c r="H450">
        <v>-4527.5681324086381</v>
      </c>
      <c r="I450">
        <v>0.39088139617113399</v>
      </c>
      <c r="J450">
        <v>0.68605991163563429</v>
      </c>
      <c r="K450">
        <v>2.5333023347234129</v>
      </c>
      <c r="L450">
        <v>-3106.1829928445841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</row>
    <row r="451" spans="1:23" x14ac:dyDescent="0.35">
      <c r="A451" t="s">
        <v>113</v>
      </c>
      <c r="B451" t="s">
        <v>30</v>
      </c>
      <c r="C451">
        <v>490781.6</v>
      </c>
      <c r="D451">
        <v>2.8325301477841029</v>
      </c>
      <c r="E451">
        <v>0.71847456432461798</v>
      </c>
      <c r="F451">
        <v>11854.69</v>
      </c>
      <c r="G451">
        <v>2246.9163671678002</v>
      </c>
      <c r="H451">
        <v>2246.9163671678002</v>
      </c>
      <c r="I451">
        <v>0.20916295411774369</v>
      </c>
      <c r="J451">
        <v>0.60308258509125723</v>
      </c>
      <c r="K451">
        <v>3.5366277656004361</v>
      </c>
      <c r="L451">
        <v>1355.0761311954129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</row>
    <row r="452" spans="1:23" x14ac:dyDescent="0.35">
      <c r="A452" t="s">
        <v>113</v>
      </c>
      <c r="B452" t="s">
        <v>31</v>
      </c>
      <c r="C452">
        <v>493380.2</v>
      </c>
      <c r="D452">
        <v>2.6740087250013129</v>
      </c>
      <c r="E452">
        <v>0.814216119891368</v>
      </c>
      <c r="F452">
        <v>9051.4310000000005</v>
      </c>
      <c r="G452">
        <v>-4203.3719888323176</v>
      </c>
      <c r="H452">
        <v>-4203.3719888323176</v>
      </c>
      <c r="I452">
        <v>0.51211069998741099</v>
      </c>
      <c r="J452">
        <v>0.73579406096919697</v>
      </c>
      <c r="K452">
        <v>2.8325301477841029</v>
      </c>
      <c r="L452">
        <v>-3092.8161454271012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1</v>
      </c>
      <c r="S452">
        <v>0</v>
      </c>
      <c r="T452">
        <v>0</v>
      </c>
      <c r="U452">
        <v>0</v>
      </c>
      <c r="V452">
        <v>0</v>
      </c>
      <c r="W452">
        <v>0</v>
      </c>
    </row>
    <row r="453" spans="1:23" x14ac:dyDescent="0.35">
      <c r="A453" t="s">
        <v>113</v>
      </c>
      <c r="B453" t="s">
        <v>32</v>
      </c>
      <c r="C453">
        <v>498552.2</v>
      </c>
      <c r="D453">
        <v>2.8589834740144822</v>
      </c>
      <c r="E453">
        <v>0.89185223803151492</v>
      </c>
      <c r="F453">
        <v>13357.51</v>
      </c>
      <c r="G453">
        <v>2981.2693730277952</v>
      </c>
      <c r="H453">
        <v>2981.2693730277952</v>
      </c>
      <c r="I453">
        <v>0.75776878282721838</v>
      </c>
      <c r="J453">
        <v>0.81988042427529273</v>
      </c>
      <c r="K453">
        <v>2.6740087250013129</v>
      </c>
      <c r="L453">
        <v>2444.2843984369651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1</v>
      </c>
      <c r="S453">
        <v>0</v>
      </c>
      <c r="T453">
        <v>0</v>
      </c>
      <c r="U453">
        <v>0</v>
      </c>
      <c r="V453">
        <v>0</v>
      </c>
      <c r="W453">
        <v>0</v>
      </c>
    </row>
    <row r="454" spans="1:23" x14ac:dyDescent="0.35">
      <c r="A454" t="s">
        <v>113</v>
      </c>
      <c r="B454" t="s">
        <v>33</v>
      </c>
      <c r="C454">
        <v>501817.8</v>
      </c>
      <c r="D454">
        <v>2.2958014652481511</v>
      </c>
      <c r="E454">
        <v>0.89783268112198877</v>
      </c>
      <c r="F454">
        <v>18459.61</v>
      </c>
      <c r="G454">
        <v>3803.4009892178929</v>
      </c>
      <c r="H454">
        <v>3803.4009892178929</v>
      </c>
      <c r="I454">
        <v>0.77669224550584326</v>
      </c>
      <c r="J454">
        <v>0.82540202006272356</v>
      </c>
      <c r="K454">
        <v>2.8589834740144822</v>
      </c>
      <c r="L454">
        <v>3139.33485960901</v>
      </c>
      <c r="M454">
        <v>0</v>
      </c>
      <c r="N454">
        <v>0</v>
      </c>
      <c r="O454">
        <v>0</v>
      </c>
      <c r="P454">
        <v>0</v>
      </c>
      <c r="Q454">
        <v>1</v>
      </c>
      <c r="R454">
        <v>0</v>
      </c>
      <c r="S454">
        <v>3803.4009892178929</v>
      </c>
      <c r="T454">
        <v>3139.33485960901</v>
      </c>
      <c r="U454">
        <v>0</v>
      </c>
      <c r="V454">
        <v>0</v>
      </c>
      <c r="W454">
        <v>0</v>
      </c>
    </row>
    <row r="455" spans="1:23" x14ac:dyDescent="0.35">
      <c r="A455" t="s">
        <v>113</v>
      </c>
      <c r="B455" t="s">
        <v>34</v>
      </c>
      <c r="C455">
        <v>503518.3</v>
      </c>
      <c r="D455">
        <v>2.5620834757621052</v>
      </c>
      <c r="E455">
        <v>0.76647758763207308</v>
      </c>
      <c r="F455">
        <v>21867.71</v>
      </c>
      <c r="G455">
        <v>2532.642848660435</v>
      </c>
      <c r="H455">
        <v>2532.642848660435</v>
      </c>
      <c r="I455">
        <v>0.36105528153855537</v>
      </c>
      <c r="J455">
        <v>0.67307160802442545</v>
      </c>
      <c r="K455">
        <v>2.2958014652481511</v>
      </c>
      <c r="L455">
        <v>1704.64999469944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1</v>
      </c>
      <c r="S455">
        <v>0</v>
      </c>
      <c r="T455">
        <v>0</v>
      </c>
      <c r="U455">
        <v>0</v>
      </c>
      <c r="V455">
        <v>0</v>
      </c>
      <c r="W455">
        <v>0</v>
      </c>
    </row>
    <row r="456" spans="1:23" x14ac:dyDescent="0.35">
      <c r="A456" t="s">
        <v>113</v>
      </c>
      <c r="B456" t="s">
        <v>35</v>
      </c>
      <c r="C456">
        <v>503763.4</v>
      </c>
      <c r="D456">
        <v>2.0826639825546831</v>
      </c>
      <c r="E456">
        <v>0.67032696178596896</v>
      </c>
      <c r="F456">
        <v>13843.68</v>
      </c>
      <c r="G456">
        <v>-8502.2952960938928</v>
      </c>
      <c r="H456">
        <v>-8502.2952960938928</v>
      </c>
      <c r="I456">
        <v>5.6813145596583479E-2</v>
      </c>
      <c r="J456">
        <v>0.52837604925742887</v>
      </c>
      <c r="K456">
        <v>2.5620834757621052</v>
      </c>
      <c r="L456">
        <v>-4492.4091981701122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0</v>
      </c>
      <c r="U456">
        <v>0</v>
      </c>
      <c r="V456">
        <v>0</v>
      </c>
      <c r="W456">
        <v>0</v>
      </c>
    </row>
    <row r="457" spans="1:23" x14ac:dyDescent="0.35">
      <c r="A457" t="s">
        <v>113</v>
      </c>
      <c r="B457" t="s">
        <v>36</v>
      </c>
      <c r="C457">
        <v>508267.3</v>
      </c>
      <c r="D457">
        <v>1.929919223393219</v>
      </c>
      <c r="E457">
        <v>0.72891985018344985</v>
      </c>
      <c r="F457">
        <v>13176.87</v>
      </c>
      <c r="G457">
        <v>-1287.1085488489391</v>
      </c>
      <c r="H457">
        <v>-1287.1085488489391</v>
      </c>
      <c r="I457">
        <v>0.24221418027722741</v>
      </c>
      <c r="J457">
        <v>0.61879302094974675</v>
      </c>
      <c r="K457">
        <v>2.0826639825546831</v>
      </c>
      <c r="L457">
        <v>-796.45378723247961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0</v>
      </c>
      <c r="U457">
        <v>0</v>
      </c>
      <c r="V457">
        <v>0</v>
      </c>
      <c r="W457">
        <v>0</v>
      </c>
    </row>
    <row r="458" spans="1:23" x14ac:dyDescent="0.35">
      <c r="A458" t="s">
        <v>113</v>
      </c>
      <c r="B458" t="s">
        <v>37</v>
      </c>
      <c r="C458">
        <v>504444.5</v>
      </c>
      <c r="D458">
        <v>0.52207182284110065</v>
      </c>
      <c r="E458">
        <v>0.58022497947016005</v>
      </c>
      <c r="F458">
        <v>18019.05</v>
      </c>
      <c r="G458">
        <v>3782.8150578267828</v>
      </c>
      <c r="H458">
        <v>3782.8150578267828</v>
      </c>
      <c r="I458">
        <v>-0.22828972618548521</v>
      </c>
      <c r="J458">
        <v>0.38779758584743912</v>
      </c>
      <c r="K458">
        <v>1.929919223393219</v>
      </c>
      <c r="L458">
        <v>1466.966547132567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0</v>
      </c>
      <c r="U458">
        <v>0</v>
      </c>
      <c r="V458">
        <v>0</v>
      </c>
      <c r="W458">
        <v>0</v>
      </c>
    </row>
    <row r="459" spans="1:23" x14ac:dyDescent="0.35">
      <c r="A459" t="s">
        <v>113</v>
      </c>
      <c r="B459" t="s">
        <v>38</v>
      </c>
      <c r="C459">
        <v>503330.7</v>
      </c>
      <c r="D459">
        <v>-3.7264773997073841E-2</v>
      </c>
      <c r="E459">
        <v>0.61139952213882398</v>
      </c>
      <c r="F459">
        <v>14048.15</v>
      </c>
      <c r="G459">
        <v>-4873.0704452221198</v>
      </c>
      <c r="H459">
        <v>-4873.0704452221198</v>
      </c>
      <c r="I459">
        <v>-0.12964648424019359</v>
      </c>
      <c r="J459">
        <v>0.4355375201410327</v>
      </c>
      <c r="K459">
        <v>0.52207182284110065</v>
      </c>
      <c r="L459">
        <v>-2122.4050171846002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1</v>
      </c>
      <c r="S459">
        <v>0</v>
      </c>
      <c r="T459">
        <v>0</v>
      </c>
      <c r="U459">
        <v>0</v>
      </c>
      <c r="V459">
        <v>0</v>
      </c>
      <c r="W459">
        <v>0</v>
      </c>
    </row>
    <row r="460" spans="1:23" x14ac:dyDescent="0.35">
      <c r="A460" t="s">
        <v>113</v>
      </c>
      <c r="B460" t="s">
        <v>39</v>
      </c>
      <c r="C460">
        <v>496844.5</v>
      </c>
      <c r="D460">
        <v>-1.382961352663941</v>
      </c>
      <c r="E460">
        <v>0.76551779193662972</v>
      </c>
      <c r="F460">
        <v>13245.42</v>
      </c>
      <c r="G460">
        <v>-1612.889016524221</v>
      </c>
      <c r="H460">
        <v>-1612.889016524221</v>
      </c>
      <c r="I460">
        <v>0.35801827278401038</v>
      </c>
      <c r="J460">
        <v>0.67173364102962152</v>
      </c>
      <c r="K460">
        <v>-3.7264773997073841E-2</v>
      </c>
      <c r="L460">
        <v>-1083.4318116464999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1</v>
      </c>
      <c r="S460">
        <v>0</v>
      </c>
      <c r="T460">
        <v>0</v>
      </c>
      <c r="U460">
        <v>0</v>
      </c>
      <c r="V460">
        <v>0</v>
      </c>
      <c r="W460">
        <v>0</v>
      </c>
    </row>
    <row r="461" spans="1:23" x14ac:dyDescent="0.35">
      <c r="A461" t="s">
        <v>113</v>
      </c>
      <c r="B461" t="s">
        <v>40</v>
      </c>
      <c r="C461">
        <v>487397.4</v>
      </c>
      <c r="D461">
        <v>-4.1927683546806476</v>
      </c>
      <c r="E461">
        <v>0.57585363299919545</v>
      </c>
      <c r="F461">
        <v>21794.11</v>
      </c>
      <c r="G461">
        <v>7502.5523747752904</v>
      </c>
      <c r="H461">
        <v>7502.5523747752904</v>
      </c>
      <c r="I461">
        <v>-0.2421216464206935</v>
      </c>
      <c r="J461">
        <v>0.38125063530297759</v>
      </c>
      <c r="K461">
        <v>-1.382961352663941</v>
      </c>
      <c r="L461">
        <v>2860.352859276943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0</v>
      </c>
    </row>
    <row r="462" spans="1:23" x14ac:dyDescent="0.35">
      <c r="A462" t="s">
        <v>113</v>
      </c>
      <c r="B462" t="s">
        <v>41</v>
      </c>
      <c r="C462">
        <v>488281.4</v>
      </c>
      <c r="D462">
        <v>-3.2565944826498301</v>
      </c>
      <c r="E462">
        <v>0.63002365300835239</v>
      </c>
      <c r="F462">
        <v>18972.07</v>
      </c>
      <c r="G462">
        <v>-3571.395125890052</v>
      </c>
      <c r="H462">
        <v>-3571.395125890052</v>
      </c>
      <c r="I462">
        <v>-7.0715558872350801E-2</v>
      </c>
      <c r="J462">
        <v>0.46470104067798212</v>
      </c>
      <c r="K462">
        <v>-4.1927683546806476</v>
      </c>
      <c r="L462">
        <v>-1659.63103167338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0</v>
      </c>
    </row>
    <row r="463" spans="1:23" x14ac:dyDescent="0.35">
      <c r="A463" t="s">
        <v>113</v>
      </c>
      <c r="B463" t="s">
        <v>42</v>
      </c>
      <c r="C463">
        <v>489406.6</v>
      </c>
      <c r="D463">
        <v>-2.8053772520354299</v>
      </c>
      <c r="E463">
        <v>0.74923951150267598</v>
      </c>
      <c r="F463">
        <v>14507.25</v>
      </c>
      <c r="G463">
        <v>-4886.0951899900501</v>
      </c>
      <c r="H463">
        <v>-4886.0951899900501</v>
      </c>
      <c r="I463">
        <v>0.30651014410458421</v>
      </c>
      <c r="J463">
        <v>0.64862946241930319</v>
      </c>
      <c r="K463">
        <v>-3.2565944826498301</v>
      </c>
      <c r="L463">
        <v>-3169.2652964127892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0</v>
      </c>
    </row>
    <row r="464" spans="1:23" x14ac:dyDescent="0.35">
      <c r="A464" t="s">
        <v>113</v>
      </c>
      <c r="B464" t="s">
        <v>43</v>
      </c>
      <c r="C464">
        <v>492951.1</v>
      </c>
      <c r="D464">
        <v>-0.78671193945465712</v>
      </c>
      <c r="E464">
        <v>0.82718606743996892</v>
      </c>
      <c r="F464">
        <v>18951.79</v>
      </c>
      <c r="G464">
        <v>3701.552958534176</v>
      </c>
      <c r="H464">
        <v>3701.552958534176</v>
      </c>
      <c r="I464">
        <v>0.5531505217308238</v>
      </c>
      <c r="J464">
        <v>0.75143886865826137</v>
      </c>
      <c r="K464">
        <v>-2.8053772520354299</v>
      </c>
      <c r="L464">
        <v>2781.4907674395608</v>
      </c>
      <c r="M464">
        <v>0</v>
      </c>
      <c r="N464">
        <v>0</v>
      </c>
      <c r="O464">
        <v>0</v>
      </c>
      <c r="P464">
        <v>0</v>
      </c>
      <c r="Q464">
        <v>1</v>
      </c>
      <c r="R464">
        <v>0</v>
      </c>
      <c r="S464">
        <v>3701.552958534176</v>
      </c>
      <c r="T464">
        <v>2781.4907674395608</v>
      </c>
      <c r="U464">
        <v>0</v>
      </c>
      <c r="V464">
        <v>0</v>
      </c>
      <c r="W464">
        <v>0</v>
      </c>
    </row>
    <row r="465" spans="1:23" x14ac:dyDescent="0.35">
      <c r="A465" t="s">
        <v>113</v>
      </c>
      <c r="B465" t="s">
        <v>44</v>
      </c>
      <c r="C465">
        <v>494310.7</v>
      </c>
      <c r="D465">
        <v>1.408446010253728</v>
      </c>
      <c r="E465">
        <v>0.80468931218629103</v>
      </c>
      <c r="F465">
        <v>19711.91</v>
      </c>
      <c r="G465">
        <v>-36.739168690150109</v>
      </c>
      <c r="H465">
        <v>-36.739168690150109</v>
      </c>
      <c r="I465">
        <v>0.4819657446176952</v>
      </c>
      <c r="J465">
        <v>0.72390826387285301</v>
      </c>
      <c r="K465">
        <v>-0.78671193945465712</v>
      </c>
      <c r="L465">
        <v>-26.595787822618441</v>
      </c>
      <c r="M465">
        <v>0</v>
      </c>
      <c r="N465">
        <v>0</v>
      </c>
      <c r="O465">
        <v>0</v>
      </c>
      <c r="P465">
        <v>0</v>
      </c>
      <c r="Q465">
        <v>1</v>
      </c>
      <c r="R465">
        <v>0</v>
      </c>
      <c r="S465">
        <v>-36.739168690150109</v>
      </c>
      <c r="T465">
        <v>-26.595787822618441</v>
      </c>
      <c r="U465">
        <v>0</v>
      </c>
      <c r="V465">
        <v>0</v>
      </c>
      <c r="W465">
        <v>0</v>
      </c>
    </row>
    <row r="466" spans="1:23" x14ac:dyDescent="0.35">
      <c r="A466" t="s">
        <v>113</v>
      </c>
      <c r="B466" t="s">
        <v>45</v>
      </c>
      <c r="C466">
        <v>496705.5</v>
      </c>
      <c r="D466">
        <v>1.710541612951362</v>
      </c>
      <c r="E466">
        <v>0.83266736824079313</v>
      </c>
      <c r="F466">
        <v>21449.03</v>
      </c>
      <c r="G466">
        <v>1198.9148978520791</v>
      </c>
      <c r="H466">
        <v>1198.9148978520791</v>
      </c>
      <c r="I466">
        <v>0.57049458630355343</v>
      </c>
      <c r="J466">
        <v>0.75786120599063167</v>
      </c>
      <c r="K466">
        <v>1.408446010253728</v>
      </c>
      <c r="L466">
        <v>908.61109036631149</v>
      </c>
      <c r="M466">
        <v>0</v>
      </c>
      <c r="N466">
        <v>0</v>
      </c>
      <c r="O466">
        <v>0</v>
      </c>
      <c r="P466">
        <v>0</v>
      </c>
      <c r="Q466">
        <v>1</v>
      </c>
      <c r="R466">
        <v>0</v>
      </c>
      <c r="S466">
        <v>1198.9148978520791</v>
      </c>
      <c r="T466">
        <v>908.61109036631149</v>
      </c>
      <c r="U466">
        <v>0</v>
      </c>
      <c r="V466">
        <v>0</v>
      </c>
      <c r="W466">
        <v>0</v>
      </c>
    </row>
    <row r="467" spans="1:23" x14ac:dyDescent="0.35">
      <c r="A467" t="s">
        <v>113</v>
      </c>
      <c r="B467" t="s">
        <v>46</v>
      </c>
      <c r="C467">
        <v>500079.6</v>
      </c>
      <c r="D467">
        <v>2.1573648932475762</v>
      </c>
      <c r="E467">
        <v>0.82699589253821004</v>
      </c>
      <c r="F467">
        <v>19653.439999999999</v>
      </c>
      <c r="G467">
        <v>-2226.0035218636149</v>
      </c>
      <c r="H467">
        <v>-2226.0035218636149</v>
      </c>
      <c r="I467">
        <v>0.55254876570682987</v>
      </c>
      <c r="J467">
        <v>0.75121401047170022</v>
      </c>
      <c r="K467">
        <v>1.710541612951362</v>
      </c>
      <c r="L467">
        <v>-1672.205032983295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0</v>
      </c>
    </row>
    <row r="468" spans="1:23" x14ac:dyDescent="0.35">
      <c r="A468" t="s">
        <v>113</v>
      </c>
      <c r="B468" t="s">
        <v>47</v>
      </c>
      <c r="C468">
        <v>502895.7</v>
      </c>
      <c r="D468">
        <v>1.9972812251530649</v>
      </c>
      <c r="E468">
        <v>0.73011996685574876</v>
      </c>
      <c r="F468">
        <v>14901.64</v>
      </c>
      <c r="G468">
        <v>-5163.8778878903649</v>
      </c>
      <c r="H468">
        <v>-5163.8778878903649</v>
      </c>
      <c r="I468">
        <v>0.24601161847949349</v>
      </c>
      <c r="J468">
        <v>0.62058293931108555</v>
      </c>
      <c r="K468">
        <v>2.1573648932475762</v>
      </c>
      <c r="L468">
        <v>-3204.6145179105229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-5163.8778878903649</v>
      </c>
      <c r="T468">
        <v>-3204.6145179105229</v>
      </c>
      <c r="U468">
        <v>0</v>
      </c>
      <c r="V468">
        <v>0</v>
      </c>
      <c r="W468">
        <v>0</v>
      </c>
    </row>
    <row r="469" spans="1:23" x14ac:dyDescent="0.35">
      <c r="A469" t="s">
        <v>113</v>
      </c>
      <c r="B469" t="s">
        <v>48</v>
      </c>
      <c r="C469">
        <v>509541.8</v>
      </c>
      <c r="D469">
        <v>3.034762366262199</v>
      </c>
      <c r="E469">
        <v>0.88549828516312767</v>
      </c>
      <c r="F469">
        <v>13397.83</v>
      </c>
      <c r="G469">
        <v>-2196.1557660518852</v>
      </c>
      <c r="H469">
        <v>-2196.1557660518852</v>
      </c>
      <c r="I469">
        <v>0.73766345147506596</v>
      </c>
      <c r="J469">
        <v>0.8138656991593699</v>
      </c>
      <c r="K469">
        <v>1.9972812251530649</v>
      </c>
      <c r="L469">
        <v>-1787.3758480006991</v>
      </c>
      <c r="M469">
        <v>0</v>
      </c>
      <c r="N469">
        <v>0</v>
      </c>
      <c r="O469">
        <v>0</v>
      </c>
      <c r="P469">
        <v>0</v>
      </c>
      <c r="Q469">
        <v>1</v>
      </c>
      <c r="R469">
        <v>0</v>
      </c>
      <c r="S469">
        <v>-2196.1557660518852</v>
      </c>
      <c r="T469">
        <v>-1787.3758480006991</v>
      </c>
      <c r="U469">
        <v>0</v>
      </c>
      <c r="V469">
        <v>0</v>
      </c>
      <c r="W469">
        <v>0</v>
      </c>
    </row>
    <row r="470" spans="1:23" x14ac:dyDescent="0.35">
      <c r="A470" t="s">
        <v>113</v>
      </c>
      <c r="B470" t="s">
        <v>49</v>
      </c>
      <c r="C470">
        <v>509597.2</v>
      </c>
      <c r="D470">
        <v>2.5623314603022029</v>
      </c>
      <c r="E470">
        <v>0.83933536526527874</v>
      </c>
      <c r="F470">
        <v>14121</v>
      </c>
      <c r="G470">
        <v>-273.04318602130661</v>
      </c>
      <c r="H470">
        <v>-273.04318602130661</v>
      </c>
      <c r="I470">
        <v>0.59159362377036373</v>
      </c>
      <c r="J470">
        <v>0.76552039534163985</v>
      </c>
      <c r="K470">
        <v>3.034762366262199</v>
      </c>
      <c r="L470">
        <v>-209.02012770837149</v>
      </c>
      <c r="M470">
        <v>0</v>
      </c>
      <c r="N470">
        <v>0</v>
      </c>
      <c r="O470">
        <v>0</v>
      </c>
      <c r="P470">
        <v>0</v>
      </c>
      <c r="Q470">
        <v>1</v>
      </c>
      <c r="R470">
        <v>0</v>
      </c>
      <c r="S470">
        <v>-273.04318602130661</v>
      </c>
      <c r="T470">
        <v>-209.02012770837149</v>
      </c>
      <c r="U470">
        <v>0</v>
      </c>
      <c r="V470">
        <v>0</v>
      </c>
      <c r="W470">
        <v>0</v>
      </c>
    </row>
    <row r="471" spans="1:23" x14ac:dyDescent="0.35">
      <c r="A471" t="s">
        <v>113</v>
      </c>
      <c r="B471" t="s">
        <v>50</v>
      </c>
      <c r="C471">
        <v>511325.4</v>
      </c>
      <c r="D471">
        <v>2.2238892394035461</v>
      </c>
      <c r="E471">
        <v>0.86394334724719724</v>
      </c>
      <c r="F471">
        <v>20227.560000000001</v>
      </c>
      <c r="G471">
        <v>5061.6006823259177</v>
      </c>
      <c r="H471">
        <v>5061.6006823259177</v>
      </c>
      <c r="I471">
        <v>0.66945879556221011</v>
      </c>
      <c r="J471">
        <v>0.79231188334207869</v>
      </c>
      <c r="K471">
        <v>2.5623314603022029</v>
      </c>
      <c r="L471">
        <v>4010.3663693391982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1</v>
      </c>
      <c r="S471">
        <v>0</v>
      </c>
      <c r="T471">
        <v>0</v>
      </c>
      <c r="U471">
        <v>0</v>
      </c>
      <c r="V471">
        <v>0</v>
      </c>
      <c r="W471">
        <v>0</v>
      </c>
    </row>
    <row r="472" spans="1:23" x14ac:dyDescent="0.35">
      <c r="A472" t="s">
        <v>113</v>
      </c>
      <c r="B472" t="s">
        <v>51</v>
      </c>
      <c r="C472">
        <v>513023.5</v>
      </c>
      <c r="D472">
        <v>1.9938860354703969</v>
      </c>
      <c r="E472">
        <v>0.86943697196439329</v>
      </c>
      <c r="F472">
        <v>19436.98</v>
      </c>
      <c r="G472">
        <v>-1556.8530311641989</v>
      </c>
      <c r="H472">
        <v>-1556.8530311641989</v>
      </c>
      <c r="I472">
        <v>0.68684185576920787</v>
      </c>
      <c r="J472">
        <v>0.79797466065401368</v>
      </c>
      <c r="K472">
        <v>2.2238892394035461</v>
      </c>
      <c r="L472">
        <v>-1242.329269231424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0</v>
      </c>
      <c r="U472">
        <v>0</v>
      </c>
      <c r="V472">
        <v>0</v>
      </c>
      <c r="W472">
        <v>0</v>
      </c>
    </row>
    <row r="473" spans="1:23" x14ac:dyDescent="0.35">
      <c r="A473" t="s">
        <v>113</v>
      </c>
      <c r="B473" t="s">
        <v>52</v>
      </c>
      <c r="C473">
        <v>512828.5</v>
      </c>
      <c r="D473">
        <v>0.64295907707304145</v>
      </c>
      <c r="E473">
        <v>0.86950896251102427</v>
      </c>
      <c r="F473">
        <v>18629.88</v>
      </c>
      <c r="G473">
        <v>-1290.561426222474</v>
      </c>
      <c r="H473">
        <v>-1290.561426222474</v>
      </c>
      <c r="I473">
        <v>0.68706964999812636</v>
      </c>
      <c r="J473">
        <v>0.79804809660070142</v>
      </c>
      <c r="K473">
        <v>1.9938860354703969</v>
      </c>
      <c r="L473">
        <v>-1029.930089743131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1</v>
      </c>
      <c r="S473">
        <v>0</v>
      </c>
      <c r="T473">
        <v>0</v>
      </c>
      <c r="U473">
        <v>0</v>
      </c>
      <c r="V473">
        <v>0</v>
      </c>
      <c r="W473">
        <v>0</v>
      </c>
    </row>
    <row r="474" spans="1:23" x14ac:dyDescent="0.35">
      <c r="A474" t="s">
        <v>113</v>
      </c>
      <c r="B474" t="s">
        <v>53</v>
      </c>
      <c r="C474">
        <v>510722.5</v>
      </c>
      <c r="D474">
        <v>0.22057801221696349</v>
      </c>
      <c r="E474">
        <v>0.83191986834796727</v>
      </c>
      <c r="F474">
        <v>36827.879999999997</v>
      </c>
      <c r="G474">
        <v>17641.959197543922</v>
      </c>
      <c r="H474">
        <v>17641.959197543922</v>
      </c>
      <c r="I474">
        <v>0.56812932906254765</v>
      </c>
      <c r="J474">
        <v>0.75699206206360359</v>
      </c>
      <c r="K474">
        <v>0.64295907707304145</v>
      </c>
      <c r="L474">
        <v>13354.82307179073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1</v>
      </c>
      <c r="S474">
        <v>0</v>
      </c>
      <c r="T474">
        <v>0</v>
      </c>
      <c r="U474">
        <v>0</v>
      </c>
      <c r="V474">
        <v>0</v>
      </c>
      <c r="W474">
        <v>0</v>
      </c>
    </row>
    <row r="475" spans="1:23" x14ac:dyDescent="0.35">
      <c r="A475" t="s">
        <v>113</v>
      </c>
      <c r="B475" t="s">
        <v>54</v>
      </c>
      <c r="C475">
        <v>512450.8</v>
      </c>
      <c r="D475">
        <v>0.2198528259016288</v>
      </c>
      <c r="E475">
        <v>0.81184925414099773</v>
      </c>
      <c r="F475">
        <v>25945.24</v>
      </c>
      <c r="G475">
        <v>-10760.52865517087</v>
      </c>
      <c r="H475">
        <v>-10760.52865517087</v>
      </c>
      <c r="I475">
        <v>0.50462140613161111</v>
      </c>
      <c r="J475">
        <v>0.73287194023674584</v>
      </c>
      <c r="K475">
        <v>0.22057801221696349</v>
      </c>
      <c r="L475">
        <v>-7886.0895134881803</v>
      </c>
      <c r="M475">
        <v>0</v>
      </c>
      <c r="N475">
        <v>0</v>
      </c>
      <c r="O475">
        <v>0</v>
      </c>
      <c r="P475">
        <v>0</v>
      </c>
      <c r="Q475">
        <v>1</v>
      </c>
      <c r="R475">
        <v>0</v>
      </c>
      <c r="S475">
        <v>-10760.52865517087</v>
      </c>
      <c r="T475">
        <v>-7886.0895134881803</v>
      </c>
      <c r="U475">
        <v>0</v>
      </c>
      <c r="V475">
        <v>0</v>
      </c>
      <c r="W475">
        <v>0</v>
      </c>
    </row>
    <row r="476" spans="1:23" x14ac:dyDescent="0.35">
      <c r="A476" t="s">
        <v>113</v>
      </c>
      <c r="B476" t="s">
        <v>55</v>
      </c>
      <c r="C476">
        <v>512135.7</v>
      </c>
      <c r="D476">
        <v>-0.1732024103072291</v>
      </c>
      <c r="E476">
        <v>0.82109258408230645</v>
      </c>
      <c r="F476">
        <v>38752.269999999997</v>
      </c>
      <c r="G476">
        <v>13434.743327128041</v>
      </c>
      <c r="H476">
        <v>13434.743327128041</v>
      </c>
      <c r="I476">
        <v>0.53386937430460335</v>
      </c>
      <c r="J476">
        <v>0.74416665054504638</v>
      </c>
      <c r="K476">
        <v>0.2198528259016288</v>
      </c>
      <c r="L476">
        <v>9997.6879426812848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1</v>
      </c>
      <c r="S476">
        <v>0</v>
      </c>
      <c r="T476">
        <v>0</v>
      </c>
      <c r="U476">
        <v>0</v>
      </c>
      <c r="V476">
        <v>0</v>
      </c>
      <c r="W476">
        <v>0</v>
      </c>
    </row>
    <row r="477" spans="1:23" x14ac:dyDescent="0.35">
      <c r="A477" t="s">
        <v>113</v>
      </c>
      <c r="B477" t="s">
        <v>56</v>
      </c>
      <c r="C477">
        <v>513118.1</v>
      </c>
      <c r="D477">
        <v>5.6455181525381953E-2</v>
      </c>
      <c r="E477">
        <v>0.79319530985455722</v>
      </c>
      <c r="F477">
        <v>31598.92</v>
      </c>
      <c r="G477">
        <v>-6578.8883624478913</v>
      </c>
      <c r="H477">
        <v>-6578.8883624478913</v>
      </c>
      <c r="I477">
        <v>0.44559614442886408</v>
      </c>
      <c r="J477">
        <v>0.7091361578384161</v>
      </c>
      <c r="K477">
        <v>-0.1732024103072291</v>
      </c>
      <c r="L477">
        <v>-4665.3276161941667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1</v>
      </c>
      <c r="S477">
        <v>0</v>
      </c>
      <c r="T477">
        <v>0</v>
      </c>
      <c r="U477">
        <v>0</v>
      </c>
      <c r="V477">
        <v>0</v>
      </c>
      <c r="W477">
        <v>0</v>
      </c>
    </row>
    <row r="478" spans="1:23" x14ac:dyDescent="0.35">
      <c r="A478" t="s">
        <v>113</v>
      </c>
      <c r="B478" t="s">
        <v>57</v>
      </c>
      <c r="C478">
        <v>517682.7</v>
      </c>
      <c r="D478">
        <v>1.3536116453066189</v>
      </c>
      <c r="E478">
        <v>0.80758595256331178</v>
      </c>
      <c r="F478">
        <v>14113.9</v>
      </c>
      <c r="G478">
        <v>-16534.748271214699</v>
      </c>
      <c r="H478">
        <v>-16534.748271214699</v>
      </c>
      <c r="I478">
        <v>0.49113136416104702</v>
      </c>
      <c r="J478">
        <v>0.72755696030521599</v>
      </c>
      <c r="K478">
        <v>5.6455181525381953E-2</v>
      </c>
      <c r="L478">
        <v>-12029.971191616891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0</v>
      </c>
      <c r="S478">
        <v>-16534.748271214699</v>
      </c>
      <c r="T478">
        <v>-12029.971191616891</v>
      </c>
      <c r="U478">
        <v>0</v>
      </c>
      <c r="V478">
        <v>0</v>
      </c>
      <c r="W478">
        <v>0</v>
      </c>
    </row>
    <row r="479" spans="1:23" x14ac:dyDescent="0.35">
      <c r="A479" t="s">
        <v>113</v>
      </c>
      <c r="B479" t="s">
        <v>58</v>
      </c>
      <c r="C479">
        <v>516626.7</v>
      </c>
      <c r="D479">
        <v>0.81158570101647309</v>
      </c>
      <c r="E479">
        <v>0.5983635625260797</v>
      </c>
      <c r="F479">
        <v>15802.53</v>
      </c>
      <c r="G479">
        <v>1579.518846364859</v>
      </c>
      <c r="H479">
        <v>1579.518846364859</v>
      </c>
      <c r="I479">
        <v>-0.1708951829536331</v>
      </c>
      <c r="J479">
        <v>0.41537464144010211</v>
      </c>
      <c r="K479">
        <v>1.3536116453066189</v>
      </c>
      <c r="L479">
        <v>656.0920744566871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1579.518846364859</v>
      </c>
      <c r="T479">
        <v>656.0920744566871</v>
      </c>
      <c r="U479">
        <v>0</v>
      </c>
      <c r="V479">
        <v>0</v>
      </c>
      <c r="W479">
        <v>0</v>
      </c>
    </row>
    <row r="480" spans="1:23" x14ac:dyDescent="0.35">
      <c r="A480" t="s">
        <v>113</v>
      </c>
      <c r="B480" t="s">
        <v>59</v>
      </c>
      <c r="C480">
        <v>519770.2</v>
      </c>
      <c r="D480">
        <v>1.479716183640875</v>
      </c>
      <c r="E480">
        <v>0.58202867919290535</v>
      </c>
      <c r="F480">
        <v>18492.009999999998</v>
      </c>
      <c r="G480">
        <v>1747.8482793999319</v>
      </c>
      <c r="H480">
        <v>1747.8482793999319</v>
      </c>
      <c r="I480">
        <v>-0.2225824158958537</v>
      </c>
      <c r="J480">
        <v>0.39051098369371318</v>
      </c>
      <c r="K480">
        <v>0.81158570101647309</v>
      </c>
      <c r="L480">
        <v>682.55395093583149</v>
      </c>
      <c r="M480">
        <v>0</v>
      </c>
      <c r="N480">
        <v>0</v>
      </c>
      <c r="O480">
        <v>0</v>
      </c>
      <c r="P480">
        <v>0</v>
      </c>
      <c r="Q480">
        <v>1</v>
      </c>
      <c r="R480">
        <v>0</v>
      </c>
      <c r="S480">
        <v>1747.8482793999319</v>
      </c>
      <c r="T480">
        <v>682.55395093583149</v>
      </c>
      <c r="U480">
        <v>0</v>
      </c>
      <c r="V480">
        <v>0</v>
      </c>
      <c r="W480">
        <v>0</v>
      </c>
    </row>
    <row r="481" spans="1:23" x14ac:dyDescent="0.35">
      <c r="A481" t="s">
        <v>113</v>
      </c>
      <c r="B481" t="s">
        <v>60</v>
      </c>
      <c r="C481">
        <v>519680.1</v>
      </c>
      <c r="D481">
        <v>1.270739685890186</v>
      </c>
      <c r="E481">
        <v>0.47508492398791108</v>
      </c>
      <c r="F481">
        <v>19536.86</v>
      </c>
      <c r="G481">
        <v>296.42782514671848</v>
      </c>
      <c r="H481">
        <v>296.42782514671848</v>
      </c>
      <c r="I481">
        <v>-0.5609764328136454</v>
      </c>
      <c r="J481">
        <v>0.24564922672673789</v>
      </c>
      <c r="K481">
        <v>1.479716183640875</v>
      </c>
      <c r="L481">
        <v>72.817266027580075</v>
      </c>
      <c r="M481">
        <v>0</v>
      </c>
      <c r="N481">
        <v>0</v>
      </c>
      <c r="O481">
        <v>0</v>
      </c>
      <c r="P481">
        <v>0</v>
      </c>
      <c r="Q481">
        <v>1</v>
      </c>
      <c r="R481">
        <v>0</v>
      </c>
      <c r="S481">
        <v>296.42782514671848</v>
      </c>
      <c r="T481">
        <v>72.817266027580075</v>
      </c>
      <c r="U481">
        <v>0</v>
      </c>
      <c r="V481">
        <v>0</v>
      </c>
      <c r="W481">
        <v>0</v>
      </c>
    </row>
    <row r="482" spans="1:23" x14ac:dyDescent="0.35">
      <c r="A482" t="s">
        <v>113</v>
      </c>
      <c r="B482" t="s">
        <v>61</v>
      </c>
      <c r="C482">
        <v>520870.2</v>
      </c>
      <c r="D482">
        <v>0.61383681247777422</v>
      </c>
      <c r="E482">
        <v>-0.52635722486740288</v>
      </c>
      <c r="F482">
        <v>20086.099999999999</v>
      </c>
      <c r="G482">
        <v>-19.53534989586478</v>
      </c>
      <c r="H482">
        <v>-19.53534989586478</v>
      </c>
      <c r="I482">
        <v>-3.7297639025668028</v>
      </c>
      <c r="J482">
        <v>5.7559655535674643E-4</v>
      </c>
      <c r="K482">
        <v>1.270739685890186</v>
      </c>
      <c r="L482">
        <v>-1.124448010774854E-2</v>
      </c>
      <c r="M482">
        <v>0</v>
      </c>
      <c r="N482">
        <v>0</v>
      </c>
      <c r="O482">
        <v>0</v>
      </c>
      <c r="P482">
        <v>0</v>
      </c>
      <c r="Q482">
        <v>1</v>
      </c>
      <c r="R482">
        <v>0</v>
      </c>
      <c r="S482">
        <v>-19.53534989586478</v>
      </c>
      <c r="T482">
        <v>-1.124448010774854E-2</v>
      </c>
      <c r="U482">
        <v>0</v>
      </c>
      <c r="V482">
        <v>0</v>
      </c>
      <c r="W482">
        <v>0</v>
      </c>
    </row>
    <row r="483" spans="1:23" x14ac:dyDescent="0.35">
      <c r="A483" t="s">
        <v>113</v>
      </c>
      <c r="B483" t="s">
        <v>62</v>
      </c>
      <c r="C483">
        <v>524402</v>
      </c>
      <c r="D483">
        <v>1.4938002350371331</v>
      </c>
      <c r="E483">
        <v>-0.24123483168750859</v>
      </c>
      <c r="F483">
        <v>14211.19</v>
      </c>
      <c r="G483">
        <v>-6368.2256188433221</v>
      </c>
      <c r="H483">
        <v>-6368.2256188433221</v>
      </c>
      <c r="I483">
        <v>-2.827572729679575</v>
      </c>
      <c r="J483">
        <v>3.487260477421014E-3</v>
      </c>
      <c r="K483">
        <v>0.61383681247777422</v>
      </c>
      <c r="L483">
        <v>-22.20766151189229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-6368.2256188433221</v>
      </c>
      <c r="T483">
        <v>-22.20766151189229</v>
      </c>
      <c r="U483">
        <v>0</v>
      </c>
      <c r="V483">
        <v>0</v>
      </c>
      <c r="W483">
        <v>0</v>
      </c>
    </row>
    <row r="484" spans="1:23" x14ac:dyDescent="0.35">
      <c r="A484" t="s">
        <v>113</v>
      </c>
      <c r="B484" t="s">
        <v>63</v>
      </c>
      <c r="C484">
        <v>522870.6</v>
      </c>
      <c r="D484">
        <v>0.59472238920386689</v>
      </c>
      <c r="E484">
        <v>7.9241852471059523E-3</v>
      </c>
      <c r="F484">
        <v>17252.02</v>
      </c>
      <c r="G484">
        <v>2343.4323165346868</v>
      </c>
      <c r="H484">
        <v>2343.4323165346868</v>
      </c>
      <c r="I484">
        <v>-2.0391777417705019</v>
      </c>
      <c r="J484">
        <v>1.66532652054724E-2</v>
      </c>
      <c r="K484">
        <v>1.4938002350371331</v>
      </c>
      <c r="L484">
        <v>39.025799858326693</v>
      </c>
      <c r="M484">
        <v>0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2343.4323165346868</v>
      </c>
      <c r="T484">
        <v>39.025799858326693</v>
      </c>
      <c r="U484">
        <v>0</v>
      </c>
      <c r="V484">
        <v>0</v>
      </c>
      <c r="W484">
        <v>0</v>
      </c>
    </row>
    <row r="485" spans="1:23" x14ac:dyDescent="0.35">
      <c r="A485" t="s">
        <v>113</v>
      </c>
      <c r="B485" t="s">
        <v>64</v>
      </c>
      <c r="C485">
        <v>525842</v>
      </c>
      <c r="D485">
        <v>1.1787357427047589</v>
      </c>
      <c r="E485">
        <v>-0.46816568906609018</v>
      </c>
      <c r="F485">
        <v>29838.2</v>
      </c>
      <c r="G485">
        <v>11706.8741061117</v>
      </c>
      <c r="H485">
        <v>11706.8741061117</v>
      </c>
      <c r="I485">
        <v>-3.5456328374786561</v>
      </c>
      <c r="J485">
        <v>8.3165100359696266E-4</v>
      </c>
      <c r="K485">
        <v>0.59472238920386689</v>
      </c>
      <c r="L485">
        <v>9.736033599331094</v>
      </c>
      <c r="M485">
        <v>0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11706.8741061117</v>
      </c>
      <c r="T485">
        <v>9.736033599331094</v>
      </c>
      <c r="U485">
        <v>0</v>
      </c>
      <c r="V485">
        <v>0</v>
      </c>
      <c r="W485">
        <v>0</v>
      </c>
    </row>
    <row r="486" spans="1:23" x14ac:dyDescent="0.35">
      <c r="A486" t="s">
        <v>113</v>
      </c>
      <c r="B486" t="s">
        <v>65</v>
      </c>
      <c r="C486">
        <v>526042.80000000005</v>
      </c>
      <c r="D486">
        <v>0.98817038113620426</v>
      </c>
      <c r="E486">
        <v>-1.6361284247661759E-2</v>
      </c>
      <c r="F486">
        <v>25360.74</v>
      </c>
      <c r="G486">
        <v>-4702.6314541169268</v>
      </c>
      <c r="H486">
        <v>-4702.6314541169268</v>
      </c>
      <c r="I486">
        <v>-2.1160224117497468</v>
      </c>
      <c r="J486">
        <v>1.4314775212549379E-2</v>
      </c>
      <c r="K486">
        <v>1.1787357427047589</v>
      </c>
      <c r="L486">
        <v>-67.317112173148047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1</v>
      </c>
      <c r="S486">
        <v>0</v>
      </c>
      <c r="T486">
        <v>0</v>
      </c>
      <c r="U486">
        <v>0</v>
      </c>
      <c r="V486">
        <v>0</v>
      </c>
      <c r="W486">
        <v>0</v>
      </c>
    </row>
    <row r="487" spans="1:23" x14ac:dyDescent="0.35">
      <c r="A487" t="s">
        <v>113</v>
      </c>
      <c r="B487" t="s">
        <v>66</v>
      </c>
      <c r="C487">
        <v>527648.5</v>
      </c>
      <c r="D487">
        <v>0.61717765547356218</v>
      </c>
      <c r="E487">
        <v>0.35749317768927591</v>
      </c>
      <c r="F487">
        <v>21280.47</v>
      </c>
      <c r="G487">
        <v>-3835.168726222837</v>
      </c>
      <c r="H487">
        <v>-3835.168726222837</v>
      </c>
      <c r="I487">
        <v>-0.93306308069782917</v>
      </c>
      <c r="J487">
        <v>0.1339905945897375</v>
      </c>
      <c r="K487">
        <v>0.98817038113620426</v>
      </c>
      <c r="L487">
        <v>-513.87653797856422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0</v>
      </c>
      <c r="U487">
        <v>0</v>
      </c>
      <c r="V487">
        <v>0</v>
      </c>
      <c r="W487">
        <v>0</v>
      </c>
    </row>
    <row r="488" spans="1:23" x14ac:dyDescent="0.35">
      <c r="A488" t="s">
        <v>113</v>
      </c>
      <c r="B488" t="s">
        <v>67</v>
      </c>
      <c r="C488">
        <v>529118.9</v>
      </c>
      <c r="D488">
        <v>1.1879155594018631</v>
      </c>
      <c r="E488">
        <v>0.37716669132970038</v>
      </c>
      <c r="F488">
        <v>18517.900000000001</v>
      </c>
      <c r="G488">
        <v>-2909.1155667876369</v>
      </c>
      <c r="H488">
        <v>-2909.1155667876369</v>
      </c>
      <c r="I488">
        <v>-0.87081167298440987</v>
      </c>
      <c r="J488">
        <v>0.1491068567901237</v>
      </c>
      <c r="K488">
        <v>0.61717765547356218</v>
      </c>
      <c r="L488">
        <v>-433.76907820292388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0</v>
      </c>
      <c r="U488">
        <v>0</v>
      </c>
      <c r="V488">
        <v>0</v>
      </c>
      <c r="W488">
        <v>0</v>
      </c>
    </row>
    <row r="489" spans="1:23" x14ac:dyDescent="0.35">
      <c r="A489" t="s">
        <v>113</v>
      </c>
      <c r="B489" t="s">
        <v>68</v>
      </c>
      <c r="C489">
        <v>530756.6</v>
      </c>
      <c r="D489">
        <v>0.93027483528131927</v>
      </c>
      <c r="E489">
        <v>0.35417056914641598</v>
      </c>
      <c r="F489">
        <v>22826.080000000002</v>
      </c>
      <c r="G489">
        <v>3842.526243353896</v>
      </c>
      <c r="H489">
        <v>3842.526243353896</v>
      </c>
      <c r="I489">
        <v>-0.94357655901461857</v>
      </c>
      <c r="J489">
        <v>0.131569409999334</v>
      </c>
      <c r="K489">
        <v>1.1879155594018631</v>
      </c>
      <c r="L489">
        <v>505.55891074502932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1</v>
      </c>
      <c r="S489">
        <v>0</v>
      </c>
      <c r="T489">
        <v>0</v>
      </c>
      <c r="U489">
        <v>0</v>
      </c>
      <c r="V489">
        <v>0</v>
      </c>
      <c r="W489">
        <v>0</v>
      </c>
    </row>
    <row r="490" spans="1:23" x14ac:dyDescent="0.35">
      <c r="A490" t="s">
        <v>113</v>
      </c>
      <c r="B490" t="s">
        <v>69</v>
      </c>
      <c r="C490">
        <v>529374.6</v>
      </c>
      <c r="D490">
        <v>0.63137315492651258</v>
      </c>
      <c r="E490">
        <v>0.35032633536406033</v>
      </c>
      <c r="F490">
        <v>18513.21</v>
      </c>
      <c r="G490">
        <v>-4750.2373136210626</v>
      </c>
      <c r="H490">
        <v>-4750.2373136210626</v>
      </c>
      <c r="I490">
        <v>-0.95574057653101174</v>
      </c>
      <c r="J490">
        <v>0.1288145437365591</v>
      </c>
      <c r="K490">
        <v>0.93027483528131927</v>
      </c>
      <c r="L490">
        <v>-611.89965219447538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1</v>
      </c>
      <c r="S490">
        <v>0</v>
      </c>
      <c r="T490">
        <v>0</v>
      </c>
      <c r="U490">
        <v>0</v>
      </c>
      <c r="V490">
        <v>0</v>
      </c>
      <c r="W490">
        <v>0</v>
      </c>
    </row>
    <row r="491" spans="1:23" x14ac:dyDescent="0.35">
      <c r="A491" t="s">
        <v>113</v>
      </c>
      <c r="B491" t="s">
        <v>70</v>
      </c>
      <c r="C491">
        <v>530336.69999999995</v>
      </c>
      <c r="D491">
        <v>0.50817455386610055</v>
      </c>
      <c r="E491">
        <v>0.41120025937376009</v>
      </c>
      <c r="F491">
        <v>30182.29</v>
      </c>
      <c r="G491">
        <v>11282.735474875861</v>
      </c>
      <c r="H491">
        <v>11282.735474875861</v>
      </c>
      <c r="I491">
        <v>-0.76312183379371978</v>
      </c>
      <c r="J491">
        <v>0.1785439469732174</v>
      </c>
      <c r="K491">
        <v>0.63137315492651258</v>
      </c>
      <c r="L491">
        <v>2014.464124339074</v>
      </c>
      <c r="M491">
        <v>0</v>
      </c>
      <c r="N491">
        <v>0</v>
      </c>
      <c r="O491">
        <v>0</v>
      </c>
      <c r="P491">
        <v>0</v>
      </c>
      <c r="Q491">
        <v>1</v>
      </c>
      <c r="R491">
        <v>0</v>
      </c>
      <c r="S491">
        <v>11282.735474875861</v>
      </c>
      <c r="T491">
        <v>2014.464124339074</v>
      </c>
      <c r="U491">
        <v>0</v>
      </c>
      <c r="V491">
        <v>0</v>
      </c>
      <c r="W491">
        <v>0</v>
      </c>
    </row>
    <row r="492" spans="1:23" x14ac:dyDescent="0.35">
      <c r="A492" t="s">
        <v>113</v>
      </c>
      <c r="B492" t="s">
        <v>71</v>
      </c>
      <c r="C492">
        <v>533737.1</v>
      </c>
      <c r="D492">
        <v>0.86902253246754668</v>
      </c>
      <c r="E492">
        <v>0.48895391106199698</v>
      </c>
      <c r="F492">
        <v>32031.3</v>
      </c>
      <c r="G492">
        <v>1702.312279079182</v>
      </c>
      <c r="H492">
        <v>1702.312279079182</v>
      </c>
      <c r="I492">
        <v>-0.51709184845820777</v>
      </c>
      <c r="J492">
        <v>0.26227381158570862</v>
      </c>
      <c r="K492">
        <v>0.50817455386610055</v>
      </c>
      <c r="L492">
        <v>446.47192994325161</v>
      </c>
      <c r="M492">
        <v>0</v>
      </c>
      <c r="N492">
        <v>0</v>
      </c>
      <c r="O492">
        <v>0</v>
      </c>
      <c r="P492">
        <v>0</v>
      </c>
      <c r="Q492">
        <v>1</v>
      </c>
      <c r="R492">
        <v>0</v>
      </c>
      <c r="S492">
        <v>1702.312279079182</v>
      </c>
      <c r="T492">
        <v>446.47192994325161</v>
      </c>
      <c r="U492">
        <v>0</v>
      </c>
      <c r="V492">
        <v>0</v>
      </c>
      <c r="W492">
        <v>0</v>
      </c>
    </row>
    <row r="493" spans="1:23" x14ac:dyDescent="0.35">
      <c r="A493" t="s">
        <v>113</v>
      </c>
      <c r="B493" t="s">
        <v>72</v>
      </c>
      <c r="C493">
        <v>537273.69999999995</v>
      </c>
      <c r="D493">
        <v>1.2204112351618921</v>
      </c>
      <c r="E493">
        <v>0.80583808657430334</v>
      </c>
      <c r="F493">
        <v>29910.11</v>
      </c>
      <c r="G493">
        <v>-1594.595393211242</v>
      </c>
      <c r="H493">
        <v>-1594.595393211242</v>
      </c>
      <c r="I493">
        <v>0.48560072432218199</v>
      </c>
      <c r="J493">
        <v>0.72535890720768315</v>
      </c>
      <c r="K493">
        <v>0.86902253246754668</v>
      </c>
      <c r="L493">
        <v>-1156.653971858113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-1594.595393211242</v>
      </c>
      <c r="T493">
        <v>-1156.653971858113</v>
      </c>
      <c r="U493">
        <v>0</v>
      </c>
      <c r="V493">
        <v>0</v>
      </c>
      <c r="W493">
        <v>0</v>
      </c>
    </row>
    <row r="494" spans="1:23" x14ac:dyDescent="0.35">
      <c r="A494" t="s">
        <v>113</v>
      </c>
      <c r="B494" t="s">
        <v>73</v>
      </c>
      <c r="C494">
        <v>541258.4</v>
      </c>
      <c r="D494">
        <v>2.2200489028751411</v>
      </c>
      <c r="E494">
        <v>0.78521600831951344</v>
      </c>
      <c r="F494">
        <v>16514.349999999999</v>
      </c>
      <c r="G494">
        <v>-12857.951240235971</v>
      </c>
      <c r="H494">
        <v>-12857.951240235971</v>
      </c>
      <c r="I494">
        <v>0.42034784551261589</v>
      </c>
      <c r="J494">
        <v>0.69861171633999608</v>
      </c>
      <c r="K494">
        <v>1.2204112351618921</v>
      </c>
      <c r="L494">
        <v>-8982.715384557232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-12857.951240235971</v>
      </c>
      <c r="T494">
        <v>-8982.715384557232</v>
      </c>
      <c r="U494">
        <v>0</v>
      </c>
      <c r="V494">
        <v>0</v>
      </c>
      <c r="W494">
        <v>0</v>
      </c>
    </row>
    <row r="495" spans="1:23" x14ac:dyDescent="0.35">
      <c r="A495" t="s">
        <v>113</v>
      </c>
      <c r="B495" t="s">
        <v>74</v>
      </c>
      <c r="C495">
        <v>545301.5</v>
      </c>
      <c r="D495">
        <v>2.7826764849418928</v>
      </c>
      <c r="E495">
        <v>0.69205812955315793</v>
      </c>
      <c r="F495">
        <v>16325.61</v>
      </c>
      <c r="G495">
        <v>-289.78211110166382</v>
      </c>
      <c r="H495">
        <v>-289.78211110166382</v>
      </c>
      <c r="I495">
        <v>0.12557543226734461</v>
      </c>
      <c r="J495">
        <v>0.56245974757292927</v>
      </c>
      <c r="K495">
        <v>2.2200489028751411</v>
      </c>
      <c r="L495">
        <v>-162.9907730613923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-289.78211110166382</v>
      </c>
      <c r="T495">
        <v>-162.9907730613923</v>
      </c>
      <c r="U495">
        <v>0</v>
      </c>
      <c r="V495">
        <v>0</v>
      </c>
      <c r="W495">
        <v>0</v>
      </c>
    </row>
    <row r="496" spans="1:23" x14ac:dyDescent="0.35">
      <c r="A496" t="s">
        <v>113</v>
      </c>
      <c r="B496" t="s">
        <v>75</v>
      </c>
      <c r="C496">
        <v>548577.69999999995</v>
      </c>
      <c r="D496">
        <v>2.7425533120276131</v>
      </c>
      <c r="E496">
        <v>0.69382332117783396</v>
      </c>
      <c r="F496">
        <v>28396.560000000001</v>
      </c>
      <c r="G496">
        <v>11273.465479390619</v>
      </c>
      <c r="H496">
        <v>11273.465479390619</v>
      </c>
      <c r="I496">
        <v>0.13116089430165209</v>
      </c>
      <c r="J496">
        <v>0.56520695297232515</v>
      </c>
      <c r="K496">
        <v>2.7826764849418928</v>
      </c>
      <c r="L496">
        <v>6371.8410730450651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11273.465479390619</v>
      </c>
      <c r="T496">
        <v>6371.8410730450651</v>
      </c>
      <c r="U496">
        <v>0</v>
      </c>
      <c r="V496">
        <v>0</v>
      </c>
      <c r="W496">
        <v>0</v>
      </c>
    </row>
    <row r="497" spans="1:23" x14ac:dyDescent="0.35">
      <c r="A497" t="s">
        <v>113</v>
      </c>
      <c r="B497" t="s">
        <v>76</v>
      </c>
      <c r="C497">
        <v>548265.19999999995</v>
      </c>
      <c r="D497">
        <v>2.0251463401053749</v>
      </c>
      <c r="E497">
        <v>0.62860554207882147</v>
      </c>
      <c r="F497">
        <v>13622.16</v>
      </c>
      <c r="G497">
        <v>-15104.230619776299</v>
      </c>
      <c r="H497">
        <v>-15104.230619776299</v>
      </c>
      <c r="I497">
        <v>-7.5202779776078546E-2</v>
      </c>
      <c r="J497">
        <v>0.46246933448627081</v>
      </c>
      <c r="K497">
        <v>2.7425533120276131</v>
      </c>
      <c r="L497">
        <v>-6985.2434826550989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-15104.230619776299</v>
      </c>
      <c r="T497">
        <v>-6985.2434826550989</v>
      </c>
      <c r="U497">
        <v>0</v>
      </c>
      <c r="V497">
        <v>0</v>
      </c>
      <c r="W497">
        <v>0</v>
      </c>
    </row>
    <row r="498" spans="1:23" x14ac:dyDescent="0.35">
      <c r="A498" t="s">
        <v>113</v>
      </c>
      <c r="B498" t="s">
        <v>77</v>
      </c>
      <c r="C498">
        <v>549547.69999999995</v>
      </c>
      <c r="D498">
        <v>1.5198777436923561</v>
      </c>
      <c r="E498">
        <v>0.40752774226847821</v>
      </c>
      <c r="F498">
        <v>25653.23</v>
      </c>
      <c r="G498">
        <v>11737.80673016071</v>
      </c>
      <c r="H498">
        <v>11737.80673016071</v>
      </c>
      <c r="I498">
        <v>-0.77474250124712518</v>
      </c>
      <c r="J498">
        <v>0.17516066224992821</v>
      </c>
      <c r="K498">
        <v>2.0251463401053749</v>
      </c>
      <c r="L498">
        <v>2056.0020002166139</v>
      </c>
      <c r="M498">
        <v>0</v>
      </c>
      <c r="N498">
        <v>0</v>
      </c>
      <c r="O498">
        <v>0</v>
      </c>
      <c r="P498">
        <v>0</v>
      </c>
      <c r="Q498">
        <v>1</v>
      </c>
      <c r="R498">
        <v>0</v>
      </c>
      <c r="S498">
        <v>11737.80673016071</v>
      </c>
      <c r="T498">
        <v>2056.0020002166139</v>
      </c>
      <c r="U498">
        <v>0</v>
      </c>
      <c r="V498">
        <v>0</v>
      </c>
      <c r="W498">
        <v>0</v>
      </c>
    </row>
    <row r="499" spans="1:23" x14ac:dyDescent="0.35">
      <c r="A499" t="s">
        <v>113</v>
      </c>
      <c r="B499" t="s">
        <v>78</v>
      </c>
      <c r="C499">
        <v>552535.1</v>
      </c>
      <c r="D499">
        <v>1.3178108078144899</v>
      </c>
      <c r="E499">
        <v>0.34975362140775351</v>
      </c>
      <c r="F499">
        <v>28710.76</v>
      </c>
      <c r="G499">
        <v>2480.1654601144551</v>
      </c>
      <c r="H499">
        <v>2480.1654601144551</v>
      </c>
      <c r="I499">
        <v>-0.95755277188405552</v>
      </c>
      <c r="J499">
        <v>0.1284083565898046</v>
      </c>
      <c r="K499">
        <v>1.5198777436923561</v>
      </c>
      <c r="L499">
        <v>318.4739708040936</v>
      </c>
      <c r="M499">
        <v>0</v>
      </c>
      <c r="N499">
        <v>0</v>
      </c>
      <c r="O499">
        <v>0</v>
      </c>
      <c r="P499">
        <v>0</v>
      </c>
      <c r="Q499">
        <v>1</v>
      </c>
      <c r="R499">
        <v>0</v>
      </c>
      <c r="S499">
        <v>2480.1654601144551</v>
      </c>
      <c r="T499">
        <v>318.4739708040936</v>
      </c>
      <c r="U499">
        <v>0</v>
      </c>
      <c r="V499">
        <v>0</v>
      </c>
      <c r="W499">
        <v>0</v>
      </c>
    </row>
    <row r="500" spans="1:23" x14ac:dyDescent="0.35">
      <c r="A500" t="s">
        <v>113</v>
      </c>
      <c r="B500" t="s">
        <v>79</v>
      </c>
      <c r="C500">
        <v>556490.4</v>
      </c>
      <c r="D500">
        <v>1.432099114017281</v>
      </c>
      <c r="E500">
        <v>0.86309507776584427</v>
      </c>
      <c r="F500">
        <v>26443.05</v>
      </c>
      <c r="G500">
        <v>-2105.371652046339</v>
      </c>
      <c r="H500">
        <v>-2105.371652046339</v>
      </c>
      <c r="I500">
        <v>0.66677468075182622</v>
      </c>
      <c r="J500">
        <v>0.79142713473768489</v>
      </c>
      <c r="K500">
        <v>1.3178108078144899</v>
      </c>
      <c r="L500">
        <v>-1666.24825413698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1</v>
      </c>
      <c r="S500">
        <v>0</v>
      </c>
      <c r="T500">
        <v>0</v>
      </c>
      <c r="U500">
        <v>0</v>
      </c>
      <c r="V500">
        <v>0</v>
      </c>
      <c r="W500">
        <v>0</v>
      </c>
    </row>
    <row r="501" spans="1:23" x14ac:dyDescent="0.35">
      <c r="A501" t="s">
        <v>113</v>
      </c>
      <c r="B501" t="s">
        <v>80</v>
      </c>
      <c r="C501">
        <v>561777.1</v>
      </c>
      <c r="D501">
        <v>2.4346040510522462</v>
      </c>
      <c r="E501">
        <v>0.89820752198541254</v>
      </c>
      <c r="F501">
        <v>36588.019999999997</v>
      </c>
      <c r="G501">
        <v>10374.885475181431</v>
      </c>
      <c r="H501">
        <v>10374.885475181431</v>
      </c>
      <c r="I501">
        <v>0.77787832603233831</v>
      </c>
      <c r="J501">
        <v>0.82574361671405316</v>
      </c>
      <c r="K501">
        <v>1.432099114017281</v>
      </c>
      <c r="L501">
        <v>8566.9954552704148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1</v>
      </c>
      <c r="S501">
        <v>0</v>
      </c>
      <c r="T501">
        <v>0</v>
      </c>
      <c r="U501">
        <v>0</v>
      </c>
      <c r="V501">
        <v>0</v>
      </c>
      <c r="W501">
        <v>0</v>
      </c>
    </row>
    <row r="502" spans="1:23" x14ac:dyDescent="0.35">
      <c r="A502" t="s">
        <v>113</v>
      </c>
      <c r="B502" t="s">
        <v>81</v>
      </c>
      <c r="C502">
        <v>564619.5</v>
      </c>
      <c r="D502">
        <v>2.705647668511892</v>
      </c>
      <c r="E502">
        <v>0.89182940513251108</v>
      </c>
      <c r="F502">
        <v>40489.040000000001</v>
      </c>
      <c r="G502">
        <v>4415.4972307526914</v>
      </c>
      <c r="H502">
        <v>4415.4972307526914</v>
      </c>
      <c r="I502">
        <v>0.75769653441592055</v>
      </c>
      <c r="J502">
        <v>0.81985908450190026</v>
      </c>
      <c r="K502">
        <v>2.4346040510522462</v>
      </c>
      <c r="L502">
        <v>3620.085517225577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1</v>
      </c>
      <c r="S502">
        <v>0</v>
      </c>
      <c r="T502">
        <v>0</v>
      </c>
      <c r="U502">
        <v>0</v>
      </c>
      <c r="V502">
        <v>0</v>
      </c>
      <c r="W502">
        <v>0</v>
      </c>
    </row>
    <row r="503" spans="1:23" x14ac:dyDescent="0.35">
      <c r="A503" t="s">
        <v>113</v>
      </c>
      <c r="B503" t="s">
        <v>82</v>
      </c>
      <c r="C503">
        <v>564841.19999999995</v>
      </c>
      <c r="D503">
        <v>2.2027668908461848</v>
      </c>
      <c r="E503">
        <v>0.89912368489712635</v>
      </c>
      <c r="F503">
        <v>32800.980000000003</v>
      </c>
      <c r="G503">
        <v>-6497.529962925415</v>
      </c>
      <c r="H503">
        <v>-6497.529962925415</v>
      </c>
      <c r="I503">
        <v>0.78077727087723992</v>
      </c>
      <c r="J503">
        <v>0.82657630644527758</v>
      </c>
      <c r="K503">
        <v>2.705647668511892</v>
      </c>
      <c r="L503">
        <v>-5370.7043177724108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-6497.529962925415</v>
      </c>
      <c r="T503">
        <v>-5370.7043177724108</v>
      </c>
      <c r="U503">
        <v>0</v>
      </c>
      <c r="V503">
        <v>0</v>
      </c>
      <c r="W503">
        <v>0</v>
      </c>
    </row>
    <row r="504" spans="1:23" x14ac:dyDescent="0.35">
      <c r="A504" t="s">
        <v>113</v>
      </c>
      <c r="B504" t="s">
        <v>83</v>
      </c>
      <c r="C504">
        <v>561986.19999999995</v>
      </c>
      <c r="D504">
        <v>0.98273745391152334</v>
      </c>
      <c r="E504">
        <v>0.8890418576073259</v>
      </c>
      <c r="F504">
        <v>52716.26</v>
      </c>
      <c r="G504">
        <v>21002.415296564999</v>
      </c>
      <c r="H504">
        <v>21002.415296564999</v>
      </c>
      <c r="I504">
        <v>0.74887610911302627</v>
      </c>
      <c r="J504">
        <v>0.81723898817414919</v>
      </c>
      <c r="K504">
        <v>2.2027668908461848</v>
      </c>
      <c r="L504">
        <v>17163.992626178049</v>
      </c>
      <c r="M504">
        <v>0</v>
      </c>
      <c r="N504">
        <v>0</v>
      </c>
      <c r="O504">
        <v>0</v>
      </c>
      <c r="P504">
        <v>0</v>
      </c>
      <c r="Q504">
        <v>1</v>
      </c>
      <c r="R504">
        <v>0</v>
      </c>
      <c r="S504">
        <v>21002.415296564999</v>
      </c>
      <c r="T504">
        <v>17163.992626178049</v>
      </c>
      <c r="U504">
        <v>0</v>
      </c>
      <c r="V504">
        <v>0</v>
      </c>
      <c r="W504">
        <v>0</v>
      </c>
    </row>
    <row r="505" spans="1:23" x14ac:dyDescent="0.35">
      <c r="A505" t="s">
        <v>113</v>
      </c>
      <c r="B505" t="s">
        <v>84</v>
      </c>
      <c r="C505">
        <v>533939.69999999995</v>
      </c>
      <c r="D505">
        <v>-5.0822240766619657</v>
      </c>
      <c r="E505">
        <v>0.91636134357320109</v>
      </c>
      <c r="F505">
        <v>55684.71</v>
      </c>
      <c r="G505">
        <v>4447.7439987703037</v>
      </c>
      <c r="H505">
        <v>4447.7439987703037</v>
      </c>
      <c r="I505">
        <v>0.83532108739531141</v>
      </c>
      <c r="J505">
        <v>0.84166142094509189</v>
      </c>
      <c r="K505">
        <v>0.98273745391152334</v>
      </c>
      <c r="L505">
        <v>3743.494534005019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1</v>
      </c>
      <c r="S505">
        <v>0</v>
      </c>
      <c r="T505">
        <v>0</v>
      </c>
      <c r="U505">
        <v>0</v>
      </c>
      <c r="V505">
        <v>0</v>
      </c>
      <c r="W505">
        <v>0</v>
      </c>
    </row>
    <row r="506" spans="1:23" x14ac:dyDescent="0.35">
      <c r="A506" t="s">
        <v>113</v>
      </c>
      <c r="B506" t="s">
        <v>85</v>
      </c>
      <c r="C506">
        <v>468637.2</v>
      </c>
      <c r="D506">
        <v>-18.632314462262901</v>
      </c>
      <c r="E506">
        <v>0.92863244977212134</v>
      </c>
      <c r="F506">
        <v>28914.37</v>
      </c>
      <c r="G506">
        <v>-24149.360667720372</v>
      </c>
      <c r="H506">
        <v>-24149.360667720372</v>
      </c>
      <c r="I506">
        <v>0.87414961843686501</v>
      </c>
      <c r="J506">
        <v>0.85173815760109084</v>
      </c>
      <c r="K506">
        <v>-5.0822240766619657</v>
      </c>
      <c r="L506">
        <v>-20568.931962368399</v>
      </c>
      <c r="M506">
        <v>0</v>
      </c>
      <c r="N506">
        <v>0</v>
      </c>
      <c r="O506">
        <v>0</v>
      </c>
      <c r="P506">
        <v>0</v>
      </c>
      <c r="Q506">
        <v>1</v>
      </c>
      <c r="R506">
        <v>0</v>
      </c>
      <c r="S506">
        <v>-24149.360667720372</v>
      </c>
      <c r="T506">
        <v>-20568.931962368399</v>
      </c>
      <c r="U506">
        <v>0</v>
      </c>
      <c r="V506">
        <v>0</v>
      </c>
      <c r="W506">
        <v>0</v>
      </c>
    </row>
    <row r="507" spans="1:23" x14ac:dyDescent="0.35">
      <c r="A507" t="s">
        <v>113</v>
      </c>
      <c r="B507" t="s">
        <v>86</v>
      </c>
      <c r="C507">
        <v>539646</v>
      </c>
      <c r="D507">
        <v>-4.5631260661960589</v>
      </c>
      <c r="E507">
        <v>0.92623808929760598</v>
      </c>
      <c r="F507">
        <v>27497.73</v>
      </c>
      <c r="G507">
        <v>298.34674216415812</v>
      </c>
      <c r="H507">
        <v>298.34674216415812</v>
      </c>
      <c r="I507">
        <v>0.8665733251098976</v>
      </c>
      <c r="J507">
        <v>0.84981446893067369</v>
      </c>
      <c r="K507">
        <v>-18.632314462262901</v>
      </c>
      <c r="L507">
        <v>253.5393782494306</v>
      </c>
      <c r="M507">
        <v>0</v>
      </c>
      <c r="N507">
        <v>0</v>
      </c>
      <c r="O507">
        <v>0</v>
      </c>
      <c r="P507">
        <v>0</v>
      </c>
      <c r="Q507">
        <v>1</v>
      </c>
      <c r="R507">
        <v>0</v>
      </c>
      <c r="S507">
        <v>298.34674216415812</v>
      </c>
      <c r="T507">
        <v>253.5393782494306</v>
      </c>
      <c r="U507">
        <v>0</v>
      </c>
      <c r="V507">
        <v>0</v>
      </c>
      <c r="W507">
        <v>0</v>
      </c>
    </row>
    <row r="508" spans="1:23" x14ac:dyDescent="0.35">
      <c r="A508" t="s">
        <v>113</v>
      </c>
      <c r="B508" t="s">
        <v>87</v>
      </c>
      <c r="C508">
        <v>539596.69999999995</v>
      </c>
      <c r="D508">
        <v>-4.0655285758381341</v>
      </c>
      <c r="E508">
        <v>0.93727931157126287</v>
      </c>
      <c r="F508">
        <v>22319.62</v>
      </c>
      <c r="G508">
        <v>-4896.0136572600422</v>
      </c>
      <c r="H508">
        <v>-4896.0136572600422</v>
      </c>
      <c r="I508">
        <v>0.90151022768736067</v>
      </c>
      <c r="J508">
        <v>0.85851621554638891</v>
      </c>
      <c r="K508">
        <v>-4.5631260661960589</v>
      </c>
      <c r="L508">
        <v>-4203.3071162943261</v>
      </c>
      <c r="M508">
        <v>0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-4896.0136572600422</v>
      </c>
      <c r="T508">
        <v>-4203.3071162943261</v>
      </c>
      <c r="U508">
        <v>0</v>
      </c>
      <c r="V508">
        <v>0</v>
      </c>
      <c r="W508">
        <v>0</v>
      </c>
    </row>
    <row r="509" spans="1:23" x14ac:dyDescent="0.35">
      <c r="A509" t="s">
        <v>113</v>
      </c>
      <c r="B509" t="s">
        <v>88</v>
      </c>
      <c r="C509">
        <v>542016.30000000005</v>
      </c>
      <c r="D509">
        <v>1.501316355239191</v>
      </c>
      <c r="E509">
        <v>0.92125602185918132</v>
      </c>
      <c r="F509">
        <v>11888.73</v>
      </c>
      <c r="G509">
        <v>-10426.43013953445</v>
      </c>
      <c r="H509">
        <v>-10426.43013953445</v>
      </c>
      <c r="I509">
        <v>0.85080894681766117</v>
      </c>
      <c r="J509">
        <v>0.84574592301488472</v>
      </c>
      <c r="K509">
        <v>-4.0655285758381341</v>
      </c>
      <c r="L509">
        <v>-8818.110782110778</v>
      </c>
      <c r="M509">
        <v>0</v>
      </c>
      <c r="N509">
        <v>0</v>
      </c>
      <c r="O509">
        <v>0</v>
      </c>
      <c r="P509">
        <v>0</v>
      </c>
      <c r="Q509">
        <v>1</v>
      </c>
      <c r="R509">
        <v>0</v>
      </c>
      <c r="S509">
        <v>-10426.43013953445</v>
      </c>
      <c r="T509">
        <v>-8818.110782110778</v>
      </c>
      <c r="U509">
        <v>0</v>
      </c>
      <c r="V509">
        <v>0</v>
      </c>
      <c r="W509">
        <v>0</v>
      </c>
    </row>
    <row r="510" spans="1:23" x14ac:dyDescent="0.35">
      <c r="A510" t="s">
        <v>113</v>
      </c>
      <c r="B510" t="s">
        <v>89</v>
      </c>
      <c r="C510">
        <v>548534.30000000005</v>
      </c>
      <c r="D510">
        <v>15.7420903618073</v>
      </c>
      <c r="E510">
        <v>0.9144617140243384</v>
      </c>
      <c r="F510">
        <v>18072.810000000001</v>
      </c>
      <c r="G510">
        <v>5509.7133275447604</v>
      </c>
      <c r="H510">
        <v>5509.7133275447604</v>
      </c>
      <c r="I510">
        <v>0.82931023362958012</v>
      </c>
      <c r="J510">
        <v>0.84005273026854577</v>
      </c>
      <c r="K510">
        <v>1.501316355239191</v>
      </c>
      <c r="L510">
        <v>4628.4497238009699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0</v>
      </c>
      <c r="S510">
        <v>5509.7133275447604</v>
      </c>
      <c r="T510">
        <v>4628.4497238009699</v>
      </c>
      <c r="U510">
        <v>0</v>
      </c>
      <c r="V510">
        <v>0</v>
      </c>
      <c r="W510">
        <v>0</v>
      </c>
    </row>
    <row r="511" spans="1:23" x14ac:dyDescent="0.35">
      <c r="A511" t="s">
        <v>113</v>
      </c>
      <c r="B511" t="s">
        <v>90</v>
      </c>
      <c r="C511">
        <v>564869.5</v>
      </c>
      <c r="D511">
        <v>4.5681361984371618</v>
      </c>
      <c r="E511">
        <v>0.88650968893939308</v>
      </c>
      <c r="F511">
        <v>21508.560000000001</v>
      </c>
      <c r="G511">
        <v>2469.4532050039338</v>
      </c>
      <c r="H511">
        <v>2469.4532050039338</v>
      </c>
      <c r="I511">
        <v>0.74086375976721663</v>
      </c>
      <c r="J511">
        <v>0.81483337053964022</v>
      </c>
      <c r="K511">
        <v>15.7420903618073</v>
      </c>
      <c r="L511">
        <v>2012.192878423273</v>
      </c>
      <c r="M511">
        <v>0</v>
      </c>
      <c r="N511">
        <v>0</v>
      </c>
      <c r="O511">
        <v>0</v>
      </c>
      <c r="P511">
        <v>0</v>
      </c>
      <c r="Q511">
        <v>1</v>
      </c>
      <c r="R511">
        <v>0</v>
      </c>
      <c r="S511">
        <v>2469.4532050039338</v>
      </c>
      <c r="T511">
        <v>2012.192878423273</v>
      </c>
      <c r="U511">
        <v>0</v>
      </c>
      <c r="V511">
        <v>0</v>
      </c>
      <c r="W511">
        <v>0</v>
      </c>
    </row>
    <row r="512" spans="1:23" x14ac:dyDescent="0.35">
      <c r="A512" t="s">
        <v>113</v>
      </c>
      <c r="B512" t="s">
        <v>91</v>
      </c>
      <c r="C512">
        <v>567750.19999999995</v>
      </c>
      <c r="D512">
        <v>5.0859524579644839</v>
      </c>
      <c r="E512">
        <v>0.89400765352004197</v>
      </c>
      <c r="F512">
        <v>19802.650000000001</v>
      </c>
      <c r="G512">
        <v>-2218.2724663803642</v>
      </c>
      <c r="H512">
        <v>-2218.2724663803642</v>
      </c>
      <c r="I512">
        <v>0.76458900065004853</v>
      </c>
      <c r="J512">
        <v>0.82188601415924878</v>
      </c>
      <c r="K512">
        <v>4.5681361984371618</v>
      </c>
      <c r="L512">
        <v>-1823.1671157125629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-2218.2724663803642</v>
      </c>
      <c r="T512">
        <v>-1823.1671157125629</v>
      </c>
      <c r="U512">
        <v>0</v>
      </c>
      <c r="V512">
        <v>0</v>
      </c>
      <c r="W512">
        <v>0</v>
      </c>
    </row>
    <row r="513" spans="1:23" x14ac:dyDescent="0.35">
      <c r="A513" t="s">
        <v>113</v>
      </c>
      <c r="B513" t="s">
        <v>92</v>
      </c>
      <c r="C513">
        <v>567671.19999999995</v>
      </c>
      <c r="D513">
        <v>4.624630308173729</v>
      </c>
      <c r="E513">
        <v>0.84256759687088312</v>
      </c>
      <c r="F513">
        <v>26455.02</v>
      </c>
      <c r="G513">
        <v>6249.2545952329347</v>
      </c>
      <c r="H513">
        <v>6249.2545952329347</v>
      </c>
      <c r="I513">
        <v>0.60182112919630038</v>
      </c>
      <c r="J513">
        <v>0.7691720872161073</v>
      </c>
      <c r="K513">
        <v>5.0859524579644839</v>
      </c>
      <c r="L513">
        <v>4806.7522005601659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</row>
    <row r="514" spans="1:23" x14ac:dyDescent="0.35">
      <c r="A514" t="s">
        <v>113</v>
      </c>
      <c r="B514" t="s">
        <v>93</v>
      </c>
      <c r="C514">
        <v>569887.9</v>
      </c>
      <c r="D514">
        <v>3.8189862876261329</v>
      </c>
      <c r="E514">
        <v>0.89619288291169097</v>
      </c>
      <c r="F514">
        <v>29343.64</v>
      </c>
      <c r="G514">
        <v>2660.8418006622051</v>
      </c>
      <c r="H514">
        <v>2660.8418006622051</v>
      </c>
      <c r="I514">
        <v>0.77150355634626</v>
      </c>
      <c r="J514">
        <v>0.82390144578671942</v>
      </c>
      <c r="K514">
        <v>4.624630308173729</v>
      </c>
      <c r="L514">
        <v>2192.271406575328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</row>
    <row r="515" spans="1:23" x14ac:dyDescent="0.35">
      <c r="A515" t="s">
        <v>113</v>
      </c>
      <c r="B515" t="s">
        <v>94</v>
      </c>
      <c r="C515">
        <v>572783.5</v>
      </c>
      <c r="D515">
        <v>1.391307834897924</v>
      </c>
      <c r="E515">
        <v>0.98473695302825559</v>
      </c>
      <c r="F515">
        <v>24504.76</v>
      </c>
      <c r="G515">
        <v>-4610.2754712220849</v>
      </c>
      <c r="H515">
        <v>-4610.2754712220849</v>
      </c>
      <c r="I515">
        <v>1.051676844665536</v>
      </c>
      <c r="J515">
        <v>0.89122871257949721</v>
      </c>
      <c r="K515">
        <v>3.8189862876261329</v>
      </c>
      <c r="L515">
        <v>-4108.8098728540936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1</v>
      </c>
      <c r="S515">
        <v>0</v>
      </c>
      <c r="T515">
        <v>0</v>
      </c>
      <c r="U515">
        <v>0</v>
      </c>
      <c r="V515">
        <v>0</v>
      </c>
      <c r="W515">
        <v>0</v>
      </c>
    </row>
    <row r="516" spans="1:23" x14ac:dyDescent="0.35">
      <c r="A516" t="s">
        <v>113</v>
      </c>
      <c r="B516" t="s">
        <v>95</v>
      </c>
      <c r="C516">
        <v>575074.19999999995</v>
      </c>
      <c r="D516">
        <v>1.2817542696888551</v>
      </c>
      <c r="E516">
        <v>0.96313251467945415</v>
      </c>
      <c r="F516">
        <v>26500.43</v>
      </c>
      <c r="G516">
        <v>2181.4839460196272</v>
      </c>
      <c r="H516">
        <v>2181.4839460196272</v>
      </c>
      <c r="I516">
        <v>0.98331555828569961</v>
      </c>
      <c r="J516">
        <v>0.87724880135835592</v>
      </c>
      <c r="K516">
        <v>1.391307834897924</v>
      </c>
      <c r="L516">
        <v>1913.704176828214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</row>
    <row r="517" spans="1:23" x14ac:dyDescent="0.35">
      <c r="A517" t="s">
        <v>113</v>
      </c>
      <c r="B517" t="s">
        <v>96</v>
      </c>
      <c r="C517">
        <v>575881.69999999995</v>
      </c>
      <c r="D517">
        <v>1.435987978777298</v>
      </c>
      <c r="E517">
        <v>0.9633317251387935</v>
      </c>
      <c r="F517">
        <v>26400.05</v>
      </c>
      <c r="G517">
        <v>-84.520772908697836</v>
      </c>
      <c r="H517">
        <v>-84.520772908697836</v>
      </c>
      <c r="I517">
        <v>0.98394590483953692</v>
      </c>
      <c r="J517">
        <v>0.87738449245329442</v>
      </c>
      <c r="K517">
        <v>1.2817542696888551</v>
      </c>
      <c r="L517">
        <v>-74.157215440258014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1</v>
      </c>
      <c r="S517">
        <v>0</v>
      </c>
      <c r="T517">
        <v>0</v>
      </c>
      <c r="U517">
        <v>0</v>
      </c>
      <c r="V517">
        <v>0</v>
      </c>
      <c r="W517">
        <v>0</v>
      </c>
    </row>
    <row r="518" spans="1:23" x14ac:dyDescent="0.35">
      <c r="A518" t="s">
        <v>113</v>
      </c>
      <c r="B518" t="s">
        <v>97</v>
      </c>
      <c r="C518">
        <v>581329.19999999995</v>
      </c>
      <c r="D518">
        <v>1.987753086329086</v>
      </c>
      <c r="E518">
        <v>0.92551149540639677</v>
      </c>
      <c r="F518">
        <v>30702.400000000001</v>
      </c>
      <c r="G518">
        <v>4416.8820192602216</v>
      </c>
      <c r="H518">
        <v>4416.8820192602216</v>
      </c>
      <c r="I518">
        <v>0.86427421914487035</v>
      </c>
      <c r="J518">
        <v>0.84922665541533071</v>
      </c>
      <c r="K518">
        <v>1.435987978777298</v>
      </c>
      <c r="L518">
        <v>3750.9339445804699</v>
      </c>
      <c r="M518">
        <v>0</v>
      </c>
      <c r="N518">
        <v>0</v>
      </c>
      <c r="O518">
        <v>0</v>
      </c>
      <c r="P518">
        <v>0</v>
      </c>
      <c r="Q518">
        <v>1</v>
      </c>
      <c r="R518">
        <v>0</v>
      </c>
      <c r="S518">
        <v>4416.8820192602216</v>
      </c>
      <c r="T518">
        <v>3750.9339445804699</v>
      </c>
      <c r="U518">
        <v>0</v>
      </c>
      <c r="V518">
        <v>0</v>
      </c>
      <c r="W518">
        <v>0</v>
      </c>
    </row>
    <row r="519" spans="1:23" x14ac:dyDescent="0.35">
      <c r="A519" t="s">
        <v>113</v>
      </c>
      <c r="B519" t="s">
        <v>98</v>
      </c>
      <c r="C519">
        <v>583427.69999999995</v>
      </c>
      <c r="D519">
        <v>1.8412727228817749</v>
      </c>
      <c r="E519">
        <v>0.92649527379264573</v>
      </c>
      <c r="F519">
        <v>17905.28</v>
      </c>
      <c r="G519">
        <v>-12517.608803376361</v>
      </c>
      <c r="H519">
        <v>-12517.608803376361</v>
      </c>
      <c r="I519">
        <v>0.86738711450974293</v>
      </c>
      <c r="J519">
        <v>0.85002207829976295</v>
      </c>
      <c r="K519">
        <v>1.987753086329086</v>
      </c>
      <c r="L519">
        <v>-10640.243850389381</v>
      </c>
      <c r="M519">
        <v>0</v>
      </c>
      <c r="N519">
        <v>0</v>
      </c>
      <c r="O519">
        <v>0</v>
      </c>
      <c r="P519">
        <v>0</v>
      </c>
      <c r="Q519">
        <v>1</v>
      </c>
      <c r="R519">
        <v>0</v>
      </c>
      <c r="S519">
        <v>-12517.608803376361</v>
      </c>
      <c r="T519">
        <v>-10640.243850389381</v>
      </c>
      <c r="U519">
        <v>0</v>
      </c>
      <c r="V519">
        <v>0</v>
      </c>
      <c r="W519">
        <v>0</v>
      </c>
    </row>
    <row r="520" spans="1:23" x14ac:dyDescent="0.35">
      <c r="A520" t="s">
        <v>113</v>
      </c>
      <c r="B520" t="s">
        <v>99</v>
      </c>
      <c r="C520">
        <v>586350.30000000005</v>
      </c>
      <c r="D520">
        <v>1.941831659653054</v>
      </c>
      <c r="E520">
        <v>0.90635894408532469</v>
      </c>
      <c r="F520">
        <v>16655.52</v>
      </c>
      <c r="G520">
        <v>-1255.046474869388</v>
      </c>
      <c r="H520">
        <v>-1255.046474869388</v>
      </c>
      <c r="I520">
        <v>0.80367125300310283</v>
      </c>
      <c r="J520">
        <v>0.8330421013528978</v>
      </c>
      <c r="K520">
        <v>1.8412727228817749</v>
      </c>
      <c r="L520">
        <v>-1045.5065527207421</v>
      </c>
      <c r="M520">
        <v>0</v>
      </c>
      <c r="N520">
        <v>0</v>
      </c>
      <c r="O520">
        <v>0</v>
      </c>
      <c r="P520">
        <v>0</v>
      </c>
      <c r="Q520">
        <v>1</v>
      </c>
      <c r="R520">
        <v>0</v>
      </c>
      <c r="S520">
        <v>-1255.046474869388</v>
      </c>
      <c r="T520">
        <v>-1045.5065527207421</v>
      </c>
      <c r="U520">
        <v>0</v>
      </c>
      <c r="V520">
        <v>0</v>
      </c>
      <c r="W520">
        <v>0</v>
      </c>
    </row>
    <row r="521" spans="1:23" x14ac:dyDescent="0.35">
      <c r="A521" t="s">
        <v>113</v>
      </c>
      <c r="B521" t="s">
        <v>100</v>
      </c>
      <c r="C521">
        <v>587761.69999999995</v>
      </c>
      <c r="D521">
        <v>2.0419335987160552</v>
      </c>
      <c r="E521">
        <v>0.90244569561226051</v>
      </c>
      <c r="F521">
        <v>16042.91</v>
      </c>
      <c r="G521">
        <v>-1325.5086914047929</v>
      </c>
      <c r="H521">
        <v>-1325.5086914047929</v>
      </c>
      <c r="I521">
        <v>0.79128885753307954</v>
      </c>
      <c r="J521">
        <v>0.82956927555586746</v>
      </c>
      <c r="K521">
        <v>1.941831659653054</v>
      </c>
      <c r="L521">
        <v>-1099.60128487168</v>
      </c>
      <c r="M521">
        <v>0</v>
      </c>
      <c r="N521">
        <v>0</v>
      </c>
      <c r="O521">
        <v>0</v>
      </c>
      <c r="P521">
        <v>0</v>
      </c>
      <c r="Q521">
        <v>1</v>
      </c>
      <c r="R521">
        <v>0</v>
      </c>
      <c r="S521">
        <v>-1325.5086914047929</v>
      </c>
      <c r="T521">
        <v>-1099.60128487168</v>
      </c>
      <c r="U521">
        <v>0</v>
      </c>
      <c r="V521">
        <v>0</v>
      </c>
      <c r="W521">
        <v>0</v>
      </c>
    </row>
    <row r="522" spans="1:23" x14ac:dyDescent="0.35">
      <c r="A522" t="s">
        <v>113</v>
      </c>
      <c r="B522" t="s">
        <v>101</v>
      </c>
      <c r="C522">
        <v>589251.9</v>
      </c>
      <c r="D522">
        <v>1.353656056509148</v>
      </c>
      <c r="E522">
        <v>0.59483462208102433</v>
      </c>
      <c r="F522">
        <v>15096.69</v>
      </c>
      <c r="G522">
        <v>-1747.62351995877</v>
      </c>
      <c r="H522">
        <v>-1747.62351995877</v>
      </c>
      <c r="I522">
        <v>-0.18206154166599459</v>
      </c>
      <c r="J522">
        <v>0.40996185142855612</v>
      </c>
      <c r="K522">
        <v>2.0419335987160552</v>
      </c>
      <c r="L522">
        <v>-716.45897384238742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-1747.62351995877</v>
      </c>
      <c r="T522">
        <v>-716.45897384238742</v>
      </c>
      <c r="U522">
        <v>0</v>
      </c>
      <c r="V522">
        <v>0</v>
      </c>
      <c r="W522">
        <v>0</v>
      </c>
    </row>
    <row r="523" spans="1:23" x14ac:dyDescent="0.35">
      <c r="A523" t="s">
        <v>113</v>
      </c>
      <c r="B523" t="s">
        <v>102</v>
      </c>
      <c r="C523">
        <v>591668.4</v>
      </c>
      <c r="D523">
        <v>1.4025806220145181</v>
      </c>
      <c r="E523">
        <v>0.50216672319058175</v>
      </c>
      <c r="F523">
        <v>19263.25</v>
      </c>
      <c r="G523">
        <v>3296.2288795207619</v>
      </c>
      <c r="H523">
        <v>3296.2288795207619</v>
      </c>
      <c r="I523">
        <v>-0.475283548736532</v>
      </c>
      <c r="J523">
        <v>0.27877078839642999</v>
      </c>
      <c r="K523">
        <v>1.353656056509148</v>
      </c>
      <c r="L523">
        <v>918.89232347908398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3296.2288795207619</v>
      </c>
      <c r="T523">
        <v>918.89232347908398</v>
      </c>
      <c r="U523">
        <v>0</v>
      </c>
      <c r="V523">
        <v>0</v>
      </c>
      <c r="W523">
        <v>0</v>
      </c>
    </row>
    <row r="524" spans="1:23" x14ac:dyDescent="0.35">
      <c r="A524" t="s">
        <v>113</v>
      </c>
      <c r="B524" t="s">
        <v>103</v>
      </c>
      <c r="C524">
        <v>591498.80000000005</v>
      </c>
      <c r="D524">
        <v>0.87422621291450131</v>
      </c>
      <c r="E524">
        <v>0.61781501581734033</v>
      </c>
      <c r="F524">
        <v>26370.25</v>
      </c>
      <c r="G524">
        <v>6352.7743362205329</v>
      </c>
      <c r="H524">
        <v>6352.7743362205329</v>
      </c>
      <c r="I524">
        <v>-0.1093464239681146</v>
      </c>
      <c r="J524">
        <v>0.44554365352748732</v>
      </c>
      <c r="K524">
        <v>1.4025806220145181</v>
      </c>
      <c r="L524">
        <v>2830.438287795354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6352.7743362205329</v>
      </c>
      <c r="T524">
        <v>2830.438287795354</v>
      </c>
      <c r="U524">
        <v>0</v>
      </c>
      <c r="V524">
        <v>0</v>
      </c>
      <c r="W524">
        <v>0</v>
      </c>
    </row>
    <row r="525" spans="1:23" x14ac:dyDescent="0.35">
      <c r="A525" t="s">
        <v>113</v>
      </c>
      <c r="B525" t="s">
        <v>104</v>
      </c>
      <c r="C525">
        <v>592464.6</v>
      </c>
      <c r="D525">
        <v>0.79695307440825325</v>
      </c>
      <c r="E525">
        <v>0.14651788517158201</v>
      </c>
      <c r="F525">
        <v>48145.7</v>
      </c>
      <c r="G525">
        <v>21516.57673025272</v>
      </c>
      <c r="H525">
        <v>21516.57673025272</v>
      </c>
      <c r="I525">
        <v>-1.6006362042394511</v>
      </c>
      <c r="J525">
        <v>3.9117867881986672E-2</v>
      </c>
      <c r="K525">
        <v>0.87422621291450131</v>
      </c>
      <c r="L525">
        <v>841.68260580665458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1</v>
      </c>
      <c r="S525">
        <v>0</v>
      </c>
      <c r="T525">
        <v>0</v>
      </c>
      <c r="U525">
        <v>0</v>
      </c>
      <c r="V525">
        <v>0</v>
      </c>
      <c r="W525">
        <v>0</v>
      </c>
    </row>
    <row r="526" spans="1:23" x14ac:dyDescent="0.35">
      <c r="A526" t="s">
        <v>113</v>
      </c>
      <c r="B526" t="s">
        <v>105</v>
      </c>
      <c r="C526">
        <v>593945.19999999995</v>
      </c>
      <c r="D526">
        <v>0.7933292965665556</v>
      </c>
      <c r="E526">
        <v>4.0634115355640002E-2</v>
      </c>
      <c r="F526">
        <v>80038.14</v>
      </c>
      <c r="G526">
        <v>32860.236300339107</v>
      </c>
      <c r="H526">
        <v>32860.236300339107</v>
      </c>
      <c r="I526">
        <v>-1.9356761897508461</v>
      </c>
      <c r="J526">
        <v>2.0405137373980479E-2</v>
      </c>
      <c r="K526">
        <v>0.79695307440825325</v>
      </c>
      <c r="L526">
        <v>670.51763584987953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1</v>
      </c>
      <c r="S526">
        <v>0</v>
      </c>
      <c r="T526">
        <v>0</v>
      </c>
      <c r="U526">
        <v>0</v>
      </c>
      <c r="V526">
        <v>0</v>
      </c>
      <c r="W526">
        <v>0</v>
      </c>
    </row>
    <row r="527" spans="1:23" x14ac:dyDescent="0.35">
      <c r="A527" t="s">
        <v>113</v>
      </c>
      <c r="B527" t="s">
        <v>106</v>
      </c>
      <c r="C527">
        <v>596554.6</v>
      </c>
      <c r="D527">
        <v>0.82244284824445713</v>
      </c>
      <c r="E527">
        <v>-3.1913797449881931E-2</v>
      </c>
      <c r="F527">
        <v>106862.2</v>
      </c>
      <c r="G527">
        <v>30173.051455287681</v>
      </c>
      <c r="H527">
        <v>30173.051455287681</v>
      </c>
      <c r="I527">
        <v>-2.1652340502000529</v>
      </c>
      <c r="J527">
        <v>1.299041336406076E-2</v>
      </c>
      <c r="K527">
        <v>0.7933292965665556</v>
      </c>
      <c r="L527">
        <v>391.96041085926203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30173.051455287681</v>
      </c>
      <c r="T527">
        <v>391.96041085926203</v>
      </c>
      <c r="U527">
        <v>0</v>
      </c>
      <c r="V527">
        <v>0</v>
      </c>
      <c r="W527">
        <v>0</v>
      </c>
    </row>
    <row r="528" spans="1:23" x14ac:dyDescent="0.35">
      <c r="A528" t="s">
        <v>113</v>
      </c>
      <c r="B528" t="s">
        <v>107</v>
      </c>
      <c r="C528">
        <v>598177.1</v>
      </c>
      <c r="D528">
        <v>1.1227209275998189</v>
      </c>
      <c r="E528">
        <v>-0.12538590369742769</v>
      </c>
      <c r="F528">
        <v>94947.06</v>
      </c>
      <c r="G528">
        <v>-5865.0461574176588</v>
      </c>
      <c r="H528">
        <v>-5865.0461574176588</v>
      </c>
      <c r="I528">
        <v>-2.461000749641673</v>
      </c>
      <c r="J528">
        <v>7.2318555381998073E-3</v>
      </c>
      <c r="K528">
        <v>0.82244284824445713</v>
      </c>
      <c r="L528">
        <v>-42.415166535318399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-5865.0461574176588</v>
      </c>
      <c r="T528">
        <v>-42.415166535318399</v>
      </c>
      <c r="U528">
        <v>0</v>
      </c>
      <c r="V528">
        <v>0</v>
      </c>
      <c r="W528">
        <v>0</v>
      </c>
    </row>
    <row r="529" spans="1:23" x14ac:dyDescent="0.35">
      <c r="A529" t="s">
        <v>113</v>
      </c>
      <c r="B529" t="s">
        <v>108</v>
      </c>
      <c r="C529">
        <v>597303.1</v>
      </c>
      <c r="D529">
        <v>0.81335653576268019</v>
      </c>
      <c r="E529">
        <v>-0.34255060636153439</v>
      </c>
      <c r="F529">
        <v>81871.73</v>
      </c>
      <c r="G529">
        <v>-6116.8052336188266</v>
      </c>
      <c r="H529">
        <v>-6116.8052336188266</v>
      </c>
      <c r="I529">
        <v>-3.1481585544747039</v>
      </c>
      <c r="J529">
        <v>1.839689461152365E-3</v>
      </c>
      <c r="K529">
        <v>1.1227209275998189</v>
      </c>
      <c r="L529">
        <v>-11.25302212421018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-6116.8052336188266</v>
      </c>
      <c r="T529">
        <v>-11.25302212421018</v>
      </c>
      <c r="U529">
        <v>0</v>
      </c>
      <c r="V529">
        <v>0</v>
      </c>
      <c r="W529">
        <v>0</v>
      </c>
    </row>
    <row r="530" spans="1:23" x14ac:dyDescent="0.35">
      <c r="A530" t="s">
        <v>113</v>
      </c>
      <c r="B530" t="s">
        <v>109</v>
      </c>
      <c r="C530">
        <v>598284.19999999995</v>
      </c>
      <c r="D530">
        <v>0.72788326762889655</v>
      </c>
      <c r="E530">
        <v>0.29803081405581061</v>
      </c>
      <c r="F530">
        <v>77922.84</v>
      </c>
      <c r="G530">
        <v>1879.7276364797731</v>
      </c>
      <c r="H530">
        <v>1879.7276364797731</v>
      </c>
      <c r="I530">
        <v>-1.1212153299505749</v>
      </c>
      <c r="J530">
        <v>9.6004383464514967E-2</v>
      </c>
      <c r="K530">
        <v>0.81335653576268019</v>
      </c>
      <c r="L530">
        <v>180.46209282145051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1879.7276364797731</v>
      </c>
      <c r="T530">
        <v>180.46209282145051</v>
      </c>
      <c r="U530">
        <v>0</v>
      </c>
      <c r="V530">
        <v>0</v>
      </c>
      <c r="W530">
        <v>0</v>
      </c>
    </row>
    <row r="531" spans="1:23" x14ac:dyDescent="0.35">
      <c r="A531" t="s">
        <v>114</v>
      </c>
      <c r="B531" t="s">
        <v>4</v>
      </c>
      <c r="C531">
        <v>388947</v>
      </c>
      <c r="F531">
        <v>5832.3329999999996</v>
      </c>
      <c r="G531">
        <v>-3714.5931994258599</v>
      </c>
      <c r="H531">
        <v>-3714.5931994258599</v>
      </c>
      <c r="M531">
        <v>0</v>
      </c>
      <c r="N531">
        <v>0</v>
      </c>
    </row>
    <row r="532" spans="1:23" x14ac:dyDescent="0.35">
      <c r="A532" t="s">
        <v>114</v>
      </c>
      <c r="B532" t="s">
        <v>5</v>
      </c>
      <c r="C532">
        <v>391450.6</v>
      </c>
      <c r="F532">
        <v>5569.9409999999998</v>
      </c>
      <c r="G532">
        <v>-1919.831103877337</v>
      </c>
      <c r="H532">
        <v>-1919.831103877337</v>
      </c>
      <c r="M532">
        <v>0</v>
      </c>
      <c r="N532">
        <v>0</v>
      </c>
    </row>
    <row r="533" spans="1:23" x14ac:dyDescent="0.35">
      <c r="A533" t="s">
        <v>114</v>
      </c>
      <c r="B533" t="s">
        <v>6</v>
      </c>
      <c r="C533">
        <v>394898.1</v>
      </c>
      <c r="F533">
        <v>13816.67</v>
      </c>
      <c r="G533">
        <v>6474.4940275934759</v>
      </c>
      <c r="H533">
        <v>6474.4940275934759</v>
      </c>
      <c r="M533">
        <v>0</v>
      </c>
      <c r="N533">
        <v>0</v>
      </c>
    </row>
    <row r="534" spans="1:23" x14ac:dyDescent="0.35">
      <c r="A534" t="s">
        <v>114</v>
      </c>
      <c r="B534" t="s">
        <v>7</v>
      </c>
      <c r="C534">
        <v>398693.3</v>
      </c>
      <c r="F534">
        <v>11881.05</v>
      </c>
      <c r="G534">
        <v>-3395.2229350538159</v>
      </c>
      <c r="H534">
        <v>-3395.2229350538159</v>
      </c>
      <c r="M534">
        <v>0</v>
      </c>
      <c r="N534">
        <v>0</v>
      </c>
    </row>
    <row r="535" spans="1:23" x14ac:dyDescent="0.35">
      <c r="A535" t="s">
        <v>114</v>
      </c>
      <c r="B535" t="s">
        <v>8</v>
      </c>
      <c r="C535">
        <v>402065.6</v>
      </c>
      <c r="D535">
        <v>3.317217183617216</v>
      </c>
      <c r="F535">
        <v>22324.51</v>
      </c>
      <c r="G535">
        <v>9331.4609908810216</v>
      </c>
      <c r="H535">
        <v>9331.4609908810216</v>
      </c>
      <c r="M535">
        <v>0</v>
      </c>
      <c r="N535">
        <v>0</v>
      </c>
      <c r="Q535">
        <v>0</v>
      </c>
      <c r="R535">
        <v>1</v>
      </c>
      <c r="S535">
        <v>0</v>
      </c>
      <c r="U535">
        <v>0</v>
      </c>
      <c r="V535">
        <v>0</v>
      </c>
    </row>
    <row r="536" spans="1:23" x14ac:dyDescent="0.35">
      <c r="A536" t="s">
        <v>114</v>
      </c>
      <c r="B536" t="s">
        <v>9</v>
      </c>
      <c r="C536">
        <v>401741.8</v>
      </c>
      <c r="D536">
        <v>2.5950267590593641</v>
      </c>
      <c r="F536">
        <v>13179.21</v>
      </c>
      <c r="G536">
        <v>-9943.8528374191192</v>
      </c>
      <c r="H536">
        <v>-9943.8528374191192</v>
      </c>
      <c r="K536">
        <v>3.317217183617216</v>
      </c>
      <c r="M536">
        <v>0</v>
      </c>
      <c r="N536">
        <v>0</v>
      </c>
      <c r="Q536">
        <v>0</v>
      </c>
      <c r="R536">
        <v>1</v>
      </c>
      <c r="S536">
        <v>0</v>
      </c>
      <c r="U536">
        <v>0</v>
      </c>
      <c r="V536">
        <v>0</v>
      </c>
    </row>
    <row r="537" spans="1:23" x14ac:dyDescent="0.35">
      <c r="A537" t="s">
        <v>114</v>
      </c>
      <c r="B537" t="s">
        <v>10</v>
      </c>
      <c r="C537">
        <v>400019</v>
      </c>
      <c r="D537">
        <v>1.2884289043507799</v>
      </c>
      <c r="F537">
        <v>25155.95</v>
      </c>
      <c r="G537">
        <v>11353.658528725049</v>
      </c>
      <c r="H537">
        <v>11353.658528725049</v>
      </c>
      <c r="K537">
        <v>2.5950267590593641</v>
      </c>
      <c r="M537">
        <v>0</v>
      </c>
      <c r="N537">
        <v>0</v>
      </c>
      <c r="Q537">
        <v>0</v>
      </c>
      <c r="R537">
        <v>1</v>
      </c>
      <c r="S537">
        <v>0</v>
      </c>
      <c r="U537">
        <v>0</v>
      </c>
      <c r="V537">
        <v>0</v>
      </c>
    </row>
    <row r="538" spans="1:23" x14ac:dyDescent="0.35">
      <c r="A538" t="s">
        <v>114</v>
      </c>
      <c r="B538" t="s">
        <v>11</v>
      </c>
      <c r="C538">
        <v>399425.2</v>
      </c>
      <c r="D538">
        <v>0.18340640021832519</v>
      </c>
      <c r="F538">
        <v>23448.18</v>
      </c>
      <c r="G538">
        <v>-2327.5821782993439</v>
      </c>
      <c r="H538">
        <v>-2327.5821782993439</v>
      </c>
      <c r="K538">
        <v>1.2884289043507799</v>
      </c>
      <c r="M538">
        <v>0</v>
      </c>
      <c r="N538">
        <v>0</v>
      </c>
      <c r="Q538">
        <v>0</v>
      </c>
      <c r="R538">
        <v>1</v>
      </c>
      <c r="S538">
        <v>0</v>
      </c>
      <c r="U538">
        <v>0</v>
      </c>
      <c r="V538">
        <v>0</v>
      </c>
    </row>
    <row r="539" spans="1:23" x14ac:dyDescent="0.35">
      <c r="A539" t="s">
        <v>114</v>
      </c>
      <c r="B539" t="s">
        <v>12</v>
      </c>
      <c r="C539">
        <v>400015.5</v>
      </c>
      <c r="D539">
        <v>-0.51119630283291972</v>
      </c>
      <c r="E539">
        <v>0.75102515647160129</v>
      </c>
      <c r="F539">
        <v>22597.360000000001</v>
      </c>
      <c r="G539">
        <v>-922.17355643885821</v>
      </c>
      <c r="H539">
        <v>-922.17355643885821</v>
      </c>
      <c r="I539">
        <v>0.3121603251054797</v>
      </c>
      <c r="J539">
        <v>0.65120057410554089</v>
      </c>
      <c r="K539">
        <v>0.18340640021832519</v>
      </c>
      <c r="L539">
        <v>-600.5199493779329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1</v>
      </c>
      <c r="S539">
        <v>0</v>
      </c>
      <c r="T539">
        <v>0</v>
      </c>
      <c r="U539">
        <v>0</v>
      </c>
      <c r="V539">
        <v>0</v>
      </c>
      <c r="W539">
        <v>0</v>
      </c>
    </row>
    <row r="540" spans="1:23" x14ac:dyDescent="0.35">
      <c r="A540" t="s">
        <v>114</v>
      </c>
      <c r="B540" t="s">
        <v>13</v>
      </c>
      <c r="C540">
        <v>401291.5</v>
      </c>
      <c r="D540">
        <v>-0.112149781882598</v>
      </c>
      <c r="E540">
        <v>0.79386524590602348</v>
      </c>
      <c r="F540">
        <v>17938.45</v>
      </c>
      <c r="G540">
        <v>-4851.7453407365683</v>
      </c>
      <c r="H540">
        <v>-4851.7453407365683</v>
      </c>
      <c r="I540">
        <v>0.44771597228696719</v>
      </c>
      <c r="J540">
        <v>0.71000986199998262</v>
      </c>
      <c r="K540">
        <v>-0.51119630283291972</v>
      </c>
      <c r="L540">
        <v>-3444.7870398354289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0</v>
      </c>
      <c r="U540">
        <v>0</v>
      </c>
      <c r="V540">
        <v>0</v>
      </c>
      <c r="W540">
        <v>0</v>
      </c>
    </row>
    <row r="541" spans="1:23" x14ac:dyDescent="0.35">
      <c r="A541" t="s">
        <v>114</v>
      </c>
      <c r="B541" t="s">
        <v>14</v>
      </c>
      <c r="C541">
        <v>401757.8</v>
      </c>
      <c r="D541">
        <v>0.43373735083757309</v>
      </c>
      <c r="E541">
        <v>0.8691606696851073</v>
      </c>
      <c r="F541">
        <v>14136.45</v>
      </c>
      <c r="G541">
        <v>-4222.8378093282299</v>
      </c>
      <c r="H541">
        <v>-4222.8378093282299</v>
      </c>
      <c r="I541">
        <v>0.68596757341403991</v>
      </c>
      <c r="J541">
        <v>0.79769262573460376</v>
      </c>
      <c r="K541">
        <v>-0.112149781882598</v>
      </c>
      <c r="L541">
        <v>-3368.5265801743981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1</v>
      </c>
      <c r="S541">
        <v>0</v>
      </c>
      <c r="T541">
        <v>0</v>
      </c>
      <c r="U541">
        <v>0</v>
      </c>
      <c r="V541">
        <v>0</v>
      </c>
      <c r="W541">
        <v>0</v>
      </c>
    </row>
    <row r="542" spans="1:23" x14ac:dyDescent="0.35">
      <c r="A542" t="s">
        <v>114</v>
      </c>
      <c r="B542" t="s">
        <v>15</v>
      </c>
      <c r="C542">
        <v>404150.1</v>
      </c>
      <c r="D542">
        <v>1.175982997941186</v>
      </c>
      <c r="E542">
        <v>0.96009907498338753</v>
      </c>
      <c r="F542">
        <v>27832.880000000001</v>
      </c>
      <c r="G542">
        <v>12885.617455236321</v>
      </c>
      <c r="H542">
        <v>12885.617455236321</v>
      </c>
      <c r="I542">
        <v>0.97371707502819449</v>
      </c>
      <c r="J542">
        <v>0.87516659236964722</v>
      </c>
      <c r="K542">
        <v>0.43373735083757309</v>
      </c>
      <c r="L542">
        <v>11277.06191887802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1</v>
      </c>
      <c r="S542">
        <v>0</v>
      </c>
      <c r="T542">
        <v>0</v>
      </c>
      <c r="U542">
        <v>0</v>
      </c>
      <c r="V542">
        <v>0</v>
      </c>
      <c r="W542">
        <v>0</v>
      </c>
    </row>
    <row r="543" spans="1:23" x14ac:dyDescent="0.35">
      <c r="A543" t="s">
        <v>114</v>
      </c>
      <c r="B543" t="s">
        <v>16</v>
      </c>
      <c r="C543">
        <v>402564.6</v>
      </c>
      <c r="D543">
        <v>0.63522845175592113</v>
      </c>
      <c r="E543">
        <v>0.95787033861935855</v>
      </c>
      <c r="F543">
        <v>25718.62</v>
      </c>
      <c r="G543">
        <v>-2578.9762101676129</v>
      </c>
      <c r="H543">
        <v>-2578.9762101676129</v>
      </c>
      <c r="I543">
        <v>0.96666485351765508</v>
      </c>
      <c r="J543">
        <v>0.8736175102631244</v>
      </c>
      <c r="K543">
        <v>1.175982997941186</v>
      </c>
      <c r="L543">
        <v>-2253.038775754459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0</v>
      </c>
      <c r="U543">
        <v>0</v>
      </c>
      <c r="V543">
        <v>0</v>
      </c>
      <c r="W543">
        <v>0</v>
      </c>
    </row>
    <row r="544" spans="1:23" x14ac:dyDescent="0.35">
      <c r="A544" t="s">
        <v>114</v>
      </c>
      <c r="B544" t="s">
        <v>17</v>
      </c>
      <c r="C544">
        <v>401630.9</v>
      </c>
      <c r="D544">
        <v>8.4541176137245433E-2</v>
      </c>
      <c r="E544">
        <v>0.96512129502834121</v>
      </c>
      <c r="F544">
        <v>34454.82</v>
      </c>
      <c r="G544">
        <v>8892.3153268391106</v>
      </c>
      <c r="H544">
        <v>8892.3153268391106</v>
      </c>
      <c r="I544">
        <v>0.98960850516919963</v>
      </c>
      <c r="J544">
        <v>0.87859767020681789</v>
      </c>
      <c r="K544">
        <v>0.63522845175592113</v>
      </c>
      <c r="L544">
        <v>7812.7675289052213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0</v>
      </c>
      <c r="U544">
        <v>0</v>
      </c>
      <c r="V544">
        <v>0</v>
      </c>
      <c r="W544">
        <v>0</v>
      </c>
    </row>
    <row r="545" spans="1:23" x14ac:dyDescent="0.35">
      <c r="A545" t="s">
        <v>114</v>
      </c>
      <c r="B545" t="s">
        <v>18</v>
      </c>
      <c r="C545">
        <v>400714.4</v>
      </c>
      <c r="D545">
        <v>-0.26004653818345902</v>
      </c>
      <c r="E545">
        <v>0.94614051530737342</v>
      </c>
      <c r="F545">
        <v>23886.34</v>
      </c>
      <c r="G545">
        <v>-10175.62221530782</v>
      </c>
      <c r="H545">
        <v>-10175.62221530782</v>
      </c>
      <c r="I545">
        <v>0.92954906287920147</v>
      </c>
      <c r="J545">
        <v>0.86519179262755941</v>
      </c>
      <c r="K545">
        <v>8.4541176137245433E-2</v>
      </c>
      <c r="L545">
        <v>-8803.8648255629869</v>
      </c>
      <c r="M545">
        <v>0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-10175.62221530782</v>
      </c>
      <c r="T545">
        <v>-8803.8648255629869</v>
      </c>
      <c r="U545">
        <v>0</v>
      </c>
      <c r="V545">
        <v>0</v>
      </c>
      <c r="W545">
        <v>0</v>
      </c>
    </row>
    <row r="546" spans="1:23" x14ac:dyDescent="0.35">
      <c r="A546" t="s">
        <v>114</v>
      </c>
      <c r="B546" t="s">
        <v>19</v>
      </c>
      <c r="C546">
        <v>404649</v>
      </c>
      <c r="D546">
        <v>0.1233681054481655</v>
      </c>
      <c r="E546">
        <v>0.94487796468785112</v>
      </c>
      <c r="F546">
        <v>12058.21</v>
      </c>
      <c r="G546">
        <v>-11403.891117199109</v>
      </c>
      <c r="H546">
        <v>-11403.891117199109</v>
      </c>
      <c r="I546">
        <v>0.92555406967101228</v>
      </c>
      <c r="J546">
        <v>0.86425715874976095</v>
      </c>
      <c r="K546">
        <v>-0.26004653818345902</v>
      </c>
      <c r="L546">
        <v>-9855.8945356421427</v>
      </c>
      <c r="M546">
        <v>0</v>
      </c>
      <c r="N546">
        <v>0</v>
      </c>
      <c r="O546">
        <v>0</v>
      </c>
      <c r="P546">
        <v>0</v>
      </c>
      <c r="Q546">
        <v>1</v>
      </c>
      <c r="R546">
        <v>0</v>
      </c>
      <c r="S546">
        <v>-11403.891117199109</v>
      </c>
      <c r="T546">
        <v>-9855.8945356421427</v>
      </c>
      <c r="U546">
        <v>0</v>
      </c>
      <c r="V546">
        <v>0</v>
      </c>
      <c r="W546">
        <v>0</v>
      </c>
    </row>
    <row r="547" spans="1:23" x14ac:dyDescent="0.35">
      <c r="A547" t="s">
        <v>114</v>
      </c>
      <c r="B547" t="s">
        <v>20</v>
      </c>
      <c r="C547">
        <v>406079.7</v>
      </c>
      <c r="D547">
        <v>0.86938648802850382</v>
      </c>
      <c r="E547">
        <v>0.93530621333058717</v>
      </c>
      <c r="F547">
        <v>16122.31</v>
      </c>
      <c r="G547">
        <v>3477.0160780143342</v>
      </c>
      <c r="H547">
        <v>3477.0160780143342</v>
      </c>
      <c r="I547">
        <v>0.89526690250997343</v>
      </c>
      <c r="J547">
        <v>0.85699271010510203</v>
      </c>
      <c r="K547">
        <v>0.1233681054481655</v>
      </c>
      <c r="L547">
        <v>2979.777431776517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3477.0160780143342</v>
      </c>
      <c r="T547">
        <v>2979.777431776517</v>
      </c>
      <c r="U547">
        <v>0</v>
      </c>
      <c r="V547">
        <v>0</v>
      </c>
      <c r="W547">
        <v>0</v>
      </c>
    </row>
    <row r="548" spans="1:23" x14ac:dyDescent="0.35">
      <c r="A548" t="s">
        <v>114</v>
      </c>
      <c r="B548" t="s">
        <v>21</v>
      </c>
      <c r="C548">
        <v>407317.1</v>
      </c>
      <c r="D548">
        <v>1.4058489920106301</v>
      </c>
      <c r="E548">
        <v>0.91981893824211891</v>
      </c>
      <c r="F548">
        <v>9975.3389999999999</v>
      </c>
      <c r="G548">
        <v>-7181.6860400218247</v>
      </c>
      <c r="H548">
        <v>-7181.6860400218247</v>
      </c>
      <c r="I548">
        <v>0.84626169207714508</v>
      </c>
      <c r="J548">
        <v>0.84455572126600764</v>
      </c>
      <c r="K548">
        <v>0.86938648802850382</v>
      </c>
      <c r="L548">
        <v>-6065.3340334366503</v>
      </c>
      <c r="M548">
        <v>0</v>
      </c>
      <c r="N548">
        <v>0</v>
      </c>
      <c r="O548">
        <v>0</v>
      </c>
      <c r="P548">
        <v>0</v>
      </c>
      <c r="Q548">
        <v>1</v>
      </c>
      <c r="R548">
        <v>0</v>
      </c>
      <c r="S548">
        <v>-7181.6860400218247</v>
      </c>
      <c r="T548">
        <v>-6065.3340334366503</v>
      </c>
      <c r="U548">
        <v>0</v>
      </c>
      <c r="V548">
        <v>0</v>
      </c>
      <c r="W548">
        <v>0</v>
      </c>
    </row>
    <row r="549" spans="1:23" x14ac:dyDescent="0.35">
      <c r="A549" t="s">
        <v>114</v>
      </c>
      <c r="B549" t="s">
        <v>22</v>
      </c>
      <c r="C549">
        <v>407719.6</v>
      </c>
      <c r="D549">
        <v>1.7330729127859841</v>
      </c>
      <c r="E549">
        <v>0.6016197050816543</v>
      </c>
      <c r="F549">
        <v>14397.81</v>
      </c>
      <c r="G549">
        <v>3353.6931959349681</v>
      </c>
      <c r="H549">
        <v>3353.6931959349681</v>
      </c>
      <c r="I549">
        <v>-0.16059201792145561</v>
      </c>
      <c r="J549">
        <v>0.42038721637642201</v>
      </c>
      <c r="K549">
        <v>1.4058489920106301</v>
      </c>
      <c r="L549">
        <v>1409.849747219647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0</v>
      </c>
      <c r="U549">
        <v>0</v>
      </c>
      <c r="V549">
        <v>0</v>
      </c>
      <c r="W549">
        <v>0</v>
      </c>
    </row>
    <row r="550" spans="1:23" x14ac:dyDescent="0.35">
      <c r="A550" t="s">
        <v>114</v>
      </c>
      <c r="B550" t="s">
        <v>23</v>
      </c>
      <c r="C550">
        <v>408628.8</v>
      </c>
      <c r="D550">
        <v>0.97871398139099419</v>
      </c>
      <c r="E550">
        <v>0.56272608557124915</v>
      </c>
      <c r="F550">
        <v>13202.73</v>
      </c>
      <c r="G550">
        <v>-2405.1200373209231</v>
      </c>
      <c r="H550">
        <v>-2405.1200373209231</v>
      </c>
      <c r="I550">
        <v>-0.28366014951427221</v>
      </c>
      <c r="J550">
        <v>0.36185538150187951</v>
      </c>
      <c r="K550">
        <v>1.7330729127859841</v>
      </c>
      <c r="L550">
        <v>-870.30562866257731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1</v>
      </c>
      <c r="S550">
        <v>0</v>
      </c>
      <c r="T550">
        <v>0</v>
      </c>
      <c r="U550">
        <v>0</v>
      </c>
      <c r="V550">
        <v>0</v>
      </c>
      <c r="W550">
        <v>0</v>
      </c>
    </row>
    <row r="551" spans="1:23" x14ac:dyDescent="0.35">
      <c r="A551" t="s">
        <v>114</v>
      </c>
      <c r="B551" t="s">
        <v>24</v>
      </c>
      <c r="C551">
        <v>408009.3</v>
      </c>
      <c r="D551">
        <v>0.47405225069624241</v>
      </c>
      <c r="E551">
        <v>0.68553820243242669</v>
      </c>
      <c r="F551">
        <v>11537.9</v>
      </c>
      <c r="G551">
        <v>-2694.6719418449161</v>
      </c>
      <c r="H551">
        <v>-2694.6719418449161</v>
      </c>
      <c r="I551">
        <v>0.1049449211714292</v>
      </c>
      <c r="J551">
        <v>0.55228067140740078</v>
      </c>
      <c r="K551">
        <v>0.97871398139099419</v>
      </c>
      <c r="L551">
        <v>-1488.215229264795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0</v>
      </c>
      <c r="W551">
        <v>0</v>
      </c>
    </row>
    <row r="552" spans="1:23" x14ac:dyDescent="0.35">
      <c r="A552" t="s">
        <v>114</v>
      </c>
      <c r="B552" t="s">
        <v>25</v>
      </c>
      <c r="C552">
        <v>411343.4</v>
      </c>
      <c r="D552">
        <v>0.98363911866567544</v>
      </c>
      <c r="E552">
        <v>0.58694891693963624</v>
      </c>
      <c r="F552">
        <v>11866.98</v>
      </c>
      <c r="G552">
        <v>-828.06583405836682</v>
      </c>
      <c r="H552">
        <v>-828.06583405836682</v>
      </c>
      <c r="I552">
        <v>-0.20701368060957809</v>
      </c>
      <c r="J552">
        <v>0.39794682977319462</v>
      </c>
      <c r="K552">
        <v>0.47405225069624241</v>
      </c>
      <c r="L552">
        <v>-329.52617350702332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0</v>
      </c>
      <c r="U552">
        <v>0</v>
      </c>
      <c r="V552">
        <v>0</v>
      </c>
      <c r="W552">
        <v>0</v>
      </c>
    </row>
    <row r="553" spans="1:23" x14ac:dyDescent="0.35">
      <c r="A553" t="s">
        <v>114</v>
      </c>
      <c r="B553" t="s">
        <v>26</v>
      </c>
      <c r="C553">
        <v>413569.9</v>
      </c>
      <c r="D553">
        <v>1.424686168302443</v>
      </c>
      <c r="E553">
        <v>0.85208647612621136</v>
      </c>
      <c r="F553">
        <v>20193.73</v>
      </c>
      <c r="G553">
        <v>7096.9915636258847</v>
      </c>
      <c r="H553">
        <v>7096.9915636258847</v>
      </c>
      <c r="I553">
        <v>0.63194099717355212</v>
      </c>
      <c r="J553">
        <v>0.77969364758593518</v>
      </c>
      <c r="K553">
        <v>0.98363911866567544</v>
      </c>
      <c r="L553">
        <v>5533.4792391300753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7096.9915636258847</v>
      </c>
      <c r="T553">
        <v>5533.4792391300753</v>
      </c>
      <c r="U553">
        <v>0</v>
      </c>
      <c r="V553">
        <v>0</v>
      </c>
      <c r="W553">
        <v>0</v>
      </c>
    </row>
    <row r="554" spans="1:23" x14ac:dyDescent="0.35">
      <c r="A554" t="s">
        <v>114</v>
      </c>
      <c r="B554" t="s">
        <v>27</v>
      </c>
      <c r="C554">
        <v>415456.1</v>
      </c>
      <c r="D554">
        <v>1.656978839609202</v>
      </c>
      <c r="E554">
        <v>0.80567088100500495</v>
      </c>
      <c r="F554">
        <v>12165.63</v>
      </c>
      <c r="G554">
        <v>-8911.6409368498116</v>
      </c>
      <c r="H554">
        <v>-8911.6409368498116</v>
      </c>
      <c r="I554">
        <v>0.48507164841552952</v>
      </c>
      <c r="J554">
        <v>0.72514805896642343</v>
      </c>
      <c r="K554">
        <v>1.424686168302443</v>
      </c>
      <c r="L554">
        <v>-6462.2591275623599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1</v>
      </c>
      <c r="S554">
        <v>0</v>
      </c>
      <c r="T554">
        <v>0</v>
      </c>
      <c r="U554">
        <v>0</v>
      </c>
      <c r="V554">
        <v>0</v>
      </c>
      <c r="W554">
        <v>0</v>
      </c>
    </row>
    <row r="555" spans="1:23" x14ac:dyDescent="0.35">
      <c r="A555" t="s">
        <v>114</v>
      </c>
      <c r="B555" t="s">
        <v>28</v>
      </c>
      <c r="C555">
        <v>416851.3</v>
      </c>
      <c r="D555">
        <v>2.143959521753644</v>
      </c>
      <c r="E555">
        <v>0.8114216219609266</v>
      </c>
      <c r="F555">
        <v>11552.83</v>
      </c>
      <c r="G555">
        <v>-1385.556303605184</v>
      </c>
      <c r="H555">
        <v>-1385.556303605184</v>
      </c>
      <c r="I555">
        <v>0.50326828204409235</v>
      </c>
      <c r="J555">
        <v>0.73234180247270364</v>
      </c>
      <c r="K555">
        <v>1.656978839609202</v>
      </c>
      <c r="L555">
        <v>-1014.700800809637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-1385.556303605184</v>
      </c>
      <c r="T555">
        <v>-1014.700800809637</v>
      </c>
      <c r="U555">
        <v>0</v>
      </c>
      <c r="V555">
        <v>0</v>
      </c>
      <c r="W555">
        <v>0</v>
      </c>
    </row>
    <row r="556" spans="1:23" x14ac:dyDescent="0.35">
      <c r="A556" t="s">
        <v>114</v>
      </c>
      <c r="B556" t="s">
        <v>29</v>
      </c>
      <c r="C556">
        <v>418171.5</v>
      </c>
      <c r="D556">
        <v>1.646324670590954</v>
      </c>
      <c r="E556">
        <v>0.82445989271956788</v>
      </c>
      <c r="F556">
        <v>8235.1579999999994</v>
      </c>
      <c r="G556">
        <v>-4527.5681324086381</v>
      </c>
      <c r="H556">
        <v>-4527.5681324086381</v>
      </c>
      <c r="I556">
        <v>0.54452429374127997</v>
      </c>
      <c r="J556">
        <v>0.74820252209272387</v>
      </c>
      <c r="K556">
        <v>2.143959521753644</v>
      </c>
      <c r="L556">
        <v>-3387.537895614787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1</v>
      </c>
      <c r="S556">
        <v>0</v>
      </c>
      <c r="T556">
        <v>0</v>
      </c>
      <c r="U556">
        <v>0</v>
      </c>
      <c r="V556">
        <v>0</v>
      </c>
      <c r="W556">
        <v>0</v>
      </c>
    </row>
    <row r="557" spans="1:23" x14ac:dyDescent="0.35">
      <c r="A557" t="s">
        <v>114</v>
      </c>
      <c r="B557" t="s">
        <v>30</v>
      </c>
      <c r="C557">
        <v>419423.9</v>
      </c>
      <c r="D557">
        <v>1.405555809757131</v>
      </c>
      <c r="E557">
        <v>0.88402391338313702</v>
      </c>
      <c r="F557">
        <v>11854.69</v>
      </c>
      <c r="G557">
        <v>2246.9163671678002</v>
      </c>
      <c r="H557">
        <v>2246.9163671678002</v>
      </c>
      <c r="I557">
        <v>0.73299820862750631</v>
      </c>
      <c r="J557">
        <v>0.81244809834257803</v>
      </c>
      <c r="K557">
        <v>1.646324670590954</v>
      </c>
      <c r="L557">
        <v>1825.5029296402929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1</v>
      </c>
      <c r="S557">
        <v>0</v>
      </c>
      <c r="T557">
        <v>0</v>
      </c>
      <c r="U557">
        <v>0</v>
      </c>
      <c r="V557">
        <v>0</v>
      </c>
      <c r="W557">
        <v>0</v>
      </c>
    </row>
    <row r="558" spans="1:23" x14ac:dyDescent="0.35">
      <c r="A558" t="s">
        <v>114</v>
      </c>
      <c r="B558" t="s">
        <v>31</v>
      </c>
      <c r="C558">
        <v>425187.9</v>
      </c>
      <c r="D558">
        <v>2.3154235989075871</v>
      </c>
      <c r="E558">
        <v>0.81339426411225868</v>
      </c>
      <c r="F558">
        <v>9051.4310000000005</v>
      </c>
      <c r="G558">
        <v>-4203.3719888323176</v>
      </c>
      <c r="H558">
        <v>-4203.3719888323176</v>
      </c>
      <c r="I558">
        <v>0.5095101640525469</v>
      </c>
      <c r="J558">
        <v>0.73478172733471847</v>
      </c>
      <c r="K558">
        <v>1.405555809757131</v>
      </c>
      <c r="L558">
        <v>-3088.560930584581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  <c r="U558">
        <v>0</v>
      </c>
      <c r="V558">
        <v>0</v>
      </c>
      <c r="W558">
        <v>0</v>
      </c>
    </row>
    <row r="559" spans="1:23" x14ac:dyDescent="0.35">
      <c r="A559" t="s">
        <v>114</v>
      </c>
      <c r="B559" t="s">
        <v>32</v>
      </c>
      <c r="C559">
        <v>424785.5</v>
      </c>
      <c r="D559">
        <v>1.885477215561643</v>
      </c>
      <c r="E559">
        <v>0.86439561148848687</v>
      </c>
      <c r="F559">
        <v>13357.51</v>
      </c>
      <c r="G559">
        <v>2981.2693730277952</v>
      </c>
      <c r="H559">
        <v>2981.2693730277952</v>
      </c>
      <c r="I559">
        <v>0.67088986101362358</v>
      </c>
      <c r="J559">
        <v>0.79278246372672567</v>
      </c>
      <c r="K559">
        <v>2.3154235989075871</v>
      </c>
      <c r="L559">
        <v>2363.4980785820062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1</v>
      </c>
      <c r="S559">
        <v>0</v>
      </c>
      <c r="T559">
        <v>0</v>
      </c>
      <c r="U559">
        <v>0</v>
      </c>
      <c r="V559">
        <v>0</v>
      </c>
      <c r="W559">
        <v>0</v>
      </c>
    </row>
    <row r="560" spans="1:23" x14ac:dyDescent="0.35">
      <c r="A560" t="s">
        <v>114</v>
      </c>
      <c r="B560" t="s">
        <v>33</v>
      </c>
      <c r="C560">
        <v>425815.2</v>
      </c>
      <c r="D560">
        <v>1.811381387144021</v>
      </c>
      <c r="E560">
        <v>0.73744125962025886</v>
      </c>
      <c r="F560">
        <v>18459.61</v>
      </c>
      <c r="G560">
        <v>3803.4009892178929</v>
      </c>
      <c r="H560">
        <v>3803.4009892178929</v>
      </c>
      <c r="I560">
        <v>0.26917783012845609</v>
      </c>
      <c r="J560">
        <v>0.63142981956354149</v>
      </c>
      <c r="K560">
        <v>1.885477215561643</v>
      </c>
      <c r="L560">
        <v>2401.58080034965</v>
      </c>
      <c r="M560">
        <v>0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3803.4009892178929</v>
      </c>
      <c r="T560">
        <v>2401.58080034965</v>
      </c>
      <c r="U560">
        <v>0</v>
      </c>
      <c r="V560">
        <v>0</v>
      </c>
      <c r="W560">
        <v>0</v>
      </c>
    </row>
    <row r="561" spans="1:23" x14ac:dyDescent="0.35">
      <c r="A561" t="s">
        <v>114</v>
      </c>
      <c r="B561" t="s">
        <v>34</v>
      </c>
      <c r="C561">
        <v>425733.2</v>
      </c>
      <c r="D561">
        <v>1.493075597248626</v>
      </c>
      <c r="E561">
        <v>0.57642065554889177</v>
      </c>
      <c r="F561">
        <v>21867.71</v>
      </c>
      <c r="G561">
        <v>2532.642848660435</v>
      </c>
      <c r="H561">
        <v>2532.642848660435</v>
      </c>
      <c r="I561">
        <v>-0.24032745995410729</v>
      </c>
      <c r="J561">
        <v>0.38209748736187071</v>
      </c>
      <c r="K561">
        <v>1.811381387144021</v>
      </c>
      <c r="L561">
        <v>967.71646885816267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1</v>
      </c>
      <c r="S561">
        <v>0</v>
      </c>
      <c r="T561">
        <v>0</v>
      </c>
      <c r="U561">
        <v>0</v>
      </c>
      <c r="V561">
        <v>0</v>
      </c>
      <c r="W561">
        <v>0</v>
      </c>
    </row>
    <row r="562" spans="1:23" x14ac:dyDescent="0.35">
      <c r="A562" t="s">
        <v>114</v>
      </c>
      <c r="B562" t="s">
        <v>35</v>
      </c>
      <c r="C562">
        <v>424839.6</v>
      </c>
      <c r="D562">
        <v>-8.1950294429952067E-2</v>
      </c>
      <c r="E562">
        <v>0.61600968723748362</v>
      </c>
      <c r="F562">
        <v>13843.68</v>
      </c>
      <c r="G562">
        <v>-8502.2952960938928</v>
      </c>
      <c r="H562">
        <v>-8502.2952960938928</v>
      </c>
      <c r="I562">
        <v>-0.11505888832681591</v>
      </c>
      <c r="J562">
        <v>0.44272308742540462</v>
      </c>
      <c r="K562">
        <v>1.493075597248626</v>
      </c>
      <c r="L562">
        <v>-3764.162423689183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1</v>
      </c>
      <c r="S562">
        <v>0</v>
      </c>
      <c r="T562">
        <v>0</v>
      </c>
      <c r="U562">
        <v>0</v>
      </c>
      <c r="V562">
        <v>0</v>
      </c>
      <c r="W562">
        <v>0</v>
      </c>
    </row>
    <row r="563" spans="1:23" x14ac:dyDescent="0.35">
      <c r="A563" t="s">
        <v>114</v>
      </c>
      <c r="B563" t="s">
        <v>36</v>
      </c>
      <c r="C563">
        <v>429488</v>
      </c>
      <c r="D563">
        <v>1.1009465934322791</v>
      </c>
      <c r="E563">
        <v>0.67803940911990479</v>
      </c>
      <c r="F563">
        <v>13176.87</v>
      </c>
      <c r="G563">
        <v>-1287.1085488489391</v>
      </c>
      <c r="H563">
        <v>-1287.1085488489391</v>
      </c>
      <c r="I563">
        <v>8.1217057995159714E-2</v>
      </c>
      <c r="J563">
        <v>0.5405194764852671</v>
      </c>
      <c r="K563">
        <v>-8.1950294429952067E-2</v>
      </c>
      <c r="L563">
        <v>-695.70723900354028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1</v>
      </c>
      <c r="S563">
        <v>0</v>
      </c>
      <c r="T563">
        <v>0</v>
      </c>
      <c r="U563">
        <v>0</v>
      </c>
      <c r="V563">
        <v>0</v>
      </c>
      <c r="W563">
        <v>0</v>
      </c>
    </row>
    <row r="564" spans="1:23" x14ac:dyDescent="0.35">
      <c r="A564" t="s">
        <v>114</v>
      </c>
      <c r="B564" t="s">
        <v>37</v>
      </c>
      <c r="C564">
        <v>425487.8</v>
      </c>
      <c r="D564">
        <v>-7.6917388084296032E-2</v>
      </c>
      <c r="E564">
        <v>0.5497848091783939</v>
      </c>
      <c r="F564">
        <v>18019.05</v>
      </c>
      <c r="G564">
        <v>3782.8150578267828</v>
      </c>
      <c r="H564">
        <v>3782.8150578267828</v>
      </c>
      <c r="I564">
        <v>-0.3246092492931919</v>
      </c>
      <c r="J564">
        <v>0.34316566848704072</v>
      </c>
      <c r="K564">
        <v>1.1009465934322791</v>
      </c>
      <c r="L564">
        <v>1298.1322580819719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1</v>
      </c>
      <c r="S564">
        <v>0</v>
      </c>
      <c r="T564">
        <v>0</v>
      </c>
      <c r="U564">
        <v>0</v>
      </c>
      <c r="V564">
        <v>0</v>
      </c>
      <c r="W564">
        <v>0</v>
      </c>
    </row>
    <row r="565" spans="1:23" x14ac:dyDescent="0.35">
      <c r="A565" t="s">
        <v>114</v>
      </c>
      <c r="B565" t="s">
        <v>38</v>
      </c>
      <c r="C565">
        <v>419086.5</v>
      </c>
      <c r="D565">
        <v>-1.573551645776939</v>
      </c>
      <c r="E565">
        <v>0.61275601062990481</v>
      </c>
      <c r="F565">
        <v>14048.15</v>
      </c>
      <c r="G565">
        <v>-4873.0704452221198</v>
      </c>
      <c r="H565">
        <v>-4873.0704452221198</v>
      </c>
      <c r="I565">
        <v>-0.1253542505467001</v>
      </c>
      <c r="J565">
        <v>0.43764912053649963</v>
      </c>
      <c r="K565">
        <v>-7.6917388084296032E-2</v>
      </c>
      <c r="L565">
        <v>-2132.6949946638688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1</v>
      </c>
      <c r="S565">
        <v>0</v>
      </c>
      <c r="T565">
        <v>0</v>
      </c>
      <c r="U565">
        <v>0</v>
      </c>
      <c r="V565">
        <v>0</v>
      </c>
      <c r="W565">
        <v>0</v>
      </c>
    </row>
    <row r="566" spans="1:23" x14ac:dyDescent="0.35">
      <c r="A566" t="s">
        <v>114</v>
      </c>
      <c r="B566" t="s">
        <v>39</v>
      </c>
      <c r="C566">
        <v>409089.7</v>
      </c>
      <c r="D566">
        <v>-3.7777238521848848</v>
      </c>
      <c r="E566">
        <v>0.79172388222610568</v>
      </c>
      <c r="F566">
        <v>13245.42</v>
      </c>
      <c r="G566">
        <v>-1612.889016524221</v>
      </c>
      <c r="H566">
        <v>-1612.889016524221</v>
      </c>
      <c r="I566">
        <v>0.44094021753681611</v>
      </c>
      <c r="J566">
        <v>0.70721174183543911</v>
      </c>
      <c r="K566">
        <v>-1.573551645776939</v>
      </c>
      <c r="L566">
        <v>-1140.6540507633431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</row>
    <row r="567" spans="1:23" x14ac:dyDescent="0.35">
      <c r="A567" t="s">
        <v>114</v>
      </c>
      <c r="B567" t="s">
        <v>40</v>
      </c>
      <c r="C567">
        <v>399046.40000000002</v>
      </c>
      <c r="D567">
        <v>-7.3516100714064194</v>
      </c>
      <c r="E567">
        <v>0.52459297560357465</v>
      </c>
      <c r="F567">
        <v>21794.11</v>
      </c>
      <c r="G567">
        <v>7502.5523747752904</v>
      </c>
      <c r="H567">
        <v>7502.5523747752904</v>
      </c>
      <c r="I567">
        <v>-0.40432185841718382</v>
      </c>
      <c r="J567">
        <v>0.30817958669926132</v>
      </c>
      <c r="K567">
        <v>-3.7777238521848848</v>
      </c>
      <c r="L567">
        <v>2312.13349004781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1</v>
      </c>
      <c r="S567">
        <v>0</v>
      </c>
      <c r="T567">
        <v>0</v>
      </c>
      <c r="U567">
        <v>0</v>
      </c>
      <c r="V567">
        <v>0</v>
      </c>
      <c r="W567">
        <v>0</v>
      </c>
    </row>
    <row r="568" spans="1:23" x14ac:dyDescent="0.35">
      <c r="A568" t="s">
        <v>114</v>
      </c>
      <c r="B568" t="s">
        <v>41</v>
      </c>
      <c r="C568">
        <v>396905.8</v>
      </c>
      <c r="D568">
        <v>-6.9537302517007893</v>
      </c>
      <c r="E568">
        <v>0.60250327624363353</v>
      </c>
      <c r="F568">
        <v>18972.07</v>
      </c>
      <c r="G568">
        <v>-3571.395125890052</v>
      </c>
      <c r="H568">
        <v>-3571.395125890052</v>
      </c>
      <c r="I568">
        <v>-0.15779620067937589</v>
      </c>
      <c r="J568">
        <v>0.42175028736673809</v>
      </c>
      <c r="K568">
        <v>-7.3516100714064194</v>
      </c>
      <c r="L568">
        <v>-1506.236920644297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1</v>
      </c>
      <c r="S568">
        <v>0</v>
      </c>
      <c r="T568">
        <v>0</v>
      </c>
      <c r="U568">
        <v>0</v>
      </c>
      <c r="V568">
        <v>0</v>
      </c>
      <c r="W568">
        <v>0</v>
      </c>
    </row>
    <row r="569" spans="1:23" x14ac:dyDescent="0.35">
      <c r="A569" t="s">
        <v>114</v>
      </c>
      <c r="B569" t="s">
        <v>42</v>
      </c>
      <c r="C569">
        <v>398239.1</v>
      </c>
      <c r="D569">
        <v>-5.1024763856630759</v>
      </c>
      <c r="E569">
        <v>0.72295007263278943</v>
      </c>
      <c r="F569">
        <v>14507.25</v>
      </c>
      <c r="G569">
        <v>-4886.0951899900501</v>
      </c>
      <c r="H569">
        <v>-4886.0951899900501</v>
      </c>
      <c r="I569">
        <v>0.22332446575765261</v>
      </c>
      <c r="J569">
        <v>0.60984219262682338</v>
      </c>
      <c r="K569">
        <v>-6.9537302517007893</v>
      </c>
      <c r="L569">
        <v>-2979.747004046907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1</v>
      </c>
      <c r="S569">
        <v>0</v>
      </c>
      <c r="T569">
        <v>0</v>
      </c>
      <c r="U569">
        <v>0</v>
      </c>
      <c r="V569">
        <v>0</v>
      </c>
      <c r="W569">
        <v>0</v>
      </c>
    </row>
    <row r="570" spans="1:23" x14ac:dyDescent="0.35">
      <c r="A570" t="s">
        <v>114</v>
      </c>
      <c r="B570" t="s">
        <v>43</v>
      </c>
      <c r="C570">
        <v>399306.7</v>
      </c>
      <c r="D570">
        <v>-2.420465410782688</v>
      </c>
      <c r="E570">
        <v>0.78294939391400897</v>
      </c>
      <c r="F570">
        <v>18951.79</v>
      </c>
      <c r="G570">
        <v>3701.552958534176</v>
      </c>
      <c r="H570">
        <v>3701.552958534176</v>
      </c>
      <c r="I570">
        <v>0.41317576938706602</v>
      </c>
      <c r="J570">
        <v>0.6955829296835272</v>
      </c>
      <c r="K570">
        <v>-5.1024763856630759</v>
      </c>
      <c r="L570">
        <v>2574.7370512759289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0</v>
      </c>
      <c r="S570">
        <v>3701.552958534176</v>
      </c>
      <c r="T570">
        <v>2574.7370512759289</v>
      </c>
      <c r="U570">
        <v>0</v>
      </c>
      <c r="V570">
        <v>0</v>
      </c>
      <c r="W570">
        <v>0</v>
      </c>
    </row>
    <row r="571" spans="1:23" x14ac:dyDescent="0.35">
      <c r="A571" t="s">
        <v>114</v>
      </c>
      <c r="B571" t="s">
        <v>44</v>
      </c>
      <c r="C571">
        <v>400834.8</v>
      </c>
      <c r="D571">
        <v>0.44716714933330792</v>
      </c>
      <c r="E571">
        <v>0.75994300839267293</v>
      </c>
      <c r="F571">
        <v>19711.91</v>
      </c>
      <c r="G571">
        <v>-36.739168690150109</v>
      </c>
      <c r="H571">
        <v>-36.739168690150109</v>
      </c>
      <c r="I571">
        <v>0.3403784078543502</v>
      </c>
      <c r="J571">
        <v>0.66390758989192455</v>
      </c>
      <c r="K571">
        <v>-2.420465410782688</v>
      </c>
      <c r="L571">
        <v>-24.39141293971041</v>
      </c>
      <c r="M571">
        <v>0</v>
      </c>
      <c r="N571">
        <v>0</v>
      </c>
      <c r="O571">
        <v>0</v>
      </c>
      <c r="P571">
        <v>0</v>
      </c>
      <c r="Q571">
        <v>1</v>
      </c>
      <c r="R571">
        <v>0</v>
      </c>
      <c r="S571">
        <v>-36.739168690150109</v>
      </c>
      <c r="T571">
        <v>-24.39141293971041</v>
      </c>
      <c r="U571">
        <v>0</v>
      </c>
      <c r="V571">
        <v>0</v>
      </c>
      <c r="W571">
        <v>0</v>
      </c>
    </row>
    <row r="572" spans="1:23" x14ac:dyDescent="0.35">
      <c r="A572" t="s">
        <v>114</v>
      </c>
      <c r="B572" t="s">
        <v>45</v>
      </c>
      <c r="C572">
        <v>403543.4</v>
      </c>
      <c r="D572">
        <v>1.6585067850983739</v>
      </c>
      <c r="E572">
        <v>0.78658516970782433</v>
      </c>
      <c r="F572">
        <v>21449.03</v>
      </c>
      <c r="G572">
        <v>1198.9148978520791</v>
      </c>
      <c r="H572">
        <v>1198.9148978520791</v>
      </c>
      <c r="I572">
        <v>0.42468017909404998</v>
      </c>
      <c r="J572">
        <v>0.70043294579476267</v>
      </c>
      <c r="K572">
        <v>0.44716714933330792</v>
      </c>
      <c r="L572">
        <v>839.75949365975862</v>
      </c>
      <c r="M572">
        <v>0</v>
      </c>
      <c r="N572">
        <v>0</v>
      </c>
      <c r="O572">
        <v>0</v>
      </c>
      <c r="P572">
        <v>0</v>
      </c>
      <c r="Q572">
        <v>1</v>
      </c>
      <c r="R572">
        <v>0</v>
      </c>
      <c r="S572">
        <v>1198.9148978520791</v>
      </c>
      <c r="T572">
        <v>839.75949365975862</v>
      </c>
      <c r="U572">
        <v>0</v>
      </c>
      <c r="V572">
        <v>0</v>
      </c>
      <c r="W572">
        <v>0</v>
      </c>
    </row>
    <row r="573" spans="1:23" x14ac:dyDescent="0.35">
      <c r="A573" t="s">
        <v>114</v>
      </c>
      <c r="B573" t="s">
        <v>46</v>
      </c>
      <c r="C573">
        <v>404616.1</v>
      </c>
      <c r="D573">
        <v>1.5886137656516539</v>
      </c>
      <c r="E573">
        <v>0.77868538917913199</v>
      </c>
      <c r="F573">
        <v>19653.439999999999</v>
      </c>
      <c r="G573">
        <v>-2226.0035218636149</v>
      </c>
      <c r="H573">
        <v>-2226.0035218636149</v>
      </c>
      <c r="I573">
        <v>0.39968350246951051</v>
      </c>
      <c r="J573">
        <v>0.68983906106608506</v>
      </c>
      <c r="K573">
        <v>1.6585067850983739</v>
      </c>
      <c r="L573">
        <v>-1535.584179452195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</row>
    <row r="574" spans="1:23" x14ac:dyDescent="0.35">
      <c r="A574" t="s">
        <v>114</v>
      </c>
      <c r="B574" t="s">
        <v>47</v>
      </c>
      <c r="C574">
        <v>408088.9</v>
      </c>
      <c r="D574">
        <v>2.175524953368579</v>
      </c>
      <c r="E574">
        <v>0.6462034080211202</v>
      </c>
      <c r="F574">
        <v>14901.64</v>
      </c>
      <c r="G574">
        <v>-5163.8778878903649</v>
      </c>
      <c r="H574">
        <v>-5163.8778878903649</v>
      </c>
      <c r="I574">
        <v>-1.9519186713721139E-2</v>
      </c>
      <c r="J574">
        <v>0.49024164591823932</v>
      </c>
      <c r="K574">
        <v>1.5886137656516539</v>
      </c>
      <c r="L574">
        <v>-2531.5479950801741</v>
      </c>
      <c r="M574">
        <v>0</v>
      </c>
      <c r="N574">
        <v>0</v>
      </c>
      <c r="O574">
        <v>0</v>
      </c>
      <c r="P574">
        <v>0</v>
      </c>
      <c r="Q574">
        <v>1</v>
      </c>
      <c r="R574">
        <v>0</v>
      </c>
      <c r="S574">
        <v>-5163.8778878903649</v>
      </c>
      <c r="T574">
        <v>-2531.5479950801741</v>
      </c>
      <c r="U574">
        <v>0</v>
      </c>
      <c r="V574">
        <v>0</v>
      </c>
      <c r="W574">
        <v>0</v>
      </c>
    </row>
    <row r="575" spans="1:23" x14ac:dyDescent="0.35">
      <c r="A575" t="s">
        <v>114</v>
      </c>
      <c r="B575" t="s">
        <v>48</v>
      </c>
      <c r="C575">
        <v>410401.4</v>
      </c>
      <c r="D575">
        <v>2.3586332808013011</v>
      </c>
      <c r="E575">
        <v>0.77603598882442759</v>
      </c>
      <c r="F575">
        <v>13397.83</v>
      </c>
      <c r="G575">
        <v>-2196.1557660518852</v>
      </c>
      <c r="H575">
        <v>-2196.1557660518852</v>
      </c>
      <c r="I575">
        <v>0.39130020578488112</v>
      </c>
      <c r="J575">
        <v>0.68624029137432729</v>
      </c>
      <c r="K575">
        <v>2.175524953368579</v>
      </c>
      <c r="L575">
        <v>-1507.0905727988541</v>
      </c>
      <c r="M575">
        <v>0</v>
      </c>
      <c r="N575">
        <v>0</v>
      </c>
      <c r="O575">
        <v>0</v>
      </c>
      <c r="P575">
        <v>0</v>
      </c>
      <c r="Q575">
        <v>1</v>
      </c>
      <c r="R575">
        <v>0</v>
      </c>
      <c r="S575">
        <v>-2196.1557660518852</v>
      </c>
      <c r="T575">
        <v>-1507.0905727988541</v>
      </c>
      <c r="U575">
        <v>0</v>
      </c>
      <c r="V575">
        <v>0</v>
      </c>
      <c r="W575">
        <v>0</v>
      </c>
    </row>
    <row r="576" spans="1:23" x14ac:dyDescent="0.35">
      <c r="A576" t="s">
        <v>114</v>
      </c>
      <c r="B576" t="s">
        <v>49</v>
      </c>
      <c r="C576">
        <v>409423.2</v>
      </c>
      <c r="D576">
        <v>1.446529913072867</v>
      </c>
      <c r="E576">
        <v>0.80244730176740442</v>
      </c>
      <c r="F576">
        <v>14121</v>
      </c>
      <c r="G576">
        <v>-273.04318602130661</v>
      </c>
      <c r="H576">
        <v>-273.04318602130661</v>
      </c>
      <c r="I576">
        <v>0.4748715210217096</v>
      </c>
      <c r="J576">
        <v>0.72106349876608433</v>
      </c>
      <c r="K576">
        <v>2.3586332808013011</v>
      </c>
      <c r="L576">
        <v>-196.88147502676219</v>
      </c>
      <c r="M576">
        <v>0</v>
      </c>
      <c r="N576">
        <v>0</v>
      </c>
      <c r="O576">
        <v>0</v>
      </c>
      <c r="P576">
        <v>0</v>
      </c>
      <c r="Q576">
        <v>1</v>
      </c>
      <c r="R576">
        <v>0</v>
      </c>
      <c r="S576">
        <v>-273.04318602130661</v>
      </c>
      <c r="T576">
        <v>-196.88147502676219</v>
      </c>
      <c r="U576">
        <v>0</v>
      </c>
      <c r="V576">
        <v>0</v>
      </c>
      <c r="W576">
        <v>0</v>
      </c>
    </row>
    <row r="577" spans="1:23" x14ac:dyDescent="0.35">
      <c r="A577" t="s">
        <v>114</v>
      </c>
      <c r="B577" t="s">
        <v>50</v>
      </c>
      <c r="C577">
        <v>407552</v>
      </c>
      <c r="D577">
        <v>0.72298155722614554</v>
      </c>
      <c r="E577">
        <v>0.83858495631040231</v>
      </c>
      <c r="F577">
        <v>20227.560000000001</v>
      </c>
      <c r="G577">
        <v>5061.6006823259177</v>
      </c>
      <c r="H577">
        <v>5061.6006823259177</v>
      </c>
      <c r="I577">
        <v>0.58921916160485477</v>
      </c>
      <c r="J577">
        <v>0.76466689394785914</v>
      </c>
      <c r="K577">
        <v>1.446529913072867</v>
      </c>
      <c r="L577">
        <v>3870.4384721585238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</row>
    <row r="578" spans="1:23" x14ac:dyDescent="0.35">
      <c r="A578" t="s">
        <v>114</v>
      </c>
      <c r="B578" t="s">
        <v>51</v>
      </c>
      <c r="C578">
        <v>403564.4</v>
      </c>
      <c r="D578">
        <v>-1.114896438161078</v>
      </c>
      <c r="E578">
        <v>0.85348788875874326</v>
      </c>
      <c r="F578">
        <v>19436.98</v>
      </c>
      <c r="G578">
        <v>-1556.8530311641989</v>
      </c>
      <c r="H578">
        <v>-1556.8530311641989</v>
      </c>
      <c r="I578">
        <v>0.63637538092202617</v>
      </c>
      <c r="J578">
        <v>0.78121326931850088</v>
      </c>
      <c r="K578">
        <v>0.72298155722614554</v>
      </c>
      <c r="L578">
        <v>-1216.2342463242021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</row>
    <row r="579" spans="1:23" x14ac:dyDescent="0.35">
      <c r="A579" t="s">
        <v>114</v>
      </c>
      <c r="B579" t="s">
        <v>52</v>
      </c>
      <c r="C579">
        <v>399358.6</v>
      </c>
      <c r="D579">
        <v>-2.7275945030895161</v>
      </c>
      <c r="E579">
        <v>0.85673089964263172</v>
      </c>
      <c r="F579">
        <v>18629.88</v>
      </c>
      <c r="G579">
        <v>-1290.561426222474</v>
      </c>
      <c r="H579">
        <v>-1290.561426222474</v>
      </c>
      <c r="I579">
        <v>0.64663699440103251</v>
      </c>
      <c r="J579">
        <v>0.78470083020562142</v>
      </c>
      <c r="K579">
        <v>-1.114896438161078</v>
      </c>
      <c r="L579">
        <v>-1012.704622588126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1</v>
      </c>
      <c r="S579">
        <v>0</v>
      </c>
      <c r="T579">
        <v>0</v>
      </c>
      <c r="U579">
        <v>0</v>
      </c>
      <c r="V579">
        <v>0</v>
      </c>
      <c r="W579">
        <v>0</v>
      </c>
    </row>
    <row r="580" spans="1:23" x14ac:dyDescent="0.35">
      <c r="A580" t="s">
        <v>114</v>
      </c>
      <c r="B580" t="s">
        <v>53</v>
      </c>
      <c r="C580">
        <v>396024.6</v>
      </c>
      <c r="D580">
        <v>-3.3273009379508882</v>
      </c>
      <c r="E580">
        <v>0.83122331838709407</v>
      </c>
      <c r="F580">
        <v>36827.879999999997</v>
      </c>
      <c r="G580">
        <v>17641.959197543922</v>
      </c>
      <c r="H580">
        <v>17641.959197543922</v>
      </c>
      <c r="I580">
        <v>0.56592528882857607</v>
      </c>
      <c r="J580">
        <v>0.75618025493388652</v>
      </c>
      <c r="K580">
        <v>-2.7275945030895161</v>
      </c>
      <c r="L580">
        <v>13340.50120353198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1</v>
      </c>
      <c r="S580">
        <v>0</v>
      </c>
      <c r="T580">
        <v>0</v>
      </c>
      <c r="U580">
        <v>0</v>
      </c>
      <c r="V580">
        <v>0</v>
      </c>
      <c r="W580">
        <v>0</v>
      </c>
    </row>
    <row r="581" spans="1:23" x14ac:dyDescent="0.35">
      <c r="A581" t="s">
        <v>114</v>
      </c>
      <c r="B581" t="s">
        <v>54</v>
      </c>
      <c r="C581">
        <v>393397.5</v>
      </c>
      <c r="D581">
        <v>-3.5347980822096541</v>
      </c>
      <c r="E581">
        <v>0.78964483650432937</v>
      </c>
      <c r="F581">
        <v>25945.24</v>
      </c>
      <c r="G581">
        <v>-10760.52865517087</v>
      </c>
      <c r="H581">
        <v>-10760.52865517087</v>
      </c>
      <c r="I581">
        <v>0.43436165077712952</v>
      </c>
      <c r="J581">
        <v>0.70447997418422659</v>
      </c>
      <c r="K581">
        <v>-3.3273009379508882</v>
      </c>
      <c r="L581">
        <v>-7580.5769492034078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-10760.52865517087</v>
      </c>
      <c r="T581">
        <v>-7580.5769492034078</v>
      </c>
      <c r="U581">
        <v>0</v>
      </c>
      <c r="V581">
        <v>0</v>
      </c>
      <c r="W581">
        <v>0</v>
      </c>
    </row>
    <row r="582" spans="1:23" x14ac:dyDescent="0.35">
      <c r="A582" t="s">
        <v>114</v>
      </c>
      <c r="B582" t="s">
        <v>55</v>
      </c>
      <c r="C582">
        <v>390377</v>
      </c>
      <c r="D582">
        <v>-3.3223139575348259</v>
      </c>
      <c r="E582">
        <v>0.82748474288043949</v>
      </c>
      <c r="F582">
        <v>38752.269999999997</v>
      </c>
      <c r="G582">
        <v>13434.743327128041</v>
      </c>
      <c r="H582">
        <v>13434.743327128041</v>
      </c>
      <c r="I582">
        <v>0.55409559778376205</v>
      </c>
      <c r="J582">
        <v>0.75179174061436294</v>
      </c>
      <c r="K582">
        <v>-3.5347980822096541</v>
      </c>
      <c r="L582">
        <v>10100.129070608789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1</v>
      </c>
      <c r="S582">
        <v>0</v>
      </c>
      <c r="T582">
        <v>0</v>
      </c>
      <c r="U582">
        <v>0</v>
      </c>
      <c r="V582">
        <v>0</v>
      </c>
      <c r="W582">
        <v>0</v>
      </c>
    </row>
    <row r="583" spans="1:23" x14ac:dyDescent="0.35">
      <c r="A583" t="s">
        <v>114</v>
      </c>
      <c r="B583" t="s">
        <v>56</v>
      </c>
      <c r="C583">
        <v>387141.9</v>
      </c>
      <c r="D583">
        <v>-3.1068467635235191</v>
      </c>
      <c r="E583">
        <v>0.72491314431783149</v>
      </c>
      <c r="F583">
        <v>31598.92</v>
      </c>
      <c r="G583">
        <v>-6578.8883624478913</v>
      </c>
      <c r="H583">
        <v>-6578.8883624478913</v>
      </c>
      <c r="I583">
        <v>0.22953606466518689</v>
      </c>
      <c r="J583">
        <v>0.6127940363567923</v>
      </c>
      <c r="K583">
        <v>-3.3223139575348259</v>
      </c>
      <c r="L583">
        <v>-4031.5035543651711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0</v>
      </c>
    </row>
    <row r="584" spans="1:23" x14ac:dyDescent="0.35">
      <c r="A584" t="s">
        <v>114</v>
      </c>
      <c r="B584" t="s">
        <v>57</v>
      </c>
      <c r="C584">
        <v>387051.2</v>
      </c>
      <c r="D584">
        <v>-2.291934651661415</v>
      </c>
      <c r="E584">
        <v>0.72573048515192129</v>
      </c>
      <c r="F584">
        <v>14113.9</v>
      </c>
      <c r="G584">
        <v>-16534.748271214699</v>
      </c>
      <c r="H584">
        <v>-16534.748271214699</v>
      </c>
      <c r="I584">
        <v>0.23212231430181521</v>
      </c>
      <c r="J584">
        <v>0.61402063571478971</v>
      </c>
      <c r="K584">
        <v>-3.1068467635235191</v>
      </c>
      <c r="L584">
        <v>-10152.67664487527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-16534.748271214699</v>
      </c>
      <c r="T584">
        <v>-10152.67664487527</v>
      </c>
      <c r="U584">
        <v>0</v>
      </c>
      <c r="V584">
        <v>0</v>
      </c>
      <c r="W584">
        <v>0</v>
      </c>
    </row>
    <row r="585" spans="1:23" x14ac:dyDescent="0.35">
      <c r="A585" t="s">
        <v>114</v>
      </c>
      <c r="B585" t="s">
        <v>58</v>
      </c>
      <c r="C585">
        <v>388345.2</v>
      </c>
      <c r="D585">
        <v>-1.2925916274936089</v>
      </c>
      <c r="E585">
        <v>0.32757800827894062</v>
      </c>
      <c r="F585">
        <v>15802.53</v>
      </c>
      <c r="G585">
        <v>1579.518846364859</v>
      </c>
      <c r="H585">
        <v>1579.518846364859</v>
      </c>
      <c r="I585">
        <v>-1.0277213833180729</v>
      </c>
      <c r="J585">
        <v>0.1135035741884252</v>
      </c>
      <c r="K585">
        <v>-2.291934651661415</v>
      </c>
      <c r="L585">
        <v>179.28103456038949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1579.518846364859</v>
      </c>
      <c r="T585">
        <v>179.28103456038949</v>
      </c>
      <c r="U585">
        <v>0</v>
      </c>
      <c r="V585">
        <v>0</v>
      </c>
      <c r="W585">
        <v>0</v>
      </c>
    </row>
    <row r="586" spans="1:23" x14ac:dyDescent="0.35">
      <c r="A586" t="s">
        <v>114</v>
      </c>
      <c r="B586" t="s">
        <v>59</v>
      </c>
      <c r="C586">
        <v>387774</v>
      </c>
      <c r="D586">
        <v>-0.66902431765623227</v>
      </c>
      <c r="E586">
        <v>0.35905359292931971</v>
      </c>
      <c r="F586">
        <v>18492.009999999998</v>
      </c>
      <c r="G586">
        <v>1747.8482793999319</v>
      </c>
      <c r="H586">
        <v>1747.8482793999319</v>
      </c>
      <c r="I586">
        <v>-0.9281255770527963</v>
      </c>
      <c r="J586">
        <v>0.13514060915242301</v>
      </c>
      <c r="K586">
        <v>-1.2925916274936089</v>
      </c>
      <c r="L586">
        <v>236.20528118412119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1747.8482793999319</v>
      </c>
      <c r="T586">
        <v>236.20528118412119</v>
      </c>
      <c r="U586">
        <v>0</v>
      </c>
      <c r="V586">
        <v>0</v>
      </c>
      <c r="W586">
        <v>0</v>
      </c>
    </row>
    <row r="587" spans="1:23" x14ac:dyDescent="0.35">
      <c r="A587" t="s">
        <v>114</v>
      </c>
      <c r="B587" t="s">
        <v>60</v>
      </c>
      <c r="C587">
        <v>387934.5</v>
      </c>
      <c r="D587">
        <v>0.20452184488695771</v>
      </c>
      <c r="E587">
        <v>0.4180642649909368</v>
      </c>
      <c r="F587">
        <v>19536.86</v>
      </c>
      <c r="G587">
        <v>296.42782514671848</v>
      </c>
      <c r="H587">
        <v>296.42782514671848</v>
      </c>
      <c r="I587">
        <v>-0.74140258119696556</v>
      </c>
      <c r="J587">
        <v>0.18500408992270831</v>
      </c>
      <c r="K587">
        <v>-0.66902431765623227</v>
      </c>
      <c r="L587">
        <v>54.840360019036353</v>
      </c>
      <c r="M587">
        <v>0</v>
      </c>
      <c r="N587">
        <v>0</v>
      </c>
      <c r="O587">
        <v>0</v>
      </c>
      <c r="P587">
        <v>0</v>
      </c>
      <c r="Q587">
        <v>1</v>
      </c>
      <c r="R587">
        <v>0</v>
      </c>
      <c r="S587">
        <v>296.42782514671848</v>
      </c>
      <c r="T587">
        <v>54.840360019036353</v>
      </c>
      <c r="U587">
        <v>0</v>
      </c>
      <c r="V587">
        <v>0</v>
      </c>
      <c r="W587">
        <v>0</v>
      </c>
    </row>
    <row r="588" spans="1:23" x14ac:dyDescent="0.35">
      <c r="A588" t="s">
        <v>114</v>
      </c>
      <c r="B588" t="s">
        <v>61</v>
      </c>
      <c r="C588">
        <v>388035.5</v>
      </c>
      <c r="D588">
        <v>0.25398462626913942</v>
      </c>
      <c r="E588">
        <v>-0.38022236969940643</v>
      </c>
      <c r="F588">
        <v>20086.099999999999</v>
      </c>
      <c r="G588">
        <v>-19.53534989586478</v>
      </c>
      <c r="H588">
        <v>-19.53534989586478</v>
      </c>
      <c r="I588">
        <v>-3.2673604592127901</v>
      </c>
      <c r="J588">
        <v>1.4500285989456441E-3</v>
      </c>
      <c r="K588">
        <v>0.20452184488695771</v>
      </c>
      <c r="L588">
        <v>-2.8326816039413751E-2</v>
      </c>
      <c r="M588">
        <v>0</v>
      </c>
      <c r="N588">
        <v>0</v>
      </c>
      <c r="O588">
        <v>0</v>
      </c>
      <c r="P588">
        <v>0</v>
      </c>
      <c r="Q588">
        <v>1</v>
      </c>
      <c r="R588">
        <v>0</v>
      </c>
      <c r="S588">
        <v>-19.53534989586478</v>
      </c>
      <c r="T588">
        <v>-2.8326816039413751E-2</v>
      </c>
      <c r="U588">
        <v>0</v>
      </c>
      <c r="V588">
        <v>0</v>
      </c>
      <c r="W588">
        <v>0</v>
      </c>
    </row>
    <row r="589" spans="1:23" x14ac:dyDescent="0.35">
      <c r="A589" t="s">
        <v>114</v>
      </c>
      <c r="B589" t="s">
        <v>62</v>
      </c>
      <c r="C589">
        <v>388066.4</v>
      </c>
      <c r="D589">
        <v>-7.1817580258510982E-2</v>
      </c>
      <c r="E589">
        <v>-0.18305381573422519</v>
      </c>
      <c r="F589">
        <v>14211.19</v>
      </c>
      <c r="G589">
        <v>-6368.2256188433221</v>
      </c>
      <c r="H589">
        <v>-6368.2256188433221</v>
      </c>
      <c r="I589">
        <v>-2.6434749517490101</v>
      </c>
      <c r="J589">
        <v>5.0317153930342726E-3</v>
      </c>
      <c r="K589">
        <v>0.25398462626913942</v>
      </c>
      <c r="L589">
        <v>-32.043098872649153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-6368.2256188433221</v>
      </c>
      <c r="T589">
        <v>-32.043098872649153</v>
      </c>
      <c r="U589">
        <v>0</v>
      </c>
      <c r="V589">
        <v>0</v>
      </c>
      <c r="W589">
        <v>0</v>
      </c>
    </row>
    <row r="590" spans="1:23" x14ac:dyDescent="0.35">
      <c r="A590" t="s">
        <v>114</v>
      </c>
      <c r="B590" t="s">
        <v>63</v>
      </c>
      <c r="C590">
        <v>387442.7</v>
      </c>
      <c r="D590">
        <v>-8.5472880078450622E-2</v>
      </c>
      <c r="E590">
        <v>-8.6661069532179294E-2</v>
      </c>
      <c r="F590">
        <v>17252.02</v>
      </c>
      <c r="G590">
        <v>2343.4323165346868</v>
      </c>
      <c r="H590">
        <v>2343.4323165346868</v>
      </c>
      <c r="I590">
        <v>-2.3384666927204898</v>
      </c>
      <c r="J590">
        <v>9.2216818006094665E-3</v>
      </c>
      <c r="K590">
        <v>-7.1817580258510982E-2</v>
      </c>
      <c r="L590">
        <v>21.610387144348</v>
      </c>
      <c r="M590">
        <v>0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2343.4323165346868</v>
      </c>
      <c r="T590">
        <v>21.610387144348</v>
      </c>
      <c r="U590">
        <v>0</v>
      </c>
      <c r="V590">
        <v>0</v>
      </c>
      <c r="W590">
        <v>0</v>
      </c>
    </row>
    <row r="591" spans="1:23" x14ac:dyDescent="0.35">
      <c r="A591" t="s">
        <v>114</v>
      </c>
      <c r="B591" t="s">
        <v>64</v>
      </c>
      <c r="C591">
        <v>388996.5</v>
      </c>
      <c r="D591">
        <v>0.27338352091396978</v>
      </c>
      <c r="E591">
        <v>-0.19095052630131859</v>
      </c>
      <c r="F591">
        <v>29838.2</v>
      </c>
      <c r="G591">
        <v>11706.8741061117</v>
      </c>
      <c r="H591">
        <v>11706.8741061117</v>
      </c>
      <c r="I591">
        <v>-2.6684619143268038</v>
      </c>
      <c r="J591">
        <v>4.7876148231469741E-3</v>
      </c>
      <c r="K591">
        <v>-8.5472880078450622E-2</v>
      </c>
      <c r="L591">
        <v>56.048004003135873</v>
      </c>
      <c r="M591">
        <v>0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11706.8741061117</v>
      </c>
      <c r="T591">
        <v>56.048004003135873</v>
      </c>
      <c r="U591">
        <v>0</v>
      </c>
      <c r="V591">
        <v>0</v>
      </c>
      <c r="W591">
        <v>0</v>
      </c>
    </row>
    <row r="592" spans="1:23" x14ac:dyDescent="0.35">
      <c r="A592" t="s">
        <v>114</v>
      </c>
      <c r="B592" t="s">
        <v>65</v>
      </c>
      <c r="C592">
        <v>390668.4</v>
      </c>
      <c r="D592">
        <v>0.67622880358374549</v>
      </c>
      <c r="E592">
        <v>7.8544344322176593E-2</v>
      </c>
      <c r="F592">
        <v>25360.74</v>
      </c>
      <c r="G592">
        <v>-4702.6314541169268</v>
      </c>
      <c r="H592">
        <v>-4702.6314541169268</v>
      </c>
      <c r="I592">
        <v>-1.815719726302661</v>
      </c>
      <c r="J592">
        <v>2.5795040872693711E-2</v>
      </c>
      <c r="K592">
        <v>0.27338352091396978</v>
      </c>
      <c r="L592">
        <v>-121.3045705681612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1</v>
      </c>
      <c r="S592">
        <v>0</v>
      </c>
      <c r="T592">
        <v>0</v>
      </c>
      <c r="U592">
        <v>0</v>
      </c>
      <c r="V592">
        <v>0</v>
      </c>
      <c r="W592">
        <v>0</v>
      </c>
    </row>
    <row r="593" spans="1:23" x14ac:dyDescent="0.35">
      <c r="A593" t="s">
        <v>114</v>
      </c>
      <c r="B593" t="s">
        <v>66</v>
      </c>
      <c r="C593">
        <v>390796</v>
      </c>
      <c r="D593">
        <v>0.70092256995751845</v>
      </c>
      <c r="E593">
        <v>0.29813701609413479</v>
      </c>
      <c r="F593">
        <v>21280.47</v>
      </c>
      <c r="G593">
        <v>-3835.168726222837</v>
      </c>
      <c r="H593">
        <v>-3835.168726222837</v>
      </c>
      <c r="I593">
        <v>-1.1208792828921521</v>
      </c>
      <c r="J593">
        <v>9.6062728700669633E-2</v>
      </c>
      <c r="K593">
        <v>0.67622880358374549</v>
      </c>
      <c r="L593">
        <v>-368.41677286843708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1</v>
      </c>
      <c r="S593">
        <v>0</v>
      </c>
      <c r="T593">
        <v>0</v>
      </c>
      <c r="U593">
        <v>0</v>
      </c>
      <c r="V593">
        <v>0</v>
      </c>
      <c r="W593">
        <v>0</v>
      </c>
    </row>
    <row r="594" spans="1:23" x14ac:dyDescent="0.35">
      <c r="A594" t="s">
        <v>114</v>
      </c>
      <c r="B594" t="s">
        <v>67</v>
      </c>
      <c r="C594">
        <v>392586.3</v>
      </c>
      <c r="D594">
        <v>1.3188418773817681</v>
      </c>
      <c r="E594">
        <v>0.2078962234239779</v>
      </c>
      <c r="F594">
        <v>18517.900000000001</v>
      </c>
      <c r="G594">
        <v>-2909.1155667876369</v>
      </c>
      <c r="H594">
        <v>-2909.1155667876369</v>
      </c>
      <c r="I594">
        <v>-1.4064213817549189</v>
      </c>
      <c r="J594">
        <v>5.6634109805856279E-2</v>
      </c>
      <c r="K594">
        <v>0.70092256995751845</v>
      </c>
      <c r="L594">
        <v>-164.75517044737691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1</v>
      </c>
      <c r="S594">
        <v>0</v>
      </c>
      <c r="T594">
        <v>0</v>
      </c>
      <c r="U594">
        <v>0</v>
      </c>
      <c r="V594">
        <v>0</v>
      </c>
      <c r="W594">
        <v>0</v>
      </c>
    </row>
    <row r="595" spans="1:23" x14ac:dyDescent="0.35">
      <c r="A595" t="s">
        <v>114</v>
      </c>
      <c r="B595" t="s">
        <v>68</v>
      </c>
      <c r="C595">
        <v>393394.9</v>
      </c>
      <c r="D595">
        <v>1.1243595817840371</v>
      </c>
      <c r="E595">
        <v>2.9748204404288801E-2</v>
      </c>
      <c r="F595">
        <v>22826.080000000002</v>
      </c>
      <c r="G595">
        <v>3842.526243353896</v>
      </c>
      <c r="H595">
        <v>3842.526243353896</v>
      </c>
      <c r="I595">
        <v>-1.9701216524856819</v>
      </c>
      <c r="J595">
        <v>1.9072644819305061E-2</v>
      </c>
      <c r="K595">
        <v>1.3188418773817681</v>
      </c>
      <c r="L595">
        <v>73.287138248347418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1</v>
      </c>
      <c r="S595">
        <v>0</v>
      </c>
      <c r="T595">
        <v>0</v>
      </c>
      <c r="U595">
        <v>0</v>
      </c>
      <c r="V595">
        <v>0</v>
      </c>
      <c r="W595">
        <v>0</v>
      </c>
    </row>
    <row r="596" spans="1:23" x14ac:dyDescent="0.35">
      <c r="A596" t="s">
        <v>114</v>
      </c>
      <c r="B596" t="s">
        <v>69</v>
      </c>
      <c r="C596">
        <v>394668.79999999999</v>
      </c>
      <c r="D596">
        <v>1.0187813847563809</v>
      </c>
      <c r="E596">
        <v>5.6502163698866443E-3</v>
      </c>
      <c r="F596">
        <v>18513.21</v>
      </c>
      <c r="G596">
        <v>-4750.2373136210626</v>
      </c>
      <c r="H596">
        <v>-4750.2373136210626</v>
      </c>
      <c r="I596">
        <v>-2.046373089093338</v>
      </c>
      <c r="J596">
        <v>1.6419236014786381E-2</v>
      </c>
      <c r="K596">
        <v>1.1243595817840371</v>
      </c>
      <c r="L596">
        <v>-77.995267578589065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1</v>
      </c>
      <c r="S596">
        <v>0</v>
      </c>
      <c r="T596">
        <v>0</v>
      </c>
      <c r="U596">
        <v>0</v>
      </c>
      <c r="V596">
        <v>0</v>
      </c>
      <c r="W596">
        <v>0</v>
      </c>
    </row>
    <row r="597" spans="1:23" x14ac:dyDescent="0.35">
      <c r="A597" t="s">
        <v>114</v>
      </c>
      <c r="B597" t="s">
        <v>70</v>
      </c>
      <c r="C597">
        <v>397368.8</v>
      </c>
      <c r="D597">
        <v>1.667913201684819</v>
      </c>
      <c r="E597">
        <v>0.11421853752848821</v>
      </c>
      <c r="F597">
        <v>30182.29</v>
      </c>
      <c r="G597">
        <v>11282.735474875861</v>
      </c>
      <c r="H597">
        <v>11282.735474875861</v>
      </c>
      <c r="I597">
        <v>-1.702838581291013</v>
      </c>
      <c r="J597">
        <v>3.2118509690812862E-2</v>
      </c>
      <c r="K597">
        <v>1.0187813847563809</v>
      </c>
      <c r="L597">
        <v>362.38464868867828</v>
      </c>
      <c r="M597">
        <v>0</v>
      </c>
      <c r="N597">
        <v>0</v>
      </c>
      <c r="O597">
        <v>0</v>
      </c>
      <c r="P597">
        <v>0</v>
      </c>
      <c r="Q597">
        <v>1</v>
      </c>
      <c r="R597">
        <v>0</v>
      </c>
      <c r="S597">
        <v>11282.735474875861</v>
      </c>
      <c r="T597">
        <v>362.38464868867828</v>
      </c>
      <c r="U597">
        <v>0</v>
      </c>
      <c r="V597">
        <v>0</v>
      </c>
      <c r="W597">
        <v>0</v>
      </c>
    </row>
    <row r="598" spans="1:23" x14ac:dyDescent="0.35">
      <c r="A598" t="s">
        <v>114</v>
      </c>
      <c r="B598" t="s">
        <v>71</v>
      </c>
      <c r="C598">
        <v>398786.6</v>
      </c>
      <c r="D598">
        <v>1.567005105526841</v>
      </c>
      <c r="E598">
        <v>0.24257421934909901</v>
      </c>
      <c r="F598">
        <v>32031.3</v>
      </c>
      <c r="G598">
        <v>1702.312279079182</v>
      </c>
      <c r="H598">
        <v>1702.312279079182</v>
      </c>
      <c r="I598">
        <v>-1.296692428275898</v>
      </c>
      <c r="J598">
        <v>6.9565375078661687E-2</v>
      </c>
      <c r="K598">
        <v>1.667913201684819</v>
      </c>
      <c r="L598">
        <v>118.4219921951547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0</v>
      </c>
      <c r="S598">
        <v>1702.312279079182</v>
      </c>
      <c r="T598">
        <v>118.4219921951547</v>
      </c>
      <c r="U598">
        <v>0</v>
      </c>
      <c r="V598">
        <v>0</v>
      </c>
      <c r="W598">
        <v>0</v>
      </c>
    </row>
    <row r="599" spans="1:23" x14ac:dyDescent="0.35">
      <c r="A599" t="s">
        <v>114</v>
      </c>
      <c r="B599" t="s">
        <v>72</v>
      </c>
      <c r="C599">
        <v>400716</v>
      </c>
      <c r="D599">
        <v>1.8439005000695119</v>
      </c>
      <c r="E599">
        <v>0.44699342756044358</v>
      </c>
      <c r="F599">
        <v>29910.11</v>
      </c>
      <c r="G599">
        <v>-1594.595393211242</v>
      </c>
      <c r="H599">
        <v>-1594.595393211242</v>
      </c>
      <c r="I599">
        <v>-0.64986422527147558</v>
      </c>
      <c r="J599">
        <v>0.21421072183364759</v>
      </c>
      <c r="K599">
        <v>1.567005105526841</v>
      </c>
      <c r="L599">
        <v>-341.57943021238941</v>
      </c>
      <c r="M599">
        <v>0</v>
      </c>
      <c r="N599">
        <v>0</v>
      </c>
      <c r="O599">
        <v>0</v>
      </c>
      <c r="P599">
        <v>0</v>
      </c>
      <c r="Q599">
        <v>1</v>
      </c>
      <c r="R599">
        <v>0</v>
      </c>
      <c r="S599">
        <v>-1594.595393211242</v>
      </c>
      <c r="T599">
        <v>-341.57943021238941</v>
      </c>
      <c r="U599">
        <v>0</v>
      </c>
      <c r="V599">
        <v>0</v>
      </c>
      <c r="W599">
        <v>0</v>
      </c>
    </row>
    <row r="600" spans="1:23" x14ac:dyDescent="0.35">
      <c r="A600" t="s">
        <v>114</v>
      </c>
      <c r="B600" t="s">
        <v>73</v>
      </c>
      <c r="C600">
        <v>402430.6</v>
      </c>
      <c r="D600">
        <v>1.947572746528788</v>
      </c>
      <c r="E600">
        <v>0.43711962975738577</v>
      </c>
      <c r="F600">
        <v>16514.349999999999</v>
      </c>
      <c r="G600">
        <v>-12857.951240235971</v>
      </c>
      <c r="H600">
        <v>-12857.951240235971</v>
      </c>
      <c r="I600">
        <v>-0.68110713510203269</v>
      </c>
      <c r="J600">
        <v>0.20388066103246</v>
      </c>
      <c r="K600">
        <v>1.8439005000695119</v>
      </c>
      <c r="L600">
        <v>-2621.4875983824481</v>
      </c>
      <c r="M600">
        <v>0</v>
      </c>
      <c r="N600">
        <v>0</v>
      </c>
      <c r="O600">
        <v>0</v>
      </c>
      <c r="P600">
        <v>0</v>
      </c>
      <c r="Q600">
        <v>1</v>
      </c>
      <c r="R600">
        <v>0</v>
      </c>
      <c r="S600">
        <v>-12857.951240235971</v>
      </c>
      <c r="T600">
        <v>-2621.4875983824481</v>
      </c>
      <c r="U600">
        <v>0</v>
      </c>
      <c r="V600">
        <v>0</v>
      </c>
      <c r="W600">
        <v>0</v>
      </c>
    </row>
    <row r="601" spans="1:23" x14ac:dyDescent="0.35">
      <c r="A601" t="s">
        <v>114</v>
      </c>
      <c r="B601" t="s">
        <v>74</v>
      </c>
      <c r="C601">
        <v>402741.6</v>
      </c>
      <c r="D601">
        <v>1.3430348510221579</v>
      </c>
      <c r="E601">
        <v>0.53742525725870527</v>
      </c>
      <c r="F601">
        <v>16325.61</v>
      </c>
      <c r="G601">
        <v>-289.78211110166382</v>
      </c>
      <c r="H601">
        <v>-289.78211110166382</v>
      </c>
      <c r="I601">
        <v>-0.36371764242367849</v>
      </c>
      <c r="J601">
        <v>0.32575778863036192</v>
      </c>
      <c r="K601">
        <v>1.947572746528788</v>
      </c>
      <c r="L601">
        <v>-94.398779697115842</v>
      </c>
      <c r="M601">
        <v>0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-289.78211110166382</v>
      </c>
      <c r="T601">
        <v>-94.398779697115842</v>
      </c>
      <c r="U601">
        <v>0</v>
      </c>
      <c r="V601">
        <v>0</v>
      </c>
      <c r="W601">
        <v>0</v>
      </c>
    </row>
    <row r="602" spans="1:23" x14ac:dyDescent="0.35">
      <c r="A602" t="s">
        <v>114</v>
      </c>
      <c r="B602" t="s">
        <v>75</v>
      </c>
      <c r="C602">
        <v>405134.7</v>
      </c>
      <c r="D602">
        <v>1.5793167681719471</v>
      </c>
      <c r="E602">
        <v>0.54478333736556217</v>
      </c>
      <c r="F602">
        <v>28396.560000000001</v>
      </c>
      <c r="G602">
        <v>11273.465479390619</v>
      </c>
      <c r="H602">
        <v>11273.465479390619</v>
      </c>
      <c r="I602">
        <v>-0.34043502737626968</v>
      </c>
      <c r="J602">
        <v>0.33606714306207403</v>
      </c>
      <c r="K602">
        <v>1.3430348510221579</v>
      </c>
      <c r="L602">
        <v>3788.6413360677202</v>
      </c>
      <c r="M602">
        <v>0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11273.465479390619</v>
      </c>
      <c r="T602">
        <v>3788.6413360677202</v>
      </c>
      <c r="U602">
        <v>0</v>
      </c>
      <c r="V602">
        <v>0</v>
      </c>
      <c r="W602">
        <v>0</v>
      </c>
    </row>
    <row r="603" spans="1:23" x14ac:dyDescent="0.35">
      <c r="A603" t="s">
        <v>114</v>
      </c>
      <c r="B603" t="s">
        <v>76</v>
      </c>
      <c r="C603">
        <v>404551.1</v>
      </c>
      <c r="D603">
        <v>0.95251103535253512</v>
      </c>
      <c r="E603">
        <v>0.40382372190836419</v>
      </c>
      <c r="F603">
        <v>13622.16</v>
      </c>
      <c r="G603">
        <v>-15104.230619776299</v>
      </c>
      <c r="H603">
        <v>-15104.230619776299</v>
      </c>
      <c r="I603">
        <v>-0.78646285206145439</v>
      </c>
      <c r="J603">
        <v>0.17179970937480821</v>
      </c>
      <c r="K603">
        <v>1.5793167681719471</v>
      </c>
      <c r="L603">
        <v>-2594.9024308076482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-15104.230619776299</v>
      </c>
      <c r="T603">
        <v>-2594.9024308076482</v>
      </c>
      <c r="U603">
        <v>0</v>
      </c>
      <c r="V603">
        <v>0</v>
      </c>
      <c r="W603">
        <v>0</v>
      </c>
    </row>
    <row r="604" spans="1:23" x14ac:dyDescent="0.35">
      <c r="A604" t="s">
        <v>114</v>
      </c>
      <c r="B604" t="s">
        <v>77</v>
      </c>
      <c r="C604">
        <v>405679.9</v>
      </c>
      <c r="D604">
        <v>0.8041765355103675</v>
      </c>
      <c r="E604">
        <v>0.36336501453723691</v>
      </c>
      <c r="F604">
        <v>25653.23</v>
      </c>
      <c r="G604">
        <v>11737.80673016071</v>
      </c>
      <c r="H604">
        <v>11737.80673016071</v>
      </c>
      <c r="I604">
        <v>-0.91448327251867301</v>
      </c>
      <c r="J604">
        <v>0.13836143309759941</v>
      </c>
      <c r="K604">
        <v>0.95251103535253512</v>
      </c>
      <c r="L604">
        <v>1624.0597606076831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11737.80673016071</v>
      </c>
      <c r="T604">
        <v>1624.0597606076831</v>
      </c>
      <c r="U604">
        <v>0</v>
      </c>
      <c r="V604">
        <v>0</v>
      </c>
      <c r="W604">
        <v>0</v>
      </c>
    </row>
    <row r="605" spans="1:23" x14ac:dyDescent="0.35">
      <c r="A605" t="s">
        <v>114</v>
      </c>
      <c r="B605" t="s">
        <v>78</v>
      </c>
      <c r="C605">
        <v>405321.4</v>
      </c>
      <c r="D605">
        <v>0.63851674063595298</v>
      </c>
      <c r="E605">
        <v>0.67563988181603185</v>
      </c>
      <c r="F605">
        <v>28710.76</v>
      </c>
      <c r="G605">
        <v>2480.1654601144551</v>
      </c>
      <c r="H605">
        <v>2480.1654601144551</v>
      </c>
      <c r="I605">
        <v>7.3624415661766474E-2</v>
      </c>
      <c r="J605">
        <v>0.53674583753874805</v>
      </c>
      <c r="K605">
        <v>0.8041765355103675</v>
      </c>
      <c r="L605">
        <v>1331.2184871238071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2480.1654601144551</v>
      </c>
      <c r="T605">
        <v>1331.2184871238071</v>
      </c>
      <c r="U605">
        <v>0</v>
      </c>
      <c r="V605">
        <v>0</v>
      </c>
      <c r="W605">
        <v>0</v>
      </c>
    </row>
    <row r="606" spans="1:23" x14ac:dyDescent="0.35">
      <c r="A606" t="s">
        <v>114</v>
      </c>
      <c r="B606" t="s">
        <v>79</v>
      </c>
      <c r="C606">
        <v>406449.1</v>
      </c>
      <c r="D606">
        <v>0.32391014931526968</v>
      </c>
      <c r="E606">
        <v>0.87825278937290807</v>
      </c>
      <c r="F606">
        <v>26443.05</v>
      </c>
      <c r="G606">
        <v>-2105.371652046339</v>
      </c>
      <c r="H606">
        <v>-2105.371652046339</v>
      </c>
      <c r="I606">
        <v>0.71473707844548995</v>
      </c>
      <c r="J606">
        <v>0.80681937009722016</v>
      </c>
      <c r="K606">
        <v>0.63851674063595298</v>
      </c>
      <c r="L606">
        <v>-1698.654630124571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</row>
    <row r="607" spans="1:23" x14ac:dyDescent="0.35">
      <c r="A607" t="s">
        <v>114</v>
      </c>
      <c r="B607" t="s">
        <v>80</v>
      </c>
      <c r="C607">
        <v>407362.3</v>
      </c>
      <c r="D607">
        <v>0.69249041439257009</v>
      </c>
      <c r="E607">
        <v>0.90671217069738264</v>
      </c>
      <c r="F607">
        <v>36588.019999999997</v>
      </c>
      <c r="G607">
        <v>10374.885475181431</v>
      </c>
      <c r="H607">
        <v>10374.885475181431</v>
      </c>
      <c r="I607">
        <v>0.80478894119263233</v>
      </c>
      <c r="J607">
        <v>0.833352772697321</v>
      </c>
      <c r="K607">
        <v>0.32391014931526968</v>
      </c>
      <c r="L607">
        <v>8645.9395771596101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</row>
    <row r="608" spans="1:23" x14ac:dyDescent="0.35">
      <c r="A608" t="s">
        <v>114</v>
      </c>
      <c r="B608" t="s">
        <v>81</v>
      </c>
      <c r="C608">
        <v>408975.6</v>
      </c>
      <c r="D608">
        <v>0.80910715744695361</v>
      </c>
      <c r="E608">
        <v>0.90804915645444351</v>
      </c>
      <c r="F608">
        <v>40489.040000000001</v>
      </c>
      <c r="G608">
        <v>4415.4972307526914</v>
      </c>
      <c r="H608">
        <v>4415.4972307526914</v>
      </c>
      <c r="I608">
        <v>0.80901946386341816</v>
      </c>
      <c r="J608">
        <v>0.83452449637688053</v>
      </c>
      <c r="K608">
        <v>0.69249041439257009</v>
      </c>
      <c r="L608">
        <v>3684.8406027474002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</row>
    <row r="609" spans="1:23" x14ac:dyDescent="0.35">
      <c r="A609" t="s">
        <v>114</v>
      </c>
      <c r="B609" t="s">
        <v>82</v>
      </c>
      <c r="C609">
        <v>406760.1</v>
      </c>
      <c r="D609">
        <v>0.35432441329817699</v>
      </c>
      <c r="E609">
        <v>0.90100793635617837</v>
      </c>
      <c r="F609">
        <v>32800.980000000003</v>
      </c>
      <c r="G609">
        <v>-6497.529962925415</v>
      </c>
      <c r="H609">
        <v>-6497.529962925415</v>
      </c>
      <c r="I609">
        <v>0.7867394649192353</v>
      </c>
      <c r="J609">
        <v>0.82827899181612807</v>
      </c>
      <c r="K609">
        <v>0.80910715744695361</v>
      </c>
      <c r="L609">
        <v>-5381.7675669869468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-6497.529962925415</v>
      </c>
      <c r="T609">
        <v>-5381.7675669869468</v>
      </c>
      <c r="U609">
        <v>0</v>
      </c>
      <c r="V609">
        <v>0</v>
      </c>
      <c r="W609">
        <v>0</v>
      </c>
    </row>
    <row r="610" spans="1:23" x14ac:dyDescent="0.35">
      <c r="A610" t="s">
        <v>114</v>
      </c>
      <c r="B610" t="s">
        <v>83</v>
      </c>
      <c r="C610">
        <v>405689.7</v>
      </c>
      <c r="D610">
        <v>-0.1870124223408193</v>
      </c>
      <c r="E610">
        <v>0.9331463966204131</v>
      </c>
      <c r="F610">
        <v>52716.26</v>
      </c>
      <c r="G610">
        <v>21002.415296564999</v>
      </c>
      <c r="H610">
        <v>21002.415296564999</v>
      </c>
      <c r="I610">
        <v>0.88843275823515333</v>
      </c>
      <c r="J610">
        <v>0.8553093890086978</v>
      </c>
      <c r="K610">
        <v>0.35432441329817699</v>
      </c>
      <c r="L610">
        <v>17963.56299501194</v>
      </c>
      <c r="M610">
        <v>0</v>
      </c>
      <c r="N610">
        <v>0</v>
      </c>
      <c r="O610">
        <v>0</v>
      </c>
      <c r="P610">
        <v>0</v>
      </c>
      <c r="Q610">
        <v>1</v>
      </c>
      <c r="R610">
        <v>0</v>
      </c>
      <c r="S610">
        <v>21002.415296564999</v>
      </c>
      <c r="T610">
        <v>17963.56299501194</v>
      </c>
      <c r="U610">
        <v>0</v>
      </c>
      <c r="V610">
        <v>0</v>
      </c>
      <c r="W610">
        <v>0</v>
      </c>
    </row>
    <row r="611" spans="1:23" x14ac:dyDescent="0.35">
      <c r="A611" t="s">
        <v>114</v>
      </c>
      <c r="B611" t="s">
        <v>84</v>
      </c>
      <c r="C611">
        <v>382582.5</v>
      </c>
      <c r="D611">
        <v>-6.2758645180490014</v>
      </c>
      <c r="E611">
        <v>0.92900081692460745</v>
      </c>
      <c r="F611">
        <v>55684.71</v>
      </c>
      <c r="G611">
        <v>4447.7439987703037</v>
      </c>
      <c r="H611">
        <v>4447.7439987703037</v>
      </c>
      <c r="I611">
        <v>0.87531521469062856</v>
      </c>
      <c r="J611">
        <v>0.85203229989595985</v>
      </c>
      <c r="K611">
        <v>-0.1870124223408193</v>
      </c>
      <c r="L611">
        <v>3789.6215486207152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1</v>
      </c>
      <c r="S611">
        <v>0</v>
      </c>
      <c r="T611">
        <v>0</v>
      </c>
      <c r="U611">
        <v>0</v>
      </c>
      <c r="V611">
        <v>0</v>
      </c>
      <c r="W611">
        <v>0</v>
      </c>
    </row>
    <row r="612" spans="1:23" x14ac:dyDescent="0.35">
      <c r="A612" t="s">
        <v>114</v>
      </c>
      <c r="B612" t="s">
        <v>85</v>
      </c>
      <c r="C612">
        <v>334810.7</v>
      </c>
      <c r="D612">
        <v>-20.009019907813489</v>
      </c>
      <c r="E612">
        <v>0.92864122745304833</v>
      </c>
      <c r="F612">
        <v>28914.37</v>
      </c>
      <c r="G612">
        <v>-24149.360667720372</v>
      </c>
      <c r="H612">
        <v>-24149.360667720372</v>
      </c>
      <c r="I612">
        <v>0.87417739298716413</v>
      </c>
      <c r="J612">
        <v>0.85174517221936996</v>
      </c>
      <c r="K612">
        <v>-6.2758645180490014</v>
      </c>
      <c r="L612">
        <v>-20569.10136091516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0</v>
      </c>
      <c r="S612">
        <v>-24149.360667720372</v>
      </c>
      <c r="T612">
        <v>-20569.10136091516</v>
      </c>
      <c r="U612">
        <v>0</v>
      </c>
      <c r="V612">
        <v>0</v>
      </c>
      <c r="W612">
        <v>0</v>
      </c>
    </row>
    <row r="613" spans="1:23" x14ac:dyDescent="0.35">
      <c r="A613" t="s">
        <v>114</v>
      </c>
      <c r="B613" t="s">
        <v>86</v>
      </c>
      <c r="C613">
        <v>382269</v>
      </c>
      <c r="D613">
        <v>-6.2099027504243969</v>
      </c>
      <c r="E613">
        <v>0.91847822522627931</v>
      </c>
      <c r="F613">
        <v>27497.73</v>
      </c>
      <c r="G613">
        <v>298.34674216415812</v>
      </c>
      <c r="H613">
        <v>298.34674216415812</v>
      </c>
      <c r="I613">
        <v>0.84201937552397865</v>
      </c>
      <c r="J613">
        <v>0.84343858797766524</v>
      </c>
      <c r="K613">
        <v>-20.009019907813489</v>
      </c>
      <c r="L613">
        <v>251.637154938674</v>
      </c>
      <c r="M613">
        <v>0</v>
      </c>
      <c r="N613">
        <v>0</v>
      </c>
      <c r="O613">
        <v>0</v>
      </c>
      <c r="P613">
        <v>0</v>
      </c>
      <c r="Q613">
        <v>1</v>
      </c>
      <c r="R613">
        <v>0</v>
      </c>
      <c r="S613">
        <v>298.34674216415812</v>
      </c>
      <c r="T613">
        <v>251.637154938674</v>
      </c>
      <c r="U613">
        <v>0</v>
      </c>
      <c r="V613">
        <v>0</v>
      </c>
      <c r="W613">
        <v>0</v>
      </c>
    </row>
    <row r="614" spans="1:23" x14ac:dyDescent="0.35">
      <c r="A614" t="s">
        <v>114</v>
      </c>
      <c r="B614" t="s">
        <v>87</v>
      </c>
      <c r="C614">
        <v>383315.8</v>
      </c>
      <c r="D614">
        <v>-5.6729389159535044</v>
      </c>
      <c r="E614">
        <v>0.95047860860302313</v>
      </c>
      <c r="F614">
        <v>22319.62</v>
      </c>
      <c r="G614">
        <v>-4896.0136572600422</v>
      </c>
      <c r="H614">
        <v>-4896.0136572600422</v>
      </c>
      <c r="I614">
        <v>0.94327576261276846</v>
      </c>
      <c r="J614">
        <v>0.86836183743185291</v>
      </c>
      <c r="K614">
        <v>-6.2099027504243969</v>
      </c>
      <c r="L614">
        <v>-4251.5114155097763</v>
      </c>
      <c r="M614">
        <v>0</v>
      </c>
      <c r="N614">
        <v>0</v>
      </c>
      <c r="O614">
        <v>0</v>
      </c>
      <c r="P614">
        <v>0</v>
      </c>
      <c r="Q614">
        <v>1</v>
      </c>
      <c r="R614">
        <v>0</v>
      </c>
      <c r="S614">
        <v>-4896.0136572600422</v>
      </c>
      <c r="T614">
        <v>-4251.5114155097763</v>
      </c>
      <c r="U614">
        <v>0</v>
      </c>
      <c r="V614">
        <v>0</v>
      </c>
      <c r="W614">
        <v>0</v>
      </c>
    </row>
    <row r="615" spans="1:23" x14ac:dyDescent="0.35">
      <c r="A615" t="s">
        <v>114</v>
      </c>
      <c r="B615" t="s">
        <v>88</v>
      </c>
      <c r="C615">
        <v>389642.4</v>
      </c>
      <c r="D615">
        <v>1.8285079131500741</v>
      </c>
      <c r="E615">
        <v>0.93515572506429734</v>
      </c>
      <c r="F615">
        <v>11888.73</v>
      </c>
      <c r="G615">
        <v>-10426.43013953445</v>
      </c>
      <c r="H615">
        <v>-10426.43013953445</v>
      </c>
      <c r="I615">
        <v>0.89479072389784975</v>
      </c>
      <c r="J615">
        <v>0.85687595313121223</v>
      </c>
      <c r="K615">
        <v>-5.6729389159535044</v>
      </c>
      <c r="L615">
        <v>-8934.1572635695811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>
        <v>-10426.43013953445</v>
      </c>
      <c r="T615">
        <v>-8934.1572635695811</v>
      </c>
      <c r="U615">
        <v>0</v>
      </c>
      <c r="V615">
        <v>0</v>
      </c>
      <c r="W615">
        <v>0</v>
      </c>
    </row>
    <row r="616" spans="1:23" x14ac:dyDescent="0.35">
      <c r="A616" t="s">
        <v>114</v>
      </c>
      <c r="B616" t="s">
        <v>89</v>
      </c>
      <c r="C616">
        <v>399491.4</v>
      </c>
      <c r="D616">
        <v>17.662694058262272</v>
      </c>
      <c r="E616">
        <v>0.93547393007735902</v>
      </c>
      <c r="F616">
        <v>18072.810000000001</v>
      </c>
      <c r="G616">
        <v>5509.7133275447604</v>
      </c>
      <c r="H616">
        <v>5509.7133275447604</v>
      </c>
      <c r="I616">
        <v>0.89579759589675156</v>
      </c>
      <c r="J616">
        <v>0.85712274035840952</v>
      </c>
      <c r="K616">
        <v>1.8285079131500741</v>
      </c>
      <c r="L616">
        <v>4722.5005858944151</v>
      </c>
      <c r="M616">
        <v>0</v>
      </c>
      <c r="N616">
        <v>0</v>
      </c>
      <c r="O616">
        <v>0</v>
      </c>
      <c r="P616">
        <v>0</v>
      </c>
      <c r="Q616">
        <v>1</v>
      </c>
      <c r="R616">
        <v>0</v>
      </c>
      <c r="S616">
        <v>5509.7133275447604</v>
      </c>
      <c r="T616">
        <v>4722.5005858944151</v>
      </c>
      <c r="U616">
        <v>0</v>
      </c>
      <c r="V616">
        <v>0</v>
      </c>
      <c r="W616">
        <v>0</v>
      </c>
    </row>
    <row r="617" spans="1:23" x14ac:dyDescent="0.35">
      <c r="A617" t="s">
        <v>114</v>
      </c>
      <c r="B617" t="s">
        <v>90</v>
      </c>
      <c r="C617">
        <v>408887.4</v>
      </c>
      <c r="D617">
        <v>6.7315263251901643</v>
      </c>
      <c r="E617">
        <v>0.8949993458875023</v>
      </c>
      <c r="F617">
        <v>21508.560000000001</v>
      </c>
      <c r="G617">
        <v>2469.4532050039338</v>
      </c>
      <c r="H617">
        <v>2469.4532050039338</v>
      </c>
      <c r="I617">
        <v>0.76772693762568922</v>
      </c>
      <c r="J617">
        <v>0.82280288035762295</v>
      </c>
      <c r="K617">
        <v>17.662694058262272</v>
      </c>
      <c r="L617">
        <v>2031.8732099856011</v>
      </c>
      <c r="M617">
        <v>0</v>
      </c>
      <c r="N617">
        <v>0</v>
      </c>
      <c r="O617">
        <v>0</v>
      </c>
      <c r="P617">
        <v>0</v>
      </c>
      <c r="Q617">
        <v>1</v>
      </c>
      <c r="R617">
        <v>0</v>
      </c>
      <c r="S617">
        <v>2469.4532050039338</v>
      </c>
      <c r="T617">
        <v>2031.8732099856011</v>
      </c>
      <c r="U617">
        <v>0</v>
      </c>
      <c r="V617">
        <v>0</v>
      </c>
      <c r="W617">
        <v>0</v>
      </c>
    </row>
    <row r="618" spans="1:23" x14ac:dyDescent="0.35">
      <c r="A618" t="s">
        <v>114</v>
      </c>
      <c r="B618" t="s">
        <v>91</v>
      </c>
      <c r="C618">
        <v>415506.5</v>
      </c>
      <c r="D618">
        <v>8.0639065463102053</v>
      </c>
      <c r="E618">
        <v>0.89103821763799229</v>
      </c>
      <c r="F618">
        <v>19802.650000000001</v>
      </c>
      <c r="G618">
        <v>-2218.2724663803642</v>
      </c>
      <c r="H618">
        <v>-2218.2724663803642</v>
      </c>
      <c r="I618">
        <v>0.7551930398089457</v>
      </c>
      <c r="J618">
        <v>0.81911841677848796</v>
      </c>
      <c r="K618">
        <v>6.7315263251901643</v>
      </c>
      <c r="L618">
        <v>-1817.0278306447949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0</v>
      </c>
      <c r="S618">
        <v>-2218.2724663803642</v>
      </c>
      <c r="T618">
        <v>-1817.0278306447949</v>
      </c>
      <c r="U618">
        <v>0</v>
      </c>
      <c r="V618">
        <v>0</v>
      </c>
      <c r="W618">
        <v>0</v>
      </c>
    </row>
    <row r="619" spans="1:23" x14ac:dyDescent="0.35">
      <c r="A619" t="s">
        <v>114</v>
      </c>
      <c r="B619" t="s">
        <v>92</v>
      </c>
      <c r="C619">
        <v>418484.1</v>
      </c>
      <c r="D619">
        <v>7.1409500960582086</v>
      </c>
      <c r="E619">
        <v>0.84176266538374622</v>
      </c>
      <c r="F619">
        <v>26455.02</v>
      </c>
      <c r="G619">
        <v>6249.2545952329347</v>
      </c>
      <c r="H619">
        <v>6249.2545952329347</v>
      </c>
      <c r="I619">
        <v>0.599274145515451</v>
      </c>
      <c r="J619">
        <v>0.76826643187876376</v>
      </c>
      <c r="K619">
        <v>8.0639065463102053</v>
      </c>
      <c r="L619">
        <v>4801.0925297815747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</row>
    <row r="620" spans="1:23" x14ac:dyDescent="0.35">
      <c r="A620" t="s">
        <v>114</v>
      </c>
      <c r="B620" t="s">
        <v>93</v>
      </c>
      <c r="C620">
        <v>425003.3</v>
      </c>
      <c r="D620">
        <v>6.190469553416758</v>
      </c>
      <c r="E620">
        <v>0.90417417348637252</v>
      </c>
      <c r="F620">
        <v>29343.64</v>
      </c>
      <c r="G620">
        <v>2660.8418006622051</v>
      </c>
      <c r="H620">
        <v>2660.8418006622051</v>
      </c>
      <c r="I620">
        <v>0.79675814902983977</v>
      </c>
      <c r="J620">
        <v>0.83111024658903376</v>
      </c>
      <c r="K620">
        <v>7.1409500960582086</v>
      </c>
      <c r="L620">
        <v>2211.4528850827742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</row>
    <row r="621" spans="1:23" x14ac:dyDescent="0.35">
      <c r="A621" t="s">
        <v>114</v>
      </c>
      <c r="B621" t="s">
        <v>94</v>
      </c>
      <c r="C621">
        <v>425651.8</v>
      </c>
      <c r="D621">
        <v>4.0181828631845287</v>
      </c>
      <c r="E621">
        <v>0.95261049069153259</v>
      </c>
      <c r="F621">
        <v>24504.76</v>
      </c>
      <c r="G621">
        <v>-4610.2754712220849</v>
      </c>
      <c r="H621">
        <v>-4610.2754712220849</v>
      </c>
      <c r="I621">
        <v>0.95002151548204972</v>
      </c>
      <c r="J621">
        <v>0.86989639581515688</v>
      </c>
      <c r="K621">
        <v>6.190469553416758</v>
      </c>
      <c r="L621">
        <v>-4010.462016131115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1</v>
      </c>
      <c r="S621">
        <v>0</v>
      </c>
      <c r="T621">
        <v>0</v>
      </c>
      <c r="U621">
        <v>0</v>
      </c>
      <c r="V621">
        <v>0</v>
      </c>
      <c r="W621">
        <v>0</v>
      </c>
    </row>
    <row r="622" spans="1:23" x14ac:dyDescent="0.35">
      <c r="A622" t="s">
        <v>114</v>
      </c>
      <c r="B622" t="s">
        <v>95</v>
      </c>
      <c r="C622">
        <v>424651.6</v>
      </c>
      <c r="D622">
        <v>2.1770810051916469</v>
      </c>
      <c r="E622">
        <v>0.90961520746501767</v>
      </c>
      <c r="F622">
        <v>26500.43</v>
      </c>
      <c r="G622">
        <v>2181.4839460196272</v>
      </c>
      <c r="H622">
        <v>2181.4839460196272</v>
      </c>
      <c r="I622">
        <v>0.81397480034987824</v>
      </c>
      <c r="J622">
        <v>0.83588856098649822</v>
      </c>
      <c r="K622">
        <v>4.0181828631845287</v>
      </c>
      <c r="L622">
        <v>1823.4774764534941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1</v>
      </c>
      <c r="S622">
        <v>0</v>
      </c>
      <c r="T622">
        <v>0</v>
      </c>
      <c r="U622">
        <v>0</v>
      </c>
      <c r="V622">
        <v>0</v>
      </c>
      <c r="W622">
        <v>0</v>
      </c>
    </row>
    <row r="623" spans="1:23" x14ac:dyDescent="0.35">
      <c r="A623" t="s">
        <v>114</v>
      </c>
      <c r="B623" t="s">
        <v>96</v>
      </c>
      <c r="C623">
        <v>427104.2</v>
      </c>
      <c r="D623">
        <v>2.038911518541175</v>
      </c>
      <c r="E623">
        <v>0.92350855328646786</v>
      </c>
      <c r="F623">
        <v>26400.05</v>
      </c>
      <c r="G623">
        <v>-84.520772908697836</v>
      </c>
      <c r="H623">
        <v>-84.520772908697836</v>
      </c>
      <c r="I623">
        <v>0.85793646124290235</v>
      </c>
      <c r="J623">
        <v>0.84759647859213805</v>
      </c>
      <c r="K623">
        <v>2.1770810051916469</v>
      </c>
      <c r="L623">
        <v>-71.639509485298063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1</v>
      </c>
      <c r="S623">
        <v>0</v>
      </c>
      <c r="T623">
        <v>0</v>
      </c>
      <c r="U623">
        <v>0</v>
      </c>
      <c r="V623">
        <v>0</v>
      </c>
      <c r="W623">
        <v>0</v>
      </c>
    </row>
    <row r="624" spans="1:23" x14ac:dyDescent="0.35">
      <c r="A624" t="s">
        <v>114</v>
      </c>
      <c r="B624" t="s">
        <v>97</v>
      </c>
      <c r="C624">
        <v>427201.5</v>
      </c>
      <c r="D624">
        <v>0.51588652756218079</v>
      </c>
      <c r="E624">
        <v>0.91995003134412057</v>
      </c>
      <c r="F624">
        <v>30702.400000000001</v>
      </c>
      <c r="G624">
        <v>4416.8820192602216</v>
      </c>
      <c r="H624">
        <v>4416.8820192602216</v>
      </c>
      <c r="I624">
        <v>0.84667650004130834</v>
      </c>
      <c r="J624">
        <v>0.84466460323912185</v>
      </c>
      <c r="K624">
        <v>2.038911518541175</v>
      </c>
      <c r="L624">
        <v>3730.7838983524471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0</v>
      </c>
      <c r="S624">
        <v>4416.8820192602216</v>
      </c>
      <c r="T624">
        <v>3730.7838983524471</v>
      </c>
      <c r="U624">
        <v>0</v>
      </c>
      <c r="V624">
        <v>0</v>
      </c>
      <c r="W624">
        <v>0</v>
      </c>
    </row>
    <row r="625" spans="1:23" x14ac:dyDescent="0.35">
      <c r="A625" t="s">
        <v>114</v>
      </c>
      <c r="B625" t="s">
        <v>98</v>
      </c>
      <c r="C625">
        <v>427615.6</v>
      </c>
      <c r="D625">
        <v>0.46030200318943221</v>
      </c>
      <c r="E625">
        <v>0.92053836533906208</v>
      </c>
      <c r="F625">
        <v>17905.28</v>
      </c>
      <c r="G625">
        <v>-12517.608803376361</v>
      </c>
      <c r="H625">
        <v>-12517.608803376361</v>
      </c>
      <c r="I625">
        <v>0.84853812069840917</v>
      </c>
      <c r="J625">
        <v>0.84515248934497589</v>
      </c>
      <c r="K625">
        <v>0.51588652756218079</v>
      </c>
      <c r="L625">
        <v>-10579.28824082012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0</v>
      </c>
      <c r="S625">
        <v>-12517.608803376361</v>
      </c>
      <c r="T625">
        <v>-10579.28824082012</v>
      </c>
      <c r="U625">
        <v>0</v>
      </c>
      <c r="V625">
        <v>0</v>
      </c>
      <c r="W625">
        <v>0</v>
      </c>
    </row>
    <row r="626" spans="1:23" x14ac:dyDescent="0.35">
      <c r="A626" t="s">
        <v>114</v>
      </c>
      <c r="B626" t="s">
        <v>99</v>
      </c>
      <c r="C626">
        <v>429136.5</v>
      </c>
      <c r="D626">
        <v>1.0505982109395311</v>
      </c>
      <c r="E626">
        <v>0.92592439392450421</v>
      </c>
      <c r="F626">
        <v>16655.52</v>
      </c>
      <c r="G626">
        <v>-1255.046474869388</v>
      </c>
      <c r="H626">
        <v>-1255.046474869388</v>
      </c>
      <c r="I626">
        <v>0.86558072262283359</v>
      </c>
      <c r="J626">
        <v>0.84956092154918827</v>
      </c>
      <c r="K626">
        <v>0.46030200318943221</v>
      </c>
      <c r="L626">
        <v>-1066.2384397770979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0</v>
      </c>
      <c r="S626">
        <v>-1255.046474869388</v>
      </c>
      <c r="T626">
        <v>-1066.2384397770979</v>
      </c>
      <c r="U626">
        <v>0</v>
      </c>
      <c r="V626">
        <v>0</v>
      </c>
      <c r="W626">
        <v>0</v>
      </c>
    </row>
    <row r="627" spans="1:23" x14ac:dyDescent="0.35">
      <c r="A627" t="s">
        <v>114</v>
      </c>
      <c r="B627" t="s">
        <v>100</v>
      </c>
      <c r="C627">
        <v>429494.3</v>
      </c>
      <c r="D627">
        <v>0.55804585289572028</v>
      </c>
      <c r="E627">
        <v>0.92004670169174041</v>
      </c>
      <c r="F627">
        <v>16042.91</v>
      </c>
      <c r="G627">
        <v>-1325.5086914047929</v>
      </c>
      <c r="H627">
        <v>-1325.5086914047929</v>
      </c>
      <c r="I627">
        <v>0.84698238669345749</v>
      </c>
      <c r="J627">
        <v>0.84474485483363315</v>
      </c>
      <c r="K627">
        <v>1.0505982109395311</v>
      </c>
      <c r="L627">
        <v>-1119.7166471014609</v>
      </c>
      <c r="M627">
        <v>0</v>
      </c>
      <c r="N627">
        <v>0</v>
      </c>
      <c r="O627">
        <v>0</v>
      </c>
      <c r="P627">
        <v>0</v>
      </c>
      <c r="Q627">
        <v>1</v>
      </c>
      <c r="R627">
        <v>0</v>
      </c>
      <c r="S627">
        <v>-1325.5086914047929</v>
      </c>
      <c r="T627">
        <v>-1119.7166471014609</v>
      </c>
      <c r="U627">
        <v>0</v>
      </c>
      <c r="V627">
        <v>0</v>
      </c>
      <c r="W627">
        <v>0</v>
      </c>
    </row>
    <row r="628" spans="1:23" x14ac:dyDescent="0.35">
      <c r="A628" t="s">
        <v>114</v>
      </c>
      <c r="B628" t="s">
        <v>101</v>
      </c>
      <c r="C628">
        <v>430292.6</v>
      </c>
      <c r="D628">
        <v>0.72096435166964823</v>
      </c>
      <c r="E628">
        <v>0.65418356025482782</v>
      </c>
      <c r="F628">
        <v>15096.69</v>
      </c>
      <c r="G628">
        <v>-1747.62351995877</v>
      </c>
      <c r="H628">
        <v>-1747.62351995877</v>
      </c>
      <c r="I628">
        <v>5.7318040038154272E-3</v>
      </c>
      <c r="J628">
        <v>0.50286587061727595</v>
      </c>
      <c r="K628">
        <v>0.55804585289572028</v>
      </c>
      <c r="L628">
        <v>-878.82022287529514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-1747.62351995877</v>
      </c>
      <c r="T628">
        <v>-878.82022287529514</v>
      </c>
      <c r="U628">
        <v>0</v>
      </c>
      <c r="V628">
        <v>0</v>
      </c>
      <c r="W628">
        <v>0</v>
      </c>
    </row>
    <row r="629" spans="1:23" x14ac:dyDescent="0.35">
      <c r="A629" t="s">
        <v>114</v>
      </c>
      <c r="B629" t="s">
        <v>102</v>
      </c>
      <c r="C629">
        <v>430341.7</v>
      </c>
      <c r="D629">
        <v>0.63548831028107045</v>
      </c>
      <c r="E629">
        <v>0.53854770498812299</v>
      </c>
      <c r="F629">
        <v>19263.25</v>
      </c>
      <c r="G629">
        <v>3296.2288795207619</v>
      </c>
      <c r="H629">
        <v>3296.2288795207619</v>
      </c>
      <c r="I629">
        <v>-0.3601659661690918</v>
      </c>
      <c r="J629">
        <v>0.32731989335662431</v>
      </c>
      <c r="K629">
        <v>0.72096435166964823</v>
      </c>
      <c r="L629">
        <v>1078.9212853237609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0</v>
      </c>
      <c r="S629">
        <v>3296.2288795207619</v>
      </c>
      <c r="T629">
        <v>1078.9212853237609</v>
      </c>
      <c r="U629">
        <v>0</v>
      </c>
      <c r="V629">
        <v>0</v>
      </c>
      <c r="W629">
        <v>0</v>
      </c>
    </row>
    <row r="630" spans="1:23" x14ac:dyDescent="0.35">
      <c r="A630" t="s">
        <v>114</v>
      </c>
      <c r="B630" t="s">
        <v>103</v>
      </c>
      <c r="C630">
        <v>430962</v>
      </c>
      <c r="D630">
        <v>0.4244869026341424</v>
      </c>
      <c r="E630">
        <v>0.65006984826287328</v>
      </c>
      <c r="F630">
        <v>26370.25</v>
      </c>
      <c r="G630">
        <v>6352.7743362205329</v>
      </c>
      <c r="H630">
        <v>6352.7743362205329</v>
      </c>
      <c r="I630">
        <v>-7.2849029813847541E-3</v>
      </c>
      <c r="J630">
        <v>0.49635761294267777</v>
      </c>
      <c r="K630">
        <v>0.63548831028107045</v>
      </c>
      <c r="L630">
        <v>3153.2479050899278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6352.7743362205329</v>
      </c>
      <c r="T630">
        <v>3153.2479050899278</v>
      </c>
      <c r="U630">
        <v>0</v>
      </c>
      <c r="V630">
        <v>0</v>
      </c>
      <c r="W630">
        <v>0</v>
      </c>
    </row>
    <row r="631" spans="1:23" x14ac:dyDescent="0.35">
      <c r="A631" t="s">
        <v>114</v>
      </c>
      <c r="B631" t="s">
        <v>104</v>
      </c>
      <c r="C631">
        <v>432407.4</v>
      </c>
      <c r="D631">
        <v>0.67597293115361157</v>
      </c>
      <c r="E631">
        <v>0.1091108520119016</v>
      </c>
      <c r="F631">
        <v>48145.7</v>
      </c>
      <c r="G631">
        <v>21516.57673025272</v>
      </c>
      <c r="H631">
        <v>21516.57673025272</v>
      </c>
      <c r="I631">
        <v>-1.7190004433445509</v>
      </c>
      <c r="J631">
        <v>3.112872038258142E-2</v>
      </c>
      <c r="K631">
        <v>0.4244869026341424</v>
      </c>
      <c r="L631">
        <v>669.7835006263947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</row>
    <row r="632" spans="1:23" x14ac:dyDescent="0.35">
      <c r="A632" t="s">
        <v>114</v>
      </c>
      <c r="B632" t="s">
        <v>105</v>
      </c>
      <c r="C632">
        <v>432332.2</v>
      </c>
      <c r="D632">
        <v>0.47288318183474298</v>
      </c>
      <c r="E632">
        <v>0.1042116119802564</v>
      </c>
      <c r="F632">
        <v>80038.14</v>
      </c>
      <c r="G632">
        <v>32860.236300339107</v>
      </c>
      <c r="H632">
        <v>32860.236300339107</v>
      </c>
      <c r="I632">
        <v>-1.734502737152871</v>
      </c>
      <c r="J632">
        <v>3.020710214303483E-2</v>
      </c>
      <c r="K632">
        <v>0.67597293115361157</v>
      </c>
      <c r="L632">
        <v>992.61251436860459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1</v>
      </c>
      <c r="S632">
        <v>0</v>
      </c>
      <c r="T632">
        <v>0</v>
      </c>
      <c r="U632">
        <v>0</v>
      </c>
      <c r="V632">
        <v>0</v>
      </c>
      <c r="W632">
        <v>0</v>
      </c>
    </row>
    <row r="633" spans="1:23" x14ac:dyDescent="0.35">
      <c r="A633" t="s">
        <v>114</v>
      </c>
      <c r="B633" t="s">
        <v>106</v>
      </c>
      <c r="C633">
        <v>433160.5</v>
      </c>
      <c r="D633">
        <v>0.6528784785059295</v>
      </c>
      <c r="E633">
        <v>3.6576000278479917E-2</v>
      </c>
      <c r="F633">
        <v>106862.2</v>
      </c>
      <c r="G633">
        <v>30173.051455287681</v>
      </c>
      <c r="H633">
        <v>30173.051455287681</v>
      </c>
      <c r="I633">
        <v>-1.948516975633505</v>
      </c>
      <c r="J633">
        <v>1.989806772001548E-2</v>
      </c>
      <c r="K633">
        <v>0.47288318183474298</v>
      </c>
      <c r="L633">
        <v>600.38542117682596</v>
      </c>
      <c r="M633">
        <v>0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30173.051455287681</v>
      </c>
      <c r="T633">
        <v>600.38542117682596</v>
      </c>
      <c r="U633">
        <v>0</v>
      </c>
      <c r="V633">
        <v>0</v>
      </c>
      <c r="W633">
        <v>0</v>
      </c>
    </row>
    <row r="634" spans="1:23" x14ac:dyDescent="0.35">
      <c r="A634" t="s">
        <v>114</v>
      </c>
      <c r="B634" t="s">
        <v>107</v>
      </c>
      <c r="C634">
        <v>434610.7</v>
      </c>
      <c r="D634">
        <v>0.84307686963563055</v>
      </c>
      <c r="E634">
        <v>-9.6536488624629144E-3</v>
      </c>
      <c r="F634">
        <v>94947.06</v>
      </c>
      <c r="G634">
        <v>-5865.0461574176588</v>
      </c>
      <c r="H634">
        <v>-5865.0461574176588</v>
      </c>
      <c r="I634">
        <v>-2.0947979496232159</v>
      </c>
      <c r="J634">
        <v>1.492623830125472E-2</v>
      </c>
      <c r="K634">
        <v>0.6528784785059295</v>
      </c>
      <c r="L634">
        <v>-87.543076593474282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-5865.0461574176588</v>
      </c>
      <c r="T634">
        <v>-87.543076593474282</v>
      </c>
      <c r="U634">
        <v>0</v>
      </c>
      <c r="V634">
        <v>0</v>
      </c>
      <c r="W634">
        <v>0</v>
      </c>
    </row>
    <row r="635" spans="1:23" x14ac:dyDescent="0.35">
      <c r="A635" t="s">
        <v>114</v>
      </c>
      <c r="B635" t="s">
        <v>108</v>
      </c>
      <c r="C635">
        <v>435990.8</v>
      </c>
      <c r="D635">
        <v>0.82529428068277255</v>
      </c>
      <c r="E635">
        <v>-0.2355525662730005</v>
      </c>
      <c r="F635">
        <v>81871.73</v>
      </c>
      <c r="G635">
        <v>-6116.8052336188266</v>
      </c>
      <c r="H635">
        <v>-6116.8052336188266</v>
      </c>
      <c r="I635">
        <v>-2.8095927680154031</v>
      </c>
      <c r="J635">
        <v>3.614482574152852E-3</v>
      </c>
      <c r="K635">
        <v>0.84307686963563055</v>
      </c>
      <c r="L635">
        <v>-22.109085926402219</v>
      </c>
      <c r="M635">
        <v>0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-6116.8052336188266</v>
      </c>
      <c r="T635">
        <v>-22.109085926402219</v>
      </c>
      <c r="U635">
        <v>0</v>
      </c>
      <c r="V635">
        <v>0</v>
      </c>
      <c r="W635">
        <v>0</v>
      </c>
    </row>
    <row r="636" spans="1:23" x14ac:dyDescent="0.35">
      <c r="A636" t="s">
        <v>114</v>
      </c>
      <c r="B636" t="s">
        <v>109</v>
      </c>
      <c r="C636">
        <v>436827.1</v>
      </c>
      <c r="D636">
        <v>1.034319041988476</v>
      </c>
      <c r="E636">
        <v>0.50505638136286624</v>
      </c>
      <c r="F636">
        <v>77922.84</v>
      </c>
      <c r="G636">
        <v>1879.7276364797731</v>
      </c>
      <c r="H636">
        <v>1879.7276364797731</v>
      </c>
      <c r="I636">
        <v>-0.46614002245428859</v>
      </c>
      <c r="J636">
        <v>0.28246237185828688</v>
      </c>
      <c r="K636">
        <v>0.82529428068277255</v>
      </c>
      <c r="L636">
        <v>530.95232664764819</v>
      </c>
      <c r="M636">
        <v>0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1879.7276364797731</v>
      </c>
      <c r="T636">
        <v>530.95232664764819</v>
      </c>
      <c r="U636">
        <v>0</v>
      </c>
      <c r="V636">
        <v>0</v>
      </c>
      <c r="W636">
        <v>0</v>
      </c>
    </row>
    <row r="637" spans="1:23" x14ac:dyDescent="0.35">
      <c r="A637" t="s">
        <v>115</v>
      </c>
      <c r="B637" t="s">
        <v>4</v>
      </c>
      <c r="C637">
        <v>138217</v>
      </c>
      <c r="F637">
        <v>5832.3329999999996</v>
      </c>
      <c r="G637">
        <v>-3714.5931994258599</v>
      </c>
      <c r="H637">
        <v>-3714.5931994258599</v>
      </c>
      <c r="M637">
        <v>1</v>
      </c>
      <c r="N637">
        <v>-3714.5931994258599</v>
      </c>
    </row>
    <row r="638" spans="1:23" x14ac:dyDescent="0.35">
      <c r="A638" t="s">
        <v>115</v>
      </c>
      <c r="B638" t="s">
        <v>5</v>
      </c>
      <c r="C638">
        <v>139650.1</v>
      </c>
      <c r="F638">
        <v>5569.9409999999998</v>
      </c>
      <c r="G638">
        <v>-1919.831103877337</v>
      </c>
      <c r="H638">
        <v>-1919.831103877337</v>
      </c>
      <c r="M638">
        <v>1</v>
      </c>
      <c r="N638">
        <v>-1919.831103877337</v>
      </c>
    </row>
    <row r="639" spans="1:23" x14ac:dyDescent="0.35">
      <c r="A639" t="s">
        <v>115</v>
      </c>
      <c r="B639" t="s">
        <v>6</v>
      </c>
      <c r="C639">
        <v>140820.29999999999</v>
      </c>
      <c r="F639">
        <v>13816.67</v>
      </c>
      <c r="G639">
        <v>6474.4940275934759</v>
      </c>
      <c r="H639">
        <v>6474.4940275934759</v>
      </c>
      <c r="M639">
        <v>1</v>
      </c>
      <c r="N639">
        <v>6474.4940275934759</v>
      </c>
    </row>
    <row r="640" spans="1:23" x14ac:dyDescent="0.35">
      <c r="A640" t="s">
        <v>115</v>
      </c>
      <c r="B640" t="s">
        <v>7</v>
      </c>
      <c r="C640">
        <v>142295.79999999999</v>
      </c>
      <c r="F640">
        <v>11881.05</v>
      </c>
      <c r="G640">
        <v>-3395.2229350538159</v>
      </c>
      <c r="H640">
        <v>-3395.2229350538159</v>
      </c>
      <c r="M640">
        <v>1</v>
      </c>
      <c r="N640">
        <v>-3395.2229350538159</v>
      </c>
    </row>
    <row r="641" spans="1:23" x14ac:dyDescent="0.35">
      <c r="A641" t="s">
        <v>115</v>
      </c>
      <c r="B641" t="s">
        <v>8</v>
      </c>
      <c r="C641">
        <v>142989.4</v>
      </c>
      <c r="D641">
        <v>3.394558773963317</v>
      </c>
      <c r="F641">
        <v>22324.51</v>
      </c>
      <c r="G641">
        <v>9331.4609908810216</v>
      </c>
      <c r="H641">
        <v>9331.4609908810216</v>
      </c>
      <c r="M641">
        <v>1</v>
      </c>
      <c r="N641">
        <v>9331.4609908810216</v>
      </c>
      <c r="Q641">
        <v>0</v>
      </c>
      <c r="R641">
        <v>1</v>
      </c>
      <c r="S641">
        <v>0</v>
      </c>
      <c r="U641">
        <v>0</v>
      </c>
      <c r="V641">
        <v>0</v>
      </c>
    </row>
    <row r="642" spans="1:23" x14ac:dyDescent="0.35">
      <c r="A642" t="s">
        <v>115</v>
      </c>
      <c r="B642" t="s">
        <v>9</v>
      </c>
      <c r="C642">
        <v>143482.9</v>
      </c>
      <c r="D642">
        <v>2.7075855869210859</v>
      </c>
      <c r="F642">
        <v>13179.21</v>
      </c>
      <c r="G642">
        <v>-9943.8528374191192</v>
      </c>
      <c r="H642">
        <v>-9943.8528374191192</v>
      </c>
      <c r="K642">
        <v>3.394558773963317</v>
      </c>
      <c r="M642">
        <v>1</v>
      </c>
      <c r="N642">
        <v>-9943.8528374191192</v>
      </c>
      <c r="Q642">
        <v>0</v>
      </c>
      <c r="R642">
        <v>1</v>
      </c>
      <c r="S642">
        <v>0</v>
      </c>
      <c r="U642">
        <v>0</v>
      </c>
      <c r="V642">
        <v>0</v>
      </c>
    </row>
    <row r="643" spans="1:23" x14ac:dyDescent="0.35">
      <c r="A643" t="s">
        <v>115</v>
      </c>
      <c r="B643" t="s">
        <v>10</v>
      </c>
      <c r="C643">
        <v>143757.70000000001</v>
      </c>
      <c r="D643">
        <v>2.0644633992360921</v>
      </c>
      <c r="F643">
        <v>25155.95</v>
      </c>
      <c r="G643">
        <v>11353.658528725049</v>
      </c>
      <c r="H643">
        <v>11353.658528725049</v>
      </c>
      <c r="K643">
        <v>2.7075855869210859</v>
      </c>
      <c r="M643">
        <v>1</v>
      </c>
      <c r="N643">
        <v>11353.658528725049</v>
      </c>
      <c r="Q643">
        <v>0</v>
      </c>
      <c r="R643">
        <v>1</v>
      </c>
      <c r="S643">
        <v>0</v>
      </c>
      <c r="U643">
        <v>0</v>
      </c>
      <c r="V643">
        <v>0</v>
      </c>
    </row>
    <row r="644" spans="1:23" x14ac:dyDescent="0.35">
      <c r="A644" t="s">
        <v>115</v>
      </c>
      <c r="B644" t="s">
        <v>11</v>
      </c>
      <c r="C644">
        <v>143870.5</v>
      </c>
      <c r="D644">
        <v>1.1005599851300041</v>
      </c>
      <c r="F644">
        <v>23448.18</v>
      </c>
      <c r="G644">
        <v>-2327.5821782993439</v>
      </c>
      <c r="H644">
        <v>-2327.5821782993439</v>
      </c>
      <c r="K644">
        <v>2.0644633992360921</v>
      </c>
      <c r="M644">
        <v>1</v>
      </c>
      <c r="N644">
        <v>-2327.5821782993439</v>
      </c>
      <c r="Q644">
        <v>0</v>
      </c>
      <c r="R644">
        <v>1</v>
      </c>
      <c r="S644">
        <v>0</v>
      </c>
      <c r="U644">
        <v>0</v>
      </c>
      <c r="V644">
        <v>0</v>
      </c>
    </row>
    <row r="645" spans="1:23" x14ac:dyDescent="0.35">
      <c r="A645" t="s">
        <v>115</v>
      </c>
      <c r="B645" t="s">
        <v>12</v>
      </c>
      <c r="C645">
        <v>143614.39999999999</v>
      </c>
      <c r="D645">
        <v>0.43614284997749059</v>
      </c>
      <c r="E645">
        <v>0.78182985571913155</v>
      </c>
      <c r="F645">
        <v>22597.360000000001</v>
      </c>
      <c r="G645">
        <v>-922.17355643885821</v>
      </c>
      <c r="H645">
        <v>-922.17355643885821</v>
      </c>
      <c r="I645">
        <v>0.40963329955204603</v>
      </c>
      <c r="J645">
        <v>0.6940806372805991</v>
      </c>
      <c r="K645">
        <v>1.1005599851300041</v>
      </c>
      <c r="L645">
        <v>-640.06280973639923</v>
      </c>
      <c r="M645">
        <v>1</v>
      </c>
      <c r="N645">
        <v>-922.17355643885821</v>
      </c>
      <c r="O645">
        <v>0.6940806372805991</v>
      </c>
      <c r="P645">
        <v>-640.06280973639923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</row>
    <row r="646" spans="1:23" x14ac:dyDescent="0.35">
      <c r="A646" t="s">
        <v>115</v>
      </c>
      <c r="B646" t="s">
        <v>13</v>
      </c>
      <c r="C646">
        <v>143854.39999999999</v>
      </c>
      <c r="D646">
        <v>0.25858126111758112</v>
      </c>
      <c r="E646">
        <v>0.81720071063974975</v>
      </c>
      <c r="F646">
        <v>17938.45</v>
      </c>
      <c r="G646">
        <v>-4851.7453407365683</v>
      </c>
      <c r="H646">
        <v>-4851.7453407365683</v>
      </c>
      <c r="I646">
        <v>0.52155461422311966</v>
      </c>
      <c r="J646">
        <v>0.7394494881285828</v>
      </c>
      <c r="K646">
        <v>0.43614284997749059</v>
      </c>
      <c r="L646">
        <v>-3587.6206087378919</v>
      </c>
      <c r="M646">
        <v>1</v>
      </c>
      <c r="N646">
        <v>-4851.7453407365683</v>
      </c>
      <c r="O646">
        <v>0.7394494881285828</v>
      </c>
      <c r="P646">
        <v>-3587.6206087378919</v>
      </c>
      <c r="Q646">
        <v>0</v>
      </c>
      <c r="R646">
        <v>1</v>
      </c>
      <c r="S646">
        <v>0</v>
      </c>
      <c r="T646">
        <v>0</v>
      </c>
      <c r="U646">
        <v>0</v>
      </c>
      <c r="V646">
        <v>0</v>
      </c>
      <c r="W646">
        <v>0</v>
      </c>
    </row>
    <row r="647" spans="1:23" x14ac:dyDescent="0.35">
      <c r="A647" t="s">
        <v>115</v>
      </c>
      <c r="B647" t="s">
        <v>14</v>
      </c>
      <c r="C647">
        <v>143969.70000000001</v>
      </c>
      <c r="D647">
        <v>0.14736173083552531</v>
      </c>
      <c r="E647">
        <v>0.84392903876451719</v>
      </c>
      <c r="F647">
        <v>14136.45</v>
      </c>
      <c r="G647">
        <v>-4222.8378093282299</v>
      </c>
      <c r="H647">
        <v>-4222.8378093282299</v>
      </c>
      <c r="I647">
        <v>0.60612903656596306</v>
      </c>
      <c r="J647">
        <v>0.77069824518812502</v>
      </c>
      <c r="K647">
        <v>0.25858126111758112</v>
      </c>
      <c r="L647">
        <v>-3254.533689363333</v>
      </c>
      <c r="M647">
        <v>1</v>
      </c>
      <c r="N647">
        <v>-4222.8378093282299</v>
      </c>
      <c r="O647">
        <v>0.77069824518812502</v>
      </c>
      <c r="P647">
        <v>-3254.533689363333</v>
      </c>
      <c r="Q647">
        <v>0</v>
      </c>
      <c r="R647">
        <v>1</v>
      </c>
      <c r="S647">
        <v>0</v>
      </c>
      <c r="T647">
        <v>0</v>
      </c>
      <c r="U647">
        <v>0</v>
      </c>
      <c r="V647">
        <v>0</v>
      </c>
      <c r="W647">
        <v>0</v>
      </c>
    </row>
    <row r="648" spans="1:23" x14ac:dyDescent="0.35">
      <c r="A648" t="s">
        <v>115</v>
      </c>
      <c r="B648" t="s">
        <v>15</v>
      </c>
      <c r="C648">
        <v>144120.6</v>
      </c>
      <c r="D648">
        <v>0.17368596659597271</v>
      </c>
      <c r="E648">
        <v>0.94080095457696689</v>
      </c>
      <c r="F648">
        <v>27832.880000000001</v>
      </c>
      <c r="G648">
        <v>12885.617455236321</v>
      </c>
      <c r="H648">
        <v>12885.617455236321</v>
      </c>
      <c r="I648">
        <v>0.91265349566562015</v>
      </c>
      <c r="J648">
        <v>0.86120170621720105</v>
      </c>
      <c r="K648">
        <v>0.14736173083552531</v>
      </c>
      <c r="L648">
        <v>11097.11573811167</v>
      </c>
      <c r="M648">
        <v>1</v>
      </c>
      <c r="N648">
        <v>12885.617455236321</v>
      </c>
      <c r="O648">
        <v>0.86120170621720105</v>
      </c>
      <c r="P648">
        <v>11097.11573811167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</row>
    <row r="649" spans="1:23" x14ac:dyDescent="0.35">
      <c r="A649" t="s">
        <v>115</v>
      </c>
      <c r="B649" t="s">
        <v>16</v>
      </c>
      <c r="C649">
        <v>144451.29999999999</v>
      </c>
      <c r="D649">
        <v>0.58104963875090665</v>
      </c>
      <c r="E649">
        <v>0.84803550123685156</v>
      </c>
      <c r="F649">
        <v>25718.62</v>
      </c>
      <c r="G649">
        <v>-2578.9762101676129</v>
      </c>
      <c r="H649">
        <v>-2578.9762101676129</v>
      </c>
      <c r="I649">
        <v>0.61912280444583356</v>
      </c>
      <c r="J649">
        <v>0.77525848947684406</v>
      </c>
      <c r="K649">
        <v>0.17368596659597271</v>
      </c>
      <c r="L649">
        <v>-1999.3732010912599</v>
      </c>
      <c r="M649">
        <v>1</v>
      </c>
      <c r="N649">
        <v>-2578.9762101676129</v>
      </c>
      <c r="O649">
        <v>0.77525848947684406</v>
      </c>
      <c r="P649">
        <v>-1999.3732010912599</v>
      </c>
      <c r="Q649">
        <v>0</v>
      </c>
      <c r="R649">
        <v>1</v>
      </c>
      <c r="S649">
        <v>0</v>
      </c>
      <c r="T649">
        <v>0</v>
      </c>
      <c r="U649">
        <v>0</v>
      </c>
      <c r="V649">
        <v>0</v>
      </c>
      <c r="W649">
        <v>0</v>
      </c>
    </row>
    <row r="650" spans="1:23" x14ac:dyDescent="0.35">
      <c r="A650" t="s">
        <v>115</v>
      </c>
      <c r="B650" t="s">
        <v>17</v>
      </c>
      <c r="C650">
        <v>143728.9</v>
      </c>
      <c r="D650">
        <v>-8.7279065207738066E-2</v>
      </c>
      <c r="E650">
        <v>0.84666525773638035</v>
      </c>
      <c r="F650">
        <v>34454.82</v>
      </c>
      <c r="G650">
        <v>8892.3153268391106</v>
      </c>
      <c r="H650">
        <v>8892.3153268391106</v>
      </c>
      <c r="I650">
        <v>0.61478704681892826</v>
      </c>
      <c r="J650">
        <v>0.77374402200157821</v>
      </c>
      <c r="K650">
        <v>0.58104963875090665</v>
      </c>
      <c r="L650">
        <v>6880.3758258947719</v>
      </c>
      <c r="M650">
        <v>1</v>
      </c>
      <c r="N650">
        <v>8892.3153268391106</v>
      </c>
      <c r="O650">
        <v>0.77374402200157821</v>
      </c>
      <c r="P650">
        <v>6880.3758258947719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</row>
    <row r="651" spans="1:23" x14ac:dyDescent="0.35">
      <c r="A651" t="s">
        <v>115</v>
      </c>
      <c r="B651" t="s">
        <v>18</v>
      </c>
      <c r="C651">
        <v>143750.1</v>
      </c>
      <c r="D651">
        <v>-0.152648543924951</v>
      </c>
      <c r="E651">
        <v>0.85553043731307887</v>
      </c>
      <c r="F651">
        <v>23886.34</v>
      </c>
      <c r="G651">
        <v>-10175.62221530782</v>
      </c>
      <c r="H651">
        <v>-10175.62221530782</v>
      </c>
      <c r="I651">
        <v>0.64283846246172294</v>
      </c>
      <c r="J651">
        <v>0.78341456506251517</v>
      </c>
      <c r="K651">
        <v>-8.7279065207738066E-2</v>
      </c>
      <c r="L651">
        <v>-7971.7306520458396</v>
      </c>
      <c r="M651">
        <v>1</v>
      </c>
      <c r="N651">
        <v>-10175.62221530782</v>
      </c>
      <c r="O651">
        <v>0.78341456506251517</v>
      </c>
      <c r="P651">
        <v>-7971.7306520458396</v>
      </c>
      <c r="Q651">
        <v>1</v>
      </c>
      <c r="R651">
        <v>0</v>
      </c>
      <c r="S651">
        <v>-10175.62221530782</v>
      </c>
      <c r="T651">
        <v>-7971.7306520458396</v>
      </c>
      <c r="U651">
        <v>1</v>
      </c>
      <c r="V651">
        <v>-10175.62221530782</v>
      </c>
      <c r="W651">
        <v>-7971.7306520458396</v>
      </c>
    </row>
    <row r="652" spans="1:23" x14ac:dyDescent="0.35">
      <c r="A652" t="s">
        <v>115</v>
      </c>
      <c r="B652" t="s">
        <v>19</v>
      </c>
      <c r="C652">
        <v>144648.1</v>
      </c>
      <c r="D652">
        <v>0.36534471134957841</v>
      </c>
      <c r="E652">
        <v>0.852514783308994</v>
      </c>
      <c r="F652">
        <v>12058.21</v>
      </c>
      <c r="G652">
        <v>-11403.891117199109</v>
      </c>
      <c r="H652">
        <v>-11403.891117199109</v>
      </c>
      <c r="I652">
        <v>0.63329625712097715</v>
      </c>
      <c r="J652">
        <v>0.78015888456705629</v>
      </c>
      <c r="K652">
        <v>-0.152648543924951</v>
      </c>
      <c r="L652">
        <v>-8896.8469737182222</v>
      </c>
      <c r="M652">
        <v>1</v>
      </c>
      <c r="N652">
        <v>-11403.891117199109</v>
      </c>
      <c r="O652">
        <v>0.78015888456705629</v>
      </c>
      <c r="P652">
        <v>-8896.8469737182222</v>
      </c>
      <c r="Q652">
        <v>1</v>
      </c>
      <c r="R652">
        <v>0</v>
      </c>
      <c r="S652">
        <v>-11403.891117199109</v>
      </c>
      <c r="T652">
        <v>-8896.8469737182222</v>
      </c>
      <c r="U652">
        <v>1</v>
      </c>
      <c r="V652">
        <v>-11403.891117199109</v>
      </c>
      <c r="W652">
        <v>-8896.8469737182222</v>
      </c>
    </row>
    <row r="653" spans="1:23" x14ac:dyDescent="0.35">
      <c r="A653" t="s">
        <v>115</v>
      </c>
      <c r="B653" t="s">
        <v>20</v>
      </c>
      <c r="C653">
        <v>145992.1</v>
      </c>
      <c r="D653">
        <v>1.061008412971167</v>
      </c>
      <c r="E653">
        <v>0.83738245552913115</v>
      </c>
      <c r="F653">
        <v>16122.31</v>
      </c>
      <c r="G653">
        <v>3477.0160780143342</v>
      </c>
      <c r="H653">
        <v>3477.0160780143342</v>
      </c>
      <c r="I653">
        <v>0.58541417954731312</v>
      </c>
      <c r="J653">
        <v>0.76329471288774264</v>
      </c>
      <c r="K653">
        <v>0.36534471134957841</v>
      </c>
      <c r="L653">
        <v>2653.9879889740159</v>
      </c>
      <c r="M653">
        <v>1</v>
      </c>
      <c r="N653">
        <v>3477.0160780143342</v>
      </c>
      <c r="O653">
        <v>0.76329471288774264</v>
      </c>
      <c r="P653">
        <v>2653.9879889740159</v>
      </c>
      <c r="Q653">
        <v>1</v>
      </c>
      <c r="R653">
        <v>0</v>
      </c>
      <c r="S653">
        <v>3477.0160780143342</v>
      </c>
      <c r="T653">
        <v>2653.9879889740159</v>
      </c>
      <c r="U653">
        <v>1</v>
      </c>
      <c r="V653">
        <v>3477.0160780143342</v>
      </c>
      <c r="W653">
        <v>2653.9879889740159</v>
      </c>
    </row>
    <row r="654" spans="1:23" x14ac:dyDescent="0.35">
      <c r="A654" t="s">
        <v>115</v>
      </c>
      <c r="B654" t="s">
        <v>21</v>
      </c>
      <c r="C654">
        <v>146659.5</v>
      </c>
      <c r="D654">
        <v>2.01846871188244</v>
      </c>
      <c r="E654">
        <v>0.85683694026246293</v>
      </c>
      <c r="F654">
        <v>9975.3389999999999</v>
      </c>
      <c r="G654">
        <v>-7181.6860400218247</v>
      </c>
      <c r="H654">
        <v>-7181.6860400218247</v>
      </c>
      <c r="I654">
        <v>0.64697253069515603</v>
      </c>
      <c r="J654">
        <v>0.78481418319658869</v>
      </c>
      <c r="K654">
        <v>1.061008412971167</v>
      </c>
      <c r="L654">
        <v>-5636.2890634740716</v>
      </c>
      <c r="M654">
        <v>1</v>
      </c>
      <c r="N654">
        <v>-7181.6860400218247</v>
      </c>
      <c r="O654">
        <v>0.78481418319658869</v>
      </c>
      <c r="P654">
        <v>-5636.2890634740716</v>
      </c>
      <c r="Q654">
        <v>1</v>
      </c>
      <c r="R654">
        <v>0</v>
      </c>
      <c r="S654">
        <v>-7181.6860400218247</v>
      </c>
      <c r="T654">
        <v>-5636.2890634740716</v>
      </c>
      <c r="U654">
        <v>1</v>
      </c>
      <c r="V654">
        <v>-7181.6860400218247</v>
      </c>
      <c r="W654">
        <v>-5636.2890634740716</v>
      </c>
    </row>
    <row r="655" spans="1:23" x14ac:dyDescent="0.35">
      <c r="A655" t="s">
        <v>115</v>
      </c>
      <c r="B655" t="s">
        <v>22</v>
      </c>
      <c r="C655">
        <v>146857.9</v>
      </c>
      <c r="D655">
        <v>2.1389077259138412</v>
      </c>
      <c r="E655">
        <v>0.55561674191151011</v>
      </c>
      <c r="F655">
        <v>14397.81</v>
      </c>
      <c r="G655">
        <v>3353.6931959349681</v>
      </c>
      <c r="H655">
        <v>3353.6931959349681</v>
      </c>
      <c r="I655">
        <v>-0.30615570667940689</v>
      </c>
      <c r="J655">
        <v>0.35153211375635712</v>
      </c>
      <c r="K655">
        <v>2.01846871188244</v>
      </c>
      <c r="L655">
        <v>1178.930858057332</v>
      </c>
      <c r="M655">
        <v>1</v>
      </c>
      <c r="N655">
        <v>3353.6931959349681</v>
      </c>
      <c r="O655">
        <v>0.35153211375635712</v>
      </c>
      <c r="P655">
        <v>1178.930858057332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</row>
    <row r="656" spans="1:23" x14ac:dyDescent="0.35">
      <c r="A656" t="s">
        <v>115</v>
      </c>
      <c r="B656" t="s">
        <v>23</v>
      </c>
      <c r="C656">
        <v>147202.20000000001</v>
      </c>
      <c r="D656">
        <v>1.7503255653206919</v>
      </c>
      <c r="E656">
        <v>0.53861607171908388</v>
      </c>
      <c r="F656">
        <v>13202.73</v>
      </c>
      <c r="G656">
        <v>-2405.1200373209231</v>
      </c>
      <c r="H656">
        <v>-2405.1200373209231</v>
      </c>
      <c r="I656">
        <v>-0.35994963850536749</v>
      </c>
      <c r="J656">
        <v>0.327415163206767</v>
      </c>
      <c r="K656">
        <v>2.1389077259138412</v>
      </c>
      <c r="L656">
        <v>-787.47276955129553</v>
      </c>
      <c r="M656">
        <v>1</v>
      </c>
      <c r="N656">
        <v>-2405.1200373209231</v>
      </c>
      <c r="O656">
        <v>0.327415163206767</v>
      </c>
      <c r="P656">
        <v>-787.47276955129553</v>
      </c>
      <c r="Q656">
        <v>0</v>
      </c>
      <c r="R656">
        <v>1</v>
      </c>
      <c r="S656">
        <v>0</v>
      </c>
      <c r="T656">
        <v>0</v>
      </c>
      <c r="U656">
        <v>0</v>
      </c>
      <c r="V656">
        <v>0</v>
      </c>
      <c r="W656">
        <v>0</v>
      </c>
    </row>
    <row r="657" spans="1:23" x14ac:dyDescent="0.35">
      <c r="A657" t="s">
        <v>115</v>
      </c>
      <c r="B657" t="s">
        <v>24</v>
      </c>
      <c r="C657">
        <v>147571.1</v>
      </c>
      <c r="D657">
        <v>1.0757582881842489</v>
      </c>
      <c r="E657">
        <v>0.88407303678325255</v>
      </c>
      <c r="F657">
        <v>11537.9</v>
      </c>
      <c r="G657">
        <v>-2694.6719418449161</v>
      </c>
      <c r="H657">
        <v>-2694.6719418449161</v>
      </c>
      <c r="I657">
        <v>0.73315364607832234</v>
      </c>
      <c r="J657">
        <v>0.81249546367327907</v>
      </c>
      <c r="K657">
        <v>1.7503255653206919</v>
      </c>
      <c r="L657">
        <v>-2189.40872883666</v>
      </c>
      <c r="M657">
        <v>1</v>
      </c>
      <c r="N657">
        <v>-2694.6719418449161</v>
      </c>
      <c r="O657">
        <v>0.81249546367327907</v>
      </c>
      <c r="P657">
        <v>-2189.40872883666</v>
      </c>
      <c r="Q657">
        <v>0</v>
      </c>
      <c r="R657">
        <v>1</v>
      </c>
      <c r="S657">
        <v>0</v>
      </c>
      <c r="T657">
        <v>0</v>
      </c>
      <c r="U657">
        <v>0</v>
      </c>
      <c r="V657">
        <v>0</v>
      </c>
      <c r="W657">
        <v>0</v>
      </c>
    </row>
    <row r="658" spans="1:23" x14ac:dyDescent="0.35">
      <c r="A658" t="s">
        <v>115</v>
      </c>
      <c r="B658" t="s">
        <v>25</v>
      </c>
      <c r="C658">
        <v>148924.5</v>
      </c>
      <c r="D658">
        <v>1.532589270048627</v>
      </c>
      <c r="E658">
        <v>0.89817163750407591</v>
      </c>
      <c r="F658">
        <v>11866.98</v>
      </c>
      <c r="G658">
        <v>-828.06583405836682</v>
      </c>
      <c r="H658">
        <v>-828.06583405836682</v>
      </c>
      <c r="I658">
        <v>0.77776477948853839</v>
      </c>
      <c r="J658">
        <v>0.82571093762347925</v>
      </c>
      <c r="K658">
        <v>1.0757582881842489</v>
      </c>
      <c r="L658">
        <v>-683.74301625430246</v>
      </c>
      <c r="M658">
        <v>1</v>
      </c>
      <c r="N658">
        <v>-828.06583405836682</v>
      </c>
      <c r="O658">
        <v>0.82571093762347925</v>
      </c>
      <c r="P658">
        <v>-683.74301625430246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</row>
    <row r="659" spans="1:23" x14ac:dyDescent="0.35">
      <c r="A659" t="s">
        <v>115</v>
      </c>
      <c r="B659" t="s">
        <v>26</v>
      </c>
      <c r="C659">
        <v>150733.20000000001</v>
      </c>
      <c r="D659">
        <v>2.604593402248649</v>
      </c>
      <c r="E659">
        <v>0.90963612875834887</v>
      </c>
      <c r="F659">
        <v>20193.73</v>
      </c>
      <c r="G659">
        <v>7096.9915636258847</v>
      </c>
      <c r="H659">
        <v>7096.9915636258847</v>
      </c>
      <c r="I659">
        <v>0.81404100001226976</v>
      </c>
      <c r="J659">
        <v>0.83590672256917187</v>
      </c>
      <c r="K659">
        <v>1.532589270048627</v>
      </c>
      <c r="L659">
        <v>5932.4229580515757</v>
      </c>
      <c r="M659">
        <v>1</v>
      </c>
      <c r="N659">
        <v>7096.9915636258847</v>
      </c>
      <c r="O659">
        <v>0.83590672256917187</v>
      </c>
      <c r="P659">
        <v>5932.4229580515757</v>
      </c>
      <c r="Q659">
        <v>1</v>
      </c>
      <c r="R659">
        <v>0</v>
      </c>
      <c r="S659">
        <v>7096.9915636258847</v>
      </c>
      <c r="T659">
        <v>5932.4229580515757</v>
      </c>
      <c r="U659">
        <v>1</v>
      </c>
      <c r="V659">
        <v>7096.9915636258847</v>
      </c>
      <c r="W659">
        <v>5932.4229580515757</v>
      </c>
    </row>
    <row r="660" spans="1:23" x14ac:dyDescent="0.35">
      <c r="A660" t="s">
        <v>115</v>
      </c>
      <c r="B660" t="s">
        <v>27</v>
      </c>
      <c r="C660">
        <v>151752.5</v>
      </c>
      <c r="D660">
        <v>3.0443752433220248</v>
      </c>
      <c r="E660">
        <v>0.81809578464855282</v>
      </c>
      <c r="F660">
        <v>12165.63</v>
      </c>
      <c r="G660">
        <v>-8911.6409368498116</v>
      </c>
      <c r="H660">
        <v>-8911.6409368498116</v>
      </c>
      <c r="I660">
        <v>0.52438682905134393</v>
      </c>
      <c r="J660">
        <v>0.74053933835225394</v>
      </c>
      <c r="K660">
        <v>2.604593402248649</v>
      </c>
      <c r="L660">
        <v>-6599.42068300762</v>
      </c>
      <c r="M660">
        <v>1</v>
      </c>
      <c r="N660">
        <v>-8911.6409368498116</v>
      </c>
      <c r="O660">
        <v>0.74053933835225394</v>
      </c>
      <c r="P660">
        <v>-6599.42068300762</v>
      </c>
      <c r="Q660">
        <v>0</v>
      </c>
      <c r="R660">
        <v>1</v>
      </c>
      <c r="S660">
        <v>0</v>
      </c>
      <c r="T660">
        <v>0</v>
      </c>
      <c r="U660">
        <v>0</v>
      </c>
      <c r="V660">
        <v>0</v>
      </c>
      <c r="W660">
        <v>0</v>
      </c>
    </row>
    <row r="661" spans="1:23" x14ac:dyDescent="0.35">
      <c r="A661" t="s">
        <v>115</v>
      </c>
      <c r="B661" t="s">
        <v>28</v>
      </c>
      <c r="C661">
        <v>152627.6</v>
      </c>
      <c r="D661">
        <v>3.3690873965645252</v>
      </c>
      <c r="E661">
        <v>0.81877987879726188</v>
      </c>
      <c r="F661">
        <v>11552.83</v>
      </c>
      <c r="G661">
        <v>-1385.556303605184</v>
      </c>
      <c r="H661">
        <v>-1385.556303605184</v>
      </c>
      <c r="I661">
        <v>0.52655145630319133</v>
      </c>
      <c r="J661">
        <v>0.74137029826865308</v>
      </c>
      <c r="K661">
        <v>3.0443752433220248</v>
      </c>
      <c r="L661">
        <v>-1027.210290071788</v>
      </c>
      <c r="M661">
        <v>1</v>
      </c>
      <c r="N661">
        <v>-1385.556303605184</v>
      </c>
      <c r="O661">
        <v>0.74137029826865308</v>
      </c>
      <c r="P661">
        <v>-1027.210290071788</v>
      </c>
      <c r="Q661">
        <v>1</v>
      </c>
      <c r="R661">
        <v>0</v>
      </c>
      <c r="S661">
        <v>-1385.556303605184</v>
      </c>
      <c r="T661">
        <v>-1027.210290071788</v>
      </c>
      <c r="U661">
        <v>1</v>
      </c>
      <c r="V661">
        <v>-1385.556303605184</v>
      </c>
      <c r="W661">
        <v>-1027.210290071788</v>
      </c>
    </row>
    <row r="662" spans="1:23" x14ac:dyDescent="0.35">
      <c r="A662" t="s">
        <v>115</v>
      </c>
      <c r="B662" t="s">
        <v>29</v>
      </c>
      <c r="C662">
        <v>155110.5</v>
      </c>
      <c r="D662">
        <v>4.0698300035803721</v>
      </c>
      <c r="E662">
        <v>0.83153153622069564</v>
      </c>
      <c r="F662">
        <v>8235.1579999999994</v>
      </c>
      <c r="G662">
        <v>-4527.5681324086381</v>
      </c>
      <c r="H662">
        <v>-4527.5681324086381</v>
      </c>
      <c r="I662">
        <v>0.56690055915266568</v>
      </c>
      <c r="J662">
        <v>0.75653969965931567</v>
      </c>
      <c r="K662">
        <v>3.3690873965645252</v>
      </c>
      <c r="L662">
        <v>-3425.2850350795202</v>
      </c>
      <c r="M662">
        <v>1</v>
      </c>
      <c r="N662">
        <v>-4527.5681324086381</v>
      </c>
      <c r="O662">
        <v>0.75653969965931567</v>
      </c>
      <c r="P662">
        <v>-3425.2850350795202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</row>
    <row r="663" spans="1:23" x14ac:dyDescent="0.35">
      <c r="A663" t="s">
        <v>115</v>
      </c>
      <c r="B663" t="s">
        <v>30</v>
      </c>
      <c r="C663">
        <v>155904.20000000001</v>
      </c>
      <c r="D663">
        <v>3.3730329436205628</v>
      </c>
      <c r="E663">
        <v>0.65898958511206118</v>
      </c>
      <c r="F663">
        <v>11854.69</v>
      </c>
      <c r="G663">
        <v>2246.9163671678002</v>
      </c>
      <c r="H663">
        <v>2246.9163671678002</v>
      </c>
      <c r="I663">
        <v>2.0939144102622841E-2</v>
      </c>
      <c r="J663">
        <v>0.51046804219949171</v>
      </c>
      <c r="K663">
        <v>4.0698300035803721</v>
      </c>
      <c r="L663">
        <v>1146.9789989341409</v>
      </c>
      <c r="M663">
        <v>1</v>
      </c>
      <c r="N663">
        <v>2246.9163671678002</v>
      </c>
      <c r="O663">
        <v>0.51046804219949171</v>
      </c>
      <c r="P663">
        <v>1146.9789989341409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</row>
    <row r="664" spans="1:23" x14ac:dyDescent="0.35">
      <c r="A664" t="s">
        <v>115</v>
      </c>
      <c r="B664" t="s">
        <v>31</v>
      </c>
      <c r="C664">
        <v>157257.60000000001</v>
      </c>
      <c r="D664">
        <v>3.5634320827799839</v>
      </c>
      <c r="E664">
        <v>0.63725403591919039</v>
      </c>
      <c r="F664">
        <v>9051.4310000000005</v>
      </c>
      <c r="G664">
        <v>-4203.3719888323176</v>
      </c>
      <c r="H664">
        <v>-4203.3719888323176</v>
      </c>
      <c r="I664">
        <v>-4.7837006381256271E-2</v>
      </c>
      <c r="J664">
        <v>0.47609972499259129</v>
      </c>
      <c r="K664">
        <v>3.3730329436205628</v>
      </c>
      <c r="L664">
        <v>-2001.2242479246279</v>
      </c>
      <c r="M664">
        <v>1</v>
      </c>
      <c r="N664">
        <v>-4203.3719888323176</v>
      </c>
      <c r="O664">
        <v>0.47609972499259129</v>
      </c>
      <c r="P664">
        <v>-2001.2242479246279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</row>
    <row r="665" spans="1:23" x14ac:dyDescent="0.35">
      <c r="A665" t="s">
        <v>115</v>
      </c>
      <c r="B665" t="s">
        <v>32</v>
      </c>
      <c r="C665">
        <v>159034.1</v>
      </c>
      <c r="D665">
        <v>4.1117677131812167</v>
      </c>
      <c r="E665">
        <v>0.70780622659115577</v>
      </c>
      <c r="F665">
        <v>13357.51</v>
      </c>
      <c r="G665">
        <v>2981.2693730277952</v>
      </c>
      <c r="H665">
        <v>2981.2693730277952</v>
      </c>
      <c r="I665">
        <v>0.1754059418214958</v>
      </c>
      <c r="J665">
        <v>0.58681444473073074</v>
      </c>
      <c r="K665">
        <v>3.5634320827799839</v>
      </c>
      <c r="L665">
        <v>1749.451931726039</v>
      </c>
      <c r="M665">
        <v>1</v>
      </c>
      <c r="N665">
        <v>2981.2693730277952</v>
      </c>
      <c r="O665">
        <v>0.58681444473073074</v>
      </c>
      <c r="P665">
        <v>1749.451931726039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</row>
    <row r="666" spans="1:23" x14ac:dyDescent="0.35">
      <c r="A666" t="s">
        <v>115</v>
      </c>
      <c r="B666" t="s">
        <v>33</v>
      </c>
      <c r="C666">
        <v>160011.79999999999</v>
      </c>
      <c r="D666">
        <v>3.110979636417222</v>
      </c>
      <c r="E666">
        <v>0.72425579192012668</v>
      </c>
      <c r="F666">
        <v>18459.61</v>
      </c>
      <c r="G666">
        <v>3803.4009892178929</v>
      </c>
      <c r="H666">
        <v>3803.4009892178929</v>
      </c>
      <c r="I666">
        <v>0.2274560543086824</v>
      </c>
      <c r="J666">
        <v>0.61180649506434992</v>
      </c>
      <c r="K666">
        <v>4.1117677131812167</v>
      </c>
      <c r="L666">
        <v>2326.945428537681</v>
      </c>
      <c r="M666">
        <v>1</v>
      </c>
      <c r="N666">
        <v>3803.4009892178929</v>
      </c>
      <c r="O666">
        <v>0.61180649506434992</v>
      </c>
      <c r="P666">
        <v>2326.945428537681</v>
      </c>
      <c r="Q666">
        <v>1</v>
      </c>
      <c r="R666">
        <v>0</v>
      </c>
      <c r="S666">
        <v>3803.4009892178929</v>
      </c>
      <c r="T666">
        <v>2326.945428537681</v>
      </c>
      <c r="U666">
        <v>1</v>
      </c>
      <c r="V666">
        <v>3803.4009892178929</v>
      </c>
      <c r="W666">
        <v>2326.945428537681</v>
      </c>
    </row>
    <row r="667" spans="1:23" x14ac:dyDescent="0.35">
      <c r="A667" t="s">
        <v>115</v>
      </c>
      <c r="B667" t="s">
        <v>34</v>
      </c>
      <c r="C667">
        <v>161774.79999999999</v>
      </c>
      <c r="D667">
        <v>3.6963528610379721</v>
      </c>
      <c r="E667">
        <v>0.8257516966142191</v>
      </c>
      <c r="F667">
        <v>21867.71</v>
      </c>
      <c r="G667">
        <v>2532.642848660435</v>
      </c>
      <c r="H667">
        <v>2532.642848660435</v>
      </c>
      <c r="I667">
        <v>0.5486118508701946</v>
      </c>
      <c r="J667">
        <v>0.74973954957838918</v>
      </c>
      <c r="K667">
        <v>3.110979636417222</v>
      </c>
      <c r="L667">
        <v>1898.822508597603</v>
      </c>
      <c r="M667">
        <v>1</v>
      </c>
      <c r="N667">
        <v>2532.642848660435</v>
      </c>
      <c r="O667">
        <v>0.74973954957838918</v>
      </c>
      <c r="P667">
        <v>1898.822508597603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</row>
    <row r="668" spans="1:23" x14ac:dyDescent="0.35">
      <c r="A668" t="s">
        <v>115</v>
      </c>
      <c r="B668" t="s">
        <v>35</v>
      </c>
      <c r="C668">
        <v>164127.9</v>
      </c>
      <c r="D668">
        <v>4.2760776829825993</v>
      </c>
      <c r="E668">
        <v>0.84817104107238084</v>
      </c>
      <c r="F668">
        <v>13843.68</v>
      </c>
      <c r="G668">
        <v>-8502.2952960938928</v>
      </c>
      <c r="H668">
        <v>-8502.2952960938928</v>
      </c>
      <c r="I668">
        <v>0.61955168287178009</v>
      </c>
      <c r="J668">
        <v>0.77540790353741829</v>
      </c>
      <c r="K668">
        <v>3.6963528610379721</v>
      </c>
      <c r="L668">
        <v>-6592.7469708002182</v>
      </c>
      <c r="M668">
        <v>1</v>
      </c>
      <c r="N668">
        <v>-8502.2952960938928</v>
      </c>
      <c r="O668">
        <v>0.77540790353741829</v>
      </c>
      <c r="P668">
        <v>-6592.7469708002182</v>
      </c>
      <c r="Q668">
        <v>0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</row>
    <row r="669" spans="1:23" x14ac:dyDescent="0.35">
      <c r="A669" t="s">
        <v>115</v>
      </c>
      <c r="B669" t="s">
        <v>36</v>
      </c>
      <c r="C669">
        <v>165277.79999999999</v>
      </c>
      <c r="D669">
        <v>3.8509049902719359</v>
      </c>
      <c r="E669">
        <v>0.85116017258286969</v>
      </c>
      <c r="F669">
        <v>13176.87</v>
      </c>
      <c r="G669">
        <v>-1287.1085488489391</v>
      </c>
      <c r="H669">
        <v>-1287.1085488489391</v>
      </c>
      <c r="I669">
        <v>0.62900996509677753</v>
      </c>
      <c r="J669">
        <v>0.77868506147564609</v>
      </c>
      <c r="K669">
        <v>4.2760776829825993</v>
      </c>
      <c r="L669">
        <v>-1002.252199486266</v>
      </c>
      <c r="M669">
        <v>1</v>
      </c>
      <c r="N669">
        <v>-1287.1085488489391</v>
      </c>
      <c r="O669">
        <v>0.77868506147564609</v>
      </c>
      <c r="P669">
        <v>-1002.252199486266</v>
      </c>
      <c r="Q669">
        <v>0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</row>
    <row r="670" spans="1:23" x14ac:dyDescent="0.35">
      <c r="A670" t="s">
        <v>115</v>
      </c>
      <c r="B670" t="s">
        <v>37</v>
      </c>
      <c r="C670">
        <v>165396.5</v>
      </c>
      <c r="D670">
        <v>3.3098059029019251</v>
      </c>
      <c r="E670">
        <v>0.7124349111684759</v>
      </c>
      <c r="F670">
        <v>18019.05</v>
      </c>
      <c r="G670">
        <v>3782.8150578267828</v>
      </c>
      <c r="H670">
        <v>3782.8150578267828</v>
      </c>
      <c r="I670">
        <v>0.19005213751719019</v>
      </c>
      <c r="J670">
        <v>0.59389825255830486</v>
      </c>
      <c r="K670">
        <v>3.8509049902719359</v>
      </c>
      <c r="L670">
        <v>2246.6072525945701</v>
      </c>
      <c r="M670">
        <v>1</v>
      </c>
      <c r="N670">
        <v>3782.8150578267828</v>
      </c>
      <c r="O670">
        <v>0.59389825255830486</v>
      </c>
      <c r="P670">
        <v>2246.6072525945701</v>
      </c>
      <c r="Q670">
        <v>0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</row>
    <row r="671" spans="1:23" x14ac:dyDescent="0.35">
      <c r="A671" t="s">
        <v>115</v>
      </c>
      <c r="B671" t="s">
        <v>38</v>
      </c>
      <c r="C671">
        <v>164952.20000000001</v>
      </c>
      <c r="D671">
        <v>1.9450490303008729</v>
      </c>
      <c r="E671">
        <v>0.76371569304357423</v>
      </c>
      <c r="F671">
        <v>14048.15</v>
      </c>
      <c r="G671">
        <v>-4873.0704452221198</v>
      </c>
      <c r="H671">
        <v>-4873.0704452221198</v>
      </c>
      <c r="I671">
        <v>0.35231602787840338</v>
      </c>
      <c r="J671">
        <v>0.66921395726967225</v>
      </c>
      <c r="K671">
        <v>3.3098059029019251</v>
      </c>
      <c r="L671">
        <v>-3261.1267567009791</v>
      </c>
      <c r="M671">
        <v>1</v>
      </c>
      <c r="N671">
        <v>-4873.0704452221198</v>
      </c>
      <c r="O671">
        <v>0.66921395726967225</v>
      </c>
      <c r="P671">
        <v>-3261.1267567009791</v>
      </c>
      <c r="Q671">
        <v>0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</row>
    <row r="672" spans="1:23" x14ac:dyDescent="0.35">
      <c r="A672" t="s">
        <v>115</v>
      </c>
      <c r="B672" t="s">
        <v>39</v>
      </c>
      <c r="C672">
        <v>163137.5</v>
      </c>
      <c r="D672">
        <v>-0.60525984324646842</v>
      </c>
      <c r="E672">
        <v>0.85688381452006868</v>
      </c>
      <c r="F672">
        <v>13245.42</v>
      </c>
      <c r="G672">
        <v>-1612.889016524221</v>
      </c>
      <c r="H672">
        <v>-1612.889016524221</v>
      </c>
      <c r="I672">
        <v>0.64712085135484154</v>
      </c>
      <c r="J672">
        <v>0.78486427601136821</v>
      </c>
      <c r="K672">
        <v>1.9450490303008729</v>
      </c>
      <c r="L672">
        <v>-1265.8989702409699</v>
      </c>
      <c r="M672">
        <v>1</v>
      </c>
      <c r="N672">
        <v>-1612.889016524221</v>
      </c>
      <c r="O672">
        <v>0.78486427601136821</v>
      </c>
      <c r="P672">
        <v>-1265.8989702409699</v>
      </c>
      <c r="Q672">
        <v>0</v>
      </c>
      <c r="R672">
        <v>1</v>
      </c>
      <c r="S672">
        <v>0</v>
      </c>
      <c r="T672">
        <v>0</v>
      </c>
      <c r="U672">
        <v>0</v>
      </c>
      <c r="V672">
        <v>0</v>
      </c>
      <c r="W672">
        <v>0</v>
      </c>
    </row>
    <row r="673" spans="1:23" x14ac:dyDescent="0.35">
      <c r="A673" t="s">
        <v>115</v>
      </c>
      <c r="B673" t="s">
        <v>40</v>
      </c>
      <c r="C673">
        <v>159410.6</v>
      </c>
      <c r="D673">
        <v>-3.6144431019560979</v>
      </c>
      <c r="E673">
        <v>0.74620051138362653</v>
      </c>
      <c r="F673">
        <v>21794.11</v>
      </c>
      <c r="G673">
        <v>7502.5523747752904</v>
      </c>
      <c r="H673">
        <v>7502.5523747752904</v>
      </c>
      <c r="I673">
        <v>0.29689406642218419</v>
      </c>
      <c r="J673">
        <v>0.64423384645262249</v>
      </c>
      <c r="K673">
        <v>-0.60525984324646842</v>
      </c>
      <c r="L673">
        <v>4833.3981746137424</v>
      </c>
      <c r="M673">
        <v>1</v>
      </c>
      <c r="N673">
        <v>7502.5523747752904</v>
      </c>
      <c r="O673">
        <v>0.64423384645262249</v>
      </c>
      <c r="P673">
        <v>4833.3981746137424</v>
      </c>
      <c r="Q673">
        <v>0</v>
      </c>
      <c r="R673">
        <v>1</v>
      </c>
      <c r="S673">
        <v>0</v>
      </c>
      <c r="T673">
        <v>0</v>
      </c>
      <c r="U673">
        <v>0</v>
      </c>
      <c r="V673">
        <v>0</v>
      </c>
      <c r="W673">
        <v>0</v>
      </c>
    </row>
    <row r="674" spans="1:23" x14ac:dyDescent="0.35">
      <c r="A674" t="s">
        <v>115</v>
      </c>
      <c r="B674" t="s">
        <v>41</v>
      </c>
      <c r="C674">
        <v>157931.70000000001</v>
      </c>
      <c r="D674">
        <v>-4.6182960456771411</v>
      </c>
      <c r="E674">
        <v>0.77066595428458529</v>
      </c>
      <c r="F674">
        <v>18972.07</v>
      </c>
      <c r="G674">
        <v>-3571.395125890052</v>
      </c>
      <c r="H674">
        <v>-3571.395125890052</v>
      </c>
      <c r="I674">
        <v>0.37430821260639902</v>
      </c>
      <c r="J674">
        <v>0.67887715044779084</v>
      </c>
      <c r="K674">
        <v>-3.6144431019560979</v>
      </c>
      <c r="L674">
        <v>-2424.538546187368</v>
      </c>
      <c r="M674">
        <v>1</v>
      </c>
      <c r="N674">
        <v>-3571.395125890052</v>
      </c>
      <c r="O674">
        <v>0.67887715044779084</v>
      </c>
      <c r="P674">
        <v>-2424.538546187368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</row>
    <row r="675" spans="1:23" x14ac:dyDescent="0.35">
      <c r="A675" t="s">
        <v>115</v>
      </c>
      <c r="B675" t="s">
        <v>42</v>
      </c>
      <c r="C675">
        <v>158097.1</v>
      </c>
      <c r="D675">
        <v>-4.2446333734415216</v>
      </c>
      <c r="E675">
        <v>0.83493738527825834</v>
      </c>
      <c r="F675">
        <v>14507.25</v>
      </c>
      <c r="G675">
        <v>-4886.0951899900501</v>
      </c>
      <c r="H675">
        <v>-4886.0951899900501</v>
      </c>
      <c r="I675">
        <v>0.57767742911945452</v>
      </c>
      <c r="J675">
        <v>0.76048764403856772</v>
      </c>
      <c r="K675">
        <v>-4.6182960456771411</v>
      </c>
      <c r="L675">
        <v>-3715.8150195837111</v>
      </c>
      <c r="M675">
        <v>1</v>
      </c>
      <c r="N675">
        <v>-4886.0951899900501</v>
      </c>
      <c r="O675">
        <v>0.76048764403856772</v>
      </c>
      <c r="P675">
        <v>-3715.8150195837111</v>
      </c>
      <c r="Q675">
        <v>0</v>
      </c>
      <c r="R675">
        <v>1</v>
      </c>
      <c r="S675">
        <v>0</v>
      </c>
      <c r="T675">
        <v>0</v>
      </c>
      <c r="U675">
        <v>0</v>
      </c>
      <c r="V675">
        <v>0</v>
      </c>
      <c r="W675">
        <v>0</v>
      </c>
    </row>
    <row r="676" spans="1:23" x14ac:dyDescent="0.35">
      <c r="A676" t="s">
        <v>115</v>
      </c>
      <c r="B676" t="s">
        <v>43</v>
      </c>
      <c r="C676">
        <v>159134.20000000001</v>
      </c>
      <c r="D676">
        <v>-2.484553210511983</v>
      </c>
      <c r="E676">
        <v>0.8964757196477745</v>
      </c>
      <c r="F676">
        <v>18951.79</v>
      </c>
      <c r="G676">
        <v>3701.552958534176</v>
      </c>
      <c r="H676">
        <v>3701.552958534176</v>
      </c>
      <c r="I676">
        <v>0.77239851518767866</v>
      </c>
      <c r="J676">
        <v>0.82416099055894243</v>
      </c>
      <c r="K676">
        <v>-4.2446333734415216</v>
      </c>
      <c r="L676">
        <v>3050.67555291191</v>
      </c>
      <c r="M676">
        <v>1</v>
      </c>
      <c r="N676">
        <v>3701.552958534176</v>
      </c>
      <c r="O676">
        <v>0.82416099055894243</v>
      </c>
      <c r="P676">
        <v>3050.67555291191</v>
      </c>
      <c r="Q676">
        <v>1</v>
      </c>
      <c r="R676">
        <v>0</v>
      </c>
      <c r="S676">
        <v>3701.552958534176</v>
      </c>
      <c r="T676">
        <v>3050.67555291191</v>
      </c>
      <c r="U676">
        <v>1</v>
      </c>
      <c r="V676">
        <v>3701.552958534176</v>
      </c>
      <c r="W676">
        <v>3050.67555291191</v>
      </c>
    </row>
    <row r="677" spans="1:23" x14ac:dyDescent="0.35">
      <c r="A677" t="s">
        <v>115</v>
      </c>
      <c r="B677" t="s">
        <v>44</v>
      </c>
      <c r="C677">
        <v>159139.29999999999</v>
      </c>
      <c r="D677">
        <v>-0.17033442207667249</v>
      </c>
      <c r="E677">
        <v>0.88902311546863932</v>
      </c>
      <c r="F677">
        <v>19711.91</v>
      </c>
      <c r="G677">
        <v>-36.739168690150109</v>
      </c>
      <c r="H677">
        <v>-36.739168690150109</v>
      </c>
      <c r="I677">
        <v>0.74881680478446944</v>
      </c>
      <c r="J677">
        <v>0.81722127218681206</v>
      </c>
      <c r="K677">
        <v>-2.484553210511983</v>
      </c>
      <c r="L677">
        <v>-30.02403017605037</v>
      </c>
      <c r="M677">
        <v>1</v>
      </c>
      <c r="N677">
        <v>-36.739168690150109</v>
      </c>
      <c r="O677">
        <v>0.81722127218681206</v>
      </c>
      <c r="P677">
        <v>-30.02403017605037</v>
      </c>
      <c r="Q677">
        <v>1</v>
      </c>
      <c r="R677">
        <v>0</v>
      </c>
      <c r="S677">
        <v>-36.739168690150109</v>
      </c>
      <c r="T677">
        <v>-30.02403017605037</v>
      </c>
      <c r="U677">
        <v>1</v>
      </c>
      <c r="V677">
        <v>-36.739168690150109</v>
      </c>
      <c r="W677">
        <v>-30.02403017605037</v>
      </c>
    </row>
    <row r="678" spans="1:23" x14ac:dyDescent="0.35">
      <c r="A678" t="s">
        <v>115</v>
      </c>
      <c r="B678" t="s">
        <v>45</v>
      </c>
      <c r="C678">
        <v>160601.20000000001</v>
      </c>
      <c r="D678">
        <v>1.676161237814404</v>
      </c>
      <c r="E678">
        <v>0.89737358558718794</v>
      </c>
      <c r="F678">
        <v>21449.03</v>
      </c>
      <c r="G678">
        <v>1198.9148978520791</v>
      </c>
      <c r="H678">
        <v>1198.9148978520791</v>
      </c>
      <c r="I678">
        <v>0.77523956431027008</v>
      </c>
      <c r="J678">
        <v>0.82498292212123647</v>
      </c>
      <c r="K678">
        <v>-0.17033442207667249</v>
      </c>
      <c r="L678">
        <v>989.08431580469176</v>
      </c>
      <c r="M678">
        <v>1</v>
      </c>
      <c r="N678">
        <v>1198.9148978520791</v>
      </c>
      <c r="O678">
        <v>0.82498292212123647</v>
      </c>
      <c r="P678">
        <v>989.08431580469176</v>
      </c>
      <c r="Q678">
        <v>1</v>
      </c>
      <c r="R678">
        <v>0</v>
      </c>
      <c r="S678">
        <v>1198.9148978520791</v>
      </c>
      <c r="T678">
        <v>989.08431580469176</v>
      </c>
      <c r="U678">
        <v>1</v>
      </c>
      <c r="V678">
        <v>1198.9148978520791</v>
      </c>
      <c r="W678">
        <v>989.08431580469176</v>
      </c>
    </row>
    <row r="679" spans="1:23" x14ac:dyDescent="0.35">
      <c r="A679" t="s">
        <v>115</v>
      </c>
      <c r="B679" t="s">
        <v>46</v>
      </c>
      <c r="C679">
        <v>160742.79999999999</v>
      </c>
      <c r="D679">
        <v>1.659617084177281</v>
      </c>
      <c r="E679">
        <v>0.88483325052651007</v>
      </c>
      <c r="F679">
        <v>19653.439999999999</v>
      </c>
      <c r="G679">
        <v>-2226.0035218636149</v>
      </c>
      <c r="H679">
        <v>-2226.0035218636149</v>
      </c>
      <c r="I679">
        <v>0.73555913279237972</v>
      </c>
      <c r="J679">
        <v>0.81322729739070354</v>
      </c>
      <c r="K679">
        <v>1.676161237814404</v>
      </c>
      <c r="L679">
        <v>-1810.2468280673349</v>
      </c>
      <c r="M679">
        <v>1</v>
      </c>
      <c r="N679">
        <v>-2226.0035218636149</v>
      </c>
      <c r="O679">
        <v>0.81322729739070354</v>
      </c>
      <c r="P679">
        <v>-1810.2468280673349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</row>
    <row r="680" spans="1:23" x14ac:dyDescent="0.35">
      <c r="A680" t="s">
        <v>115</v>
      </c>
      <c r="B680" t="s">
        <v>47</v>
      </c>
      <c r="C680">
        <v>162131.79999999999</v>
      </c>
      <c r="D680">
        <v>1.8661713313759269</v>
      </c>
      <c r="E680">
        <v>0.70013253418730703</v>
      </c>
      <c r="F680">
        <v>14901.64</v>
      </c>
      <c r="G680">
        <v>-5163.8778878903649</v>
      </c>
      <c r="H680">
        <v>-5163.8778878903649</v>
      </c>
      <c r="I680">
        <v>0.15112465871008449</v>
      </c>
      <c r="J680">
        <v>0.57499228886235731</v>
      </c>
      <c r="K680">
        <v>1.659617084177281</v>
      </c>
      <c r="L680">
        <v>-2969.1899661637958</v>
      </c>
      <c r="M680">
        <v>1</v>
      </c>
      <c r="N680">
        <v>-5163.8778878903649</v>
      </c>
      <c r="O680">
        <v>0.57499228886235731</v>
      </c>
      <c r="P680">
        <v>-2969.1899661637958</v>
      </c>
      <c r="Q680">
        <v>1</v>
      </c>
      <c r="R680">
        <v>0</v>
      </c>
      <c r="S680">
        <v>-5163.8778878903649</v>
      </c>
      <c r="T680">
        <v>-2969.1899661637958</v>
      </c>
      <c r="U680">
        <v>1</v>
      </c>
      <c r="V680">
        <v>-5163.8778878903649</v>
      </c>
      <c r="W680">
        <v>-2969.1899661637958</v>
      </c>
    </row>
    <row r="681" spans="1:23" x14ac:dyDescent="0.35">
      <c r="A681" t="s">
        <v>115</v>
      </c>
      <c r="B681" t="s">
        <v>48</v>
      </c>
      <c r="C681">
        <v>163917.6</v>
      </c>
      <c r="D681">
        <v>2.9583943238016239</v>
      </c>
      <c r="E681">
        <v>0.90506717765962519</v>
      </c>
      <c r="F681">
        <v>13397.83</v>
      </c>
      <c r="G681">
        <v>-2196.1557660518852</v>
      </c>
      <c r="H681">
        <v>-2196.1557660518852</v>
      </c>
      <c r="I681">
        <v>0.79958381443435156</v>
      </c>
      <c r="J681">
        <v>0.83190201763542249</v>
      </c>
      <c r="K681">
        <v>1.8661713313759269</v>
      </c>
      <c r="L681">
        <v>-1826.98641282023</v>
      </c>
      <c r="M681">
        <v>1</v>
      </c>
      <c r="N681">
        <v>-2196.1557660518852</v>
      </c>
      <c r="O681">
        <v>0.83190201763542249</v>
      </c>
      <c r="P681">
        <v>-1826.98641282023</v>
      </c>
      <c r="Q681">
        <v>1</v>
      </c>
      <c r="R681">
        <v>0</v>
      </c>
      <c r="S681">
        <v>-2196.1557660518852</v>
      </c>
      <c r="T681">
        <v>-1826.98641282023</v>
      </c>
      <c r="U681">
        <v>1</v>
      </c>
      <c r="V681">
        <v>-2196.1557660518852</v>
      </c>
      <c r="W681">
        <v>-1826.98641282023</v>
      </c>
    </row>
    <row r="682" spans="1:23" x14ac:dyDescent="0.35">
      <c r="A682" t="s">
        <v>115</v>
      </c>
      <c r="B682" t="s">
        <v>49</v>
      </c>
      <c r="C682">
        <v>163821</v>
      </c>
      <c r="D682">
        <v>1.985009486477801</v>
      </c>
      <c r="E682">
        <v>0.94129525349289989</v>
      </c>
      <c r="F682">
        <v>14121</v>
      </c>
      <c r="G682">
        <v>-273.04318602130661</v>
      </c>
      <c r="H682">
        <v>-273.04318602130661</v>
      </c>
      <c r="I682">
        <v>0.91421756825125222</v>
      </c>
      <c r="J682">
        <v>0.86157520150452693</v>
      </c>
      <c r="K682">
        <v>2.9583943238016239</v>
      </c>
      <c r="L682">
        <v>-235.2472380157453</v>
      </c>
      <c r="M682">
        <v>1</v>
      </c>
      <c r="N682">
        <v>-273.04318602130661</v>
      </c>
      <c r="O682">
        <v>0.86157520150452693</v>
      </c>
      <c r="P682">
        <v>-235.2472380157453</v>
      </c>
      <c r="Q682">
        <v>1</v>
      </c>
      <c r="R682">
        <v>0</v>
      </c>
      <c r="S682">
        <v>-273.04318602130661</v>
      </c>
      <c r="T682">
        <v>-235.2472380157453</v>
      </c>
      <c r="U682">
        <v>1</v>
      </c>
      <c r="V682">
        <v>-273.04318602130661</v>
      </c>
      <c r="W682">
        <v>-235.2472380157453</v>
      </c>
    </row>
    <row r="683" spans="1:23" x14ac:dyDescent="0.35">
      <c r="A683" t="s">
        <v>115</v>
      </c>
      <c r="B683" t="s">
        <v>50</v>
      </c>
      <c r="C683">
        <v>163585.20000000001</v>
      </c>
      <c r="D683">
        <v>1.752838346083726</v>
      </c>
      <c r="E683">
        <v>0.95693754279520105</v>
      </c>
      <c r="F683">
        <v>20227.560000000001</v>
      </c>
      <c r="G683">
        <v>5061.6006823259177</v>
      </c>
      <c r="H683">
        <v>5061.6006823259177</v>
      </c>
      <c r="I683">
        <v>0.96371327840889121</v>
      </c>
      <c r="J683">
        <v>0.87296430494648458</v>
      </c>
      <c r="K683">
        <v>1.985009486477801</v>
      </c>
      <c r="L683">
        <v>4418.5967215632973</v>
      </c>
      <c r="M683">
        <v>1</v>
      </c>
      <c r="N683">
        <v>5061.6006823259177</v>
      </c>
      <c r="O683">
        <v>0.87296430494648458</v>
      </c>
      <c r="P683">
        <v>4418.5967215632973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</row>
    <row r="684" spans="1:23" x14ac:dyDescent="0.35">
      <c r="A684" t="s">
        <v>115</v>
      </c>
      <c r="B684" t="s">
        <v>51</v>
      </c>
      <c r="C684">
        <v>162722.79999999999</v>
      </c>
      <c r="D684">
        <v>0.36385549228770542</v>
      </c>
      <c r="E684">
        <v>0.93005399539795863</v>
      </c>
      <c r="F684">
        <v>19436.98</v>
      </c>
      <c r="G684">
        <v>-1556.8530311641989</v>
      </c>
      <c r="H684">
        <v>-1556.8530311641989</v>
      </c>
      <c r="I684">
        <v>0.87864770748972199</v>
      </c>
      <c r="J684">
        <v>0.85287060634356238</v>
      </c>
      <c r="K684">
        <v>1.752838346083726</v>
      </c>
      <c r="L684">
        <v>-1327.7941886768231</v>
      </c>
      <c r="M684">
        <v>1</v>
      </c>
      <c r="N684">
        <v>-1556.8530311641989</v>
      </c>
      <c r="O684">
        <v>0.85287060634356238</v>
      </c>
      <c r="P684">
        <v>-1327.7941886768231</v>
      </c>
      <c r="Q684">
        <v>0</v>
      </c>
      <c r="R684">
        <v>1</v>
      </c>
      <c r="S684">
        <v>0</v>
      </c>
      <c r="T684">
        <v>0</v>
      </c>
      <c r="U684">
        <v>0</v>
      </c>
      <c r="V684">
        <v>0</v>
      </c>
      <c r="W684">
        <v>0</v>
      </c>
    </row>
    <row r="685" spans="1:23" x14ac:dyDescent="0.35">
      <c r="A685" t="s">
        <v>115</v>
      </c>
      <c r="B685" t="s">
        <v>52</v>
      </c>
      <c r="C685">
        <v>162577</v>
      </c>
      <c r="D685">
        <v>-0.82121268410250048</v>
      </c>
      <c r="E685">
        <v>0.88021782630792467</v>
      </c>
      <c r="F685">
        <v>18629.88</v>
      </c>
      <c r="G685">
        <v>-1290.561426222474</v>
      </c>
      <c r="H685">
        <v>-1290.561426222474</v>
      </c>
      <c r="I685">
        <v>0.7209548958445281</v>
      </c>
      <c r="J685">
        <v>0.80875021941664027</v>
      </c>
      <c r="K685">
        <v>0.36385549228770542</v>
      </c>
      <c r="L685">
        <v>-1043.7418366280781</v>
      </c>
      <c r="M685">
        <v>1</v>
      </c>
      <c r="N685">
        <v>-1290.561426222474</v>
      </c>
      <c r="O685">
        <v>0.80875021941664027</v>
      </c>
      <c r="P685">
        <v>-1043.7418366280781</v>
      </c>
      <c r="Q685">
        <v>0</v>
      </c>
      <c r="R685">
        <v>1</v>
      </c>
      <c r="S685">
        <v>0</v>
      </c>
      <c r="T685">
        <v>0</v>
      </c>
      <c r="U685">
        <v>0</v>
      </c>
      <c r="V685">
        <v>0</v>
      </c>
      <c r="W685">
        <v>0</v>
      </c>
    </row>
    <row r="686" spans="1:23" x14ac:dyDescent="0.35">
      <c r="A686" t="s">
        <v>115</v>
      </c>
      <c r="B686" t="s">
        <v>53</v>
      </c>
      <c r="C686">
        <v>162496.4</v>
      </c>
      <c r="D686">
        <v>-0.8118520651360811</v>
      </c>
      <c r="E686">
        <v>0.85025150573688402</v>
      </c>
      <c r="F686">
        <v>36827.879999999997</v>
      </c>
      <c r="G686">
        <v>17641.959197543922</v>
      </c>
      <c r="H686">
        <v>17641.959197543922</v>
      </c>
      <c r="I686">
        <v>0.62613473948436371</v>
      </c>
      <c r="J686">
        <v>0.77769247159961585</v>
      </c>
      <c r="K686">
        <v>-0.82121268410250048</v>
      </c>
      <c r="L686">
        <v>13720.018852197511</v>
      </c>
      <c r="M686">
        <v>1</v>
      </c>
      <c r="N686">
        <v>17641.959197543922</v>
      </c>
      <c r="O686">
        <v>0.77769247159961585</v>
      </c>
      <c r="P686">
        <v>13720.018852197511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</row>
    <row r="687" spans="1:23" x14ac:dyDescent="0.35">
      <c r="A687" t="s">
        <v>115</v>
      </c>
      <c r="B687" t="s">
        <v>54</v>
      </c>
      <c r="C687">
        <v>161720.5</v>
      </c>
      <c r="D687">
        <v>-1.146441899747296</v>
      </c>
      <c r="E687">
        <v>0.81911645745682926</v>
      </c>
      <c r="F687">
        <v>25945.24</v>
      </c>
      <c r="G687">
        <v>-10760.52865517087</v>
      </c>
      <c r="H687">
        <v>-10760.52865517087</v>
      </c>
      <c r="I687">
        <v>0.52761646663877837</v>
      </c>
      <c r="J687">
        <v>0.74177849921953709</v>
      </c>
      <c r="K687">
        <v>-0.8118520651360811</v>
      </c>
      <c r="L687">
        <v>-7981.9287966414749</v>
      </c>
      <c r="M687">
        <v>1</v>
      </c>
      <c r="N687">
        <v>-10760.52865517087</v>
      </c>
      <c r="O687">
        <v>0.74177849921953709</v>
      </c>
      <c r="P687">
        <v>-7981.9287966414749</v>
      </c>
      <c r="Q687">
        <v>1</v>
      </c>
      <c r="R687">
        <v>0</v>
      </c>
      <c r="S687">
        <v>-10760.52865517087</v>
      </c>
      <c r="T687">
        <v>-7981.9287966414749</v>
      </c>
      <c r="U687">
        <v>1</v>
      </c>
      <c r="V687">
        <v>-10760.52865517087</v>
      </c>
      <c r="W687">
        <v>-7981.9287966414749</v>
      </c>
    </row>
    <row r="688" spans="1:23" x14ac:dyDescent="0.35">
      <c r="A688" t="s">
        <v>115</v>
      </c>
      <c r="B688" t="s">
        <v>55</v>
      </c>
      <c r="C688">
        <v>160825</v>
      </c>
      <c r="D688">
        <v>-1.173132232809847</v>
      </c>
      <c r="E688">
        <v>0.79098568979121842</v>
      </c>
      <c r="F688">
        <v>38752.269999999997</v>
      </c>
      <c r="G688">
        <v>13434.743327128041</v>
      </c>
      <c r="H688">
        <v>13434.743327128041</v>
      </c>
      <c r="I688">
        <v>0.43860441117934329</v>
      </c>
      <c r="J688">
        <v>0.70624348679563387</v>
      </c>
      <c r="K688">
        <v>-1.146441899747296</v>
      </c>
      <c r="L688">
        <v>9488.1999715552811</v>
      </c>
      <c r="M688">
        <v>1</v>
      </c>
      <c r="N688">
        <v>13434.743327128041</v>
      </c>
      <c r="O688">
        <v>0.70624348679563387</v>
      </c>
      <c r="P688">
        <v>9488.1999715552811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</row>
    <row r="689" spans="1:23" x14ac:dyDescent="0.35">
      <c r="A689" t="s">
        <v>115</v>
      </c>
      <c r="B689" t="s">
        <v>56</v>
      </c>
      <c r="C689">
        <v>160758.1</v>
      </c>
      <c r="D689">
        <v>-1.1250985043257129</v>
      </c>
      <c r="E689">
        <v>0.75500040198183449</v>
      </c>
      <c r="F689">
        <v>31598.92</v>
      </c>
      <c r="G689">
        <v>-6578.8883624478913</v>
      </c>
      <c r="H689">
        <v>-6578.8883624478913</v>
      </c>
      <c r="I689">
        <v>0.32473889310006432</v>
      </c>
      <c r="J689">
        <v>0.65689277334012885</v>
      </c>
      <c r="K689">
        <v>-1.173132232809847</v>
      </c>
      <c r="L689">
        <v>-4321.6242219034939</v>
      </c>
      <c r="M689">
        <v>1</v>
      </c>
      <c r="N689">
        <v>-6578.8883624478913</v>
      </c>
      <c r="O689">
        <v>0.65689277334012885</v>
      </c>
      <c r="P689">
        <v>-4321.6242219034939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</row>
    <row r="690" spans="1:23" x14ac:dyDescent="0.35">
      <c r="A690" t="s">
        <v>115</v>
      </c>
      <c r="B690" t="s">
        <v>57</v>
      </c>
      <c r="C690">
        <v>161446.6</v>
      </c>
      <c r="D690">
        <v>-0.64814098471410986</v>
      </c>
      <c r="E690">
        <v>0.72203246811237076</v>
      </c>
      <c r="F690">
        <v>14113.9</v>
      </c>
      <c r="G690">
        <v>-16534.748271214699</v>
      </c>
      <c r="H690">
        <v>-16534.748271214699</v>
      </c>
      <c r="I690">
        <v>0.22042095933961819</v>
      </c>
      <c r="J690">
        <v>0.60845962481941296</v>
      </c>
      <c r="K690">
        <v>-1.1250985043257129</v>
      </c>
      <c r="L690">
        <v>-10060.72672958673</v>
      </c>
      <c r="M690">
        <v>1</v>
      </c>
      <c r="N690">
        <v>-16534.748271214699</v>
      </c>
      <c r="O690">
        <v>0.60845962481941296</v>
      </c>
      <c r="P690">
        <v>-10060.72672958673</v>
      </c>
      <c r="Q690">
        <v>1</v>
      </c>
      <c r="R690">
        <v>0</v>
      </c>
      <c r="S690">
        <v>-16534.748271214699</v>
      </c>
      <c r="T690">
        <v>-10060.72672958673</v>
      </c>
      <c r="U690">
        <v>1</v>
      </c>
      <c r="V690">
        <v>-16534.748271214699</v>
      </c>
      <c r="W690">
        <v>-10060.72672958673</v>
      </c>
    </row>
    <row r="691" spans="1:23" x14ac:dyDescent="0.35">
      <c r="A691" t="s">
        <v>115</v>
      </c>
      <c r="B691" t="s">
        <v>58</v>
      </c>
      <c r="C691">
        <v>162258.1</v>
      </c>
      <c r="D691">
        <v>0.33187407651549178</v>
      </c>
      <c r="E691">
        <v>0.36963846072841983</v>
      </c>
      <c r="F691">
        <v>15802.53</v>
      </c>
      <c r="G691">
        <v>1579.518846364859</v>
      </c>
      <c r="H691">
        <v>1579.518846364859</v>
      </c>
      <c r="I691">
        <v>-0.89463268234178295</v>
      </c>
      <c r="J691">
        <v>0.14316281553358909</v>
      </c>
      <c r="K691">
        <v>-0.64814098471410986</v>
      </c>
      <c r="L691">
        <v>226.1283652339597</v>
      </c>
      <c r="M691">
        <v>1</v>
      </c>
      <c r="N691">
        <v>1579.518846364859</v>
      </c>
      <c r="O691">
        <v>0.14316281553358909</v>
      </c>
      <c r="P691">
        <v>226.1283652339597</v>
      </c>
      <c r="Q691">
        <v>1</v>
      </c>
      <c r="R691">
        <v>0</v>
      </c>
      <c r="S691">
        <v>1579.518846364859</v>
      </c>
      <c r="T691">
        <v>226.1283652339597</v>
      </c>
      <c r="U691">
        <v>1</v>
      </c>
      <c r="V691">
        <v>1579.518846364859</v>
      </c>
      <c r="W691">
        <v>226.1283652339597</v>
      </c>
    </row>
    <row r="692" spans="1:23" x14ac:dyDescent="0.35">
      <c r="A692" t="s">
        <v>115</v>
      </c>
      <c r="B692" t="s">
        <v>59</v>
      </c>
      <c r="C692">
        <v>163238.39999999999</v>
      </c>
      <c r="D692">
        <v>1.489489167327017</v>
      </c>
      <c r="E692">
        <v>0.40190159694305139</v>
      </c>
      <c r="F692">
        <v>18492.009999999998</v>
      </c>
      <c r="G692">
        <v>1747.8482793999319</v>
      </c>
      <c r="H692">
        <v>1747.8482793999319</v>
      </c>
      <c r="I692">
        <v>-0.79254488636802389</v>
      </c>
      <c r="J692">
        <v>0.17007585343316289</v>
      </c>
      <c r="K692">
        <v>0.33187407651549178</v>
      </c>
      <c r="L692">
        <v>297.26678779062883</v>
      </c>
      <c r="M692">
        <v>1</v>
      </c>
      <c r="N692">
        <v>1747.8482793999319</v>
      </c>
      <c r="O692">
        <v>0.17007585343316289</v>
      </c>
      <c r="P692">
        <v>297.26678779062883</v>
      </c>
      <c r="Q692">
        <v>1</v>
      </c>
      <c r="R692">
        <v>0</v>
      </c>
      <c r="S692">
        <v>1747.8482793999319</v>
      </c>
      <c r="T692">
        <v>297.26678779062883</v>
      </c>
      <c r="U692">
        <v>1</v>
      </c>
      <c r="V692">
        <v>1747.8482793999319</v>
      </c>
      <c r="W692">
        <v>297.26678779062883</v>
      </c>
    </row>
    <row r="693" spans="1:23" x14ac:dyDescent="0.35">
      <c r="A693" t="s">
        <v>115</v>
      </c>
      <c r="B693" t="s">
        <v>60</v>
      </c>
      <c r="C693">
        <v>163615.79999999999</v>
      </c>
      <c r="D693">
        <v>1.7620245871757561</v>
      </c>
      <c r="E693">
        <v>0.38521248872213798</v>
      </c>
      <c r="F693">
        <v>19536.86</v>
      </c>
      <c r="G693">
        <v>296.42782514671848</v>
      </c>
      <c r="H693">
        <v>296.42782514671848</v>
      </c>
      <c r="I693">
        <v>-0.84535296626782985</v>
      </c>
      <c r="J693">
        <v>0.1556830256858408</v>
      </c>
      <c r="K693">
        <v>1.489489167327017</v>
      </c>
      <c r="L693">
        <v>46.148780716314519</v>
      </c>
      <c r="M693">
        <v>1</v>
      </c>
      <c r="N693">
        <v>296.42782514671848</v>
      </c>
      <c r="O693">
        <v>0.1556830256858408</v>
      </c>
      <c r="P693">
        <v>46.148780716314519</v>
      </c>
      <c r="Q693">
        <v>1</v>
      </c>
      <c r="R693">
        <v>0</v>
      </c>
      <c r="S693">
        <v>296.42782514671848</v>
      </c>
      <c r="T693">
        <v>46.148780716314519</v>
      </c>
      <c r="U693">
        <v>1</v>
      </c>
      <c r="V693">
        <v>296.42782514671848</v>
      </c>
      <c r="W693">
        <v>46.148780716314519</v>
      </c>
    </row>
    <row r="694" spans="1:23" x14ac:dyDescent="0.35">
      <c r="A694" t="s">
        <v>115</v>
      </c>
      <c r="B694" t="s">
        <v>61</v>
      </c>
      <c r="C694">
        <v>164141.5</v>
      </c>
      <c r="D694">
        <v>1.655442286898275</v>
      </c>
      <c r="E694">
        <v>-0.47966989604981469</v>
      </c>
      <c r="F694">
        <v>20086.099999999999</v>
      </c>
      <c r="G694">
        <v>-19.53534989586478</v>
      </c>
      <c r="H694">
        <v>-19.53534989586478</v>
      </c>
      <c r="I694">
        <v>-3.5820347274741411</v>
      </c>
      <c r="J694">
        <v>7.7330033400076659E-4</v>
      </c>
      <c r="K694">
        <v>1.7620245871757561</v>
      </c>
      <c r="L694">
        <v>-1.5106692599294079E-2</v>
      </c>
      <c r="M694">
        <v>1</v>
      </c>
      <c r="N694">
        <v>-19.53534989586478</v>
      </c>
      <c r="O694">
        <v>7.7330033400076659E-4</v>
      </c>
      <c r="P694">
        <v>-1.5106692599294079E-2</v>
      </c>
      <c r="Q694">
        <v>1</v>
      </c>
      <c r="R694">
        <v>0</v>
      </c>
      <c r="S694">
        <v>-19.53534989586478</v>
      </c>
      <c r="T694">
        <v>-1.5106692599294079E-2</v>
      </c>
      <c r="U694">
        <v>1</v>
      </c>
      <c r="V694">
        <v>-19.53534989586478</v>
      </c>
      <c r="W694">
        <v>-1.5106692599294079E-2</v>
      </c>
    </row>
    <row r="695" spans="1:23" x14ac:dyDescent="0.35">
      <c r="A695" t="s">
        <v>115</v>
      </c>
      <c r="B695" t="s">
        <v>62</v>
      </c>
      <c r="C695">
        <v>164090.6</v>
      </c>
      <c r="D695">
        <v>1.1230437013839429</v>
      </c>
      <c r="E695">
        <v>-0.30718721041192071</v>
      </c>
      <c r="F695">
        <v>14211.19</v>
      </c>
      <c r="G695">
        <v>-6368.2256188433221</v>
      </c>
      <c r="H695">
        <v>-6368.2256188433221</v>
      </c>
      <c r="I695">
        <v>-3.0362608416600971</v>
      </c>
      <c r="J695">
        <v>2.3000500795243369E-3</v>
      </c>
      <c r="K695">
        <v>1.655442286898275</v>
      </c>
      <c r="L695">
        <v>-14.647237841049501</v>
      </c>
      <c r="M695">
        <v>1</v>
      </c>
      <c r="N695">
        <v>-6368.2256188433221</v>
      </c>
      <c r="O695">
        <v>2.3000500795243369E-3</v>
      </c>
      <c r="P695">
        <v>-14.647237841049501</v>
      </c>
      <c r="Q695">
        <v>1</v>
      </c>
      <c r="R695">
        <v>0</v>
      </c>
      <c r="S695">
        <v>-6368.2256188433221</v>
      </c>
      <c r="T695">
        <v>-14.647237841049501</v>
      </c>
      <c r="U695">
        <v>1</v>
      </c>
      <c r="V695">
        <v>-6368.2256188433221</v>
      </c>
      <c r="W695">
        <v>-14.647237841049501</v>
      </c>
    </row>
    <row r="696" spans="1:23" x14ac:dyDescent="0.35">
      <c r="A696" t="s">
        <v>115</v>
      </c>
      <c r="B696" t="s">
        <v>63</v>
      </c>
      <c r="C696">
        <v>166308.9</v>
      </c>
      <c r="D696">
        <v>1.863519353555056</v>
      </c>
      <c r="E696">
        <v>-0.16967875030259091</v>
      </c>
      <c r="F696">
        <v>17252.02</v>
      </c>
      <c r="G696">
        <v>2343.4323165346868</v>
      </c>
      <c r="H696">
        <v>2343.4323165346868</v>
      </c>
      <c r="I696">
        <v>-2.6011532462013292</v>
      </c>
      <c r="J696">
        <v>5.4737285601343406E-3</v>
      </c>
      <c r="K696">
        <v>1.1230437013839429</v>
      </c>
      <c r="L696">
        <v>12.8273123997577</v>
      </c>
      <c r="M696">
        <v>1</v>
      </c>
      <c r="N696">
        <v>2343.4323165346868</v>
      </c>
      <c r="O696">
        <v>5.4737285601343406E-3</v>
      </c>
      <c r="P696">
        <v>12.8273123997577</v>
      </c>
      <c r="Q696">
        <v>1</v>
      </c>
      <c r="R696">
        <v>0</v>
      </c>
      <c r="S696">
        <v>2343.4323165346868</v>
      </c>
      <c r="T696">
        <v>12.8273123997577</v>
      </c>
      <c r="U696">
        <v>1</v>
      </c>
      <c r="V696">
        <v>2343.4323165346868</v>
      </c>
      <c r="W696">
        <v>12.8273123997577</v>
      </c>
    </row>
    <row r="697" spans="1:23" x14ac:dyDescent="0.35">
      <c r="A697" t="s">
        <v>115</v>
      </c>
      <c r="B697" t="s">
        <v>64</v>
      </c>
      <c r="C697">
        <v>166961.9</v>
      </c>
      <c r="D697">
        <v>2.0244646152942818</v>
      </c>
      <c r="E697">
        <v>-0.48317030065580407</v>
      </c>
      <c r="F697">
        <v>29838.2</v>
      </c>
      <c r="G697">
        <v>11706.8741061117</v>
      </c>
      <c r="H697">
        <v>11706.8741061117</v>
      </c>
      <c r="I697">
        <v>-3.5931107923943202</v>
      </c>
      <c r="J697">
        <v>7.5637124142968238E-4</v>
      </c>
      <c r="K697">
        <v>1.863519353555056</v>
      </c>
      <c r="L697">
        <v>8.8547429009007121</v>
      </c>
      <c r="M697">
        <v>1</v>
      </c>
      <c r="N697">
        <v>11706.8741061117</v>
      </c>
      <c r="O697">
        <v>7.5637124142968238E-4</v>
      </c>
      <c r="P697">
        <v>8.8547429009007121</v>
      </c>
      <c r="Q697">
        <v>1</v>
      </c>
      <c r="R697">
        <v>0</v>
      </c>
      <c r="S697">
        <v>11706.8741061117</v>
      </c>
      <c r="T697">
        <v>8.8547429009007121</v>
      </c>
      <c r="U697">
        <v>1</v>
      </c>
      <c r="V697">
        <v>11706.8741061117</v>
      </c>
      <c r="W697">
        <v>8.8547429009007121</v>
      </c>
    </row>
    <row r="698" spans="1:23" x14ac:dyDescent="0.35">
      <c r="A698" t="s">
        <v>115</v>
      </c>
      <c r="B698" t="s">
        <v>65</v>
      </c>
      <c r="C698">
        <v>167670.79999999999</v>
      </c>
      <c r="D698">
        <v>2.1273672515166999</v>
      </c>
      <c r="E698">
        <v>3.7289954144141373E-2</v>
      </c>
      <c r="F698">
        <v>25360.74</v>
      </c>
      <c r="G698">
        <v>-4702.6314541169268</v>
      </c>
      <c r="H698">
        <v>-4702.6314541169268</v>
      </c>
      <c r="I698">
        <v>-1.946257865543046</v>
      </c>
      <c r="J698">
        <v>1.9986374062674572E-2</v>
      </c>
      <c r="K698">
        <v>2.0244646152942818</v>
      </c>
      <c r="L698">
        <v>-93.988551320880148</v>
      </c>
      <c r="M698">
        <v>1</v>
      </c>
      <c r="N698">
        <v>-4702.6314541169268</v>
      </c>
      <c r="O698">
        <v>1.9986374062674572E-2</v>
      </c>
      <c r="P698">
        <v>-93.988551320880148</v>
      </c>
      <c r="Q698">
        <v>0</v>
      </c>
      <c r="R698">
        <v>1</v>
      </c>
      <c r="S698">
        <v>0</v>
      </c>
      <c r="T698">
        <v>0</v>
      </c>
      <c r="U698">
        <v>0</v>
      </c>
      <c r="V698">
        <v>0</v>
      </c>
      <c r="W698">
        <v>0</v>
      </c>
    </row>
    <row r="699" spans="1:23" x14ac:dyDescent="0.35">
      <c r="A699" t="s">
        <v>115</v>
      </c>
      <c r="B699" t="s">
        <v>66</v>
      </c>
      <c r="C699">
        <v>168467.1</v>
      </c>
      <c r="D699">
        <v>2.6321764192372772</v>
      </c>
      <c r="E699">
        <v>0.58473989492247136</v>
      </c>
      <c r="F699">
        <v>21280.47</v>
      </c>
      <c r="G699">
        <v>-3835.168726222837</v>
      </c>
      <c r="H699">
        <v>-3835.168726222837</v>
      </c>
      <c r="I699">
        <v>-0.21400352150693011</v>
      </c>
      <c r="J699">
        <v>0.39460233157347158</v>
      </c>
      <c r="K699">
        <v>2.1273672515166999</v>
      </c>
      <c r="L699">
        <v>-1513.366521345192</v>
      </c>
      <c r="M699">
        <v>1</v>
      </c>
      <c r="N699">
        <v>-3835.168726222837</v>
      </c>
      <c r="O699">
        <v>0.39460233157347158</v>
      </c>
      <c r="P699">
        <v>-1513.366521345192</v>
      </c>
      <c r="Q699">
        <v>0</v>
      </c>
      <c r="R699">
        <v>1</v>
      </c>
      <c r="S699">
        <v>0</v>
      </c>
      <c r="T699">
        <v>0</v>
      </c>
      <c r="U699">
        <v>0</v>
      </c>
      <c r="V699">
        <v>0</v>
      </c>
      <c r="W699">
        <v>0</v>
      </c>
    </row>
    <row r="700" spans="1:23" x14ac:dyDescent="0.35">
      <c r="A700" t="s">
        <v>115</v>
      </c>
      <c r="B700" t="s">
        <v>67</v>
      </c>
      <c r="C700">
        <v>168863.1</v>
      </c>
      <c r="D700">
        <v>1.5241424970366899</v>
      </c>
      <c r="E700">
        <v>0.57713518063228886</v>
      </c>
      <c r="F700">
        <v>18517.900000000001</v>
      </c>
      <c r="G700">
        <v>-2909.1155667876369</v>
      </c>
      <c r="H700">
        <v>-2909.1155667876369</v>
      </c>
      <c r="I700">
        <v>-0.238066542402673</v>
      </c>
      <c r="J700">
        <v>0.38316565575523709</v>
      </c>
      <c r="K700">
        <v>2.6321764192372772</v>
      </c>
      <c r="L700">
        <v>-1114.673173815954</v>
      </c>
      <c r="M700">
        <v>1</v>
      </c>
      <c r="N700">
        <v>-2909.1155667876369</v>
      </c>
      <c r="O700">
        <v>0.38316565575523709</v>
      </c>
      <c r="P700">
        <v>-1114.673173815954</v>
      </c>
      <c r="Q700">
        <v>0</v>
      </c>
      <c r="R700">
        <v>1</v>
      </c>
      <c r="S700">
        <v>0</v>
      </c>
      <c r="T700">
        <v>0</v>
      </c>
      <c r="U700">
        <v>0</v>
      </c>
      <c r="V700">
        <v>0</v>
      </c>
      <c r="W700">
        <v>0</v>
      </c>
    </row>
    <row r="701" spans="1:23" x14ac:dyDescent="0.35">
      <c r="A701" t="s">
        <v>115</v>
      </c>
      <c r="B701" t="s">
        <v>68</v>
      </c>
      <c r="C701">
        <v>169959.5</v>
      </c>
      <c r="D701">
        <v>1.7794530698163999</v>
      </c>
      <c r="E701">
        <v>0.63012629722051494</v>
      </c>
      <c r="F701">
        <v>22826.080000000002</v>
      </c>
      <c r="G701">
        <v>3842.526243353896</v>
      </c>
      <c r="H701">
        <v>3842.526243353896</v>
      </c>
      <c r="I701">
        <v>-7.0390769573522957E-2</v>
      </c>
      <c r="J701">
        <v>0.46486262964119018</v>
      </c>
      <c r="K701">
        <v>1.5241424970366899</v>
      </c>
      <c r="L701">
        <v>1786.2468539507761</v>
      </c>
      <c r="M701">
        <v>1</v>
      </c>
      <c r="N701">
        <v>3842.526243353896</v>
      </c>
      <c r="O701">
        <v>0.46486262964119018</v>
      </c>
      <c r="P701">
        <v>1786.2468539507761</v>
      </c>
      <c r="Q701">
        <v>0</v>
      </c>
      <c r="R701">
        <v>1</v>
      </c>
      <c r="S701">
        <v>0</v>
      </c>
      <c r="T701">
        <v>0</v>
      </c>
      <c r="U701">
        <v>0</v>
      </c>
      <c r="V701">
        <v>0</v>
      </c>
      <c r="W701">
        <v>0</v>
      </c>
    </row>
    <row r="702" spans="1:23" x14ac:dyDescent="0.35">
      <c r="A702" t="s">
        <v>115</v>
      </c>
      <c r="B702" t="s">
        <v>69</v>
      </c>
      <c r="C702">
        <v>171272.2</v>
      </c>
      <c r="D702">
        <v>2.1251570561688928</v>
      </c>
      <c r="E702">
        <v>0.63902327505001955</v>
      </c>
      <c r="F702">
        <v>18513.21</v>
      </c>
      <c r="G702">
        <v>-4750.2373136210626</v>
      </c>
      <c r="H702">
        <v>-4750.2373136210626</v>
      </c>
      <c r="I702">
        <v>-4.2238737130080188E-2</v>
      </c>
      <c r="J702">
        <v>0.47889318224354238</v>
      </c>
      <c r="K702">
        <v>1.7794530698163999</v>
      </c>
      <c r="L702">
        <v>-2274.8562635320068</v>
      </c>
      <c r="M702">
        <v>1</v>
      </c>
      <c r="N702">
        <v>-4750.2373136210626</v>
      </c>
      <c r="O702">
        <v>0.47889318224354238</v>
      </c>
      <c r="P702">
        <v>-2274.8562635320068</v>
      </c>
      <c r="Q702">
        <v>0</v>
      </c>
      <c r="R702">
        <v>1</v>
      </c>
      <c r="S702">
        <v>0</v>
      </c>
      <c r="T702">
        <v>0</v>
      </c>
      <c r="U702">
        <v>0</v>
      </c>
      <c r="V702">
        <v>0</v>
      </c>
      <c r="W702">
        <v>0</v>
      </c>
    </row>
    <row r="703" spans="1:23" x14ac:dyDescent="0.35">
      <c r="A703" t="s">
        <v>115</v>
      </c>
      <c r="B703" t="s">
        <v>70</v>
      </c>
      <c r="C703">
        <v>172802</v>
      </c>
      <c r="D703">
        <v>2.5405951874350472</v>
      </c>
      <c r="E703">
        <v>0.56396404964640767</v>
      </c>
      <c r="F703">
        <v>30182.29</v>
      </c>
      <c r="G703">
        <v>11282.735474875861</v>
      </c>
      <c r="H703">
        <v>11282.735474875861</v>
      </c>
      <c r="I703">
        <v>-0.27974295364444501</v>
      </c>
      <c r="J703">
        <v>0.36366641919427928</v>
      </c>
      <c r="K703">
        <v>2.1251570561688928</v>
      </c>
      <c r="L703">
        <v>4103.1520088643701</v>
      </c>
      <c r="M703">
        <v>1</v>
      </c>
      <c r="N703">
        <v>11282.735474875861</v>
      </c>
      <c r="O703">
        <v>0.36366641919427928</v>
      </c>
      <c r="P703">
        <v>4103.1520088643701</v>
      </c>
      <c r="Q703">
        <v>1</v>
      </c>
      <c r="R703">
        <v>0</v>
      </c>
      <c r="S703">
        <v>11282.735474875861</v>
      </c>
      <c r="T703">
        <v>4103.1520088643701</v>
      </c>
      <c r="U703">
        <v>1</v>
      </c>
      <c r="V703">
        <v>11282.735474875861</v>
      </c>
      <c r="W703">
        <v>4103.1520088643701</v>
      </c>
    </row>
    <row r="704" spans="1:23" x14ac:dyDescent="0.35">
      <c r="A704" t="s">
        <v>115</v>
      </c>
      <c r="B704" t="s">
        <v>71</v>
      </c>
      <c r="C704">
        <v>174189.3</v>
      </c>
      <c r="D704">
        <v>3.1054311404665098</v>
      </c>
      <c r="E704">
        <v>0.59597618021378107</v>
      </c>
      <c r="F704">
        <v>32031.3</v>
      </c>
      <c r="G704">
        <v>1702.312279079182</v>
      </c>
      <c r="H704">
        <v>1702.312279079182</v>
      </c>
      <c r="I704">
        <v>-0.17844939581093039</v>
      </c>
      <c r="J704">
        <v>0.41171048779145181</v>
      </c>
      <c r="K704">
        <v>2.5405951874350472</v>
      </c>
      <c r="L704">
        <v>700.85981879306814</v>
      </c>
      <c r="M704">
        <v>1</v>
      </c>
      <c r="N704">
        <v>1702.312279079182</v>
      </c>
      <c r="O704">
        <v>0.41171048779145181</v>
      </c>
      <c r="P704">
        <v>700.85981879306814</v>
      </c>
      <c r="Q704">
        <v>1</v>
      </c>
      <c r="R704">
        <v>0</v>
      </c>
      <c r="S704">
        <v>1702.312279079182</v>
      </c>
      <c r="T704">
        <v>700.85981879306814</v>
      </c>
      <c r="U704">
        <v>1</v>
      </c>
      <c r="V704">
        <v>1702.312279079182</v>
      </c>
      <c r="W704">
        <v>700.85981879306814</v>
      </c>
    </row>
    <row r="705" spans="1:23" x14ac:dyDescent="0.35">
      <c r="A705" t="s">
        <v>115</v>
      </c>
      <c r="B705" t="s">
        <v>72</v>
      </c>
      <c r="C705">
        <v>175222.9</v>
      </c>
      <c r="D705">
        <v>3.0498704349724259</v>
      </c>
      <c r="E705">
        <v>0.8874714005094525</v>
      </c>
      <c r="F705">
        <v>29910.11</v>
      </c>
      <c r="G705">
        <v>-1594.595393211242</v>
      </c>
      <c r="H705">
        <v>-1594.595393211242</v>
      </c>
      <c r="I705">
        <v>0.7439068307785619</v>
      </c>
      <c r="J705">
        <v>0.81574988834865148</v>
      </c>
      <c r="K705">
        <v>3.1054311404665098</v>
      </c>
      <c r="L705">
        <v>-1300.7910139733449</v>
      </c>
      <c r="M705">
        <v>1</v>
      </c>
      <c r="N705">
        <v>-1594.595393211242</v>
      </c>
      <c r="O705">
        <v>0.81574988834865148</v>
      </c>
      <c r="P705">
        <v>-1300.7910139733449</v>
      </c>
      <c r="Q705">
        <v>1</v>
      </c>
      <c r="R705">
        <v>0</v>
      </c>
      <c r="S705">
        <v>-1594.595393211242</v>
      </c>
      <c r="T705">
        <v>-1300.7910139733449</v>
      </c>
      <c r="U705">
        <v>1</v>
      </c>
      <c r="V705">
        <v>-1594.595393211242</v>
      </c>
      <c r="W705">
        <v>-1300.7910139733449</v>
      </c>
    </row>
    <row r="706" spans="1:23" x14ac:dyDescent="0.35">
      <c r="A706" t="s">
        <v>115</v>
      </c>
      <c r="B706" t="s">
        <v>73</v>
      </c>
      <c r="C706">
        <v>176115.9</v>
      </c>
      <c r="D706">
        <v>2.788819725754049</v>
      </c>
      <c r="E706">
        <v>0.88011979914587446</v>
      </c>
      <c r="F706">
        <v>16514.349999999999</v>
      </c>
      <c r="G706">
        <v>-12857.951240235971</v>
      </c>
      <c r="H706">
        <v>-12857.951240235971</v>
      </c>
      <c r="I706">
        <v>0.72064471592734047</v>
      </c>
      <c r="J706">
        <v>0.80865424793368434</v>
      </c>
      <c r="K706">
        <v>3.0498704349724259</v>
      </c>
      <c r="L706">
        <v>-10397.636890141001</v>
      </c>
      <c r="M706">
        <v>1</v>
      </c>
      <c r="N706">
        <v>-12857.951240235971</v>
      </c>
      <c r="O706">
        <v>0.80865424793368434</v>
      </c>
      <c r="P706">
        <v>-10397.636890141001</v>
      </c>
      <c r="Q706">
        <v>1</v>
      </c>
      <c r="R706">
        <v>0</v>
      </c>
      <c r="S706">
        <v>-12857.951240235971</v>
      </c>
      <c r="T706">
        <v>-10397.636890141001</v>
      </c>
      <c r="U706">
        <v>1</v>
      </c>
      <c r="V706">
        <v>-12857.951240235971</v>
      </c>
      <c r="W706">
        <v>-10397.636890141001</v>
      </c>
    </row>
    <row r="707" spans="1:23" x14ac:dyDescent="0.35">
      <c r="A707" t="s">
        <v>115</v>
      </c>
      <c r="B707" t="s">
        <v>74</v>
      </c>
      <c r="C707">
        <v>177452.3</v>
      </c>
      <c r="D707">
        <v>2.6555410029033708</v>
      </c>
      <c r="E707">
        <v>0.70764492876218699</v>
      </c>
      <c r="F707">
        <v>16325.61</v>
      </c>
      <c r="G707">
        <v>-289.78211110166382</v>
      </c>
      <c r="H707">
        <v>-289.78211110166382</v>
      </c>
      <c r="I707">
        <v>0.17489555932968739</v>
      </c>
      <c r="J707">
        <v>0.58656692482006967</v>
      </c>
      <c r="K707">
        <v>2.788819725754049</v>
      </c>
      <c r="L707">
        <v>-169.97660177677071</v>
      </c>
      <c r="M707">
        <v>1</v>
      </c>
      <c r="N707">
        <v>-289.78211110166382</v>
      </c>
      <c r="O707">
        <v>0.58656692482006967</v>
      </c>
      <c r="P707">
        <v>-169.97660177677071</v>
      </c>
      <c r="Q707">
        <v>1</v>
      </c>
      <c r="R707">
        <v>0</v>
      </c>
      <c r="S707">
        <v>-289.78211110166382</v>
      </c>
      <c r="T707">
        <v>-169.97660177677071</v>
      </c>
      <c r="U707">
        <v>1</v>
      </c>
      <c r="V707">
        <v>-289.78211110166382</v>
      </c>
      <c r="W707">
        <v>-169.97660177677071</v>
      </c>
    </row>
    <row r="708" spans="1:23" x14ac:dyDescent="0.35">
      <c r="A708" t="s">
        <v>115</v>
      </c>
      <c r="B708" t="s">
        <v>75</v>
      </c>
      <c r="C708">
        <v>178572.5</v>
      </c>
      <c r="D708">
        <v>2.4852042342116851</v>
      </c>
      <c r="E708">
        <v>0.71840204373005101</v>
      </c>
      <c r="F708">
        <v>28396.560000000001</v>
      </c>
      <c r="G708">
        <v>11273.465479390619</v>
      </c>
      <c r="H708">
        <v>11273.465479390619</v>
      </c>
      <c r="I708">
        <v>0.20893348269832571</v>
      </c>
      <c r="J708">
        <v>0.60297272092139664</v>
      </c>
      <c r="K708">
        <v>2.6555410029033708</v>
      </c>
      <c r="L708">
        <v>6797.5921543215991</v>
      </c>
      <c r="M708">
        <v>1</v>
      </c>
      <c r="N708">
        <v>11273.465479390619</v>
      </c>
      <c r="O708">
        <v>0.60297272092139664</v>
      </c>
      <c r="P708">
        <v>6797.5921543215991</v>
      </c>
      <c r="Q708">
        <v>1</v>
      </c>
      <c r="R708">
        <v>0</v>
      </c>
      <c r="S708">
        <v>11273.465479390619</v>
      </c>
      <c r="T708">
        <v>6797.5921543215991</v>
      </c>
      <c r="U708">
        <v>1</v>
      </c>
      <c r="V708">
        <v>11273.465479390619</v>
      </c>
      <c r="W708">
        <v>6797.5921543215991</v>
      </c>
    </row>
    <row r="709" spans="1:23" x14ac:dyDescent="0.35">
      <c r="A709" t="s">
        <v>115</v>
      </c>
      <c r="B709" t="s">
        <v>76</v>
      </c>
      <c r="C709">
        <v>179852.9</v>
      </c>
      <c r="D709">
        <v>2.6080416836535592</v>
      </c>
      <c r="E709">
        <v>0.64808282028799347</v>
      </c>
      <c r="F709">
        <v>13622.16</v>
      </c>
      <c r="G709">
        <v>-15104.230619776299</v>
      </c>
      <c r="H709">
        <v>-15104.230619776299</v>
      </c>
      <c r="I709">
        <v>-1.3572304960665599E-2</v>
      </c>
      <c r="J709">
        <v>0.49321426417560837</v>
      </c>
      <c r="K709">
        <v>2.4852042342116851</v>
      </c>
      <c r="L709">
        <v>-7449.6219910716609</v>
      </c>
      <c r="M709">
        <v>1</v>
      </c>
      <c r="N709">
        <v>-15104.230619776299</v>
      </c>
      <c r="O709">
        <v>0.49321426417560837</v>
      </c>
      <c r="P709">
        <v>-7449.6219910716609</v>
      </c>
      <c r="Q709">
        <v>1</v>
      </c>
      <c r="R709">
        <v>0</v>
      </c>
      <c r="S709">
        <v>-15104.230619776299</v>
      </c>
      <c r="T709">
        <v>-7449.6219910716609</v>
      </c>
      <c r="U709">
        <v>1</v>
      </c>
      <c r="V709">
        <v>-15104.230619776299</v>
      </c>
      <c r="W709">
        <v>-7449.6219910716609</v>
      </c>
    </row>
    <row r="710" spans="1:23" x14ac:dyDescent="0.35">
      <c r="A710" t="s">
        <v>115</v>
      </c>
      <c r="B710" t="s">
        <v>77</v>
      </c>
      <c r="C710">
        <v>180673.8</v>
      </c>
      <c r="D710">
        <v>2.555089435244549</v>
      </c>
      <c r="E710">
        <v>0.39332036828426359</v>
      </c>
      <c r="F710">
        <v>25653.23</v>
      </c>
      <c r="G710">
        <v>11737.80673016071</v>
      </c>
      <c r="H710">
        <v>11737.80673016071</v>
      </c>
      <c r="I710">
        <v>-0.81969781764831307</v>
      </c>
      <c r="J710">
        <v>0.1625473153628087</v>
      </c>
      <c r="K710">
        <v>2.6080416836535592</v>
      </c>
      <c r="L710">
        <v>1907.9489722351309</v>
      </c>
      <c r="M710">
        <v>1</v>
      </c>
      <c r="N710">
        <v>11737.80673016071</v>
      </c>
      <c r="O710">
        <v>0.1625473153628087</v>
      </c>
      <c r="P710">
        <v>1907.9489722351309</v>
      </c>
      <c r="Q710">
        <v>1</v>
      </c>
      <c r="R710">
        <v>0</v>
      </c>
      <c r="S710">
        <v>11737.80673016071</v>
      </c>
      <c r="T710">
        <v>1907.9489722351309</v>
      </c>
      <c r="U710">
        <v>1</v>
      </c>
      <c r="V710">
        <v>11737.80673016071</v>
      </c>
      <c r="W710">
        <v>1907.9489722351309</v>
      </c>
    </row>
    <row r="711" spans="1:23" x14ac:dyDescent="0.35">
      <c r="A711" t="s">
        <v>115</v>
      </c>
      <c r="B711" t="s">
        <v>78</v>
      </c>
      <c r="C711">
        <v>181134.2</v>
      </c>
      <c r="D711">
        <v>2.0536352595602372</v>
      </c>
      <c r="E711">
        <v>0.50393456976118467</v>
      </c>
      <c r="F711">
        <v>28710.76</v>
      </c>
      <c r="G711">
        <v>2480.1654601144551</v>
      </c>
      <c r="H711">
        <v>2480.1654601144551</v>
      </c>
      <c r="I711">
        <v>-0.46968968585810628</v>
      </c>
      <c r="J711">
        <v>0.28102572365011108</v>
      </c>
      <c r="K711">
        <v>2.555089435244549</v>
      </c>
      <c r="L711">
        <v>696.9902932006753</v>
      </c>
      <c r="M711">
        <v>1</v>
      </c>
      <c r="N711">
        <v>2480.1654601144551</v>
      </c>
      <c r="O711">
        <v>0.28102572365011108</v>
      </c>
      <c r="P711">
        <v>696.9902932006753</v>
      </c>
      <c r="Q711">
        <v>1</v>
      </c>
      <c r="R711">
        <v>0</v>
      </c>
      <c r="S711">
        <v>2480.1654601144551</v>
      </c>
      <c r="T711">
        <v>696.9902932006753</v>
      </c>
      <c r="U711">
        <v>1</v>
      </c>
      <c r="V711">
        <v>2480.1654601144551</v>
      </c>
      <c r="W711">
        <v>696.9902932006753</v>
      </c>
    </row>
    <row r="712" spans="1:23" x14ac:dyDescent="0.35">
      <c r="A712" t="s">
        <v>115</v>
      </c>
      <c r="B712" t="s">
        <v>79</v>
      </c>
      <c r="C712">
        <v>181637.1</v>
      </c>
      <c r="D712">
        <v>1.701605923293118</v>
      </c>
      <c r="E712">
        <v>0.84847497706535457</v>
      </c>
      <c r="F712">
        <v>26443.05</v>
      </c>
      <c r="G712">
        <v>-2105.371652046339</v>
      </c>
      <c r="H712">
        <v>-2105.371652046339</v>
      </c>
      <c r="I712">
        <v>0.62051340449218828</v>
      </c>
      <c r="J712">
        <v>0.77574269466127543</v>
      </c>
      <c r="K712">
        <v>2.0536352595602372</v>
      </c>
      <c r="L712">
        <v>-1633.2266786218879</v>
      </c>
      <c r="M712">
        <v>1</v>
      </c>
      <c r="N712">
        <v>-2105.371652046339</v>
      </c>
      <c r="O712">
        <v>0.77574269466127543</v>
      </c>
      <c r="P712">
        <v>-1633.2266786218879</v>
      </c>
      <c r="Q712">
        <v>0</v>
      </c>
      <c r="R712">
        <v>1</v>
      </c>
      <c r="S712">
        <v>0</v>
      </c>
      <c r="T712">
        <v>0</v>
      </c>
      <c r="U712">
        <v>0</v>
      </c>
      <c r="V712">
        <v>0</v>
      </c>
      <c r="W712">
        <v>0</v>
      </c>
    </row>
    <row r="713" spans="1:23" x14ac:dyDescent="0.35">
      <c r="A713" t="s">
        <v>115</v>
      </c>
      <c r="B713" t="s">
        <v>80</v>
      </c>
      <c r="C713">
        <v>183908</v>
      </c>
      <c r="D713">
        <v>2.2296338007434948</v>
      </c>
      <c r="E713">
        <v>0.8869726631106476</v>
      </c>
      <c r="F713">
        <v>36588.019999999997</v>
      </c>
      <c r="G713">
        <v>10374.885475181431</v>
      </c>
      <c r="H713">
        <v>10374.885475181431</v>
      </c>
      <c r="I713">
        <v>0.74232871383807097</v>
      </c>
      <c r="J713">
        <v>0.81527502721546052</v>
      </c>
      <c r="K713">
        <v>1.701605923293118</v>
      </c>
      <c r="L713">
        <v>8458.3850381358279</v>
      </c>
      <c r="M713">
        <v>1</v>
      </c>
      <c r="N713">
        <v>10374.885475181431</v>
      </c>
      <c r="O713">
        <v>0.81527502721546052</v>
      </c>
      <c r="P713">
        <v>8458.3850381358279</v>
      </c>
      <c r="Q713">
        <v>0</v>
      </c>
      <c r="R713">
        <v>1</v>
      </c>
      <c r="S713">
        <v>0</v>
      </c>
      <c r="T713">
        <v>0</v>
      </c>
      <c r="U713">
        <v>0</v>
      </c>
      <c r="V713">
        <v>0</v>
      </c>
      <c r="W713">
        <v>0</v>
      </c>
    </row>
    <row r="714" spans="1:23" x14ac:dyDescent="0.35">
      <c r="A714" t="s">
        <v>115</v>
      </c>
      <c r="B714" t="s">
        <v>81</v>
      </c>
      <c r="C714">
        <v>184731.4</v>
      </c>
      <c r="D714">
        <v>2.2209682783174931</v>
      </c>
      <c r="E714">
        <v>0.88777309684358063</v>
      </c>
      <c r="F714">
        <v>40489.040000000001</v>
      </c>
      <c r="G714">
        <v>4415.4972307526914</v>
      </c>
      <c r="H714">
        <v>4415.4972307526914</v>
      </c>
      <c r="I714">
        <v>0.74486146561627908</v>
      </c>
      <c r="J714">
        <v>0.81603668243327887</v>
      </c>
      <c r="K714">
        <v>2.2296338007434948</v>
      </c>
      <c r="L714">
        <v>3603.2077114767558</v>
      </c>
      <c r="M714">
        <v>1</v>
      </c>
      <c r="N714">
        <v>4415.4972307526914</v>
      </c>
      <c r="O714">
        <v>0.81603668243327887</v>
      </c>
      <c r="P714">
        <v>3603.2077114767558</v>
      </c>
      <c r="Q714">
        <v>0</v>
      </c>
      <c r="R714">
        <v>1</v>
      </c>
      <c r="S714">
        <v>0</v>
      </c>
      <c r="T714">
        <v>0</v>
      </c>
      <c r="U714">
        <v>0</v>
      </c>
      <c r="V714">
        <v>0</v>
      </c>
      <c r="W714">
        <v>0</v>
      </c>
    </row>
    <row r="715" spans="1:23" x14ac:dyDescent="0.35">
      <c r="A715" t="s">
        <v>115</v>
      </c>
      <c r="B715" t="s">
        <v>82</v>
      </c>
      <c r="C715">
        <v>185576</v>
      </c>
      <c r="D715">
        <v>2.422630864428275</v>
      </c>
      <c r="E715">
        <v>0.88120348536134252</v>
      </c>
      <c r="F715">
        <v>32800.980000000003</v>
      </c>
      <c r="G715">
        <v>-6497.529962925415</v>
      </c>
      <c r="H715">
        <v>-6497.529962925415</v>
      </c>
      <c r="I715">
        <v>0.72407374206194497</v>
      </c>
      <c r="J715">
        <v>0.8097131662515743</v>
      </c>
      <c r="K715">
        <v>2.2209682783174931</v>
      </c>
      <c r="L715">
        <v>-5261.1355590948124</v>
      </c>
      <c r="M715">
        <v>1</v>
      </c>
      <c r="N715">
        <v>-6497.529962925415</v>
      </c>
      <c r="O715">
        <v>0.8097131662515743</v>
      </c>
      <c r="P715">
        <v>-5261.1355590948124</v>
      </c>
      <c r="Q715">
        <v>1</v>
      </c>
      <c r="R715">
        <v>0</v>
      </c>
      <c r="S715">
        <v>-6497.529962925415</v>
      </c>
      <c r="T715">
        <v>-5261.1355590948124</v>
      </c>
      <c r="U715">
        <v>1</v>
      </c>
      <c r="V715">
        <v>-6497.529962925415</v>
      </c>
      <c r="W715">
        <v>-5261.1355590948124</v>
      </c>
    </row>
    <row r="716" spans="1:23" x14ac:dyDescent="0.35">
      <c r="A716" t="s">
        <v>115</v>
      </c>
      <c r="B716" t="s">
        <v>83</v>
      </c>
      <c r="C716">
        <v>185680.3</v>
      </c>
      <c r="D716">
        <v>2.2015637191807009</v>
      </c>
      <c r="E716">
        <v>0.85543398745287791</v>
      </c>
      <c r="F716">
        <v>52716.26</v>
      </c>
      <c r="G716">
        <v>21002.415296564999</v>
      </c>
      <c r="H716">
        <v>21002.415296564999</v>
      </c>
      <c r="I716">
        <v>0.6425332734811976</v>
      </c>
      <c r="J716">
        <v>0.78331098054322645</v>
      </c>
      <c r="K716">
        <v>2.422630864428275</v>
      </c>
      <c r="L716">
        <v>16451.422519728389</v>
      </c>
      <c r="M716">
        <v>1</v>
      </c>
      <c r="N716">
        <v>21002.415296564999</v>
      </c>
      <c r="O716">
        <v>0.78331098054322645</v>
      </c>
      <c r="P716">
        <v>16451.422519728389</v>
      </c>
      <c r="Q716">
        <v>1</v>
      </c>
      <c r="R716">
        <v>0</v>
      </c>
      <c r="S716">
        <v>21002.415296564999</v>
      </c>
      <c r="T716">
        <v>16451.422519728389</v>
      </c>
      <c r="U716">
        <v>1</v>
      </c>
      <c r="V716">
        <v>21002.415296564999</v>
      </c>
      <c r="W716">
        <v>16451.422519728389</v>
      </c>
    </row>
    <row r="717" spans="1:23" x14ac:dyDescent="0.35">
      <c r="A717" t="s">
        <v>115</v>
      </c>
      <c r="B717" t="s">
        <v>84</v>
      </c>
      <c r="C717">
        <v>183729.1</v>
      </c>
      <c r="D717">
        <v>-9.732424400104249E-2</v>
      </c>
      <c r="E717">
        <v>0.91956876946936317</v>
      </c>
      <c r="F717">
        <v>55684.71</v>
      </c>
      <c r="G717">
        <v>4447.7439987703037</v>
      </c>
      <c r="H717">
        <v>4447.7439987703037</v>
      </c>
      <c r="I717">
        <v>0.84547010199544337</v>
      </c>
      <c r="J717">
        <v>0.84434776583407822</v>
      </c>
      <c r="K717">
        <v>2.2015637191807009</v>
      </c>
      <c r="L717">
        <v>3755.4427083636351</v>
      </c>
      <c r="M717">
        <v>1</v>
      </c>
      <c r="N717">
        <v>4447.7439987703037</v>
      </c>
      <c r="O717">
        <v>0.84434776583407822</v>
      </c>
      <c r="P717">
        <v>3755.4427083636351</v>
      </c>
      <c r="Q717">
        <v>0</v>
      </c>
      <c r="R717">
        <v>1</v>
      </c>
      <c r="S717">
        <v>0</v>
      </c>
      <c r="T717">
        <v>0</v>
      </c>
      <c r="U717">
        <v>0</v>
      </c>
      <c r="V717">
        <v>0</v>
      </c>
      <c r="W717">
        <v>0</v>
      </c>
    </row>
    <row r="718" spans="1:23" x14ac:dyDescent="0.35">
      <c r="A718" t="s">
        <v>115</v>
      </c>
      <c r="B718" t="s">
        <v>85</v>
      </c>
      <c r="C718">
        <v>168417</v>
      </c>
      <c r="D718">
        <v>-9.2459831338225715</v>
      </c>
      <c r="E718">
        <v>0.9652747387311339</v>
      </c>
      <c r="F718">
        <v>28914.37</v>
      </c>
      <c r="G718">
        <v>-24149.360667720372</v>
      </c>
      <c r="H718">
        <v>-24149.360667720372</v>
      </c>
      <c r="I718">
        <v>0.99009403544499019</v>
      </c>
      <c r="J718">
        <v>0.87870120914595218</v>
      </c>
      <c r="K718">
        <v>-9.732424400104249E-2</v>
      </c>
      <c r="L718">
        <v>-21220.072418827589</v>
      </c>
      <c r="M718">
        <v>1</v>
      </c>
      <c r="N718">
        <v>-24149.360667720372</v>
      </c>
      <c r="O718">
        <v>0.87870120914595218</v>
      </c>
      <c r="P718">
        <v>-21220.072418827589</v>
      </c>
      <c r="Q718">
        <v>1</v>
      </c>
      <c r="R718">
        <v>0</v>
      </c>
      <c r="S718">
        <v>-24149.360667720372</v>
      </c>
      <c r="T718">
        <v>-21220.072418827589</v>
      </c>
      <c r="U718">
        <v>1</v>
      </c>
      <c r="V718">
        <v>-24149.360667720372</v>
      </c>
      <c r="W718">
        <v>-21220.072418827589</v>
      </c>
    </row>
    <row r="719" spans="1:23" x14ac:dyDescent="0.35">
      <c r="A719" t="s">
        <v>115</v>
      </c>
      <c r="B719" t="s">
        <v>86</v>
      </c>
      <c r="C719">
        <v>179415.4</v>
      </c>
      <c r="D719">
        <v>-3.3760714010923571</v>
      </c>
      <c r="E719">
        <v>0.94534042086754366</v>
      </c>
      <c r="F719">
        <v>27497.73</v>
      </c>
      <c r="G719">
        <v>298.34674216415812</v>
      </c>
      <c r="H719">
        <v>298.34674216415812</v>
      </c>
      <c r="I719">
        <v>0.92701738470043726</v>
      </c>
      <c r="J719">
        <v>0.86460013552184545</v>
      </c>
      <c r="K719">
        <v>-9.2459831338225715</v>
      </c>
      <c r="L719">
        <v>257.95063370763222</v>
      </c>
      <c r="M719">
        <v>1</v>
      </c>
      <c r="N719">
        <v>298.34674216415812</v>
      </c>
      <c r="O719">
        <v>0.86460013552184545</v>
      </c>
      <c r="P719">
        <v>257.95063370763222</v>
      </c>
      <c r="Q719">
        <v>1</v>
      </c>
      <c r="R719">
        <v>0</v>
      </c>
      <c r="S719">
        <v>298.34674216415812</v>
      </c>
      <c r="T719">
        <v>257.95063370763222</v>
      </c>
      <c r="U719">
        <v>1</v>
      </c>
      <c r="V719">
        <v>298.34674216415812</v>
      </c>
      <c r="W719">
        <v>257.95063370763222</v>
      </c>
    </row>
    <row r="720" spans="1:23" x14ac:dyDescent="0.35">
      <c r="A720" t="s">
        <v>115</v>
      </c>
      <c r="B720" t="s">
        <v>87</v>
      </c>
      <c r="C720">
        <v>180005.6</v>
      </c>
      <c r="D720">
        <v>-3.1038416130390671</v>
      </c>
      <c r="E720">
        <v>0.95278787121667763</v>
      </c>
      <c r="F720">
        <v>22319.62</v>
      </c>
      <c r="G720">
        <v>-4896.0136572600422</v>
      </c>
      <c r="H720">
        <v>-4896.0136572600422</v>
      </c>
      <c r="I720">
        <v>0.95058278723009859</v>
      </c>
      <c r="J720">
        <v>0.87002338879069985</v>
      </c>
      <c r="K720">
        <v>-3.3760714010923571</v>
      </c>
      <c r="L720">
        <v>-4259.6463936549299</v>
      </c>
      <c r="M720">
        <v>1</v>
      </c>
      <c r="N720">
        <v>-4896.0136572600422</v>
      </c>
      <c r="O720">
        <v>0.87002338879069985</v>
      </c>
      <c r="P720">
        <v>-4259.6463936549299</v>
      </c>
      <c r="Q720">
        <v>1</v>
      </c>
      <c r="R720">
        <v>0</v>
      </c>
      <c r="S720">
        <v>-4896.0136572600422</v>
      </c>
      <c r="T720">
        <v>-4259.6463936549299</v>
      </c>
      <c r="U720">
        <v>1</v>
      </c>
      <c r="V720">
        <v>-4896.0136572600422</v>
      </c>
      <c r="W720">
        <v>-4259.6463936549299</v>
      </c>
    </row>
    <row r="721" spans="1:23" x14ac:dyDescent="0.35">
      <c r="A721" t="s">
        <v>115</v>
      </c>
      <c r="B721" t="s">
        <v>88</v>
      </c>
      <c r="C721">
        <v>181867.7</v>
      </c>
      <c r="D721">
        <v>-1.0182890464109799</v>
      </c>
      <c r="E721">
        <v>0.92189000686713862</v>
      </c>
      <c r="F721">
        <v>11888.73</v>
      </c>
      <c r="G721">
        <v>-10426.43013953445</v>
      </c>
      <c r="H721">
        <v>-10426.43013953445</v>
      </c>
      <c r="I721">
        <v>0.85281501751432875</v>
      </c>
      <c r="J721">
        <v>0.84626862022789384</v>
      </c>
      <c r="K721">
        <v>-3.1038416130390671</v>
      </c>
      <c r="L721">
        <v>-8823.560648086348</v>
      </c>
      <c r="M721">
        <v>1</v>
      </c>
      <c r="N721">
        <v>-10426.43013953445</v>
      </c>
      <c r="O721">
        <v>0.84626862022789384</v>
      </c>
      <c r="P721">
        <v>-8823.560648086348</v>
      </c>
      <c r="Q721">
        <v>1</v>
      </c>
      <c r="R721">
        <v>0</v>
      </c>
      <c r="S721">
        <v>-10426.43013953445</v>
      </c>
      <c r="T721">
        <v>-8823.560648086348</v>
      </c>
      <c r="U721">
        <v>1</v>
      </c>
      <c r="V721">
        <v>-10426.43013953445</v>
      </c>
      <c r="W721">
        <v>-8823.560648086348</v>
      </c>
    </row>
    <row r="722" spans="1:23" x14ac:dyDescent="0.35">
      <c r="A722" t="s">
        <v>115</v>
      </c>
      <c r="B722" t="s">
        <v>89</v>
      </c>
      <c r="C722">
        <v>188981.5</v>
      </c>
      <c r="D722">
        <v>11.52060798389758</v>
      </c>
      <c r="E722">
        <v>0.92166053839860596</v>
      </c>
      <c r="F722">
        <v>18072.810000000001</v>
      </c>
      <c r="G722">
        <v>5509.7133275447604</v>
      </c>
      <c r="H722">
        <v>5509.7133275447604</v>
      </c>
      <c r="I722">
        <v>0.85208892783593759</v>
      </c>
      <c r="J722">
        <v>0.84607959952126888</v>
      </c>
      <c r="K722">
        <v>-1.0182890464109799</v>
      </c>
      <c r="L722">
        <v>4661.6560456460666</v>
      </c>
      <c r="M722">
        <v>1</v>
      </c>
      <c r="N722">
        <v>5509.7133275447604</v>
      </c>
      <c r="O722">
        <v>0.84607959952126888</v>
      </c>
      <c r="P722">
        <v>4661.6560456460666</v>
      </c>
      <c r="Q722">
        <v>1</v>
      </c>
      <c r="R722">
        <v>0</v>
      </c>
      <c r="S722">
        <v>5509.7133275447604</v>
      </c>
      <c r="T722">
        <v>4661.6560456460666</v>
      </c>
      <c r="U722">
        <v>1</v>
      </c>
      <c r="V722">
        <v>5509.7133275447604</v>
      </c>
      <c r="W722">
        <v>4661.6560456460666</v>
      </c>
    </row>
    <row r="723" spans="1:23" x14ac:dyDescent="0.35">
      <c r="A723" t="s">
        <v>115</v>
      </c>
      <c r="B723" t="s">
        <v>90</v>
      </c>
      <c r="C723">
        <v>192381.9</v>
      </c>
      <c r="D723">
        <v>6.9778671327169954</v>
      </c>
      <c r="E723">
        <v>0.85416351122823841</v>
      </c>
      <c r="F723">
        <v>21508.560000000001</v>
      </c>
      <c r="G723">
        <v>2469.4532050039338</v>
      </c>
      <c r="H723">
        <v>2469.4532050039338</v>
      </c>
      <c r="I723">
        <v>0.63851320188159633</v>
      </c>
      <c r="J723">
        <v>0.78194317944310876</v>
      </c>
      <c r="K723">
        <v>11.52060798389758</v>
      </c>
      <c r="L723">
        <v>1930.972090606751</v>
      </c>
      <c r="M723">
        <v>1</v>
      </c>
      <c r="N723">
        <v>2469.4532050039338</v>
      </c>
      <c r="O723">
        <v>0.78194317944310876</v>
      </c>
      <c r="P723">
        <v>1930.972090606751</v>
      </c>
      <c r="Q723">
        <v>1</v>
      </c>
      <c r="R723">
        <v>0</v>
      </c>
      <c r="S723">
        <v>2469.4532050039338</v>
      </c>
      <c r="T723">
        <v>1930.972090606751</v>
      </c>
      <c r="U723">
        <v>1</v>
      </c>
      <c r="V723">
        <v>2469.4532050039338</v>
      </c>
      <c r="W723">
        <v>1930.972090606751</v>
      </c>
    </row>
    <row r="724" spans="1:23" x14ac:dyDescent="0.35">
      <c r="A724" t="s">
        <v>115</v>
      </c>
      <c r="B724" t="s">
        <v>91</v>
      </c>
      <c r="C724">
        <v>192486.2</v>
      </c>
      <c r="D724">
        <v>6.7036501329039861</v>
      </c>
      <c r="E724">
        <v>0.83958993849604324</v>
      </c>
      <c r="F724">
        <v>19802.650000000001</v>
      </c>
      <c r="G724">
        <v>-2218.2724663803642</v>
      </c>
      <c r="H724">
        <v>-2218.2724663803642</v>
      </c>
      <c r="I724">
        <v>0.59239915054462944</v>
      </c>
      <c r="J724">
        <v>0.76580945400066935</v>
      </c>
      <c r="K724">
        <v>6.9778671327169954</v>
      </c>
      <c r="L724">
        <v>-1698.774026303465</v>
      </c>
      <c r="M724">
        <v>1</v>
      </c>
      <c r="N724">
        <v>-2218.2724663803642</v>
      </c>
      <c r="O724">
        <v>0.76580945400066935</v>
      </c>
      <c r="P724">
        <v>-1698.774026303465</v>
      </c>
      <c r="Q724">
        <v>1</v>
      </c>
      <c r="R724">
        <v>0</v>
      </c>
      <c r="S724">
        <v>-2218.2724663803642</v>
      </c>
      <c r="T724">
        <v>-1698.774026303465</v>
      </c>
      <c r="U724">
        <v>1</v>
      </c>
      <c r="V724">
        <v>-2218.2724663803642</v>
      </c>
      <c r="W724">
        <v>-1698.774026303465</v>
      </c>
    </row>
    <row r="725" spans="1:23" x14ac:dyDescent="0.35">
      <c r="A725" t="s">
        <v>115</v>
      </c>
      <c r="B725" t="s">
        <v>92</v>
      </c>
      <c r="C725">
        <v>194964.8</v>
      </c>
      <c r="D725">
        <v>6.9539529785650727</v>
      </c>
      <c r="E725">
        <v>0.76347766085443414</v>
      </c>
      <c r="F725">
        <v>26455.02</v>
      </c>
      <c r="G725">
        <v>6249.2545952329347</v>
      </c>
      <c r="H725">
        <v>6249.2545952329347</v>
      </c>
      <c r="I725">
        <v>0.35156284066813148</v>
      </c>
      <c r="J725">
        <v>0.66888041127297715</v>
      </c>
      <c r="K725">
        <v>6.7036501329039861</v>
      </c>
      <c r="L725">
        <v>4180.0039838089479</v>
      </c>
      <c r="M725">
        <v>1</v>
      </c>
      <c r="N725">
        <v>6249.2545952329347</v>
      </c>
      <c r="O725">
        <v>0.66888041127297715</v>
      </c>
      <c r="P725">
        <v>4180.0039838089479</v>
      </c>
      <c r="Q725">
        <v>0</v>
      </c>
      <c r="R725">
        <v>1</v>
      </c>
      <c r="S725">
        <v>0</v>
      </c>
      <c r="T725">
        <v>0</v>
      </c>
      <c r="U725">
        <v>0</v>
      </c>
      <c r="V725">
        <v>0</v>
      </c>
      <c r="W725">
        <v>0</v>
      </c>
    </row>
    <row r="726" spans="1:23" x14ac:dyDescent="0.35">
      <c r="A726" t="s">
        <v>115</v>
      </c>
      <c r="B726" t="s">
        <v>93</v>
      </c>
      <c r="C726">
        <v>199547.3</v>
      </c>
      <c r="D726">
        <v>5.4402174288860916</v>
      </c>
      <c r="E726">
        <v>0.78718276911479534</v>
      </c>
      <c r="F726">
        <v>29343.64</v>
      </c>
      <c r="G726">
        <v>2660.8418006622051</v>
      </c>
      <c r="H726">
        <v>2660.8418006622051</v>
      </c>
      <c r="I726">
        <v>0.42657111759200139</v>
      </c>
      <c r="J726">
        <v>0.70122588231484595</v>
      </c>
      <c r="K726">
        <v>6.9539529785650727</v>
      </c>
      <c r="L726">
        <v>1865.851139369578</v>
      </c>
      <c r="M726">
        <v>1</v>
      </c>
      <c r="N726">
        <v>2660.8418006622051</v>
      </c>
      <c r="O726">
        <v>0.70122588231484595</v>
      </c>
      <c r="P726">
        <v>1865.851139369578</v>
      </c>
      <c r="Q726">
        <v>0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</row>
    <row r="727" spans="1:23" x14ac:dyDescent="0.35">
      <c r="A727" t="s">
        <v>115</v>
      </c>
      <c r="B727" t="s">
        <v>94</v>
      </c>
      <c r="C727">
        <v>199709.3</v>
      </c>
      <c r="D727">
        <v>3.738035022999413</v>
      </c>
      <c r="E727">
        <v>0.86800847072198384</v>
      </c>
      <c r="F727">
        <v>24504.76</v>
      </c>
      <c r="G727">
        <v>-4610.2754712220849</v>
      </c>
      <c r="H727">
        <v>-4610.2754712220849</v>
      </c>
      <c r="I727">
        <v>0.68232175758615454</v>
      </c>
      <c r="J727">
        <v>0.79651335419773583</v>
      </c>
      <c r="K727">
        <v>5.4402174288860916</v>
      </c>
      <c r="L727">
        <v>-3672.14597935865</v>
      </c>
      <c r="M727">
        <v>1</v>
      </c>
      <c r="N727">
        <v>-4610.2754712220849</v>
      </c>
      <c r="O727">
        <v>0.79651335419773583</v>
      </c>
      <c r="P727">
        <v>-3672.14597935865</v>
      </c>
      <c r="Q727">
        <v>0</v>
      </c>
      <c r="R727">
        <v>1</v>
      </c>
      <c r="S727">
        <v>0</v>
      </c>
      <c r="T727">
        <v>0</v>
      </c>
      <c r="U727">
        <v>0</v>
      </c>
      <c r="V727">
        <v>0</v>
      </c>
      <c r="W727">
        <v>0</v>
      </c>
    </row>
    <row r="728" spans="1:23" x14ac:dyDescent="0.35">
      <c r="A728" t="s">
        <v>115</v>
      </c>
      <c r="B728" t="s">
        <v>95</v>
      </c>
      <c r="C728">
        <v>199363.3</v>
      </c>
      <c r="D728">
        <v>3.5104325585170981</v>
      </c>
      <c r="E728">
        <v>0.83657945448333715</v>
      </c>
      <c r="F728">
        <v>26500.43</v>
      </c>
      <c r="G728">
        <v>2181.4839460196272</v>
      </c>
      <c r="H728">
        <v>2181.4839460196272</v>
      </c>
      <c r="I728">
        <v>0.58287330421565342</v>
      </c>
      <c r="J728">
        <v>0.76237533489524667</v>
      </c>
      <c r="K728">
        <v>3.738035022999413</v>
      </c>
      <c r="L728">
        <v>1663.109553915318</v>
      </c>
      <c r="M728">
        <v>1</v>
      </c>
      <c r="N728">
        <v>2181.4839460196272</v>
      </c>
      <c r="O728">
        <v>0.76237533489524667</v>
      </c>
      <c r="P728">
        <v>1663.109553915318</v>
      </c>
      <c r="Q728">
        <v>0</v>
      </c>
      <c r="R728">
        <v>1</v>
      </c>
      <c r="S728">
        <v>0</v>
      </c>
      <c r="T728">
        <v>0</v>
      </c>
      <c r="U728">
        <v>0</v>
      </c>
      <c r="V728">
        <v>0</v>
      </c>
      <c r="W728">
        <v>0</v>
      </c>
    </row>
    <row r="729" spans="1:23" x14ac:dyDescent="0.35">
      <c r="A729" t="s">
        <v>115</v>
      </c>
      <c r="B729" t="s">
        <v>96</v>
      </c>
      <c r="C729">
        <v>198442.4</v>
      </c>
      <c r="D729">
        <v>1.7679852246697729</v>
      </c>
      <c r="E729">
        <v>0.86968145448314638</v>
      </c>
      <c r="F729">
        <v>26400.05</v>
      </c>
      <c r="G729">
        <v>-84.520772908697836</v>
      </c>
      <c r="H729">
        <v>-84.520772908697836</v>
      </c>
      <c r="I729">
        <v>0.6876154532684583</v>
      </c>
      <c r="J729">
        <v>0.79822397067626205</v>
      </c>
      <c r="K729">
        <v>3.5104325585170981</v>
      </c>
      <c r="L729">
        <v>-67.466506955807432</v>
      </c>
      <c r="M729">
        <v>1</v>
      </c>
      <c r="N729">
        <v>-84.520772908697836</v>
      </c>
      <c r="O729">
        <v>0.79822397067626205</v>
      </c>
      <c r="P729">
        <v>-67.466506955807432</v>
      </c>
      <c r="Q729">
        <v>0</v>
      </c>
      <c r="R729">
        <v>1</v>
      </c>
      <c r="S729">
        <v>0</v>
      </c>
      <c r="T729">
        <v>0</v>
      </c>
      <c r="U729">
        <v>0</v>
      </c>
      <c r="V729">
        <v>0</v>
      </c>
      <c r="W729">
        <v>0</v>
      </c>
    </row>
    <row r="730" spans="1:23" x14ac:dyDescent="0.35">
      <c r="A730" t="s">
        <v>115</v>
      </c>
      <c r="B730" t="s">
        <v>97</v>
      </c>
      <c r="C730">
        <v>197554.6</v>
      </c>
      <c r="D730">
        <v>-1.003629912916306</v>
      </c>
      <c r="E730">
        <v>0.85708525722754814</v>
      </c>
      <c r="F730">
        <v>30702.400000000001</v>
      </c>
      <c r="G730">
        <v>4416.8820192602216</v>
      </c>
      <c r="H730">
        <v>4416.8820192602216</v>
      </c>
      <c r="I730">
        <v>0.64775826124223612</v>
      </c>
      <c r="J730">
        <v>0.78507945414762736</v>
      </c>
      <c r="K730">
        <v>1.7679852246697729</v>
      </c>
      <c r="L730">
        <v>3467.603324715285</v>
      </c>
      <c r="M730">
        <v>1</v>
      </c>
      <c r="N730">
        <v>4416.8820192602216</v>
      </c>
      <c r="O730">
        <v>0.78507945414762736</v>
      </c>
      <c r="P730">
        <v>3467.603324715285</v>
      </c>
      <c r="Q730">
        <v>1</v>
      </c>
      <c r="R730">
        <v>0</v>
      </c>
      <c r="S730">
        <v>4416.8820192602216</v>
      </c>
      <c r="T730">
        <v>3467.603324715285</v>
      </c>
      <c r="U730">
        <v>1</v>
      </c>
      <c r="V730">
        <v>4416.8820192602216</v>
      </c>
      <c r="W730">
        <v>3467.603324715285</v>
      </c>
    </row>
    <row r="731" spans="1:23" x14ac:dyDescent="0.35">
      <c r="A731" t="s">
        <v>115</v>
      </c>
      <c r="B731" t="s">
        <v>98</v>
      </c>
      <c r="C731">
        <v>196238.5</v>
      </c>
      <c r="D731">
        <v>-1.753205297277892</v>
      </c>
      <c r="E731">
        <v>0.91298844963183057</v>
      </c>
      <c r="F731">
        <v>17905.28</v>
      </c>
      <c r="G731">
        <v>-12517.608803376361</v>
      </c>
      <c r="H731">
        <v>-12517.608803376361</v>
      </c>
      <c r="I731">
        <v>0.82464849480427849</v>
      </c>
      <c r="J731">
        <v>0.8387960139232985</v>
      </c>
      <c r="K731">
        <v>-1.003629912916306</v>
      </c>
      <c r="L731">
        <v>-10499.72036812328</v>
      </c>
      <c r="M731">
        <v>1</v>
      </c>
      <c r="N731">
        <v>-12517.608803376361</v>
      </c>
      <c r="O731">
        <v>0.8387960139232985</v>
      </c>
      <c r="P731">
        <v>-10499.72036812328</v>
      </c>
      <c r="Q731">
        <v>1</v>
      </c>
      <c r="R731">
        <v>0</v>
      </c>
      <c r="S731">
        <v>-12517.608803376361</v>
      </c>
      <c r="T731">
        <v>-10499.72036812328</v>
      </c>
      <c r="U731">
        <v>1</v>
      </c>
      <c r="V731">
        <v>-12517.608803376361</v>
      </c>
      <c r="W731">
        <v>-10499.72036812328</v>
      </c>
    </row>
    <row r="732" spans="1:23" x14ac:dyDescent="0.35">
      <c r="A732" t="s">
        <v>115</v>
      </c>
      <c r="B732" t="s">
        <v>99</v>
      </c>
      <c r="C732">
        <v>196722.7</v>
      </c>
      <c r="D732">
        <v>-1.333366552634222</v>
      </c>
      <c r="E732">
        <v>0.93552057379999853</v>
      </c>
      <c r="F732">
        <v>16655.52</v>
      </c>
      <c r="G732">
        <v>-1255.046474869388</v>
      </c>
      <c r="H732">
        <v>-1255.046474869388</v>
      </c>
      <c r="I732">
        <v>0.8959451870921209</v>
      </c>
      <c r="J732">
        <v>0.85715888557178532</v>
      </c>
      <c r="K732">
        <v>-1.753205297277892</v>
      </c>
      <c r="L732">
        <v>-1075.7742377398431</v>
      </c>
      <c r="M732">
        <v>1</v>
      </c>
      <c r="N732">
        <v>-1255.046474869388</v>
      </c>
      <c r="O732">
        <v>0.85715888557178532</v>
      </c>
      <c r="P732">
        <v>-1075.7742377398431</v>
      </c>
      <c r="Q732">
        <v>1</v>
      </c>
      <c r="R732">
        <v>0</v>
      </c>
      <c r="S732">
        <v>-1255.046474869388</v>
      </c>
      <c r="T732">
        <v>-1075.7742377398431</v>
      </c>
      <c r="U732">
        <v>1</v>
      </c>
      <c r="V732">
        <v>-1255.046474869388</v>
      </c>
      <c r="W732">
        <v>-1075.7742377398431</v>
      </c>
    </row>
    <row r="733" spans="1:23" x14ac:dyDescent="0.35">
      <c r="A733" t="s">
        <v>115</v>
      </c>
      <c r="B733" t="s">
        <v>100</v>
      </c>
      <c r="C733">
        <v>197334.9</v>
      </c>
      <c r="D733">
        <v>-0.55965963219616932</v>
      </c>
      <c r="E733">
        <v>0.92593654347977428</v>
      </c>
      <c r="F733">
        <v>16042.91</v>
      </c>
      <c r="G733">
        <v>-1325.5086914047929</v>
      </c>
      <c r="H733">
        <v>-1325.5086914047929</v>
      </c>
      <c r="I733">
        <v>0.86561916653948612</v>
      </c>
      <c r="J733">
        <v>0.84957074810085198</v>
      </c>
      <c r="K733">
        <v>-1.333366552634222</v>
      </c>
      <c r="L733">
        <v>-1126.1134105709521</v>
      </c>
      <c r="M733">
        <v>1</v>
      </c>
      <c r="N733">
        <v>-1325.5086914047929</v>
      </c>
      <c r="O733">
        <v>0.84957074810085198</v>
      </c>
      <c r="P733">
        <v>-1126.1134105709521</v>
      </c>
      <c r="Q733">
        <v>1</v>
      </c>
      <c r="R733">
        <v>0</v>
      </c>
      <c r="S733">
        <v>-1325.5086914047929</v>
      </c>
      <c r="T733">
        <v>-1126.1134105709521</v>
      </c>
      <c r="U733">
        <v>1</v>
      </c>
      <c r="V733">
        <v>-1325.5086914047929</v>
      </c>
      <c r="W733">
        <v>-1126.1134105709521</v>
      </c>
    </row>
    <row r="734" spans="1:23" x14ac:dyDescent="0.35">
      <c r="A734" t="s">
        <v>115</v>
      </c>
      <c r="B734" t="s">
        <v>101</v>
      </c>
      <c r="C734">
        <v>198974.9</v>
      </c>
      <c r="D734">
        <v>0.7163684285541686</v>
      </c>
      <c r="E734">
        <v>0.88736272980224051</v>
      </c>
      <c r="F734">
        <v>15096.69</v>
      </c>
      <c r="G734">
        <v>-1747.62351995877</v>
      </c>
      <c r="H734">
        <v>-1747.62351995877</v>
      </c>
      <c r="I734">
        <v>0.74356297229833301</v>
      </c>
      <c r="J734">
        <v>0.81564650066234856</v>
      </c>
      <c r="K734">
        <v>-0.55965963219616932</v>
      </c>
      <c r="L734">
        <v>-1425.4430085295869</v>
      </c>
      <c r="M734">
        <v>1</v>
      </c>
      <c r="N734">
        <v>-1747.62351995877</v>
      </c>
      <c r="O734">
        <v>0.81564650066234856</v>
      </c>
      <c r="P734">
        <v>-1425.4430085295869</v>
      </c>
      <c r="Q734">
        <v>1</v>
      </c>
      <c r="R734">
        <v>0</v>
      </c>
      <c r="S734">
        <v>-1747.62351995877</v>
      </c>
      <c r="T734">
        <v>-1425.4430085295869</v>
      </c>
      <c r="U734">
        <v>1</v>
      </c>
      <c r="V734">
        <v>-1747.62351995877</v>
      </c>
      <c r="W734">
        <v>-1425.4430085295869</v>
      </c>
    </row>
    <row r="735" spans="1:23" x14ac:dyDescent="0.35">
      <c r="A735" t="s">
        <v>115</v>
      </c>
      <c r="B735" t="s">
        <v>102</v>
      </c>
      <c r="C735">
        <v>200181.6</v>
      </c>
      <c r="D735">
        <v>1.9894198345974039</v>
      </c>
      <c r="E735">
        <v>0.88392471214761226</v>
      </c>
      <c r="F735">
        <v>19263.25</v>
      </c>
      <c r="G735">
        <v>3296.2288795207619</v>
      </c>
      <c r="H735">
        <v>3296.2288795207619</v>
      </c>
      <c r="I735">
        <v>0.73268431367863263</v>
      </c>
      <c r="J735">
        <v>0.81235241934798841</v>
      </c>
      <c r="K735">
        <v>0.7163684285541686</v>
      </c>
      <c r="L735">
        <v>2677.6995050034002</v>
      </c>
      <c r="M735">
        <v>1</v>
      </c>
      <c r="N735">
        <v>3296.2288795207619</v>
      </c>
      <c r="O735">
        <v>0.81235241934798841</v>
      </c>
      <c r="P735">
        <v>2677.6995050034002</v>
      </c>
      <c r="Q735">
        <v>1</v>
      </c>
      <c r="R735">
        <v>0</v>
      </c>
      <c r="S735">
        <v>3296.2288795207619</v>
      </c>
      <c r="T735">
        <v>2677.6995050034002</v>
      </c>
      <c r="U735">
        <v>1</v>
      </c>
      <c r="V735">
        <v>3296.2288795207619</v>
      </c>
      <c r="W735">
        <v>2677.6995050034002</v>
      </c>
    </row>
    <row r="736" spans="1:23" x14ac:dyDescent="0.35">
      <c r="A736" t="s">
        <v>115</v>
      </c>
      <c r="B736" t="s">
        <v>103</v>
      </c>
      <c r="C736">
        <v>200863.4</v>
      </c>
      <c r="D736">
        <v>2.0829952129663889</v>
      </c>
      <c r="E736">
        <v>0.92377024581484202</v>
      </c>
      <c r="F736">
        <v>26370.25</v>
      </c>
      <c r="G736">
        <v>6352.7743362205329</v>
      </c>
      <c r="H736">
        <v>6352.7743362205329</v>
      </c>
      <c r="I736">
        <v>0.85876451507086227</v>
      </c>
      <c r="J736">
        <v>0.84781028596559871</v>
      </c>
      <c r="K736">
        <v>1.9894198345974039</v>
      </c>
      <c r="L736">
        <v>5385.9474266660463</v>
      </c>
      <c r="M736">
        <v>1</v>
      </c>
      <c r="N736">
        <v>6352.7743362205329</v>
      </c>
      <c r="O736">
        <v>0.84781028596559871</v>
      </c>
      <c r="P736">
        <v>5385.9474266660463</v>
      </c>
      <c r="Q736">
        <v>1</v>
      </c>
      <c r="R736">
        <v>0</v>
      </c>
      <c r="S736">
        <v>6352.7743362205329</v>
      </c>
      <c r="T736">
        <v>5385.9474266660463</v>
      </c>
      <c r="U736">
        <v>1</v>
      </c>
      <c r="V736">
        <v>6352.7743362205329</v>
      </c>
      <c r="W736">
        <v>5385.9474266660463</v>
      </c>
    </row>
    <row r="737" spans="1:23" x14ac:dyDescent="0.35">
      <c r="A737" t="s">
        <v>115</v>
      </c>
      <c r="B737" t="s">
        <v>104</v>
      </c>
      <c r="C737">
        <v>201357.8</v>
      </c>
      <c r="D737">
        <v>2.0181139688599901</v>
      </c>
      <c r="E737">
        <v>0.73242178487711629</v>
      </c>
      <c r="F737">
        <v>48145.7</v>
      </c>
      <c r="G737">
        <v>21516.57673025272</v>
      </c>
      <c r="H737">
        <v>21516.57673025272</v>
      </c>
      <c r="I737">
        <v>0.25329508673784351</v>
      </c>
      <c r="J737">
        <v>0.62400679198758047</v>
      </c>
      <c r="K737">
        <v>2.0829952129663889</v>
      </c>
      <c r="L737">
        <v>13426.490019999619</v>
      </c>
      <c r="M737">
        <v>1</v>
      </c>
      <c r="N737">
        <v>21516.57673025272</v>
      </c>
      <c r="O737">
        <v>0.62400679198758047</v>
      </c>
      <c r="P737">
        <v>13426.490019999619</v>
      </c>
      <c r="Q737">
        <v>0</v>
      </c>
      <c r="R737">
        <v>1</v>
      </c>
      <c r="S737">
        <v>0</v>
      </c>
      <c r="T737">
        <v>0</v>
      </c>
      <c r="U737">
        <v>0</v>
      </c>
      <c r="V737">
        <v>0</v>
      </c>
      <c r="W737">
        <v>0</v>
      </c>
    </row>
    <row r="738" spans="1:23" x14ac:dyDescent="0.35">
      <c r="A738" t="s">
        <v>115</v>
      </c>
      <c r="B738" t="s">
        <v>105</v>
      </c>
      <c r="C738">
        <v>202021.7</v>
      </c>
      <c r="D738">
        <v>1.5196431257960941</v>
      </c>
      <c r="E738">
        <v>0.60862315862342653</v>
      </c>
      <c r="F738">
        <v>80038.14</v>
      </c>
      <c r="G738">
        <v>32860.236300339107</v>
      </c>
      <c r="H738">
        <v>32860.236300339107</v>
      </c>
      <c r="I738">
        <v>-0.13843152082880469</v>
      </c>
      <c r="J738">
        <v>0.43122301037940453</v>
      </c>
      <c r="K738">
        <v>2.0181139688599901</v>
      </c>
      <c r="L738">
        <v>14170.09001921082</v>
      </c>
      <c r="M738">
        <v>1</v>
      </c>
      <c r="N738">
        <v>32860.236300339107</v>
      </c>
      <c r="O738">
        <v>0.43122301037940453</v>
      </c>
      <c r="P738">
        <v>14170.09001921082</v>
      </c>
      <c r="Q738">
        <v>0</v>
      </c>
      <c r="R738">
        <v>1</v>
      </c>
      <c r="S738">
        <v>0</v>
      </c>
      <c r="T738">
        <v>0</v>
      </c>
      <c r="U738">
        <v>0</v>
      </c>
      <c r="V738">
        <v>0</v>
      </c>
      <c r="W738">
        <v>0</v>
      </c>
    </row>
    <row r="739" spans="1:23" x14ac:dyDescent="0.35">
      <c r="A739" t="s">
        <v>115</v>
      </c>
      <c r="B739" t="s">
        <v>106</v>
      </c>
      <c r="C739">
        <v>202833.3</v>
      </c>
      <c r="D739">
        <v>1.315950485551646</v>
      </c>
      <c r="E739">
        <v>0.53778112124844712</v>
      </c>
      <c r="F739">
        <v>106862.2</v>
      </c>
      <c r="G739">
        <v>30173.051455287681</v>
      </c>
      <c r="H739">
        <v>30173.051455287681</v>
      </c>
      <c r="I739">
        <v>-0.36259160897989018</v>
      </c>
      <c r="J739">
        <v>0.32625262578481512</v>
      </c>
      <c r="K739">
        <v>1.5196431257960941</v>
      </c>
      <c r="L739">
        <v>9844.037265227942</v>
      </c>
      <c r="M739">
        <v>1</v>
      </c>
      <c r="N739">
        <v>30173.051455287681</v>
      </c>
      <c r="O739">
        <v>0.32625262578481512</v>
      </c>
      <c r="P739">
        <v>9844.037265227942</v>
      </c>
      <c r="Q739">
        <v>1</v>
      </c>
      <c r="R739">
        <v>0</v>
      </c>
      <c r="S739">
        <v>30173.051455287681</v>
      </c>
      <c r="T739">
        <v>9844.037265227942</v>
      </c>
      <c r="U739">
        <v>1</v>
      </c>
      <c r="V739">
        <v>30173.051455287681</v>
      </c>
      <c r="W739">
        <v>9844.037265227942</v>
      </c>
    </row>
    <row r="740" spans="1:23" x14ac:dyDescent="0.35">
      <c r="A740" t="s">
        <v>115</v>
      </c>
      <c r="B740" t="s">
        <v>107</v>
      </c>
      <c r="C740">
        <v>203702.39999999999</v>
      </c>
      <c r="D740">
        <v>1.403503016083971</v>
      </c>
      <c r="E740">
        <v>0.44892078559985482</v>
      </c>
      <c r="F740">
        <v>94947.06</v>
      </c>
      <c r="G740">
        <v>-5865.0461574176588</v>
      </c>
      <c r="H740">
        <v>-5865.0461574176588</v>
      </c>
      <c r="I740">
        <v>-0.64376563234526896</v>
      </c>
      <c r="J740">
        <v>0.2162709630012517</v>
      </c>
      <c r="K740">
        <v>1.315950485551646</v>
      </c>
      <c r="L740">
        <v>-1268.4391805115081</v>
      </c>
      <c r="M740">
        <v>1</v>
      </c>
      <c r="N740">
        <v>-5865.0461574176588</v>
      </c>
      <c r="O740">
        <v>0.2162709630012517</v>
      </c>
      <c r="P740">
        <v>-1268.4391805115081</v>
      </c>
      <c r="Q740">
        <v>1</v>
      </c>
      <c r="R740">
        <v>0</v>
      </c>
      <c r="S740">
        <v>-5865.0461574176588</v>
      </c>
      <c r="T740">
        <v>-1268.4391805115081</v>
      </c>
      <c r="U740">
        <v>1</v>
      </c>
      <c r="V740">
        <v>-5865.0461574176588</v>
      </c>
      <c r="W740">
        <v>-1268.4391805115081</v>
      </c>
    </row>
    <row r="741" spans="1:23" x14ac:dyDescent="0.35">
      <c r="A741" t="s">
        <v>115</v>
      </c>
      <c r="B741" t="s">
        <v>108</v>
      </c>
      <c r="C741">
        <v>204227.4</v>
      </c>
      <c r="D741">
        <v>1.415065384111154</v>
      </c>
      <c r="E741">
        <v>0.39315697383503401</v>
      </c>
      <c r="F741">
        <v>81871.73</v>
      </c>
      <c r="G741">
        <v>-6116.8052336188266</v>
      </c>
      <c r="H741">
        <v>-6116.8052336188266</v>
      </c>
      <c r="I741">
        <v>-0.82021483431666276</v>
      </c>
      <c r="J741">
        <v>0.16240660597717921</v>
      </c>
      <c r="K741">
        <v>1.403503016083971</v>
      </c>
      <c r="L741">
        <v>-993.40957741548027</v>
      </c>
      <c r="M741">
        <v>1</v>
      </c>
      <c r="N741">
        <v>-6116.8052336188266</v>
      </c>
      <c r="O741">
        <v>0.16240660597717921</v>
      </c>
      <c r="P741">
        <v>-993.40957741548027</v>
      </c>
      <c r="Q741">
        <v>1</v>
      </c>
      <c r="R741">
        <v>0</v>
      </c>
      <c r="S741">
        <v>-6116.8052336188266</v>
      </c>
      <c r="T741">
        <v>-993.40957741548027</v>
      </c>
      <c r="U741">
        <v>1</v>
      </c>
      <c r="V741">
        <v>-6116.8052336188266</v>
      </c>
      <c r="W741">
        <v>-993.40957741548027</v>
      </c>
    </row>
    <row r="742" spans="1:23" x14ac:dyDescent="0.35">
      <c r="A742" t="s">
        <v>115</v>
      </c>
      <c r="B742" t="s">
        <v>109</v>
      </c>
      <c r="C742">
        <v>205054.1</v>
      </c>
      <c r="D742">
        <v>1.489872938726198</v>
      </c>
      <c r="E742">
        <v>0.81500632290628938</v>
      </c>
      <c r="F742">
        <v>77922.84</v>
      </c>
      <c r="G742">
        <v>1879.7276364797731</v>
      </c>
      <c r="H742">
        <v>1879.7276364797731</v>
      </c>
      <c r="I742">
        <v>0.51461107948023166</v>
      </c>
      <c r="J742">
        <v>0.73676506733595404</v>
      </c>
      <c r="K742">
        <v>1.415065384111154</v>
      </c>
      <c r="L742">
        <v>1384.9176586642729</v>
      </c>
      <c r="M742">
        <v>1</v>
      </c>
      <c r="N742">
        <v>1879.7276364797731</v>
      </c>
      <c r="O742">
        <v>0.73676506733595404</v>
      </c>
      <c r="P742">
        <v>1384.9176586642729</v>
      </c>
      <c r="Q742">
        <v>1</v>
      </c>
      <c r="R742">
        <v>0</v>
      </c>
      <c r="S742">
        <v>1879.7276364797731</v>
      </c>
      <c r="T742">
        <v>1384.9176586642729</v>
      </c>
      <c r="U742">
        <v>1</v>
      </c>
      <c r="V742">
        <v>1879.7276364797731</v>
      </c>
      <c r="W742">
        <v>1384.9176586642729</v>
      </c>
    </row>
    <row r="743" spans="1:23" x14ac:dyDescent="0.35">
      <c r="A743" t="s">
        <v>155</v>
      </c>
      <c r="B743" t="s">
        <v>4</v>
      </c>
      <c r="C743">
        <v>38828.800000000003</v>
      </c>
      <c r="F743">
        <v>5832.3329999999996</v>
      </c>
      <c r="G743">
        <v>-3714.5931994258599</v>
      </c>
      <c r="H743">
        <v>-3714.5931994258599</v>
      </c>
      <c r="M743">
        <v>0</v>
      </c>
      <c r="N743">
        <v>0</v>
      </c>
    </row>
    <row r="744" spans="1:23" x14ac:dyDescent="0.35">
      <c r="A744" t="s">
        <v>155</v>
      </c>
      <c r="B744" t="s">
        <v>5</v>
      </c>
      <c r="C744">
        <v>39129</v>
      </c>
      <c r="F744">
        <v>5569.9409999999998</v>
      </c>
      <c r="G744">
        <v>-1919.831103877337</v>
      </c>
      <c r="H744">
        <v>-1919.831103877337</v>
      </c>
      <c r="M744">
        <v>0</v>
      </c>
      <c r="N744">
        <v>0</v>
      </c>
    </row>
    <row r="745" spans="1:23" x14ac:dyDescent="0.35">
      <c r="A745" t="s">
        <v>155</v>
      </c>
      <c r="B745" t="s">
        <v>6</v>
      </c>
      <c r="C745">
        <v>39737.599999999999</v>
      </c>
      <c r="F745">
        <v>13816.67</v>
      </c>
      <c r="G745">
        <v>6474.4940275934759</v>
      </c>
      <c r="H745">
        <v>6474.4940275934759</v>
      </c>
      <c r="M745">
        <v>0</v>
      </c>
      <c r="N745">
        <v>0</v>
      </c>
    </row>
    <row r="746" spans="1:23" x14ac:dyDescent="0.35">
      <c r="A746" t="s">
        <v>155</v>
      </c>
      <c r="B746" t="s">
        <v>7</v>
      </c>
      <c r="C746">
        <v>40190.6</v>
      </c>
      <c r="F746">
        <v>11881.05</v>
      </c>
      <c r="G746">
        <v>-3395.2229350538159</v>
      </c>
      <c r="H746">
        <v>-3395.2229350538159</v>
      </c>
      <c r="M746">
        <v>0</v>
      </c>
      <c r="N746">
        <v>0</v>
      </c>
    </row>
    <row r="747" spans="1:23" x14ac:dyDescent="0.35">
      <c r="A747" t="s">
        <v>155</v>
      </c>
      <c r="B747" t="s">
        <v>8</v>
      </c>
      <c r="C747">
        <v>40387.199999999997</v>
      </c>
      <c r="D747">
        <v>3.935066375638733</v>
      </c>
      <c r="F747">
        <v>22324.51</v>
      </c>
      <c r="G747">
        <v>9331.4609908810216</v>
      </c>
      <c r="H747">
        <v>9331.4609908810216</v>
      </c>
      <c r="M747">
        <v>0</v>
      </c>
      <c r="N747">
        <v>0</v>
      </c>
      <c r="Q747">
        <v>-2.590290839132809</v>
      </c>
      <c r="R747">
        <v>-24171.197920404269</v>
      </c>
      <c r="T747">
        <v>0</v>
      </c>
      <c r="U747">
        <v>0</v>
      </c>
    </row>
    <row r="748" spans="1:23" x14ac:dyDescent="0.35">
      <c r="A748" t="s">
        <v>155</v>
      </c>
      <c r="B748" t="s">
        <v>9</v>
      </c>
      <c r="C748">
        <v>40416.699999999997</v>
      </c>
      <c r="D748">
        <v>3.2379185835155009</v>
      </c>
      <c r="F748">
        <v>13179.21</v>
      </c>
      <c r="G748">
        <v>-9943.8528374191192</v>
      </c>
      <c r="H748">
        <v>-9943.8528374191192</v>
      </c>
      <c r="K748">
        <v>3.935066375638733</v>
      </c>
      <c r="M748">
        <v>0</v>
      </c>
      <c r="N748">
        <v>0</v>
      </c>
      <c r="Q748">
        <v>-2.075645243771806</v>
      </c>
      <c r="R748">
        <v>20639.910846755782</v>
      </c>
      <c r="T748">
        <v>0</v>
      </c>
      <c r="U748">
        <v>0</v>
      </c>
    </row>
    <row r="749" spans="1:23" x14ac:dyDescent="0.35">
      <c r="A749" t="s">
        <v>155</v>
      </c>
      <c r="B749" t="s">
        <v>10</v>
      </c>
      <c r="C749">
        <v>40692.800000000003</v>
      </c>
      <c r="D749">
        <v>2.375332987387385</v>
      </c>
      <c r="F749">
        <v>25155.95</v>
      </c>
      <c r="G749">
        <v>11353.658528725049</v>
      </c>
      <c r="H749">
        <v>11353.658528725049</v>
      </c>
      <c r="K749">
        <v>3.2379185835155009</v>
      </c>
      <c r="M749">
        <v>0</v>
      </c>
      <c r="N749">
        <v>0</v>
      </c>
      <c r="Q749">
        <v>-2.739570299199483</v>
      </c>
      <c r="R749">
        <v>-31104.145692548042</v>
      </c>
      <c r="T749">
        <v>0</v>
      </c>
      <c r="U749">
        <v>0</v>
      </c>
    </row>
    <row r="750" spans="1:23" x14ac:dyDescent="0.35">
      <c r="A750" t="s">
        <v>155</v>
      </c>
      <c r="B750" t="s">
        <v>11</v>
      </c>
      <c r="C750">
        <v>40559.699999999997</v>
      </c>
      <c r="D750">
        <v>0.91418253693600815</v>
      </c>
      <c r="F750">
        <v>23448.18</v>
      </c>
      <c r="G750">
        <v>-2327.5821782993439</v>
      </c>
      <c r="H750">
        <v>-2327.5821782993439</v>
      </c>
      <c r="K750">
        <v>2.375332987387385</v>
      </c>
      <c r="M750">
        <v>0</v>
      </c>
      <c r="N750">
        <v>0</v>
      </c>
      <c r="Q750">
        <v>-0.56002049196982384</v>
      </c>
      <c r="R750">
        <v>1303.493716591393</v>
      </c>
      <c r="T750">
        <v>0</v>
      </c>
      <c r="U750">
        <v>0</v>
      </c>
    </row>
    <row r="751" spans="1:23" x14ac:dyDescent="0.35">
      <c r="A751" t="s">
        <v>155</v>
      </c>
      <c r="B751" t="s">
        <v>12</v>
      </c>
      <c r="C751">
        <v>40843</v>
      </c>
      <c r="D751">
        <v>1.122254491113915</v>
      </c>
      <c r="F751">
        <v>22597.360000000001</v>
      </c>
      <c r="G751">
        <v>-922.17355643885821</v>
      </c>
      <c r="H751">
        <v>-922.17355643885821</v>
      </c>
      <c r="K751">
        <v>0.91418253693600815</v>
      </c>
      <c r="M751">
        <v>0</v>
      </c>
      <c r="N751">
        <v>0</v>
      </c>
      <c r="Q751">
        <v>3.4861328467105401E-3</v>
      </c>
      <c r="R751">
        <v>-3.214819525469379</v>
      </c>
      <c r="T751">
        <v>0</v>
      </c>
      <c r="U751">
        <v>0</v>
      </c>
    </row>
    <row r="752" spans="1:23" x14ac:dyDescent="0.35">
      <c r="A752" t="s">
        <v>155</v>
      </c>
      <c r="B752" t="s">
        <v>13</v>
      </c>
      <c r="C752">
        <v>41213.800000000003</v>
      </c>
      <c r="D752">
        <v>1.953008583666495</v>
      </c>
      <c r="F752">
        <v>17938.45</v>
      </c>
      <c r="G752">
        <v>-4851.7453407365683</v>
      </c>
      <c r="H752">
        <v>-4851.7453407365683</v>
      </c>
      <c r="K752">
        <v>1.122254491113915</v>
      </c>
      <c r="M752">
        <v>0</v>
      </c>
      <c r="N752">
        <v>0</v>
      </c>
      <c r="Q752">
        <v>-1.6948107818676541</v>
      </c>
      <c r="R752">
        <v>8222.7903143564927</v>
      </c>
      <c r="T752">
        <v>0</v>
      </c>
      <c r="U752">
        <v>0</v>
      </c>
    </row>
    <row r="753" spans="1:21" x14ac:dyDescent="0.35">
      <c r="A753" t="s">
        <v>155</v>
      </c>
      <c r="B753" t="s">
        <v>14</v>
      </c>
      <c r="C753">
        <v>41125.300000000003</v>
      </c>
      <c r="D753">
        <v>1.0572331269500039</v>
      </c>
      <c r="F753">
        <v>14136.45</v>
      </c>
      <c r="G753">
        <v>-4222.8378093282299</v>
      </c>
      <c r="H753">
        <v>-4222.8378093282299</v>
      </c>
      <c r="K753">
        <v>1.953008583666495</v>
      </c>
      <c r="M753">
        <v>0</v>
      </c>
      <c r="N753">
        <v>0</v>
      </c>
      <c r="Q753">
        <v>-1.6159922969010061</v>
      </c>
      <c r="R753">
        <v>6824.0733709367387</v>
      </c>
      <c r="T753">
        <v>0</v>
      </c>
      <c r="U753">
        <v>0</v>
      </c>
    </row>
    <row r="754" spans="1:21" x14ac:dyDescent="0.35">
      <c r="A754" t="s">
        <v>155</v>
      </c>
      <c r="B754" t="s">
        <v>15</v>
      </c>
      <c r="C754">
        <v>41608.800000000003</v>
      </c>
      <c r="D754">
        <v>2.5536720551781009</v>
      </c>
      <c r="F754">
        <v>27832.880000000001</v>
      </c>
      <c r="G754">
        <v>12885.617455236321</v>
      </c>
      <c r="H754">
        <v>12885.617455236321</v>
      </c>
      <c r="K754">
        <v>1.0572331269500039</v>
      </c>
      <c r="M754">
        <v>0</v>
      </c>
      <c r="N754">
        <v>0</v>
      </c>
      <c r="Q754">
        <v>-2.0388303852480352</v>
      </c>
      <c r="R754">
        <v>-26271.588400418281</v>
      </c>
      <c r="T754">
        <v>0</v>
      </c>
      <c r="U754">
        <v>0</v>
      </c>
    </row>
    <row r="755" spans="1:21" x14ac:dyDescent="0.35">
      <c r="A755" t="s">
        <v>155</v>
      </c>
      <c r="B755" t="s">
        <v>16</v>
      </c>
      <c r="C755">
        <v>41299.599999999999</v>
      </c>
      <c r="D755">
        <v>1.1117366696747011</v>
      </c>
      <c r="F755">
        <v>25718.62</v>
      </c>
      <c r="G755">
        <v>-2578.9762101676129</v>
      </c>
      <c r="H755">
        <v>-2578.9762101676129</v>
      </c>
      <c r="K755">
        <v>2.5536720551781009</v>
      </c>
      <c r="M755">
        <v>0</v>
      </c>
      <c r="N755">
        <v>0</v>
      </c>
      <c r="Q755">
        <v>-2.3606807393133189</v>
      </c>
      <c r="R755">
        <v>6088.1394664899444</v>
      </c>
      <c r="T755">
        <v>0</v>
      </c>
      <c r="U755">
        <v>0</v>
      </c>
    </row>
    <row r="756" spans="1:21" x14ac:dyDescent="0.35">
      <c r="A756" t="s">
        <v>155</v>
      </c>
      <c r="B756" t="s">
        <v>17</v>
      </c>
      <c r="C756">
        <v>41904.6</v>
      </c>
      <c r="D756">
        <v>1.662245437692591</v>
      </c>
      <c r="F756">
        <v>34454.82</v>
      </c>
      <c r="G756">
        <v>8892.3153268391106</v>
      </c>
      <c r="H756">
        <v>8892.3153268391106</v>
      </c>
      <c r="K756">
        <v>1.1117366696747011</v>
      </c>
      <c r="M756">
        <v>0</v>
      </c>
      <c r="N756">
        <v>0</v>
      </c>
      <c r="Q756">
        <v>-0.48627190398152359</v>
      </c>
      <c r="R756">
        <v>-4324.0831047861384</v>
      </c>
      <c r="T756">
        <v>0</v>
      </c>
      <c r="U756">
        <v>0</v>
      </c>
    </row>
    <row r="757" spans="1:21" x14ac:dyDescent="0.35">
      <c r="A757" t="s">
        <v>155</v>
      </c>
      <c r="B757" t="s">
        <v>18</v>
      </c>
      <c r="C757">
        <v>42405</v>
      </c>
      <c r="D757">
        <v>3.0642775921907668</v>
      </c>
      <c r="F757">
        <v>23886.34</v>
      </c>
      <c r="G757">
        <v>-10175.62221530782</v>
      </c>
      <c r="H757">
        <v>-10175.62221530782</v>
      </c>
      <c r="K757">
        <v>1.662245437692591</v>
      </c>
      <c r="M757">
        <v>0</v>
      </c>
      <c r="N757">
        <v>0</v>
      </c>
      <c r="Q757">
        <v>1.44264720229458</v>
      </c>
      <c r="R757">
        <v>-14679.832920520401</v>
      </c>
      <c r="T757">
        <v>0</v>
      </c>
      <c r="U757">
        <v>0</v>
      </c>
    </row>
    <row r="758" spans="1:21" x14ac:dyDescent="0.35">
      <c r="A758" t="s">
        <v>155</v>
      </c>
      <c r="B758" t="s">
        <v>19</v>
      </c>
      <c r="C758">
        <v>42496.1</v>
      </c>
      <c r="D758">
        <v>2.1100623656199868</v>
      </c>
      <c r="F758">
        <v>12058.21</v>
      </c>
      <c r="G758">
        <v>-11403.891117199109</v>
      </c>
      <c r="H758">
        <v>-11403.891117199109</v>
      </c>
      <c r="K758">
        <v>3.0642775921907668</v>
      </c>
      <c r="M758">
        <v>0</v>
      </c>
      <c r="N758">
        <v>0</v>
      </c>
      <c r="Q758">
        <v>1.433647638399026</v>
      </c>
      <c r="R758">
        <v>-16349.161568732139</v>
      </c>
      <c r="T758">
        <v>0</v>
      </c>
      <c r="U758">
        <v>0</v>
      </c>
    </row>
    <row r="759" spans="1:21" x14ac:dyDescent="0.35">
      <c r="A759" t="s">
        <v>155</v>
      </c>
      <c r="B759" t="s">
        <v>20</v>
      </c>
      <c r="C759">
        <v>43032.3</v>
      </c>
      <c r="D759">
        <v>4.1098181812630923</v>
      </c>
      <c r="F759">
        <v>16122.31</v>
      </c>
      <c r="G759">
        <v>3477.0160780143342</v>
      </c>
      <c r="H759">
        <v>3477.0160780143342</v>
      </c>
      <c r="K759">
        <v>2.1100623656199868</v>
      </c>
      <c r="M759">
        <v>0</v>
      </c>
      <c r="N759">
        <v>0</v>
      </c>
      <c r="Q759">
        <v>1.23441237704857</v>
      </c>
      <c r="R759">
        <v>4292.0716818977698</v>
      </c>
      <c r="T759">
        <v>0</v>
      </c>
      <c r="U759">
        <v>0</v>
      </c>
    </row>
    <row r="760" spans="1:21" x14ac:dyDescent="0.35">
      <c r="A760" t="s">
        <v>155</v>
      </c>
      <c r="B760" t="s">
        <v>21</v>
      </c>
      <c r="C760">
        <v>43383.5</v>
      </c>
      <c r="D760">
        <v>3.4683578381174658</v>
      </c>
      <c r="F760">
        <v>9975.3389999999999</v>
      </c>
      <c r="G760">
        <v>-7181.6860400218247</v>
      </c>
      <c r="H760">
        <v>-7181.6860400218247</v>
      </c>
      <c r="K760">
        <v>4.1098181812630923</v>
      </c>
      <c r="M760">
        <v>0</v>
      </c>
      <c r="N760">
        <v>0</v>
      </c>
      <c r="Q760">
        <v>0.63826285806666228</v>
      </c>
      <c r="R760">
        <v>-4583.8034576417786</v>
      </c>
      <c r="T760">
        <v>0</v>
      </c>
      <c r="U760">
        <v>0</v>
      </c>
    </row>
    <row r="761" spans="1:21" x14ac:dyDescent="0.35">
      <c r="A761" t="s">
        <v>155</v>
      </c>
      <c r="B761" t="s">
        <v>22</v>
      </c>
      <c r="C761">
        <v>43875.9</v>
      </c>
      <c r="D761">
        <v>3.4098914582494411</v>
      </c>
      <c r="F761">
        <v>14397.81</v>
      </c>
      <c r="G761">
        <v>3353.6931959349681</v>
      </c>
      <c r="H761">
        <v>3353.6931959349681</v>
      </c>
      <c r="K761">
        <v>3.4683578381174658</v>
      </c>
      <c r="M761">
        <v>0</v>
      </c>
      <c r="N761">
        <v>0</v>
      </c>
      <c r="Q761">
        <v>-0.52805491017564332</v>
      </c>
      <c r="R761">
        <v>-1770.934159336105</v>
      </c>
      <c r="T761">
        <v>0</v>
      </c>
      <c r="U761">
        <v>0</v>
      </c>
    </row>
    <row r="762" spans="1:21" x14ac:dyDescent="0.35">
      <c r="A762" t="s">
        <v>155</v>
      </c>
      <c r="B762" t="s">
        <v>23</v>
      </c>
      <c r="C762">
        <v>44547.8</v>
      </c>
      <c r="D762">
        <v>4.7150462967552098</v>
      </c>
      <c r="F762">
        <v>13202.73</v>
      </c>
      <c r="G762">
        <v>-2405.1200373209231</v>
      </c>
      <c r="H762">
        <v>-2405.1200373209231</v>
      </c>
      <c r="K762">
        <v>3.4098914582494411</v>
      </c>
      <c r="M762">
        <v>0</v>
      </c>
      <c r="N762">
        <v>0</v>
      </c>
      <c r="Q762">
        <v>-0.74075419195348624</v>
      </c>
      <c r="R762">
        <v>1781.6027497967989</v>
      </c>
      <c r="T762">
        <v>0</v>
      </c>
      <c r="U762">
        <v>0</v>
      </c>
    </row>
    <row r="763" spans="1:21" x14ac:dyDescent="0.35">
      <c r="A763" t="s">
        <v>155</v>
      </c>
      <c r="B763" t="s">
        <v>24</v>
      </c>
      <c r="C763">
        <v>44986.6</v>
      </c>
      <c r="D763">
        <v>4.4413671145244491</v>
      </c>
      <c r="F763">
        <v>11537.9</v>
      </c>
      <c r="G763">
        <v>-2694.6719418449161</v>
      </c>
      <c r="H763">
        <v>-2694.6719418449161</v>
      </c>
      <c r="K763">
        <v>4.7150462967552098</v>
      </c>
      <c r="M763">
        <v>0</v>
      </c>
      <c r="N763">
        <v>0</v>
      </c>
      <c r="Q763">
        <v>-0.72927339817162729</v>
      </c>
      <c r="R763">
        <v>1965.152563986979</v>
      </c>
      <c r="T763">
        <v>0</v>
      </c>
      <c r="U763">
        <v>0</v>
      </c>
    </row>
    <row r="764" spans="1:21" x14ac:dyDescent="0.35">
      <c r="A764" t="s">
        <v>155</v>
      </c>
      <c r="B764" t="s">
        <v>25</v>
      </c>
      <c r="C764">
        <v>44428.1</v>
      </c>
      <c r="D764">
        <v>2.3792967648972159</v>
      </c>
      <c r="F764">
        <v>11866.98</v>
      </c>
      <c r="G764">
        <v>-828.06583405836682</v>
      </c>
      <c r="H764">
        <v>-828.06583405836682</v>
      </c>
      <c r="K764">
        <v>4.4413671145244491</v>
      </c>
      <c r="M764">
        <v>0</v>
      </c>
      <c r="N764">
        <v>0</v>
      </c>
      <c r="Q764">
        <v>-0.70173904647913121</v>
      </c>
      <c r="R764">
        <v>581.08612881406486</v>
      </c>
      <c r="T764">
        <v>0</v>
      </c>
      <c r="U764">
        <v>0</v>
      </c>
    </row>
    <row r="765" spans="1:21" x14ac:dyDescent="0.35">
      <c r="A765" t="s">
        <v>155</v>
      </c>
      <c r="B765" t="s">
        <v>26</v>
      </c>
      <c r="C765">
        <v>45072.4</v>
      </c>
      <c r="D765">
        <v>2.690489138786516</v>
      </c>
      <c r="F765">
        <v>20193.73</v>
      </c>
      <c r="G765">
        <v>7096.9915636258847</v>
      </c>
      <c r="H765">
        <v>7096.9915636258847</v>
      </c>
      <c r="K765">
        <v>2.3792967648972159</v>
      </c>
      <c r="M765">
        <v>0</v>
      </c>
      <c r="N765">
        <v>0</v>
      </c>
      <c r="Q765">
        <v>0.37871915235157239</v>
      </c>
      <c r="R765">
        <v>2687.766629222655</v>
      </c>
      <c r="T765">
        <v>0</v>
      </c>
      <c r="U765">
        <v>0</v>
      </c>
    </row>
    <row r="766" spans="1:21" x14ac:dyDescent="0.35">
      <c r="A766" t="s">
        <v>155</v>
      </c>
      <c r="B766" t="s">
        <v>27</v>
      </c>
      <c r="C766">
        <v>45207.3</v>
      </c>
      <c r="D766">
        <v>1.469580824112626</v>
      </c>
      <c r="F766">
        <v>12165.63</v>
      </c>
      <c r="G766">
        <v>-8911.6409368498116</v>
      </c>
      <c r="H766">
        <v>-8911.6409368498116</v>
      </c>
      <c r="K766">
        <v>2.690489138786516</v>
      </c>
      <c r="M766">
        <v>0</v>
      </c>
      <c r="N766">
        <v>0</v>
      </c>
      <c r="Q766">
        <v>4.3091865022193733E-2</v>
      </c>
      <c r="R766">
        <v>-384.01922837698822</v>
      </c>
      <c r="T766">
        <v>0</v>
      </c>
      <c r="U766">
        <v>0</v>
      </c>
    </row>
    <row r="767" spans="1:21" x14ac:dyDescent="0.35">
      <c r="A767" t="s">
        <v>155</v>
      </c>
      <c r="B767" t="s">
        <v>28</v>
      </c>
      <c r="C767">
        <v>46356.5</v>
      </c>
      <c r="D767">
        <v>2.9996851856297071</v>
      </c>
      <c r="F767">
        <v>11552.83</v>
      </c>
      <c r="G767">
        <v>-1385.556303605184</v>
      </c>
      <c r="H767">
        <v>-1385.556303605184</v>
      </c>
      <c r="K767">
        <v>1.469580824112626</v>
      </c>
      <c r="M767">
        <v>0</v>
      </c>
      <c r="N767">
        <v>0</v>
      </c>
      <c r="Q767">
        <v>0.2825054819359436</v>
      </c>
      <c r="R767">
        <v>-391.42725129936719</v>
      </c>
      <c r="T767">
        <v>0</v>
      </c>
      <c r="U767">
        <v>0</v>
      </c>
    </row>
    <row r="768" spans="1:21" x14ac:dyDescent="0.35">
      <c r="A768" t="s">
        <v>155</v>
      </c>
      <c r="B768" t="s">
        <v>29</v>
      </c>
      <c r="C768">
        <v>46427.1</v>
      </c>
      <c r="D768">
        <v>4.4011188329371471</v>
      </c>
      <c r="F768">
        <v>8235.1579999999994</v>
      </c>
      <c r="G768">
        <v>-4527.5681324086381</v>
      </c>
      <c r="H768">
        <v>-4527.5681324086381</v>
      </c>
      <c r="K768">
        <v>2.9996851856297071</v>
      </c>
      <c r="M768">
        <v>0</v>
      </c>
      <c r="N768">
        <v>0</v>
      </c>
      <c r="Q768">
        <v>-0.103221318165129</v>
      </c>
      <c r="R768">
        <v>467.34155070965068</v>
      </c>
      <c r="T768">
        <v>0</v>
      </c>
      <c r="U768">
        <v>0</v>
      </c>
    </row>
    <row r="769" spans="1:21" x14ac:dyDescent="0.35">
      <c r="A769" t="s">
        <v>155</v>
      </c>
      <c r="B769" t="s">
        <v>30</v>
      </c>
      <c r="C769">
        <v>46871.199999999997</v>
      </c>
      <c r="D769">
        <v>3.9133328553805451</v>
      </c>
      <c r="F769">
        <v>11854.69</v>
      </c>
      <c r="G769">
        <v>2246.9163671678002</v>
      </c>
      <c r="H769">
        <v>2246.9163671678002</v>
      </c>
      <c r="K769">
        <v>4.4011188329371471</v>
      </c>
      <c r="M769">
        <v>0</v>
      </c>
      <c r="N769">
        <v>0</v>
      </c>
      <c r="Q769">
        <v>-0.39502266949665338</v>
      </c>
      <c r="R769">
        <v>-887.58290149434697</v>
      </c>
      <c r="T769">
        <v>0</v>
      </c>
      <c r="U769">
        <v>0</v>
      </c>
    </row>
    <row r="770" spans="1:21" x14ac:dyDescent="0.35">
      <c r="A770" t="s">
        <v>155</v>
      </c>
      <c r="B770" t="s">
        <v>31</v>
      </c>
      <c r="C770">
        <v>47263.5</v>
      </c>
      <c r="D770">
        <v>4.4479749194383622</v>
      </c>
      <c r="F770">
        <v>9051.4310000000005</v>
      </c>
      <c r="G770">
        <v>-4203.3719888323176</v>
      </c>
      <c r="H770">
        <v>-4203.3719888323176</v>
      </c>
      <c r="K770">
        <v>3.9133328553805451</v>
      </c>
      <c r="M770">
        <v>0</v>
      </c>
      <c r="N770">
        <v>0</v>
      </c>
      <c r="Q770">
        <v>-0.3407402449516021</v>
      </c>
      <c r="R770">
        <v>1432.258001097427</v>
      </c>
      <c r="T770">
        <v>0</v>
      </c>
      <c r="U770">
        <v>0</v>
      </c>
    </row>
    <row r="771" spans="1:21" x14ac:dyDescent="0.35">
      <c r="A771" t="s">
        <v>155</v>
      </c>
      <c r="B771" t="s">
        <v>32</v>
      </c>
      <c r="C771">
        <v>48200</v>
      </c>
      <c r="D771">
        <v>3.899750155232149</v>
      </c>
      <c r="F771">
        <v>13357.51</v>
      </c>
      <c r="G771">
        <v>2981.2693730277952</v>
      </c>
      <c r="H771">
        <v>2981.2693730277952</v>
      </c>
      <c r="K771">
        <v>4.4479749194383622</v>
      </c>
      <c r="M771">
        <v>0</v>
      </c>
      <c r="N771">
        <v>0</v>
      </c>
      <c r="Q771">
        <v>-0.47413419366953979</v>
      </c>
      <c r="R771">
        <v>-1413.521750292228</v>
      </c>
      <c r="T771">
        <v>0</v>
      </c>
      <c r="U771">
        <v>0</v>
      </c>
    </row>
    <row r="772" spans="1:21" x14ac:dyDescent="0.35">
      <c r="A772" t="s">
        <v>155</v>
      </c>
      <c r="B772" t="s">
        <v>33</v>
      </c>
      <c r="C772">
        <v>49027.5</v>
      </c>
      <c r="D772">
        <v>5.4498024708337249</v>
      </c>
      <c r="F772">
        <v>18459.61</v>
      </c>
      <c r="G772">
        <v>3803.4009892178929</v>
      </c>
      <c r="H772">
        <v>3803.4009892178929</v>
      </c>
      <c r="K772">
        <v>3.899750155232149</v>
      </c>
      <c r="M772">
        <v>0</v>
      </c>
      <c r="N772">
        <v>0</v>
      </c>
      <c r="Q772">
        <v>0.118245901441943</v>
      </c>
      <c r="R772">
        <v>449.73657851524729</v>
      </c>
      <c r="T772">
        <v>0</v>
      </c>
      <c r="U772">
        <v>0</v>
      </c>
    </row>
    <row r="773" spans="1:21" x14ac:dyDescent="0.35">
      <c r="A773" t="s">
        <v>155</v>
      </c>
      <c r="B773" t="s">
        <v>34</v>
      </c>
      <c r="C773">
        <v>49490.400000000001</v>
      </c>
      <c r="D773">
        <v>5.4375297034200756</v>
      </c>
      <c r="F773">
        <v>21867.71</v>
      </c>
      <c r="G773">
        <v>2532.642848660435</v>
      </c>
      <c r="H773">
        <v>2532.642848660435</v>
      </c>
      <c r="K773">
        <v>5.4498024708337249</v>
      </c>
      <c r="M773">
        <v>0</v>
      </c>
      <c r="N773">
        <v>0</v>
      </c>
      <c r="Q773">
        <v>2.4680943106314451E-2</v>
      </c>
      <c r="R773">
        <v>62.508014056402338</v>
      </c>
      <c r="T773">
        <v>0</v>
      </c>
      <c r="U773">
        <v>0</v>
      </c>
    </row>
    <row r="774" spans="1:21" x14ac:dyDescent="0.35">
      <c r="A774" t="s">
        <v>155</v>
      </c>
      <c r="B774" t="s">
        <v>35</v>
      </c>
      <c r="C774">
        <v>50129.3</v>
      </c>
      <c r="D774">
        <v>5.8867340066611904</v>
      </c>
      <c r="F774">
        <v>13843.68</v>
      </c>
      <c r="G774">
        <v>-8502.2952960938928</v>
      </c>
      <c r="H774">
        <v>-8502.2952960938928</v>
      </c>
      <c r="K774">
        <v>5.4375297034200756</v>
      </c>
      <c r="M774">
        <v>0</v>
      </c>
      <c r="N774">
        <v>0</v>
      </c>
      <c r="Q774">
        <v>-0.66790203808455351</v>
      </c>
      <c r="R774">
        <v>5678.7003566578232</v>
      </c>
      <c r="T774">
        <v>0</v>
      </c>
      <c r="U774">
        <v>0</v>
      </c>
    </row>
    <row r="775" spans="1:21" x14ac:dyDescent="0.35">
      <c r="A775" t="s">
        <v>155</v>
      </c>
      <c r="B775" t="s">
        <v>36</v>
      </c>
      <c r="C775">
        <v>50074.8</v>
      </c>
      <c r="D775">
        <v>3.815886647836487</v>
      </c>
      <c r="F775">
        <v>13176.87</v>
      </c>
      <c r="G775">
        <v>-1287.1085488489391</v>
      </c>
      <c r="H775">
        <v>-1287.1085488489391</v>
      </c>
      <c r="K775">
        <v>5.8867340066611904</v>
      </c>
      <c r="M775">
        <v>0</v>
      </c>
      <c r="N775">
        <v>0</v>
      </c>
      <c r="Q775">
        <v>-1.1725840439872679</v>
      </c>
      <c r="R775">
        <v>1509.2429472598731</v>
      </c>
      <c r="T775">
        <v>0</v>
      </c>
      <c r="U775">
        <v>0</v>
      </c>
    </row>
    <row r="776" spans="1:21" x14ac:dyDescent="0.35">
      <c r="A776" t="s">
        <v>155</v>
      </c>
      <c r="B776" t="s">
        <v>37</v>
      </c>
      <c r="C776">
        <v>49689.599999999999</v>
      </c>
      <c r="D776">
        <v>1.3414290499532759</v>
      </c>
      <c r="F776">
        <v>18019.05</v>
      </c>
      <c r="G776">
        <v>3782.8150578267828</v>
      </c>
      <c r="H776">
        <v>3782.8150578267828</v>
      </c>
      <c r="K776">
        <v>3.815886647836487</v>
      </c>
      <c r="M776">
        <v>0</v>
      </c>
      <c r="N776">
        <v>0</v>
      </c>
      <c r="Q776">
        <v>-1.1893066179515219</v>
      </c>
      <c r="R776">
        <v>-4498.9269827600619</v>
      </c>
      <c r="T776">
        <v>0</v>
      </c>
      <c r="U776">
        <v>0</v>
      </c>
    </row>
    <row r="777" spans="1:21" x14ac:dyDescent="0.35">
      <c r="A777" t="s">
        <v>155</v>
      </c>
      <c r="B777" t="s">
        <v>38</v>
      </c>
      <c r="C777">
        <v>49856.7</v>
      </c>
      <c r="D777">
        <v>0.73741792141448681</v>
      </c>
      <c r="F777">
        <v>14048.15</v>
      </c>
      <c r="G777">
        <v>-4873.0704452221198</v>
      </c>
      <c r="H777">
        <v>-4873.0704452221198</v>
      </c>
      <c r="K777">
        <v>1.3414290499532759</v>
      </c>
      <c r="M777">
        <v>0</v>
      </c>
      <c r="N777">
        <v>0</v>
      </c>
      <c r="Q777">
        <v>-1.73069222310857</v>
      </c>
      <c r="R777">
        <v>8433.7851222061363</v>
      </c>
      <c r="T777">
        <v>0</v>
      </c>
      <c r="U777">
        <v>0</v>
      </c>
    </row>
    <row r="778" spans="1:21" x14ac:dyDescent="0.35">
      <c r="A778" t="s">
        <v>155</v>
      </c>
      <c r="B778" t="s">
        <v>39</v>
      </c>
      <c r="C778">
        <v>48771.9</v>
      </c>
      <c r="D778">
        <v>-2.7451340144369949</v>
      </c>
      <c r="F778">
        <v>13245.42</v>
      </c>
      <c r="G778">
        <v>-1612.889016524221</v>
      </c>
      <c r="H778">
        <v>-1612.889016524221</v>
      </c>
      <c r="K778">
        <v>0.73741792141448681</v>
      </c>
      <c r="M778">
        <v>0</v>
      </c>
      <c r="N778">
        <v>0</v>
      </c>
      <c r="Q778">
        <v>-2.2291561214535229</v>
      </c>
      <c r="R778">
        <v>3595.38142441012</v>
      </c>
      <c r="T778">
        <v>0</v>
      </c>
      <c r="U778">
        <v>0</v>
      </c>
    </row>
    <row r="779" spans="1:21" x14ac:dyDescent="0.35">
      <c r="A779" t="s">
        <v>155</v>
      </c>
      <c r="B779" t="s">
        <v>40</v>
      </c>
      <c r="C779">
        <v>45602.3</v>
      </c>
      <c r="D779">
        <v>-9.355973369007101</v>
      </c>
      <c r="F779">
        <v>21794.11</v>
      </c>
      <c r="G779">
        <v>7502.5523747752904</v>
      </c>
      <c r="H779">
        <v>7502.5523747752904</v>
      </c>
      <c r="K779">
        <v>-2.7451340144369949</v>
      </c>
      <c r="M779">
        <v>0</v>
      </c>
      <c r="N779">
        <v>0</v>
      </c>
      <c r="Q779">
        <v>-1.4603397129986451</v>
      </c>
      <c r="R779">
        <v>-10956.27518173665</v>
      </c>
      <c r="T779">
        <v>0</v>
      </c>
      <c r="U779">
        <v>0</v>
      </c>
    </row>
    <row r="780" spans="1:21" x14ac:dyDescent="0.35">
      <c r="A780" t="s">
        <v>155</v>
      </c>
      <c r="B780" t="s">
        <v>41</v>
      </c>
      <c r="C780">
        <v>45408.4</v>
      </c>
      <c r="D780">
        <v>-9.0098545713120011</v>
      </c>
      <c r="F780">
        <v>18972.07</v>
      </c>
      <c r="G780">
        <v>-3571.395125890052</v>
      </c>
      <c r="H780">
        <v>-3571.395125890052</v>
      </c>
      <c r="K780">
        <v>-9.355973369007101</v>
      </c>
      <c r="M780">
        <v>0</v>
      </c>
      <c r="N780">
        <v>0</v>
      </c>
      <c r="Q780">
        <v>-1.2720259950430071</v>
      </c>
      <c r="R780">
        <v>4542.9074387020382</v>
      </c>
      <c r="T780">
        <v>0</v>
      </c>
      <c r="U780">
        <v>0</v>
      </c>
    </row>
    <row r="781" spans="1:21" x14ac:dyDescent="0.35">
      <c r="A781" t="s">
        <v>155</v>
      </c>
      <c r="B781" t="s">
        <v>42</v>
      </c>
      <c r="C781">
        <v>45842.7</v>
      </c>
      <c r="D781">
        <v>-8.3936919390697522</v>
      </c>
      <c r="F781">
        <v>14507.25</v>
      </c>
      <c r="G781">
        <v>-4886.0951899900501</v>
      </c>
      <c r="H781">
        <v>-4886.0951899900501</v>
      </c>
      <c r="K781">
        <v>-9.0098545713120011</v>
      </c>
      <c r="M781">
        <v>0</v>
      </c>
      <c r="N781">
        <v>0</v>
      </c>
      <c r="Q781">
        <v>-8.2153277278216391E-2</v>
      </c>
      <c r="R781">
        <v>401.40873295101198</v>
      </c>
      <c r="T781">
        <v>0</v>
      </c>
      <c r="U781">
        <v>0</v>
      </c>
    </row>
    <row r="782" spans="1:21" x14ac:dyDescent="0.35">
      <c r="A782" t="s">
        <v>155</v>
      </c>
      <c r="B782" t="s">
        <v>43</v>
      </c>
      <c r="C782">
        <v>45518.3</v>
      </c>
      <c r="D782">
        <v>-6.9039884439907357</v>
      </c>
      <c r="F782">
        <v>18951.79</v>
      </c>
      <c r="G782">
        <v>3701.552958534176</v>
      </c>
      <c r="H782">
        <v>3701.552958534176</v>
      </c>
      <c r="K782">
        <v>-8.3936919390697522</v>
      </c>
      <c r="M782">
        <v>0</v>
      </c>
      <c r="N782">
        <v>0</v>
      </c>
      <c r="Q782">
        <v>1.3283620587279359</v>
      </c>
      <c r="R782">
        <v>4917.0025084889376</v>
      </c>
      <c r="T782">
        <v>0</v>
      </c>
      <c r="U782">
        <v>0</v>
      </c>
    </row>
    <row r="783" spans="1:21" x14ac:dyDescent="0.35">
      <c r="A783" t="s">
        <v>155</v>
      </c>
      <c r="B783" t="s">
        <v>44</v>
      </c>
      <c r="C783">
        <v>45914.2</v>
      </c>
      <c r="D783">
        <v>0.68162835689005641</v>
      </c>
      <c r="F783">
        <v>19711.91</v>
      </c>
      <c r="G783">
        <v>-36.739168690150109</v>
      </c>
      <c r="H783">
        <v>-36.739168690150109</v>
      </c>
      <c r="K783">
        <v>-6.9039884439907357</v>
      </c>
      <c r="M783">
        <v>0</v>
      </c>
      <c r="N783">
        <v>0</v>
      </c>
      <c r="Q783">
        <v>1.1288768521043611</v>
      </c>
      <c r="R783">
        <v>-41.473997099867738</v>
      </c>
      <c r="T783">
        <v>0</v>
      </c>
      <c r="U783">
        <v>0</v>
      </c>
    </row>
    <row r="784" spans="1:21" x14ac:dyDescent="0.35">
      <c r="A784" t="s">
        <v>155</v>
      </c>
      <c r="B784" t="s">
        <v>45</v>
      </c>
      <c r="C784">
        <v>47228.7</v>
      </c>
      <c r="D784">
        <v>3.930464869168405</v>
      </c>
      <c r="F784">
        <v>21449.03</v>
      </c>
      <c r="G784">
        <v>1198.9148978520791</v>
      </c>
      <c r="H784">
        <v>1198.9148978520791</v>
      </c>
      <c r="K784">
        <v>0.68162835689005641</v>
      </c>
      <c r="M784">
        <v>0</v>
      </c>
      <c r="N784">
        <v>0</v>
      </c>
      <c r="Q784">
        <v>0.44036245811646829</v>
      </c>
      <c r="R784">
        <v>527.95711149059593</v>
      </c>
      <c r="T784">
        <v>0</v>
      </c>
      <c r="U784">
        <v>0</v>
      </c>
    </row>
    <row r="785" spans="1:21" x14ac:dyDescent="0.35">
      <c r="A785" t="s">
        <v>155</v>
      </c>
      <c r="B785" t="s">
        <v>46</v>
      </c>
      <c r="C785">
        <v>46996.3</v>
      </c>
      <c r="D785">
        <v>2.4852904011476888</v>
      </c>
      <c r="F785">
        <v>19653.439999999999</v>
      </c>
      <c r="G785">
        <v>-2226.0035218636149</v>
      </c>
      <c r="H785">
        <v>-2226.0035218636149</v>
      </c>
      <c r="K785">
        <v>3.930464869168405</v>
      </c>
      <c r="M785">
        <v>0</v>
      </c>
      <c r="N785">
        <v>0</v>
      </c>
      <c r="Q785">
        <v>-5.2102394283772953E-2</v>
      </c>
      <c r="R785">
        <v>115.9801131732053</v>
      </c>
      <c r="T785">
        <v>0</v>
      </c>
      <c r="U785">
        <v>0</v>
      </c>
    </row>
    <row r="786" spans="1:21" x14ac:dyDescent="0.35">
      <c r="A786" t="s">
        <v>155</v>
      </c>
      <c r="B786" t="s">
        <v>47</v>
      </c>
      <c r="C786">
        <v>48007.9</v>
      </c>
      <c r="D786">
        <v>5.3251137799626456</v>
      </c>
      <c r="F786">
        <v>14901.64</v>
      </c>
      <c r="G786">
        <v>-5163.8778878903649</v>
      </c>
      <c r="H786">
        <v>-5163.8778878903649</v>
      </c>
      <c r="K786">
        <v>2.4852904011476888</v>
      </c>
      <c r="M786">
        <v>0</v>
      </c>
      <c r="N786">
        <v>0</v>
      </c>
      <c r="Q786">
        <v>0.14376859840774781</v>
      </c>
      <c r="R786">
        <v>-742.40348629075902</v>
      </c>
      <c r="T786">
        <v>0</v>
      </c>
      <c r="U786">
        <v>0</v>
      </c>
    </row>
    <row r="787" spans="1:21" x14ac:dyDescent="0.35">
      <c r="A787" t="s">
        <v>155</v>
      </c>
      <c r="B787" t="s">
        <v>48</v>
      </c>
      <c r="C787">
        <v>48209.8</v>
      </c>
      <c r="D787">
        <v>4.8787882478271749</v>
      </c>
      <c r="F787">
        <v>13397.83</v>
      </c>
      <c r="G787">
        <v>-2196.1557660518852</v>
      </c>
      <c r="H787">
        <v>-2196.1557660518852</v>
      </c>
      <c r="K787">
        <v>5.3251137799626456</v>
      </c>
      <c r="M787">
        <v>0</v>
      </c>
      <c r="N787">
        <v>0</v>
      </c>
      <c r="Q787">
        <v>0.26963303118807541</v>
      </c>
      <c r="R787">
        <v>-592.15613616173937</v>
      </c>
      <c r="T787">
        <v>0</v>
      </c>
      <c r="U787">
        <v>0</v>
      </c>
    </row>
    <row r="788" spans="1:21" x14ac:dyDescent="0.35">
      <c r="A788" t="s">
        <v>155</v>
      </c>
      <c r="B788" t="s">
        <v>49</v>
      </c>
      <c r="C788">
        <v>48090.1</v>
      </c>
      <c r="D788">
        <v>1.8074576070849171</v>
      </c>
      <c r="F788">
        <v>14121</v>
      </c>
      <c r="G788">
        <v>-273.04318602130661</v>
      </c>
      <c r="H788">
        <v>-273.04318602130661</v>
      </c>
      <c r="K788">
        <v>4.8787882478271749</v>
      </c>
      <c r="M788">
        <v>0</v>
      </c>
      <c r="N788">
        <v>0</v>
      </c>
      <c r="Q788">
        <v>0.37314514557310768</v>
      </c>
      <c r="R788">
        <v>-101.8847393956656</v>
      </c>
      <c r="T788">
        <v>0</v>
      </c>
      <c r="U788">
        <v>0</v>
      </c>
    </row>
    <row r="789" spans="1:21" x14ac:dyDescent="0.35">
      <c r="A789" t="s">
        <v>155</v>
      </c>
      <c r="B789" t="s">
        <v>50</v>
      </c>
      <c r="C789">
        <v>48149.1</v>
      </c>
      <c r="D789">
        <v>2.423357127370616</v>
      </c>
      <c r="F789">
        <v>20227.560000000001</v>
      </c>
      <c r="G789">
        <v>5061.6006823259177</v>
      </c>
      <c r="H789">
        <v>5061.6006823259177</v>
      </c>
      <c r="K789">
        <v>1.8074576070849171</v>
      </c>
      <c r="M789">
        <v>0</v>
      </c>
      <c r="N789">
        <v>0</v>
      </c>
      <c r="Q789">
        <v>-0.35272141613040142</v>
      </c>
      <c r="R789">
        <v>-1785.3349605566029</v>
      </c>
      <c r="T789">
        <v>0</v>
      </c>
      <c r="U789">
        <v>0</v>
      </c>
    </row>
    <row r="790" spans="1:21" x14ac:dyDescent="0.35">
      <c r="A790" t="s">
        <v>155</v>
      </c>
      <c r="B790" t="s">
        <v>51</v>
      </c>
      <c r="C790">
        <v>48196.4</v>
      </c>
      <c r="D790">
        <v>0.39187487716536901</v>
      </c>
      <c r="F790">
        <v>19436.98</v>
      </c>
      <c r="G790">
        <v>-1556.8530311641989</v>
      </c>
      <c r="H790">
        <v>-1556.8530311641989</v>
      </c>
      <c r="K790">
        <v>2.423357127370616</v>
      </c>
      <c r="M790">
        <v>0</v>
      </c>
      <c r="N790">
        <v>0</v>
      </c>
      <c r="Q790">
        <v>-0.62931600166596691</v>
      </c>
      <c r="R790">
        <v>979.75252475379466</v>
      </c>
      <c r="T790">
        <v>0</v>
      </c>
      <c r="U790">
        <v>0</v>
      </c>
    </row>
    <row r="791" spans="1:21" x14ac:dyDescent="0.35">
      <c r="A791" t="s">
        <v>155</v>
      </c>
      <c r="B791" t="s">
        <v>52</v>
      </c>
      <c r="C791">
        <v>47902.400000000001</v>
      </c>
      <c r="D791">
        <v>-0.63967123462002207</v>
      </c>
      <c r="F791">
        <v>18629.88</v>
      </c>
      <c r="G791">
        <v>-1290.561426222474</v>
      </c>
      <c r="H791">
        <v>-1290.561426222474</v>
      </c>
      <c r="K791">
        <v>0.39187487716536901</v>
      </c>
      <c r="M791">
        <v>0</v>
      </c>
      <c r="N791">
        <v>0</v>
      </c>
      <c r="Q791">
        <v>-0.25279687608602741</v>
      </c>
      <c r="R791">
        <v>326.24989694616937</v>
      </c>
      <c r="T791">
        <v>0</v>
      </c>
      <c r="U791">
        <v>0</v>
      </c>
    </row>
    <row r="792" spans="1:21" x14ac:dyDescent="0.35">
      <c r="A792" t="s">
        <v>155</v>
      </c>
      <c r="B792" t="s">
        <v>53</v>
      </c>
      <c r="C792">
        <v>47400.2</v>
      </c>
      <c r="D792">
        <v>-1.444988662039127</v>
      </c>
      <c r="F792">
        <v>36827.879999999997</v>
      </c>
      <c r="G792">
        <v>17641.959197543922</v>
      </c>
      <c r="H792">
        <v>17641.959197543922</v>
      </c>
      <c r="K792">
        <v>-0.63967123462002207</v>
      </c>
      <c r="M792">
        <v>0</v>
      </c>
      <c r="N792">
        <v>0</v>
      </c>
      <c r="Q792">
        <v>-0.44984784149564461</v>
      </c>
      <c r="R792">
        <v>-7936.1972647693647</v>
      </c>
      <c r="T792">
        <v>0</v>
      </c>
      <c r="U792">
        <v>0</v>
      </c>
    </row>
    <row r="793" spans="1:21" x14ac:dyDescent="0.35">
      <c r="A793" t="s">
        <v>155</v>
      </c>
      <c r="B793" t="s">
        <v>54</v>
      </c>
      <c r="C793">
        <v>47233.1</v>
      </c>
      <c r="D793">
        <v>-1.9207528478450719</v>
      </c>
      <c r="F793">
        <v>25945.24</v>
      </c>
      <c r="G793">
        <v>-10760.52865517087</v>
      </c>
      <c r="H793">
        <v>-10760.52865517087</v>
      </c>
      <c r="K793">
        <v>-1.444988662039127</v>
      </c>
      <c r="M793">
        <v>0</v>
      </c>
      <c r="N793">
        <v>0</v>
      </c>
      <c r="Q793">
        <v>0.1014246042452151</v>
      </c>
      <c r="R793">
        <v>-1091.382360320003</v>
      </c>
      <c r="T793">
        <v>0</v>
      </c>
      <c r="U793">
        <v>0</v>
      </c>
    </row>
    <row r="794" spans="1:21" x14ac:dyDescent="0.35">
      <c r="A794" t="s">
        <v>155</v>
      </c>
      <c r="B794" t="s">
        <v>55</v>
      </c>
      <c r="C794">
        <v>47175</v>
      </c>
      <c r="D794">
        <v>-2.1420238215913181</v>
      </c>
      <c r="F794">
        <v>38752.269999999997</v>
      </c>
      <c r="G794">
        <v>13434.743327128041</v>
      </c>
      <c r="H794">
        <v>13434.743327128041</v>
      </c>
      <c r="K794">
        <v>-1.9207528478450719</v>
      </c>
      <c r="M794">
        <v>0</v>
      </c>
      <c r="N794">
        <v>0</v>
      </c>
      <c r="Q794">
        <v>-0.1023715941074996</v>
      </c>
      <c r="R794">
        <v>-1375.3360908231909</v>
      </c>
      <c r="T794">
        <v>0</v>
      </c>
      <c r="U794">
        <v>0</v>
      </c>
    </row>
    <row r="795" spans="1:21" x14ac:dyDescent="0.35">
      <c r="A795" t="s">
        <v>155</v>
      </c>
      <c r="B795" t="s">
        <v>56</v>
      </c>
      <c r="C795">
        <v>46765.8</v>
      </c>
      <c r="D795">
        <v>-2.4013440994976909</v>
      </c>
      <c r="F795">
        <v>31598.92</v>
      </c>
      <c r="G795">
        <v>-6578.8883624478913</v>
      </c>
      <c r="H795">
        <v>-6578.8883624478913</v>
      </c>
      <c r="K795">
        <v>-2.1420238215913181</v>
      </c>
      <c r="M795">
        <v>0</v>
      </c>
      <c r="N795">
        <v>0</v>
      </c>
      <c r="Q795">
        <v>-0.2737456821685994</v>
      </c>
      <c r="R795">
        <v>1800.9422826893581</v>
      </c>
      <c r="T795">
        <v>0</v>
      </c>
      <c r="U795">
        <v>0</v>
      </c>
    </row>
    <row r="796" spans="1:21" x14ac:dyDescent="0.35">
      <c r="A796" t="s">
        <v>155</v>
      </c>
      <c r="B796" t="s">
        <v>57</v>
      </c>
      <c r="C796">
        <v>46974</v>
      </c>
      <c r="D796">
        <v>-0.90321909475796769</v>
      </c>
      <c r="F796">
        <v>14113.9</v>
      </c>
      <c r="G796">
        <v>-16534.748271214699</v>
      </c>
      <c r="H796">
        <v>-16534.748271214699</v>
      </c>
      <c r="K796">
        <v>-2.4013440994976909</v>
      </c>
      <c r="M796">
        <v>0</v>
      </c>
      <c r="N796">
        <v>0</v>
      </c>
      <c r="Q796">
        <v>0.32639341217151729</v>
      </c>
      <c r="R796">
        <v>-5396.8329076388618</v>
      </c>
      <c r="T796">
        <v>0</v>
      </c>
      <c r="U796">
        <v>0</v>
      </c>
    </row>
    <row r="797" spans="1:21" x14ac:dyDescent="0.35">
      <c r="A797" t="s">
        <v>155</v>
      </c>
      <c r="B797" t="s">
        <v>58</v>
      </c>
      <c r="C797">
        <v>47099.1</v>
      </c>
      <c r="D797">
        <v>-0.28410254426570902</v>
      </c>
      <c r="F797">
        <v>15802.53</v>
      </c>
      <c r="G797">
        <v>1579.518846364859</v>
      </c>
      <c r="H797">
        <v>1579.518846364859</v>
      </c>
      <c r="K797">
        <v>-0.90321909475796769</v>
      </c>
      <c r="M797">
        <v>0</v>
      </c>
      <c r="N797">
        <v>0</v>
      </c>
      <c r="Q797">
        <v>0.49193158393283892</v>
      </c>
      <c r="R797">
        <v>777.01520794403552</v>
      </c>
      <c r="T797">
        <v>0</v>
      </c>
      <c r="U797">
        <v>0</v>
      </c>
    </row>
    <row r="798" spans="1:21" x14ac:dyDescent="0.35">
      <c r="A798" t="s">
        <v>155</v>
      </c>
      <c r="B798" t="s">
        <v>59</v>
      </c>
      <c r="C798">
        <v>47016</v>
      </c>
      <c r="D798">
        <v>-0.33761219442645912</v>
      </c>
      <c r="F798">
        <v>18492.009999999998</v>
      </c>
      <c r="G798">
        <v>1747.8482793999319</v>
      </c>
      <c r="H798">
        <v>1747.8482793999319</v>
      </c>
      <c r="K798">
        <v>-0.28410254426570902</v>
      </c>
      <c r="M798">
        <v>0</v>
      </c>
      <c r="N798">
        <v>0</v>
      </c>
      <c r="Q798">
        <v>0.73583906799649779</v>
      </c>
      <c r="R798">
        <v>1286.1350489129279</v>
      </c>
      <c r="T798">
        <v>0</v>
      </c>
      <c r="U798">
        <v>0</v>
      </c>
    </row>
    <row r="799" spans="1:21" x14ac:dyDescent="0.35">
      <c r="A799" t="s">
        <v>155</v>
      </c>
      <c r="B799" t="s">
        <v>60</v>
      </c>
      <c r="C799">
        <v>46613.9</v>
      </c>
      <c r="D799">
        <v>-0.32533866350484941</v>
      </c>
      <c r="F799">
        <v>19536.86</v>
      </c>
      <c r="G799">
        <v>296.42782514671848</v>
      </c>
      <c r="H799">
        <v>296.42782514671848</v>
      </c>
      <c r="K799">
        <v>-0.33761219442645912</v>
      </c>
      <c r="M799">
        <v>0</v>
      </c>
      <c r="N799">
        <v>0</v>
      </c>
      <c r="Q799">
        <v>0.62723651975329642</v>
      </c>
      <c r="R799">
        <v>185.93035740306641</v>
      </c>
      <c r="T799">
        <v>0</v>
      </c>
      <c r="U799">
        <v>0</v>
      </c>
    </row>
    <row r="800" spans="1:21" x14ac:dyDescent="0.35">
      <c r="A800" t="s">
        <v>155</v>
      </c>
      <c r="B800" t="s">
        <v>61</v>
      </c>
      <c r="C800">
        <v>46705</v>
      </c>
      <c r="D800">
        <v>-0.57430318290200966</v>
      </c>
      <c r="F800">
        <v>20086.099999999999</v>
      </c>
      <c r="G800">
        <v>-19.53534989586478</v>
      </c>
      <c r="H800">
        <v>-19.53534989586478</v>
      </c>
      <c r="K800">
        <v>-0.32533866350484941</v>
      </c>
      <c r="M800">
        <v>0</v>
      </c>
      <c r="N800">
        <v>0</v>
      </c>
      <c r="Q800">
        <v>0.65814978727284401</v>
      </c>
      <c r="R800">
        <v>-12.857186378263981</v>
      </c>
      <c r="T800">
        <v>0</v>
      </c>
      <c r="U800">
        <v>0</v>
      </c>
    </row>
    <row r="801" spans="1:22" x14ac:dyDescent="0.35">
      <c r="A801" t="s">
        <v>155</v>
      </c>
      <c r="B801" t="s">
        <v>62</v>
      </c>
      <c r="C801">
        <v>46842.6</v>
      </c>
      <c r="D801">
        <v>-0.54608472578292744</v>
      </c>
      <c r="F801">
        <v>14211.19</v>
      </c>
      <c r="G801">
        <v>-6368.2256188433221</v>
      </c>
      <c r="H801">
        <v>-6368.2256188433221</v>
      </c>
      <c r="K801">
        <v>-0.57430318290200966</v>
      </c>
      <c r="M801">
        <v>0</v>
      </c>
      <c r="N801">
        <v>0</v>
      </c>
      <c r="Q801">
        <v>0.52965390098050946</v>
      </c>
      <c r="R801">
        <v>-3372.955541344385</v>
      </c>
      <c r="T801">
        <v>0</v>
      </c>
      <c r="U801">
        <v>0</v>
      </c>
    </row>
    <row r="802" spans="1:22" x14ac:dyDescent="0.35">
      <c r="A802" t="s">
        <v>155</v>
      </c>
      <c r="B802" t="s">
        <v>63</v>
      </c>
      <c r="C802">
        <v>46794.400000000001</v>
      </c>
      <c r="D802">
        <v>-0.47244316660102992</v>
      </c>
      <c r="F802">
        <v>17252.02</v>
      </c>
      <c r="G802">
        <v>2343.4323165346868</v>
      </c>
      <c r="H802">
        <v>2343.4323165346868</v>
      </c>
      <c r="K802">
        <v>-0.54608472578292744</v>
      </c>
      <c r="M802">
        <v>0</v>
      </c>
      <c r="N802">
        <v>0</v>
      </c>
      <c r="Q802">
        <v>0.4900293855552974</v>
      </c>
      <c r="R802">
        <v>1148.35069816192</v>
      </c>
      <c r="T802">
        <v>0</v>
      </c>
      <c r="U802">
        <v>0</v>
      </c>
    </row>
    <row r="803" spans="1:22" x14ac:dyDescent="0.35">
      <c r="A803" t="s">
        <v>155</v>
      </c>
      <c r="B803" t="s">
        <v>64</v>
      </c>
      <c r="C803">
        <v>46408.3</v>
      </c>
      <c r="D803">
        <v>-0.44204573702367839</v>
      </c>
      <c r="E803">
        <v>-0.39022586343569138</v>
      </c>
      <c r="F803">
        <v>29838.2</v>
      </c>
      <c r="G803">
        <v>11706.8741061117</v>
      </c>
      <c r="H803">
        <v>11706.8741061117</v>
      </c>
      <c r="I803">
        <v>-3.3205128918031281</v>
      </c>
      <c r="J803">
        <v>1.3039846081124189E-3</v>
      </c>
      <c r="K803">
        <v>-0.47244316660102992</v>
      </c>
      <c r="L803">
        <v>15.2655836434795</v>
      </c>
      <c r="M803">
        <v>0</v>
      </c>
      <c r="N803">
        <v>0</v>
      </c>
      <c r="O803">
        <v>0</v>
      </c>
      <c r="P803">
        <v>0</v>
      </c>
      <c r="Q803">
        <v>0.24993671887184041</v>
      </c>
      <c r="R803">
        <v>2925.9777023272682</v>
      </c>
      <c r="S803">
        <v>3.8154298875148989</v>
      </c>
      <c r="T803">
        <v>0</v>
      </c>
      <c r="U803">
        <v>0</v>
      </c>
      <c r="V803">
        <v>0</v>
      </c>
    </row>
    <row r="804" spans="1:22" x14ac:dyDescent="0.35">
      <c r="A804" t="s">
        <v>155</v>
      </c>
      <c r="B804" t="s">
        <v>65</v>
      </c>
      <c r="C804">
        <v>47078.5</v>
      </c>
      <c r="D804">
        <v>0.79651958970004078</v>
      </c>
      <c r="E804">
        <v>0.15027501356869619</v>
      </c>
      <c r="F804">
        <v>25360.74</v>
      </c>
      <c r="G804">
        <v>-4702.6314541169268</v>
      </c>
      <c r="H804">
        <v>-4702.6314541169268</v>
      </c>
      <c r="I804">
        <v>-1.5876177815786729</v>
      </c>
      <c r="J804">
        <v>4.0108361869037941E-2</v>
      </c>
      <c r="K804">
        <v>-0.44204573702367839</v>
      </c>
      <c r="L804">
        <v>-188.61484409844181</v>
      </c>
      <c r="M804">
        <v>0</v>
      </c>
      <c r="N804">
        <v>0</v>
      </c>
      <c r="O804">
        <v>0</v>
      </c>
      <c r="P804">
        <v>0</v>
      </c>
      <c r="Q804">
        <v>-5.7611074526499169E-2</v>
      </c>
      <c r="R804">
        <v>270.92365117378938</v>
      </c>
      <c r="S804">
        <v>10.86630384015935</v>
      </c>
      <c r="T804">
        <v>0</v>
      </c>
      <c r="U804">
        <v>0</v>
      </c>
      <c r="V804">
        <v>0</v>
      </c>
    </row>
    <row r="805" spans="1:22" x14ac:dyDescent="0.35">
      <c r="A805" t="s">
        <v>155</v>
      </c>
      <c r="B805" t="s">
        <v>66</v>
      </c>
      <c r="C805">
        <v>47035.6</v>
      </c>
      <c r="D805">
        <v>0.41117164987862659</v>
      </c>
      <c r="E805">
        <v>0.53157491995890427</v>
      </c>
      <c r="F805">
        <v>21280.47</v>
      </c>
      <c r="G805">
        <v>-3835.168726222837</v>
      </c>
      <c r="H805">
        <v>-3835.168726222837</v>
      </c>
      <c r="I805">
        <v>-0.3651355037057547</v>
      </c>
      <c r="J805">
        <v>0.32513525952422978</v>
      </c>
      <c r="K805">
        <v>0.79651958970004078</v>
      </c>
      <c r="L805">
        <v>-1246.9485791196721</v>
      </c>
      <c r="M805">
        <v>0</v>
      </c>
      <c r="N805">
        <v>0</v>
      </c>
      <c r="O805">
        <v>0</v>
      </c>
      <c r="P805">
        <v>0</v>
      </c>
      <c r="Q805">
        <v>-0.43494893144090141</v>
      </c>
      <c r="R805">
        <v>1668.102539366186</v>
      </c>
      <c r="S805">
        <v>542.35895204985172</v>
      </c>
      <c r="T805">
        <v>0</v>
      </c>
      <c r="U805">
        <v>0</v>
      </c>
      <c r="V805">
        <v>0</v>
      </c>
    </row>
    <row r="806" spans="1:22" x14ac:dyDescent="0.35">
      <c r="A806" t="s">
        <v>155</v>
      </c>
      <c r="B806" t="s">
        <v>67</v>
      </c>
      <c r="C806">
        <v>47305.5</v>
      </c>
      <c r="D806">
        <v>1.0863030163428711</v>
      </c>
      <c r="E806">
        <v>0.56936520652200251</v>
      </c>
      <c r="F806">
        <v>18517.900000000001</v>
      </c>
      <c r="G806">
        <v>-2909.1155667876369</v>
      </c>
      <c r="H806">
        <v>-2909.1155667876369</v>
      </c>
      <c r="I806">
        <v>-0.2439763981699421</v>
      </c>
      <c r="J806">
        <v>0.3803759549647977</v>
      </c>
      <c r="K806">
        <v>0.41117164987862659</v>
      </c>
      <c r="L806">
        <v>-1106.557611819806</v>
      </c>
      <c r="M806">
        <v>0</v>
      </c>
      <c r="N806">
        <v>0</v>
      </c>
      <c r="O806">
        <v>0</v>
      </c>
      <c r="P806">
        <v>0</v>
      </c>
      <c r="Q806">
        <v>-0.36582701323540417</v>
      </c>
      <c r="R806">
        <v>1064.2330589545411</v>
      </c>
      <c r="S806">
        <v>404.80866610494149</v>
      </c>
      <c r="T806">
        <v>0</v>
      </c>
      <c r="U806">
        <v>0</v>
      </c>
      <c r="V806">
        <v>0</v>
      </c>
    </row>
    <row r="807" spans="1:22" x14ac:dyDescent="0.35">
      <c r="A807" t="s">
        <v>155</v>
      </c>
      <c r="B807" t="s">
        <v>68</v>
      </c>
      <c r="C807">
        <v>47856.9</v>
      </c>
      <c r="D807">
        <v>3.0736985584453289</v>
      </c>
      <c r="E807">
        <v>0.6081697135823888</v>
      </c>
      <c r="F807">
        <v>22826.080000000002</v>
      </c>
      <c r="G807">
        <v>3842.526243353896</v>
      </c>
      <c r="H807">
        <v>3842.526243353896</v>
      </c>
      <c r="I807">
        <v>-0.1195656092137794</v>
      </c>
      <c r="J807">
        <v>0.44050045938825511</v>
      </c>
      <c r="K807">
        <v>1.0863030163428711</v>
      </c>
      <c r="L807">
        <v>1692.634575408817</v>
      </c>
      <c r="M807">
        <v>0</v>
      </c>
      <c r="N807">
        <v>0</v>
      </c>
      <c r="O807">
        <v>0</v>
      </c>
      <c r="P807">
        <v>0</v>
      </c>
      <c r="Q807">
        <v>-0.34310314744503762</v>
      </c>
      <c r="R807">
        <v>-1318.3828482348781</v>
      </c>
      <c r="S807">
        <v>-580.74825029706005</v>
      </c>
      <c r="T807">
        <v>0</v>
      </c>
      <c r="U807">
        <v>0</v>
      </c>
      <c r="V807">
        <v>0</v>
      </c>
    </row>
    <row r="808" spans="1:22" x14ac:dyDescent="0.35">
      <c r="A808" t="s">
        <v>155</v>
      </c>
      <c r="B808" t="s">
        <v>69</v>
      </c>
      <c r="C808">
        <v>47847</v>
      </c>
      <c r="D808">
        <v>1.619199878691421</v>
      </c>
      <c r="E808">
        <v>0.62813997339812444</v>
      </c>
      <c r="F808">
        <v>18513.21</v>
      </c>
      <c r="G808">
        <v>-4750.2373136210626</v>
      </c>
      <c r="H808">
        <v>-4750.2373136210626</v>
      </c>
      <c r="I808">
        <v>-5.553913477695939E-2</v>
      </c>
      <c r="J808">
        <v>0.47225895005358609</v>
      </c>
      <c r="K808">
        <v>3.0736985584453289</v>
      </c>
      <c r="L808">
        <v>-2243.3420862360508</v>
      </c>
      <c r="M808">
        <v>0</v>
      </c>
      <c r="N808">
        <v>0</v>
      </c>
      <c r="O808">
        <v>0</v>
      </c>
      <c r="P808">
        <v>0</v>
      </c>
      <c r="Q808">
        <v>-0.21278257019647859</v>
      </c>
      <c r="R808">
        <v>1010.767704635506</v>
      </c>
      <c r="S808">
        <v>477.34409493923721</v>
      </c>
      <c r="T808">
        <v>0</v>
      </c>
      <c r="U808">
        <v>0</v>
      </c>
      <c r="V808">
        <v>0</v>
      </c>
    </row>
    <row r="809" spans="1:22" x14ac:dyDescent="0.35">
      <c r="A809" t="s">
        <v>155</v>
      </c>
      <c r="B809" t="s">
        <v>70</v>
      </c>
      <c r="C809">
        <v>48368.9</v>
      </c>
      <c r="D809">
        <v>2.7952283407177552</v>
      </c>
      <c r="E809">
        <v>0.62921871406756302</v>
      </c>
      <c r="F809">
        <v>30182.29</v>
      </c>
      <c r="G809">
        <v>11282.735474875861</v>
      </c>
      <c r="H809">
        <v>11282.735474875861</v>
      </c>
      <c r="I809">
        <v>-5.2080593799873801E-2</v>
      </c>
      <c r="J809">
        <v>0.47398322138255811</v>
      </c>
      <c r="K809">
        <v>1.619199878691421</v>
      </c>
      <c r="L809">
        <v>5347.8273063889264</v>
      </c>
      <c r="M809">
        <v>0</v>
      </c>
      <c r="N809">
        <v>0</v>
      </c>
      <c r="O809">
        <v>0</v>
      </c>
      <c r="P809">
        <v>0</v>
      </c>
      <c r="Q809">
        <v>0.72126716019730064</v>
      </c>
      <c r="R809">
        <v>8137.8665752210527</v>
      </c>
      <c r="S809">
        <v>3857.2122145047201</v>
      </c>
      <c r="T809">
        <v>0</v>
      </c>
      <c r="U809">
        <v>0</v>
      </c>
      <c r="V809">
        <v>0</v>
      </c>
    </row>
    <row r="810" spans="1:22" x14ac:dyDescent="0.35">
      <c r="A810" t="s">
        <v>155</v>
      </c>
      <c r="B810" t="s">
        <v>71</v>
      </c>
      <c r="C810">
        <v>48586</v>
      </c>
      <c r="D810">
        <v>2.670885575612405</v>
      </c>
      <c r="E810">
        <v>0.64884289376424131</v>
      </c>
      <c r="F810">
        <v>32031.3</v>
      </c>
      <c r="G810">
        <v>1702.312279079182</v>
      </c>
      <c r="H810">
        <v>1702.312279079182</v>
      </c>
      <c r="I810">
        <v>1.0836316209624259E-2</v>
      </c>
      <c r="J810">
        <v>0.50541794603768175</v>
      </c>
      <c r="K810">
        <v>2.7952283407177552</v>
      </c>
      <c r="L810">
        <v>860.37917560692517</v>
      </c>
      <c r="M810">
        <v>0</v>
      </c>
      <c r="N810">
        <v>0</v>
      </c>
      <c r="O810">
        <v>0</v>
      </c>
      <c r="P810">
        <v>0</v>
      </c>
      <c r="Q810">
        <v>0.67727676323416341</v>
      </c>
      <c r="R810">
        <v>1152.9365503885199</v>
      </c>
      <c r="S810">
        <v>582.71482320913617</v>
      </c>
      <c r="T810">
        <v>0</v>
      </c>
      <c r="U810">
        <v>0</v>
      </c>
      <c r="V810">
        <v>0</v>
      </c>
    </row>
    <row r="811" spans="1:22" x14ac:dyDescent="0.35">
      <c r="A811" t="s">
        <v>155</v>
      </c>
      <c r="B811" t="s">
        <v>72</v>
      </c>
      <c r="C811">
        <v>49057.9</v>
      </c>
      <c r="D811">
        <v>2.4785925055279892</v>
      </c>
      <c r="E811">
        <v>0.85328541309769135</v>
      </c>
      <c r="F811">
        <v>29910.11</v>
      </c>
      <c r="G811">
        <v>-1594.595393211242</v>
      </c>
      <c r="H811">
        <v>-1594.595393211242</v>
      </c>
      <c r="I811">
        <v>0.66629768019188518</v>
      </c>
      <c r="J811">
        <v>0.79126961377572702</v>
      </c>
      <c r="K811">
        <v>2.670885575612405</v>
      </c>
      <c r="L811">
        <v>-1261.7548809148129</v>
      </c>
      <c r="M811">
        <v>0</v>
      </c>
      <c r="N811">
        <v>0</v>
      </c>
      <c r="O811">
        <v>0</v>
      </c>
      <c r="P811">
        <v>0</v>
      </c>
      <c r="Q811">
        <v>0.94661641718932787</v>
      </c>
      <c r="R811">
        <v>-1509.4701779882339</v>
      </c>
      <c r="S811">
        <v>-1194.3978847427279</v>
      </c>
      <c r="T811">
        <v>0</v>
      </c>
      <c r="U811">
        <v>0</v>
      </c>
      <c r="V811">
        <v>0</v>
      </c>
    </row>
    <row r="812" spans="1:22" x14ac:dyDescent="0.35">
      <c r="A812" t="s">
        <v>155</v>
      </c>
      <c r="B812" t="s">
        <v>73</v>
      </c>
      <c r="C812">
        <v>49703</v>
      </c>
      <c r="D812">
        <v>3.8056873445171799</v>
      </c>
      <c r="E812">
        <v>0.82101751844928228</v>
      </c>
      <c r="F812">
        <v>16514.349999999999</v>
      </c>
      <c r="G812">
        <v>-12857.951240235971</v>
      </c>
      <c r="H812">
        <v>-12857.951240235971</v>
      </c>
      <c r="I812">
        <v>0.56284386682645005</v>
      </c>
      <c r="J812">
        <v>0.75504220790436882</v>
      </c>
      <c r="K812">
        <v>2.4785925055279892</v>
      </c>
      <c r="L812">
        <v>-9708.295893554483</v>
      </c>
      <c r="M812">
        <v>0</v>
      </c>
      <c r="N812">
        <v>0</v>
      </c>
      <c r="O812">
        <v>0</v>
      </c>
      <c r="P812">
        <v>0</v>
      </c>
      <c r="Q812">
        <v>0.95076477714732432</v>
      </c>
      <c r="R812">
        <v>-12224.887145494111</v>
      </c>
      <c r="S812">
        <v>-9230.3057817156114</v>
      </c>
      <c r="T812">
        <v>0</v>
      </c>
      <c r="U812">
        <v>0</v>
      </c>
      <c r="V812">
        <v>0</v>
      </c>
    </row>
    <row r="813" spans="1:22" x14ac:dyDescent="0.35">
      <c r="A813" t="s">
        <v>155</v>
      </c>
      <c r="B813" t="s">
        <v>74</v>
      </c>
      <c r="C813">
        <v>49935.4</v>
      </c>
      <c r="D813">
        <v>3.1873124868866349</v>
      </c>
      <c r="E813">
        <v>0.55441269825006712</v>
      </c>
      <c r="F813">
        <v>16325.61</v>
      </c>
      <c r="G813">
        <v>-289.78211110166382</v>
      </c>
      <c r="H813">
        <v>-289.78211110166382</v>
      </c>
      <c r="I813">
        <v>-0.29191550349320178</v>
      </c>
      <c r="J813">
        <v>0.35805155622472351</v>
      </c>
      <c r="K813">
        <v>3.8056873445171799</v>
      </c>
      <c r="L813">
        <v>-103.7569358460364</v>
      </c>
      <c r="M813">
        <v>0</v>
      </c>
      <c r="N813">
        <v>0</v>
      </c>
      <c r="O813">
        <v>0</v>
      </c>
      <c r="P813">
        <v>0</v>
      </c>
      <c r="Q813">
        <v>0.75560868905501355</v>
      </c>
      <c r="R813">
        <v>-218.96188108112241</v>
      </c>
      <c r="S813">
        <v>-78.399642274988722</v>
      </c>
      <c r="T813">
        <v>0</v>
      </c>
      <c r="U813">
        <v>0</v>
      </c>
      <c r="V813">
        <v>0</v>
      </c>
    </row>
    <row r="814" spans="1:22" x14ac:dyDescent="0.35">
      <c r="A814" t="s">
        <v>155</v>
      </c>
      <c r="B814" t="s">
        <v>75</v>
      </c>
      <c r="C814">
        <v>50328.6</v>
      </c>
      <c r="D814">
        <v>3.5238080425810359</v>
      </c>
      <c r="E814">
        <v>0.64890371119837631</v>
      </c>
      <c r="F814">
        <v>28396.560000000001</v>
      </c>
      <c r="G814">
        <v>11273.465479390619</v>
      </c>
      <c r="H814">
        <v>11273.465479390619</v>
      </c>
      <c r="I814">
        <v>1.103130245055885E-2</v>
      </c>
      <c r="J814">
        <v>0.50551542750364342</v>
      </c>
      <c r="K814">
        <v>3.1873124868866349</v>
      </c>
      <c r="L814">
        <v>5698.9107212617146</v>
      </c>
      <c r="M814">
        <v>0</v>
      </c>
      <c r="N814">
        <v>0</v>
      </c>
      <c r="O814">
        <v>0</v>
      </c>
      <c r="P814">
        <v>0</v>
      </c>
      <c r="Q814">
        <v>0.71253404204064785</v>
      </c>
      <c r="R814">
        <v>8032.7279258359076</v>
      </c>
      <c r="S814">
        <v>4060.6678914493941</v>
      </c>
      <c r="T814">
        <v>0</v>
      </c>
      <c r="U814">
        <v>0</v>
      </c>
      <c r="V814">
        <v>0</v>
      </c>
    </row>
    <row r="815" spans="1:22" x14ac:dyDescent="0.35">
      <c r="A815" t="s">
        <v>155</v>
      </c>
      <c r="B815" t="s">
        <v>76</v>
      </c>
      <c r="C815">
        <v>50437.599999999999</v>
      </c>
      <c r="D815">
        <v>2.7735695494707491</v>
      </c>
      <c r="E815">
        <v>0.5621858675941005</v>
      </c>
      <c r="F815">
        <v>13622.16</v>
      </c>
      <c r="G815">
        <v>-15104.230619776299</v>
      </c>
      <c r="H815">
        <v>-15104.230619776299</v>
      </c>
      <c r="I815">
        <v>-0.26699401359317199</v>
      </c>
      <c r="J815">
        <v>0.36958722529984628</v>
      </c>
      <c r="K815">
        <v>3.5238080425810359</v>
      </c>
      <c r="L815">
        <v>-5582.3306850521003</v>
      </c>
      <c r="M815">
        <v>0</v>
      </c>
      <c r="N815">
        <v>0</v>
      </c>
      <c r="O815">
        <v>0</v>
      </c>
      <c r="P815">
        <v>0</v>
      </c>
      <c r="Q815">
        <v>0.55981077105693366</v>
      </c>
      <c r="R815">
        <v>-8455.5109894787165</v>
      </c>
      <c r="S815">
        <v>-3125.0488450937969</v>
      </c>
      <c r="T815">
        <v>0</v>
      </c>
      <c r="U815">
        <v>0</v>
      </c>
      <c r="V815">
        <v>0</v>
      </c>
    </row>
    <row r="816" spans="1:22" x14ac:dyDescent="0.35">
      <c r="A816" t="s">
        <v>155</v>
      </c>
      <c r="B816" t="s">
        <v>77</v>
      </c>
      <c r="C816">
        <v>50338.400000000001</v>
      </c>
      <c r="D816">
        <v>1.270291187846724</v>
      </c>
      <c r="E816">
        <v>0.34362344950477092</v>
      </c>
      <c r="F816">
        <v>25653.23</v>
      </c>
      <c r="G816">
        <v>11737.80673016071</v>
      </c>
      <c r="H816">
        <v>11737.80673016071</v>
      </c>
      <c r="I816">
        <v>-0.96772506084873011</v>
      </c>
      <c r="J816">
        <v>0.12614856025947929</v>
      </c>
      <c r="K816">
        <v>2.7735695494707491</v>
      </c>
      <c r="L816">
        <v>1480.707419613801</v>
      </c>
      <c r="M816">
        <v>0</v>
      </c>
      <c r="N816">
        <v>0</v>
      </c>
      <c r="O816">
        <v>0</v>
      </c>
      <c r="P816">
        <v>0</v>
      </c>
      <c r="Q816">
        <v>0.45606477353429858</v>
      </c>
      <c r="R816">
        <v>5353.2001681801103</v>
      </c>
      <c r="S816">
        <v>675.29849399672355</v>
      </c>
      <c r="T816">
        <v>0</v>
      </c>
      <c r="U816">
        <v>0</v>
      </c>
      <c r="V816">
        <v>0</v>
      </c>
    </row>
    <row r="817" spans="1:22" x14ac:dyDescent="0.35">
      <c r="A817" t="s">
        <v>155</v>
      </c>
      <c r="B817" t="s">
        <v>78</v>
      </c>
      <c r="C817">
        <v>50289.2</v>
      </c>
      <c r="D817">
        <v>0.70601722456553762</v>
      </c>
      <c r="E817">
        <v>-0.36124342683803412</v>
      </c>
      <c r="F817">
        <v>28710.76</v>
      </c>
      <c r="G817">
        <v>2480.1654601144551</v>
      </c>
      <c r="H817">
        <v>2480.1654601144551</v>
      </c>
      <c r="I817">
        <v>-3.22759255661177</v>
      </c>
      <c r="J817">
        <v>1.569879794492665E-3</v>
      </c>
      <c r="K817">
        <v>1.270291187846724</v>
      </c>
      <c r="L817">
        <v>3.893561642832287</v>
      </c>
      <c r="M817">
        <v>0</v>
      </c>
      <c r="N817">
        <v>0</v>
      </c>
      <c r="O817">
        <v>0</v>
      </c>
      <c r="P817">
        <v>0</v>
      </c>
      <c r="Q817">
        <v>0.2015523696393379</v>
      </c>
      <c r="R817">
        <v>499.88322558370709</v>
      </c>
      <c r="S817">
        <v>0.7847565754496808</v>
      </c>
      <c r="T817">
        <v>0</v>
      </c>
      <c r="U817">
        <v>0</v>
      </c>
      <c r="V817">
        <v>0</v>
      </c>
    </row>
    <row r="818" spans="1:22" x14ac:dyDescent="0.35">
      <c r="A818" t="s">
        <v>155</v>
      </c>
      <c r="B818" t="s">
        <v>79</v>
      </c>
      <c r="C818">
        <v>50333.9</v>
      </c>
      <c r="D818">
        <v>1.0530237188437709E-2</v>
      </c>
      <c r="E818">
        <v>0.77555247523006809</v>
      </c>
      <c r="F818">
        <v>26443.05</v>
      </c>
      <c r="G818">
        <v>-2105.371652046339</v>
      </c>
      <c r="H818">
        <v>-2105.371652046339</v>
      </c>
      <c r="I818">
        <v>0.41707879144419452</v>
      </c>
      <c r="J818">
        <v>0.69723331052127335</v>
      </c>
      <c r="K818">
        <v>0.70601722456553762</v>
      </c>
      <c r="L818">
        <v>-1467.9352468339109</v>
      </c>
      <c r="M818">
        <v>0</v>
      </c>
      <c r="N818">
        <v>0</v>
      </c>
      <c r="O818">
        <v>0</v>
      </c>
      <c r="P818">
        <v>0</v>
      </c>
      <c r="Q818">
        <v>-0.50628935069016423</v>
      </c>
      <c r="R818">
        <v>1065.927246676019</v>
      </c>
      <c r="S818">
        <v>743.19998297474683</v>
      </c>
      <c r="T818">
        <v>0</v>
      </c>
      <c r="U818">
        <v>0</v>
      </c>
      <c r="V818">
        <v>0</v>
      </c>
    </row>
    <row r="819" spans="1:22" x14ac:dyDescent="0.35">
      <c r="A819" t="s">
        <v>155</v>
      </c>
      <c r="B819" t="s">
        <v>80</v>
      </c>
      <c r="C819">
        <v>50770.9</v>
      </c>
      <c r="D819">
        <v>0.65864271263190133</v>
      </c>
      <c r="E819">
        <v>0.82277789387702627</v>
      </c>
      <c r="F819">
        <v>36588.019999999997</v>
      </c>
      <c r="G819">
        <v>10374.885475181431</v>
      </c>
      <c r="H819">
        <v>10374.885475181431</v>
      </c>
      <c r="I819">
        <v>0.56848779100989233</v>
      </c>
      <c r="J819">
        <v>0.75712391955646452</v>
      </c>
      <c r="K819">
        <v>1.0530237188437709E-2</v>
      </c>
      <c r="L819">
        <v>7855.0739559187987</v>
      </c>
      <c r="M819">
        <v>0</v>
      </c>
      <c r="N819">
        <v>0</v>
      </c>
      <c r="O819">
        <v>0</v>
      </c>
      <c r="P819">
        <v>0</v>
      </c>
      <c r="Q819">
        <v>-0.1144428864513011</v>
      </c>
      <c r="R819">
        <v>-1187.331840381441</v>
      </c>
      <c r="S819">
        <v>-898.95733680378737</v>
      </c>
      <c r="T819">
        <v>0</v>
      </c>
      <c r="U819">
        <v>0</v>
      </c>
      <c r="V819">
        <v>0</v>
      </c>
    </row>
    <row r="820" spans="1:22" x14ac:dyDescent="0.35">
      <c r="A820" t="s">
        <v>155</v>
      </c>
      <c r="B820" t="s">
        <v>81</v>
      </c>
      <c r="C820">
        <v>51129.2</v>
      </c>
      <c r="D820">
        <v>1.5587557245584931</v>
      </c>
      <c r="E820">
        <v>0.84316170743394436</v>
      </c>
      <c r="F820">
        <v>40489.040000000001</v>
      </c>
      <c r="G820">
        <v>4415.4972307526914</v>
      </c>
      <c r="H820">
        <v>4415.4972307526914</v>
      </c>
      <c r="I820">
        <v>0.63384015646076941</v>
      </c>
      <c r="J820">
        <v>0.7803453971464297</v>
      </c>
      <c r="K820">
        <v>0.65864271263190133</v>
      </c>
      <c r="L820">
        <v>3445.6129401306689</v>
      </c>
      <c r="M820">
        <v>0</v>
      </c>
      <c r="N820">
        <v>0</v>
      </c>
      <c r="O820">
        <v>0</v>
      </c>
      <c r="P820">
        <v>0</v>
      </c>
      <c r="Q820">
        <v>5.3942955525292248E-2</v>
      </c>
      <c r="R820">
        <v>238.18497074054349</v>
      </c>
      <c r="S820">
        <v>185.8665455868402</v>
      </c>
      <c r="T820">
        <v>0</v>
      </c>
      <c r="U820">
        <v>0</v>
      </c>
      <c r="V820">
        <v>0</v>
      </c>
    </row>
    <row r="821" spans="1:22" x14ac:dyDescent="0.35">
      <c r="A821" t="s">
        <v>155</v>
      </c>
      <c r="B821" t="s">
        <v>82</v>
      </c>
      <c r="C821">
        <v>51158.7</v>
      </c>
      <c r="D821">
        <v>1.7142223588647461</v>
      </c>
      <c r="E821">
        <v>0.87532164416890335</v>
      </c>
      <c r="F821">
        <v>32800.980000000003</v>
      </c>
      <c r="G821">
        <v>-6497.529962925415</v>
      </c>
      <c r="H821">
        <v>-6497.529962925415</v>
      </c>
      <c r="I821">
        <v>0.73694784690894943</v>
      </c>
      <c r="J821">
        <v>0.81364879028816495</v>
      </c>
      <c r="K821">
        <v>1.5587557245584931</v>
      </c>
      <c r="L821">
        <v>-5286.7073941953686</v>
      </c>
      <c r="M821">
        <v>0</v>
      </c>
      <c r="N821">
        <v>0</v>
      </c>
      <c r="O821">
        <v>0</v>
      </c>
      <c r="P821">
        <v>0</v>
      </c>
      <c r="Q821">
        <v>0.13391076058320239</v>
      </c>
      <c r="R821">
        <v>-870.08917924748937</v>
      </c>
      <c r="S821">
        <v>-707.94700813754207</v>
      </c>
      <c r="T821">
        <v>0</v>
      </c>
      <c r="U821">
        <v>0</v>
      </c>
      <c r="V821">
        <v>0</v>
      </c>
    </row>
    <row r="822" spans="1:22" x14ac:dyDescent="0.35">
      <c r="A822" t="s">
        <v>155</v>
      </c>
      <c r="B822" t="s">
        <v>83</v>
      </c>
      <c r="C822">
        <v>51058.6</v>
      </c>
      <c r="D822">
        <v>1.4295186352780269</v>
      </c>
      <c r="E822">
        <v>0.87194054741041294</v>
      </c>
      <c r="F822">
        <v>52716.26</v>
      </c>
      <c r="G822">
        <v>21002.415296564999</v>
      </c>
      <c r="H822">
        <v>21002.415296564999</v>
      </c>
      <c r="I822">
        <v>0.72610774231475061</v>
      </c>
      <c r="J822">
        <v>0.81033916506786574</v>
      </c>
      <c r="K822">
        <v>1.7142223588647461</v>
      </c>
      <c r="L822">
        <v>17019.079675827052</v>
      </c>
      <c r="M822">
        <v>0</v>
      </c>
      <c r="N822">
        <v>0</v>
      </c>
      <c r="O822">
        <v>0</v>
      </c>
      <c r="P822">
        <v>0</v>
      </c>
      <c r="Q822">
        <v>1.154664102199092</v>
      </c>
      <c r="R822">
        <v>24250.735002420701</v>
      </c>
      <c r="S822">
        <v>19651.32035414366</v>
      </c>
      <c r="T822">
        <v>0</v>
      </c>
      <c r="U822">
        <v>0</v>
      </c>
      <c r="V822">
        <v>0</v>
      </c>
    </row>
    <row r="823" spans="1:22" x14ac:dyDescent="0.35">
      <c r="A823" t="s">
        <v>155</v>
      </c>
      <c r="B823" t="s">
        <v>84</v>
      </c>
      <c r="C823">
        <v>50950.5</v>
      </c>
      <c r="D823">
        <v>0.35312173569524902</v>
      </c>
      <c r="E823">
        <v>0.92123441011730101</v>
      </c>
      <c r="F823">
        <v>55684.71</v>
      </c>
      <c r="G823">
        <v>4447.7439987703037</v>
      </c>
      <c r="H823">
        <v>4447.7439987703037</v>
      </c>
      <c r="I823">
        <v>0.88414836219731285</v>
      </c>
      <c r="J823">
        <v>0.85424572420915368</v>
      </c>
      <c r="K823">
        <v>1.4295186352780269</v>
      </c>
      <c r="L823">
        <v>3799.4662933264549</v>
      </c>
      <c r="M823">
        <v>0</v>
      </c>
      <c r="N823">
        <v>0</v>
      </c>
      <c r="O823">
        <v>0</v>
      </c>
      <c r="P823">
        <v>0</v>
      </c>
      <c r="Q823">
        <v>-2.3185750070025012E-2</v>
      </c>
      <c r="R823">
        <v>-103.1242807309419</v>
      </c>
      <c r="S823">
        <v>-88.093475876551537</v>
      </c>
      <c r="T823">
        <v>0</v>
      </c>
      <c r="U823">
        <v>0</v>
      </c>
      <c r="V823">
        <v>0</v>
      </c>
    </row>
    <row r="824" spans="1:22" x14ac:dyDescent="0.35">
      <c r="A824" t="s">
        <v>155</v>
      </c>
      <c r="B824" t="s">
        <v>85</v>
      </c>
      <c r="C824">
        <v>47628.1</v>
      </c>
      <c r="D824">
        <v>-7.0932839385952144</v>
      </c>
      <c r="E824">
        <v>0.97525918278650325</v>
      </c>
      <c r="F824">
        <v>28914.37</v>
      </c>
      <c r="G824">
        <v>-24149.360667720372</v>
      </c>
      <c r="H824">
        <v>-24149.360667720372</v>
      </c>
      <c r="I824">
        <v>1.057356710920655</v>
      </c>
      <c r="J824">
        <v>0.89232504196676909</v>
      </c>
      <c r="K824">
        <v>0.35312173569524902</v>
      </c>
      <c r="L824">
        <v>-21549.07927129422</v>
      </c>
      <c r="M824">
        <v>0</v>
      </c>
      <c r="N824">
        <v>0</v>
      </c>
      <c r="O824">
        <v>0</v>
      </c>
      <c r="P824">
        <v>0</v>
      </c>
      <c r="Q824">
        <v>0.68203794677905016</v>
      </c>
      <c r="R824">
        <v>-16470.780365838749</v>
      </c>
      <c r="S824">
        <v>-14697.2897811725</v>
      </c>
      <c r="T824">
        <v>0</v>
      </c>
      <c r="U824">
        <v>0</v>
      </c>
      <c r="V824">
        <v>0</v>
      </c>
    </row>
    <row r="825" spans="1:22" x14ac:dyDescent="0.35">
      <c r="A825" t="s">
        <v>155</v>
      </c>
      <c r="B825" t="s">
        <v>86</v>
      </c>
      <c r="C825">
        <v>49981.8</v>
      </c>
      <c r="D825">
        <v>-2.327362674678954</v>
      </c>
      <c r="E825">
        <v>0.98002621789385214</v>
      </c>
      <c r="F825">
        <v>27497.73</v>
      </c>
      <c r="G825">
        <v>298.34674216415812</v>
      </c>
      <c r="H825">
        <v>298.34674216415812</v>
      </c>
      <c r="I825">
        <v>1.072640260271355</v>
      </c>
      <c r="J825">
        <v>0.89522693511666029</v>
      </c>
      <c r="K825">
        <v>-7.0932839385952144</v>
      </c>
      <c r="L825">
        <v>267.08803958965967</v>
      </c>
      <c r="M825">
        <v>0</v>
      </c>
      <c r="N825">
        <v>0</v>
      </c>
      <c r="O825">
        <v>0</v>
      </c>
      <c r="P825">
        <v>0</v>
      </c>
      <c r="Q825">
        <v>0.83483817885048084</v>
      </c>
      <c r="R825">
        <v>249.07125089429971</v>
      </c>
      <c r="S825">
        <v>222.97529256377669</v>
      </c>
      <c r="T825">
        <v>0</v>
      </c>
      <c r="U825">
        <v>0</v>
      </c>
      <c r="V825">
        <v>0</v>
      </c>
    </row>
    <row r="826" spans="1:22" x14ac:dyDescent="0.35">
      <c r="A826" t="s">
        <v>155</v>
      </c>
      <c r="B826" t="s">
        <v>87</v>
      </c>
      <c r="C826">
        <v>50474.2</v>
      </c>
      <c r="D826">
        <v>-1.1511678071480249</v>
      </c>
      <c r="E826">
        <v>0.96395414456059292</v>
      </c>
      <c r="F826">
        <v>22319.62</v>
      </c>
      <c r="G826">
        <v>-4896.0136572600422</v>
      </c>
      <c r="H826">
        <v>-4896.0136572600422</v>
      </c>
      <c r="I826">
        <v>1.021111727247074</v>
      </c>
      <c r="J826">
        <v>0.88515948057054217</v>
      </c>
      <c r="K826">
        <v>-2.327362674678954</v>
      </c>
      <c r="L826">
        <v>-4333.7529057265792</v>
      </c>
      <c r="M826">
        <v>0</v>
      </c>
      <c r="N826">
        <v>0</v>
      </c>
      <c r="O826">
        <v>0</v>
      </c>
      <c r="P826">
        <v>0</v>
      </c>
      <c r="Q826">
        <v>0.98106132946657298</v>
      </c>
      <c r="R826">
        <v>-4803.2896676780356</v>
      </c>
      <c r="S826">
        <v>-4251.6773872717413</v>
      </c>
      <c r="T826">
        <v>0</v>
      </c>
      <c r="U826">
        <v>0</v>
      </c>
      <c r="V826">
        <v>0</v>
      </c>
    </row>
    <row r="827" spans="1:22" x14ac:dyDescent="0.35">
      <c r="A827" t="s">
        <v>155</v>
      </c>
      <c r="B827" t="s">
        <v>88</v>
      </c>
      <c r="C827">
        <v>50135.5</v>
      </c>
      <c r="D827">
        <v>-1.612523316440861</v>
      </c>
      <c r="E827">
        <v>0.9525453901426002</v>
      </c>
      <c r="F827">
        <v>11888.73</v>
      </c>
      <c r="G827">
        <v>-10426.43013953445</v>
      </c>
      <c r="H827">
        <v>-10426.43013953445</v>
      </c>
      <c r="I827">
        <v>0.984534220001825</v>
      </c>
      <c r="J827">
        <v>0.87751101925754071</v>
      </c>
      <c r="K827">
        <v>-1.1511678071480249</v>
      </c>
      <c r="L827">
        <v>-9149.3073389604197</v>
      </c>
      <c r="M827">
        <v>0</v>
      </c>
      <c r="N827">
        <v>0</v>
      </c>
      <c r="O827">
        <v>0</v>
      </c>
      <c r="P827">
        <v>0</v>
      </c>
      <c r="Q827">
        <v>1.925417628516634</v>
      </c>
      <c r="R827">
        <v>-20075.232393156781</v>
      </c>
      <c r="S827">
        <v>-17616.237639151012</v>
      </c>
      <c r="T827">
        <v>0</v>
      </c>
      <c r="U827">
        <v>0</v>
      </c>
      <c r="V827">
        <v>0</v>
      </c>
    </row>
    <row r="828" spans="1:22" x14ac:dyDescent="0.35">
      <c r="A828" t="s">
        <v>155</v>
      </c>
      <c r="B828" t="s">
        <v>89</v>
      </c>
      <c r="C828">
        <v>50908.5</v>
      </c>
      <c r="D828">
        <v>6.660698052860516</v>
      </c>
      <c r="E828">
        <v>0.92117933254764095</v>
      </c>
      <c r="F828">
        <v>18072.810000000001</v>
      </c>
      <c r="G828">
        <v>5509.7133275447604</v>
      </c>
      <c r="H828">
        <v>5509.7133275447604</v>
      </c>
      <c r="I828">
        <v>0.8839717784854122</v>
      </c>
      <c r="J828">
        <v>0.85420174584332276</v>
      </c>
      <c r="K828">
        <v>-1.612523316440861</v>
      </c>
      <c r="L828">
        <v>4706.4067434849567</v>
      </c>
      <c r="M828">
        <v>0</v>
      </c>
      <c r="N828">
        <v>0</v>
      </c>
      <c r="O828">
        <v>0</v>
      </c>
      <c r="P828">
        <v>0</v>
      </c>
      <c r="Q828">
        <v>1.2914392661180589</v>
      </c>
      <c r="R828">
        <v>7115.460136245295</v>
      </c>
      <c r="S828">
        <v>6078.0384708592983</v>
      </c>
      <c r="T828">
        <v>0</v>
      </c>
      <c r="U828">
        <v>0</v>
      </c>
      <c r="V828">
        <v>0</v>
      </c>
    </row>
    <row r="829" spans="1:22" x14ac:dyDescent="0.35">
      <c r="A829" t="s">
        <v>155</v>
      </c>
      <c r="B829" t="s">
        <v>90</v>
      </c>
      <c r="C829">
        <v>51469.7</v>
      </c>
      <c r="D829">
        <v>2.9334345845569412</v>
      </c>
      <c r="E829">
        <v>0.90476823675518758</v>
      </c>
      <c r="F829">
        <v>21508.560000000001</v>
      </c>
      <c r="G829">
        <v>2469.4532050039338</v>
      </c>
      <c r="H829">
        <v>2469.4532050039338</v>
      </c>
      <c r="I829">
        <v>0.83135630853505227</v>
      </c>
      <c r="J829">
        <v>0.84060180363379522</v>
      </c>
      <c r="K829">
        <v>6.660698052860516</v>
      </c>
      <c r="L829">
        <v>2075.826818115564</v>
      </c>
      <c r="M829">
        <v>0</v>
      </c>
      <c r="N829">
        <v>0</v>
      </c>
      <c r="O829">
        <v>0</v>
      </c>
      <c r="P829">
        <v>0</v>
      </c>
      <c r="Q829">
        <v>0.86010558565475326</v>
      </c>
      <c r="R829">
        <v>2123.9904951369158</v>
      </c>
      <c r="S829">
        <v>1785.43024111313</v>
      </c>
      <c r="T829">
        <v>0</v>
      </c>
      <c r="U829">
        <v>0</v>
      </c>
      <c r="V829">
        <v>0</v>
      </c>
    </row>
    <row r="830" spans="1:22" x14ac:dyDescent="0.35">
      <c r="A830" t="s">
        <v>155</v>
      </c>
      <c r="B830" t="s">
        <v>91</v>
      </c>
      <c r="C830">
        <v>51848.6</v>
      </c>
      <c r="D830">
        <v>2.6865618703797081</v>
      </c>
      <c r="E830">
        <v>0.89392691851617434</v>
      </c>
      <c r="F830">
        <v>19802.650000000001</v>
      </c>
      <c r="G830">
        <v>-2218.2724663803642</v>
      </c>
      <c r="H830">
        <v>-2218.2724663803642</v>
      </c>
      <c r="I830">
        <v>0.79659805343490242</v>
      </c>
      <c r="J830">
        <v>0.83106529786598582</v>
      </c>
      <c r="K830">
        <v>2.9334345845569412</v>
      </c>
      <c r="L830">
        <v>-1843.529268020312</v>
      </c>
      <c r="M830">
        <v>0</v>
      </c>
      <c r="N830">
        <v>0</v>
      </c>
      <c r="O830">
        <v>0</v>
      </c>
      <c r="P830">
        <v>0</v>
      </c>
      <c r="Q830">
        <v>0.77558407043190081</v>
      </c>
      <c r="R830">
        <v>-1720.4567888022941</v>
      </c>
      <c r="S830">
        <v>-1429.811933651536</v>
      </c>
      <c r="T830">
        <v>0</v>
      </c>
      <c r="U830">
        <v>0</v>
      </c>
      <c r="V830">
        <v>0</v>
      </c>
    </row>
    <row r="831" spans="1:22" x14ac:dyDescent="0.35">
      <c r="A831" t="s">
        <v>155</v>
      </c>
      <c r="B831" t="s">
        <v>92</v>
      </c>
      <c r="C831">
        <v>51520.6</v>
      </c>
      <c r="D831">
        <v>2.7252387692155708</v>
      </c>
      <c r="E831">
        <v>0.87139703337224794</v>
      </c>
      <c r="F831">
        <v>26455.02</v>
      </c>
      <c r="G831">
        <v>6249.2545952329347</v>
      </c>
      <c r="H831">
        <v>6249.2545952329347</v>
      </c>
      <c r="I831">
        <v>0.72436518673501782</v>
      </c>
      <c r="J831">
        <v>0.80980296032030663</v>
      </c>
      <c r="K831">
        <v>2.6865618703797081</v>
      </c>
      <c r="L831">
        <v>5060.6648710149102</v>
      </c>
      <c r="M831">
        <v>0</v>
      </c>
      <c r="N831">
        <v>0</v>
      </c>
      <c r="O831">
        <v>0</v>
      </c>
      <c r="P831">
        <v>0</v>
      </c>
      <c r="Q831">
        <v>1.7771362023397699E-2</v>
      </c>
      <c r="R831">
        <v>111.0577657882662</v>
      </c>
      <c r="S831">
        <v>89.934907501897214</v>
      </c>
      <c r="T831">
        <v>0</v>
      </c>
      <c r="U831">
        <v>0</v>
      </c>
      <c r="V831">
        <v>0</v>
      </c>
    </row>
    <row r="832" spans="1:22" x14ac:dyDescent="0.35">
      <c r="A832" t="s">
        <v>155</v>
      </c>
      <c r="B832" t="s">
        <v>93</v>
      </c>
      <c r="C832">
        <v>51671.6</v>
      </c>
      <c r="D832">
        <v>1.4878403843206249</v>
      </c>
      <c r="E832">
        <v>0.83562205778513454</v>
      </c>
      <c r="F832">
        <v>29343.64</v>
      </c>
      <c r="G832">
        <v>2660.8418006622051</v>
      </c>
      <c r="H832">
        <v>2660.8418006622051</v>
      </c>
      <c r="I832">
        <v>0.60966735200272593</v>
      </c>
      <c r="J832">
        <v>0.77194644849829219</v>
      </c>
      <c r="K832">
        <v>2.7252387692155708</v>
      </c>
      <c r="L832">
        <v>2054.0273780369898</v>
      </c>
      <c r="M832">
        <v>0</v>
      </c>
      <c r="N832">
        <v>0</v>
      </c>
      <c r="O832">
        <v>0</v>
      </c>
      <c r="P832">
        <v>0</v>
      </c>
      <c r="Q832">
        <v>-1.0709612891570111</v>
      </c>
      <c r="R832">
        <v>-2849.658565080058</v>
      </c>
      <c r="S832">
        <v>-2199.783808746291</v>
      </c>
      <c r="T832">
        <v>0</v>
      </c>
      <c r="U832">
        <v>0</v>
      </c>
      <c r="V832">
        <v>0</v>
      </c>
    </row>
    <row r="833" spans="1:22" x14ac:dyDescent="0.35">
      <c r="A833" t="s">
        <v>155</v>
      </c>
      <c r="B833" t="s">
        <v>94</v>
      </c>
      <c r="C833">
        <v>51616.2</v>
      </c>
      <c r="D833">
        <v>0.28422916931703651</v>
      </c>
      <c r="E833">
        <v>0.83518753506855625</v>
      </c>
      <c r="F833">
        <v>24504.76</v>
      </c>
      <c r="G833">
        <v>-4610.2754712220849</v>
      </c>
      <c r="H833">
        <v>-4610.2754712220849</v>
      </c>
      <c r="I833">
        <v>0.60827423254099033</v>
      </c>
      <c r="J833">
        <v>0.77145557308460999</v>
      </c>
      <c r="K833">
        <v>1.4878403843206249</v>
      </c>
      <c r="L833">
        <v>-3556.6227057295541</v>
      </c>
      <c r="M833">
        <v>0</v>
      </c>
      <c r="N833">
        <v>0</v>
      </c>
      <c r="O833">
        <v>0</v>
      </c>
      <c r="P833">
        <v>0</v>
      </c>
      <c r="Q833">
        <v>-1.300534321994697</v>
      </c>
      <c r="R833">
        <v>5995.8214841745967</v>
      </c>
      <c r="S833">
        <v>4625.5098991869299</v>
      </c>
      <c r="T833">
        <v>0</v>
      </c>
      <c r="U833">
        <v>0</v>
      </c>
      <c r="V833">
        <v>0</v>
      </c>
    </row>
    <row r="834" spans="1:22" x14ac:dyDescent="0.35">
      <c r="A834" t="s">
        <v>155</v>
      </c>
      <c r="B834" t="s">
        <v>95</v>
      </c>
      <c r="C834">
        <v>51113.1</v>
      </c>
      <c r="D834">
        <v>-1.428710891337686</v>
      </c>
      <c r="E834">
        <v>0.82347302684200141</v>
      </c>
      <c r="F834">
        <v>26500.43</v>
      </c>
      <c r="G834">
        <v>2181.4839460196272</v>
      </c>
      <c r="H834">
        <v>2181.4839460196272</v>
      </c>
      <c r="I834">
        <v>0.57071645069799026</v>
      </c>
      <c r="J834">
        <v>0.75794262427778647</v>
      </c>
      <c r="K834">
        <v>0.28422916931703651</v>
      </c>
      <c r="L834">
        <v>1653.439666865977</v>
      </c>
      <c r="M834">
        <v>0</v>
      </c>
      <c r="N834">
        <v>0</v>
      </c>
      <c r="O834">
        <v>0</v>
      </c>
      <c r="P834">
        <v>0</v>
      </c>
      <c r="Q834">
        <v>-1.5964895050952459</v>
      </c>
      <c r="R834">
        <v>-3482.7162253540978</v>
      </c>
      <c r="S834">
        <v>-2639.6990754597118</v>
      </c>
      <c r="T834">
        <v>0</v>
      </c>
      <c r="U834">
        <v>0</v>
      </c>
      <c r="V834">
        <v>0</v>
      </c>
    </row>
    <row r="835" spans="1:22" x14ac:dyDescent="0.35">
      <c r="A835" t="s">
        <v>155</v>
      </c>
      <c r="B835" t="s">
        <v>96</v>
      </c>
      <c r="C835">
        <v>51164.1</v>
      </c>
      <c r="D835">
        <v>-0.6943613456523402</v>
      </c>
      <c r="E835">
        <v>0.66023696776915897</v>
      </c>
      <c r="F835">
        <v>26400.05</v>
      </c>
      <c r="G835">
        <v>-84.520772908697836</v>
      </c>
      <c r="H835">
        <v>-84.520772908697836</v>
      </c>
      <c r="I835">
        <v>4.7366756711568328E-2</v>
      </c>
      <c r="J835">
        <v>0.52366568215162446</v>
      </c>
      <c r="K835">
        <v>-1.428710891337686</v>
      </c>
      <c r="L835">
        <v>-44.260628201215788</v>
      </c>
      <c r="M835">
        <v>0</v>
      </c>
      <c r="N835">
        <v>0</v>
      </c>
      <c r="O835">
        <v>0</v>
      </c>
      <c r="P835">
        <v>0</v>
      </c>
      <c r="Q835">
        <v>-0.44066309386486302</v>
      </c>
      <c r="R835">
        <v>37.245185285796289</v>
      </c>
      <c r="S835">
        <v>19.504025359550159</v>
      </c>
      <c r="T835">
        <v>0</v>
      </c>
      <c r="U835">
        <v>0</v>
      </c>
      <c r="V835">
        <v>0</v>
      </c>
    </row>
    <row r="836" spans="1:22" x14ac:dyDescent="0.35">
      <c r="A836" t="s">
        <v>155</v>
      </c>
      <c r="B836" t="s">
        <v>97</v>
      </c>
      <c r="C836">
        <v>51205.2</v>
      </c>
      <c r="D836">
        <v>-0.90672181754695214</v>
      </c>
      <c r="E836">
        <v>0.54115951049742483</v>
      </c>
      <c r="F836">
        <v>30702.400000000001</v>
      </c>
      <c r="G836">
        <v>4416.8820192602216</v>
      </c>
      <c r="H836">
        <v>4416.8820192602216</v>
      </c>
      <c r="I836">
        <v>-0.33440643223827021</v>
      </c>
      <c r="J836">
        <v>0.33876271124410379</v>
      </c>
      <c r="K836">
        <v>-0.6943613456523402</v>
      </c>
      <c r="L836">
        <v>1496.274928089925</v>
      </c>
      <c r="M836">
        <v>0</v>
      </c>
      <c r="N836">
        <v>0</v>
      </c>
      <c r="O836">
        <v>0</v>
      </c>
      <c r="P836">
        <v>0</v>
      </c>
      <c r="Q836">
        <v>0.82898485994772031</v>
      </c>
      <c r="R836">
        <v>3661.5283221420391</v>
      </c>
      <c r="S836">
        <v>1240.3892617059121</v>
      </c>
      <c r="T836">
        <v>0</v>
      </c>
      <c r="U836">
        <v>0</v>
      </c>
      <c r="V836">
        <v>0</v>
      </c>
    </row>
    <row r="837" spans="1:22" x14ac:dyDescent="0.35">
      <c r="A837" t="s">
        <v>155</v>
      </c>
      <c r="B837" t="s">
        <v>98</v>
      </c>
      <c r="C837">
        <v>50473.3</v>
      </c>
      <c r="D837">
        <v>-2.2391093110712972</v>
      </c>
      <c r="E837">
        <v>0.55946186841103696</v>
      </c>
      <c r="F837">
        <v>17905.28</v>
      </c>
      <c r="G837">
        <v>-12517.608803376361</v>
      </c>
      <c r="H837">
        <v>-12517.608803376361</v>
      </c>
      <c r="I837">
        <v>-0.27572740342733493</v>
      </c>
      <c r="J837">
        <v>0.36552694859150631</v>
      </c>
      <c r="K837">
        <v>-0.90672181754695214</v>
      </c>
      <c r="L837">
        <v>-4575.5233495603388</v>
      </c>
      <c r="M837">
        <v>0</v>
      </c>
      <c r="N837">
        <v>0</v>
      </c>
      <c r="O837">
        <v>0</v>
      </c>
      <c r="P837">
        <v>0</v>
      </c>
      <c r="Q837">
        <v>0.93581637930232919</v>
      </c>
      <c r="R837">
        <v>-11714.18334789863</v>
      </c>
      <c r="S837">
        <v>-4281.8496943988221</v>
      </c>
      <c r="T837">
        <v>0</v>
      </c>
      <c r="U837">
        <v>0</v>
      </c>
      <c r="V837">
        <v>0</v>
      </c>
    </row>
    <row r="838" spans="1:22" x14ac:dyDescent="0.35">
      <c r="A838" t="s">
        <v>155</v>
      </c>
      <c r="B838" t="s">
        <v>99</v>
      </c>
      <c r="C838">
        <v>50423.3</v>
      </c>
      <c r="D838">
        <v>-1.35874545971376</v>
      </c>
      <c r="E838">
        <v>0.57328215951564387</v>
      </c>
      <c r="F838">
        <v>16655.52</v>
      </c>
      <c r="G838">
        <v>-1255.046474869388</v>
      </c>
      <c r="H838">
        <v>-1255.046474869388</v>
      </c>
      <c r="I838">
        <v>-0.23141828961093411</v>
      </c>
      <c r="J838">
        <v>0.38631312452445121</v>
      </c>
      <c r="K838">
        <v>-2.2391093110712972</v>
      </c>
      <c r="L838">
        <v>-484.84092513019158</v>
      </c>
      <c r="M838">
        <v>0</v>
      </c>
      <c r="N838">
        <v>0</v>
      </c>
      <c r="O838">
        <v>0</v>
      </c>
      <c r="P838">
        <v>0</v>
      </c>
      <c r="Q838">
        <v>1.243241761423685</v>
      </c>
      <c r="R838">
        <v>-1560.3261900852051</v>
      </c>
      <c r="S838">
        <v>-602.77448576914821</v>
      </c>
      <c r="T838">
        <v>0</v>
      </c>
      <c r="U838">
        <v>0</v>
      </c>
      <c r="V838">
        <v>0</v>
      </c>
    </row>
    <row r="839" spans="1:22" x14ac:dyDescent="0.35">
      <c r="A839" t="s">
        <v>155</v>
      </c>
      <c r="B839" t="s">
        <v>100</v>
      </c>
      <c r="C839">
        <v>50978.2</v>
      </c>
      <c r="D839">
        <v>-0.36400238737728652</v>
      </c>
      <c r="E839">
        <v>0.45675746128502892</v>
      </c>
      <c r="F839">
        <v>16042.91</v>
      </c>
      <c r="G839">
        <v>-1325.5086914047929</v>
      </c>
      <c r="H839">
        <v>-1325.5086914047929</v>
      </c>
      <c r="I839">
        <v>-0.60500710024032689</v>
      </c>
      <c r="J839">
        <v>0.2296985383516067</v>
      </c>
      <c r="K839">
        <v>-1.35874545971376</v>
      </c>
      <c r="L839">
        <v>-304.46740898803188</v>
      </c>
      <c r="M839">
        <v>0</v>
      </c>
      <c r="N839">
        <v>0</v>
      </c>
      <c r="O839">
        <v>0</v>
      </c>
      <c r="P839">
        <v>0</v>
      </c>
      <c r="Q839">
        <v>0.9946564719867147</v>
      </c>
      <c r="R839">
        <v>-1318.425798580419</v>
      </c>
      <c r="S839">
        <v>-302.84047885897201</v>
      </c>
      <c r="T839">
        <v>0</v>
      </c>
      <c r="U839">
        <v>0</v>
      </c>
      <c r="V839">
        <v>0</v>
      </c>
    </row>
    <row r="840" spans="1:22" x14ac:dyDescent="0.35">
      <c r="A840" t="s">
        <v>155</v>
      </c>
      <c r="B840" t="s">
        <v>101</v>
      </c>
      <c r="C840">
        <v>51113.1</v>
      </c>
      <c r="D840">
        <v>-0.1800264955033839</v>
      </c>
      <c r="E840">
        <v>0.2208649046275051</v>
      </c>
      <c r="F840">
        <v>15096.69</v>
      </c>
      <c r="G840">
        <v>-1747.62351995877</v>
      </c>
      <c r="H840">
        <v>-1747.62351995877</v>
      </c>
      <c r="I840">
        <v>-1.361300152410249</v>
      </c>
      <c r="J840">
        <v>6.1652862404211001E-2</v>
      </c>
      <c r="K840">
        <v>-0.36400238737728652</v>
      </c>
      <c r="L840">
        <v>-107.74599241038089</v>
      </c>
      <c r="M840">
        <v>0</v>
      </c>
      <c r="N840">
        <v>0</v>
      </c>
      <c r="O840">
        <v>0</v>
      </c>
      <c r="P840">
        <v>0</v>
      </c>
      <c r="Q840">
        <v>0.93784485872957635</v>
      </c>
      <c r="R840">
        <v>-1638.999733188218</v>
      </c>
      <c r="S840">
        <v>-101.0490250307917</v>
      </c>
      <c r="T840">
        <v>0</v>
      </c>
      <c r="U840">
        <v>0</v>
      </c>
      <c r="V840">
        <v>0</v>
      </c>
    </row>
    <row r="841" spans="1:22" x14ac:dyDescent="0.35">
      <c r="A841" t="s">
        <v>155</v>
      </c>
      <c r="B841" t="s">
        <v>102</v>
      </c>
      <c r="C841">
        <v>51499.199999999997</v>
      </c>
      <c r="D841">
        <v>2.0121789976361888</v>
      </c>
      <c r="E841">
        <v>-6.7366504499545413E-2</v>
      </c>
      <c r="F841">
        <v>19263.25</v>
      </c>
      <c r="G841">
        <v>3296.2288795207619</v>
      </c>
      <c r="H841">
        <v>3296.2288795207619</v>
      </c>
      <c r="I841">
        <v>-2.2853963393722472</v>
      </c>
      <c r="J841">
        <v>1.0243732342636541E-2</v>
      </c>
      <c r="K841">
        <v>-0.1800264955033839</v>
      </c>
      <c r="L841">
        <v>33.765686381879448</v>
      </c>
      <c r="M841">
        <v>0</v>
      </c>
      <c r="N841">
        <v>0</v>
      </c>
      <c r="O841">
        <v>0</v>
      </c>
      <c r="P841">
        <v>0</v>
      </c>
      <c r="Q841">
        <v>0.97090246708117733</v>
      </c>
      <c r="R841">
        <v>3200.3167511909328</v>
      </c>
      <c r="S841">
        <v>32.783188210856068</v>
      </c>
      <c r="T841">
        <v>0</v>
      </c>
      <c r="U841">
        <v>0</v>
      </c>
      <c r="V841">
        <v>0</v>
      </c>
    </row>
    <row r="842" spans="1:22" x14ac:dyDescent="0.35">
      <c r="A842" t="s">
        <v>155</v>
      </c>
      <c r="B842" t="s">
        <v>103</v>
      </c>
      <c r="C842">
        <v>51475</v>
      </c>
      <c r="D842">
        <v>2.0642883077683938</v>
      </c>
      <c r="E842">
        <v>0.18514787159562199</v>
      </c>
      <c r="F842">
        <v>26370.25</v>
      </c>
      <c r="G842">
        <v>6352.7743362205329</v>
      </c>
      <c r="H842">
        <v>6352.7743362205329</v>
      </c>
      <c r="I842">
        <v>-1.475812218025589</v>
      </c>
      <c r="J842">
        <v>4.9659792308205233E-2</v>
      </c>
      <c r="K842">
        <v>2.0121789976361888</v>
      </c>
      <c r="L842">
        <v>315.47745411760798</v>
      </c>
      <c r="M842">
        <v>0</v>
      </c>
      <c r="N842">
        <v>0</v>
      </c>
      <c r="O842">
        <v>0</v>
      </c>
      <c r="P842">
        <v>0</v>
      </c>
      <c r="Q842">
        <v>0.26849518317054971</v>
      </c>
      <c r="R842">
        <v>1705.689309044699</v>
      </c>
      <c r="S842">
        <v>84.704176829485846</v>
      </c>
      <c r="T842">
        <v>0</v>
      </c>
      <c r="U842">
        <v>0</v>
      </c>
      <c r="V842">
        <v>0</v>
      </c>
    </row>
    <row r="843" spans="1:22" x14ac:dyDescent="0.35">
      <c r="A843" t="s">
        <v>155</v>
      </c>
      <c r="B843" t="s">
        <v>104</v>
      </c>
      <c r="C843">
        <v>51614.400000000001</v>
      </c>
      <c r="D843">
        <v>1.2402612961513431</v>
      </c>
      <c r="E843">
        <v>-5.1907923992241978E-2</v>
      </c>
      <c r="F843">
        <v>48145.7</v>
      </c>
      <c r="G843">
        <v>21516.57673025272</v>
      </c>
      <c r="H843">
        <v>21516.57673025272</v>
      </c>
      <c r="I843">
        <v>-2.2358347203040512</v>
      </c>
      <c r="J843">
        <v>1.1299092649783489E-2</v>
      </c>
      <c r="K843">
        <v>2.0642883077683938</v>
      </c>
      <c r="L843">
        <v>243.11779398130079</v>
      </c>
      <c r="M843">
        <v>0</v>
      </c>
      <c r="N843">
        <v>0</v>
      </c>
      <c r="O843">
        <v>0</v>
      </c>
      <c r="P843">
        <v>0</v>
      </c>
      <c r="Q843">
        <v>-0.67853340145909358</v>
      </c>
      <c r="R843">
        <v>-14599.71599653396</v>
      </c>
      <c r="S843">
        <v>-164.96354370536321</v>
      </c>
      <c r="T843">
        <v>0</v>
      </c>
      <c r="U843">
        <v>0</v>
      </c>
      <c r="V843">
        <v>0</v>
      </c>
    </row>
    <row r="844" spans="1:22" x14ac:dyDescent="0.35">
      <c r="A844" t="s">
        <v>155</v>
      </c>
      <c r="B844" t="s">
        <v>105</v>
      </c>
      <c r="C844">
        <v>51645.7</v>
      </c>
      <c r="D844">
        <v>1.0366115004496459</v>
      </c>
      <c r="E844">
        <v>0.28582713314200409</v>
      </c>
      <c r="F844">
        <v>80038.14</v>
      </c>
      <c r="G844">
        <v>32860.236300339107</v>
      </c>
      <c r="H844">
        <v>32860.236300339107</v>
      </c>
      <c r="I844">
        <v>-1.153025322652397</v>
      </c>
      <c r="J844">
        <v>9.0623087388066223E-2</v>
      </c>
      <c r="K844">
        <v>1.2402612961513431</v>
      </c>
      <c r="L844">
        <v>2977.896065838137</v>
      </c>
      <c r="M844">
        <v>0</v>
      </c>
      <c r="N844">
        <v>0</v>
      </c>
      <c r="O844">
        <v>0</v>
      </c>
      <c r="P844">
        <v>0</v>
      </c>
      <c r="Q844">
        <v>-0.22102528661348839</v>
      </c>
      <c r="R844">
        <v>-7262.9431464694071</v>
      </c>
      <c r="S844">
        <v>-658.19033145705373</v>
      </c>
      <c r="T844">
        <v>0</v>
      </c>
      <c r="U844">
        <v>0</v>
      </c>
      <c r="V844">
        <v>0</v>
      </c>
    </row>
    <row r="845" spans="1:22" x14ac:dyDescent="0.35">
      <c r="A845" t="s">
        <v>155</v>
      </c>
      <c r="B845" t="s">
        <v>106</v>
      </c>
      <c r="C845">
        <v>51630.5</v>
      </c>
      <c r="D845">
        <v>0.25463095682891512</v>
      </c>
      <c r="E845">
        <v>0.2319319891223412</v>
      </c>
      <c r="F845">
        <v>106862.2</v>
      </c>
      <c r="G845">
        <v>30173.051455287681</v>
      </c>
      <c r="H845">
        <v>30173.051455287681</v>
      </c>
      <c r="I845">
        <v>-1.325818070102015</v>
      </c>
      <c r="J845">
        <v>6.5888238453345904E-2</v>
      </c>
      <c r="K845">
        <v>1.0366115004496459</v>
      </c>
      <c r="L845">
        <v>1988.049209151071</v>
      </c>
      <c r="M845">
        <v>0</v>
      </c>
      <c r="N845">
        <v>0</v>
      </c>
      <c r="O845">
        <v>0</v>
      </c>
      <c r="P845">
        <v>0</v>
      </c>
      <c r="Q845">
        <v>0.36452384546001992</v>
      </c>
      <c r="R845">
        <v>10998.796745744519</v>
      </c>
      <c r="S845">
        <v>724.69134268349967</v>
      </c>
      <c r="T845">
        <v>0</v>
      </c>
      <c r="U845">
        <v>0</v>
      </c>
      <c r="V845">
        <v>0</v>
      </c>
    </row>
    <row r="846" spans="1:22" x14ac:dyDescent="0.35">
      <c r="A846" t="s">
        <v>155</v>
      </c>
      <c r="B846" t="s">
        <v>107</v>
      </c>
      <c r="C846">
        <v>51821.8</v>
      </c>
      <c r="D846">
        <v>0.67146572401544224</v>
      </c>
      <c r="E846">
        <v>0.1956674455616231</v>
      </c>
      <c r="F846">
        <v>94947.06</v>
      </c>
      <c r="G846">
        <v>-5865.0461574176588</v>
      </c>
      <c r="H846">
        <v>-5865.0461574176588</v>
      </c>
      <c r="I846">
        <v>-1.4420855044106919</v>
      </c>
      <c r="J846">
        <v>5.2941616628721183E-2</v>
      </c>
      <c r="K846">
        <v>0.25463095682891512</v>
      </c>
      <c r="L846">
        <v>-310.50502517576001</v>
      </c>
      <c r="M846">
        <v>0</v>
      </c>
      <c r="N846">
        <v>0</v>
      </c>
      <c r="O846">
        <v>0</v>
      </c>
      <c r="P846">
        <v>0</v>
      </c>
      <c r="Q846">
        <v>0.79834583167292728</v>
      </c>
      <c r="R846">
        <v>-4682.3351523437068</v>
      </c>
      <c r="S846">
        <v>-247.89039256256541</v>
      </c>
      <c r="T846">
        <v>0</v>
      </c>
      <c r="U846">
        <v>0</v>
      </c>
      <c r="V846">
        <v>0</v>
      </c>
    </row>
    <row r="847" spans="1:22" x14ac:dyDescent="0.35">
      <c r="A847" t="s">
        <v>155</v>
      </c>
      <c r="B847" t="s">
        <v>108</v>
      </c>
      <c r="C847">
        <v>52255.199999999997</v>
      </c>
      <c r="D847">
        <v>1.233870410184734</v>
      </c>
      <c r="E847">
        <v>0.32504962792480557</v>
      </c>
      <c r="F847">
        <v>81871.73</v>
      </c>
      <c r="G847">
        <v>-6116.8052336188266</v>
      </c>
      <c r="H847">
        <v>-6116.8052336188266</v>
      </c>
      <c r="I847">
        <v>-1.0272744269339249</v>
      </c>
      <c r="J847">
        <v>0.1135935512301452</v>
      </c>
      <c r="K847">
        <v>0.67146572401544224</v>
      </c>
      <c r="L847">
        <v>-694.82962866990067</v>
      </c>
      <c r="M847">
        <v>0</v>
      </c>
      <c r="N847">
        <v>0</v>
      </c>
      <c r="O847">
        <v>0</v>
      </c>
      <c r="P847">
        <v>0</v>
      </c>
      <c r="Q847">
        <v>1.468003029688445</v>
      </c>
      <c r="R847">
        <v>-8979.4886149665726</v>
      </c>
      <c r="S847">
        <v>-1020.012000004711</v>
      </c>
      <c r="T847">
        <v>0</v>
      </c>
      <c r="U847">
        <v>0</v>
      </c>
      <c r="V847">
        <v>0</v>
      </c>
    </row>
    <row r="848" spans="1:22" x14ac:dyDescent="0.35">
      <c r="A848" t="s">
        <v>155</v>
      </c>
      <c r="B848" t="s">
        <v>109</v>
      </c>
      <c r="C848">
        <v>52451.8</v>
      </c>
      <c r="D848">
        <v>1.5487713214115031</v>
      </c>
      <c r="E848">
        <v>0.2561569161513928</v>
      </c>
      <c r="F848">
        <v>77922.84</v>
      </c>
      <c r="G848">
        <v>1879.7276364797731</v>
      </c>
      <c r="H848">
        <v>1879.7276364797731</v>
      </c>
      <c r="I848">
        <v>-1.2481507445153319</v>
      </c>
      <c r="J848">
        <v>7.6117866458197389E-2</v>
      </c>
      <c r="K848">
        <v>1.233870410184734</v>
      </c>
      <c r="L848">
        <v>143.08085721135029</v>
      </c>
      <c r="M848">
        <v>0</v>
      </c>
      <c r="N848">
        <v>0</v>
      </c>
      <c r="O848">
        <v>0</v>
      </c>
      <c r="P848">
        <v>0</v>
      </c>
      <c r="Q848">
        <v>2.4609860974146982</v>
      </c>
      <c r="R848">
        <v>4625.98358030291</v>
      </c>
      <c r="S848">
        <v>352.12000040331083</v>
      </c>
      <c r="T848">
        <v>0</v>
      </c>
      <c r="U848">
        <v>0</v>
      </c>
      <c r="V848">
        <v>0</v>
      </c>
    </row>
    <row r="849" spans="1:4" x14ac:dyDescent="0.35">
      <c r="A849" t="s">
        <v>155</v>
      </c>
      <c r="B849" t="s">
        <v>4</v>
      </c>
      <c r="C849">
        <v>38828.800000000003</v>
      </c>
    </row>
    <row r="850" spans="1:4" x14ac:dyDescent="0.35">
      <c r="A850" t="s">
        <v>155</v>
      </c>
      <c r="B850" t="s">
        <v>5</v>
      </c>
      <c r="C850">
        <v>39129</v>
      </c>
    </row>
    <row r="851" spans="1:4" x14ac:dyDescent="0.35">
      <c r="A851" t="s">
        <v>155</v>
      </c>
      <c r="B851" t="s">
        <v>6</v>
      </c>
      <c r="C851">
        <v>39737.599999999999</v>
      </c>
    </row>
    <row r="852" spans="1:4" x14ac:dyDescent="0.35">
      <c r="A852" t="s">
        <v>155</v>
      </c>
      <c r="B852" t="s">
        <v>7</v>
      </c>
      <c r="C852">
        <v>40190.6</v>
      </c>
    </row>
    <row r="853" spans="1:4" x14ac:dyDescent="0.35">
      <c r="A853" t="s">
        <v>155</v>
      </c>
      <c r="B853" t="s">
        <v>8</v>
      </c>
      <c r="C853">
        <v>40387.199999999997</v>
      </c>
      <c r="D853">
        <v>3.935066375638733</v>
      </c>
    </row>
    <row r="854" spans="1:4" x14ac:dyDescent="0.35">
      <c r="A854" t="s">
        <v>155</v>
      </c>
      <c r="B854" t="s">
        <v>9</v>
      </c>
      <c r="C854">
        <v>40416.699999999997</v>
      </c>
      <c r="D854">
        <v>3.2379185835155009</v>
      </c>
    </row>
    <row r="855" spans="1:4" x14ac:dyDescent="0.35">
      <c r="A855" t="s">
        <v>155</v>
      </c>
      <c r="B855" t="s">
        <v>10</v>
      </c>
      <c r="C855">
        <v>40692.800000000003</v>
      </c>
      <c r="D855">
        <v>2.375332987387385</v>
      </c>
    </row>
    <row r="856" spans="1:4" x14ac:dyDescent="0.35">
      <c r="A856" t="s">
        <v>155</v>
      </c>
      <c r="B856" t="s">
        <v>11</v>
      </c>
      <c r="C856">
        <v>40559.699999999997</v>
      </c>
      <c r="D856">
        <v>0.91418253693600815</v>
      </c>
    </row>
    <row r="857" spans="1:4" x14ac:dyDescent="0.35">
      <c r="A857" t="s">
        <v>155</v>
      </c>
      <c r="B857" t="s">
        <v>12</v>
      </c>
      <c r="C857">
        <v>40843</v>
      </c>
      <c r="D857">
        <v>1.122254491113915</v>
      </c>
    </row>
    <row r="858" spans="1:4" x14ac:dyDescent="0.35">
      <c r="A858" t="s">
        <v>155</v>
      </c>
      <c r="B858" t="s">
        <v>13</v>
      </c>
      <c r="C858">
        <v>41213.800000000003</v>
      </c>
      <c r="D858">
        <v>1.953008583666495</v>
      </c>
    </row>
    <row r="859" spans="1:4" x14ac:dyDescent="0.35">
      <c r="A859" t="s">
        <v>155</v>
      </c>
      <c r="B859" t="s">
        <v>14</v>
      </c>
      <c r="C859">
        <v>41125.300000000003</v>
      </c>
      <c r="D859">
        <v>1.0572331269500039</v>
      </c>
    </row>
    <row r="860" spans="1:4" x14ac:dyDescent="0.35">
      <c r="A860" t="s">
        <v>155</v>
      </c>
      <c r="B860" t="s">
        <v>15</v>
      </c>
      <c r="C860">
        <v>41608.800000000003</v>
      </c>
      <c r="D860">
        <v>2.5536720551781009</v>
      </c>
    </row>
    <row r="861" spans="1:4" x14ac:dyDescent="0.35">
      <c r="A861" t="s">
        <v>155</v>
      </c>
      <c r="B861" t="s">
        <v>16</v>
      </c>
      <c r="C861">
        <v>41299.599999999999</v>
      </c>
      <c r="D861">
        <v>1.1117366696747011</v>
      </c>
    </row>
    <row r="862" spans="1:4" x14ac:dyDescent="0.35">
      <c r="A862" t="s">
        <v>155</v>
      </c>
      <c r="B862" t="s">
        <v>17</v>
      </c>
      <c r="C862">
        <v>41904.6</v>
      </c>
      <c r="D862">
        <v>1.662245437692591</v>
      </c>
    </row>
    <row r="863" spans="1:4" x14ac:dyDescent="0.35">
      <c r="A863" t="s">
        <v>155</v>
      </c>
      <c r="B863" t="s">
        <v>18</v>
      </c>
      <c r="C863">
        <v>42405</v>
      </c>
      <c r="D863">
        <v>3.0642775921907668</v>
      </c>
    </row>
    <row r="864" spans="1:4" x14ac:dyDescent="0.35">
      <c r="A864" t="s">
        <v>155</v>
      </c>
      <c r="B864" t="s">
        <v>19</v>
      </c>
      <c r="C864">
        <v>42496.1</v>
      </c>
      <c r="D864">
        <v>2.1100623656199868</v>
      </c>
    </row>
    <row r="865" spans="1:4" x14ac:dyDescent="0.35">
      <c r="A865" t="s">
        <v>155</v>
      </c>
      <c r="B865" t="s">
        <v>20</v>
      </c>
      <c r="C865">
        <v>43032.3</v>
      </c>
      <c r="D865">
        <v>4.1098181812630923</v>
      </c>
    </row>
    <row r="866" spans="1:4" x14ac:dyDescent="0.35">
      <c r="A866" t="s">
        <v>155</v>
      </c>
      <c r="B866" t="s">
        <v>21</v>
      </c>
      <c r="C866">
        <v>43383.5</v>
      </c>
      <c r="D866">
        <v>3.4683578381174658</v>
      </c>
    </row>
    <row r="867" spans="1:4" x14ac:dyDescent="0.35">
      <c r="A867" t="s">
        <v>155</v>
      </c>
      <c r="B867" t="s">
        <v>22</v>
      </c>
      <c r="C867">
        <v>43875.9</v>
      </c>
      <c r="D867">
        <v>3.4098914582494411</v>
      </c>
    </row>
    <row r="868" spans="1:4" x14ac:dyDescent="0.35">
      <c r="A868" t="s">
        <v>155</v>
      </c>
      <c r="B868" t="s">
        <v>23</v>
      </c>
      <c r="C868">
        <v>44547.8</v>
      </c>
      <c r="D868">
        <v>4.7150462967552098</v>
      </c>
    </row>
    <row r="869" spans="1:4" x14ac:dyDescent="0.35">
      <c r="A869" t="s">
        <v>155</v>
      </c>
      <c r="B869" t="s">
        <v>24</v>
      </c>
      <c r="C869">
        <v>44986.6</v>
      </c>
      <c r="D869">
        <v>4.4413671145244491</v>
      </c>
    </row>
    <row r="870" spans="1:4" x14ac:dyDescent="0.35">
      <c r="A870" t="s">
        <v>155</v>
      </c>
      <c r="B870" t="s">
        <v>25</v>
      </c>
      <c r="C870">
        <v>44428.1</v>
      </c>
      <c r="D870">
        <v>2.3792967648972159</v>
      </c>
    </row>
    <row r="871" spans="1:4" x14ac:dyDescent="0.35">
      <c r="A871" t="s">
        <v>155</v>
      </c>
      <c r="B871" t="s">
        <v>26</v>
      </c>
      <c r="C871">
        <v>45072.4</v>
      </c>
      <c r="D871">
        <v>2.690489138786516</v>
      </c>
    </row>
    <row r="872" spans="1:4" x14ac:dyDescent="0.35">
      <c r="A872" t="s">
        <v>155</v>
      </c>
      <c r="B872" t="s">
        <v>27</v>
      </c>
      <c r="C872">
        <v>45207.3</v>
      </c>
      <c r="D872">
        <v>1.469580824112626</v>
      </c>
    </row>
    <row r="873" spans="1:4" x14ac:dyDescent="0.35">
      <c r="A873" t="s">
        <v>155</v>
      </c>
      <c r="B873" t="s">
        <v>28</v>
      </c>
      <c r="C873">
        <v>46356.5</v>
      </c>
      <c r="D873">
        <v>2.9996851856297071</v>
      </c>
    </row>
    <row r="874" spans="1:4" x14ac:dyDescent="0.35">
      <c r="A874" t="s">
        <v>155</v>
      </c>
      <c r="B874" t="s">
        <v>29</v>
      </c>
      <c r="C874">
        <v>46427.1</v>
      </c>
      <c r="D874">
        <v>4.4011188329371471</v>
      </c>
    </row>
    <row r="875" spans="1:4" x14ac:dyDescent="0.35">
      <c r="A875" t="s">
        <v>155</v>
      </c>
      <c r="B875" t="s">
        <v>30</v>
      </c>
      <c r="C875">
        <v>46871.199999999997</v>
      </c>
      <c r="D875">
        <v>3.9133328553805451</v>
      </c>
    </row>
    <row r="876" spans="1:4" x14ac:dyDescent="0.35">
      <c r="A876" t="s">
        <v>155</v>
      </c>
      <c r="B876" t="s">
        <v>31</v>
      </c>
      <c r="C876">
        <v>47263.5</v>
      </c>
      <c r="D876">
        <v>4.4479749194383622</v>
      </c>
    </row>
    <row r="877" spans="1:4" x14ac:dyDescent="0.35">
      <c r="A877" t="s">
        <v>155</v>
      </c>
      <c r="B877" t="s">
        <v>32</v>
      </c>
      <c r="C877">
        <v>48200</v>
      </c>
      <c r="D877">
        <v>3.899750155232149</v>
      </c>
    </row>
    <row r="878" spans="1:4" x14ac:dyDescent="0.35">
      <c r="A878" t="s">
        <v>155</v>
      </c>
      <c r="B878" t="s">
        <v>33</v>
      </c>
      <c r="C878">
        <v>49027.5</v>
      </c>
      <c r="D878">
        <v>5.4498024708337249</v>
      </c>
    </row>
    <row r="879" spans="1:4" x14ac:dyDescent="0.35">
      <c r="A879" t="s">
        <v>155</v>
      </c>
      <c r="B879" t="s">
        <v>34</v>
      </c>
      <c r="C879">
        <v>49490.400000000001</v>
      </c>
      <c r="D879">
        <v>5.4375297034200756</v>
      </c>
    </row>
    <row r="880" spans="1:4" x14ac:dyDescent="0.35">
      <c r="A880" t="s">
        <v>155</v>
      </c>
      <c r="B880" t="s">
        <v>35</v>
      </c>
      <c r="C880">
        <v>50129.3</v>
      </c>
      <c r="D880">
        <v>5.8867340066611904</v>
      </c>
    </row>
    <row r="881" spans="1:4" x14ac:dyDescent="0.35">
      <c r="A881" t="s">
        <v>155</v>
      </c>
      <c r="B881" t="s">
        <v>36</v>
      </c>
      <c r="C881">
        <v>50074.8</v>
      </c>
      <c r="D881">
        <v>3.815886647836487</v>
      </c>
    </row>
    <row r="882" spans="1:4" x14ac:dyDescent="0.35">
      <c r="A882" t="s">
        <v>155</v>
      </c>
      <c r="B882" t="s">
        <v>37</v>
      </c>
      <c r="C882">
        <v>49689.599999999999</v>
      </c>
      <c r="D882">
        <v>1.3414290499532759</v>
      </c>
    </row>
    <row r="883" spans="1:4" x14ac:dyDescent="0.35">
      <c r="A883" t="s">
        <v>155</v>
      </c>
      <c r="B883" t="s">
        <v>38</v>
      </c>
      <c r="C883">
        <v>49856.7</v>
      </c>
      <c r="D883">
        <v>0.73741792141448681</v>
      </c>
    </row>
    <row r="884" spans="1:4" x14ac:dyDescent="0.35">
      <c r="A884" t="s">
        <v>155</v>
      </c>
      <c r="B884" t="s">
        <v>39</v>
      </c>
      <c r="C884">
        <v>48771.9</v>
      </c>
      <c r="D884">
        <v>-2.7451340144369949</v>
      </c>
    </row>
    <row r="885" spans="1:4" x14ac:dyDescent="0.35">
      <c r="A885" t="s">
        <v>155</v>
      </c>
      <c r="B885" t="s">
        <v>40</v>
      </c>
      <c r="C885">
        <v>45602.3</v>
      </c>
      <c r="D885">
        <v>-9.355973369007101</v>
      </c>
    </row>
    <row r="886" spans="1:4" x14ac:dyDescent="0.35">
      <c r="A886" t="s">
        <v>155</v>
      </c>
      <c r="B886" t="s">
        <v>41</v>
      </c>
      <c r="C886">
        <v>45408.4</v>
      </c>
      <c r="D886">
        <v>-9.0098545713120011</v>
      </c>
    </row>
    <row r="887" spans="1:4" x14ac:dyDescent="0.35">
      <c r="A887" t="s">
        <v>155</v>
      </c>
      <c r="B887" t="s">
        <v>42</v>
      </c>
      <c r="C887">
        <v>45842.7</v>
      </c>
      <c r="D887">
        <v>-8.3936919390697522</v>
      </c>
    </row>
    <row r="888" spans="1:4" x14ac:dyDescent="0.35">
      <c r="A888" t="s">
        <v>155</v>
      </c>
      <c r="B888" t="s">
        <v>43</v>
      </c>
      <c r="C888">
        <v>45518.3</v>
      </c>
      <c r="D888">
        <v>-6.9039884439907357</v>
      </c>
    </row>
    <row r="889" spans="1:4" x14ac:dyDescent="0.35">
      <c r="A889" t="s">
        <v>155</v>
      </c>
      <c r="B889" t="s">
        <v>44</v>
      </c>
      <c r="C889">
        <v>45914.2</v>
      </c>
      <c r="D889">
        <v>0.68162835689005641</v>
      </c>
    </row>
    <row r="890" spans="1:4" x14ac:dyDescent="0.35">
      <c r="A890" t="s">
        <v>155</v>
      </c>
      <c r="B890" t="s">
        <v>45</v>
      </c>
      <c r="C890">
        <v>47228.7</v>
      </c>
      <c r="D890">
        <v>3.930464869168405</v>
      </c>
    </row>
    <row r="891" spans="1:4" x14ac:dyDescent="0.35">
      <c r="A891" t="s">
        <v>155</v>
      </c>
      <c r="B891" t="s">
        <v>46</v>
      </c>
      <c r="C891">
        <v>46996.3</v>
      </c>
      <c r="D891">
        <v>2.4852904011476888</v>
      </c>
    </row>
    <row r="892" spans="1:4" x14ac:dyDescent="0.35">
      <c r="A892" t="s">
        <v>155</v>
      </c>
      <c r="B892" t="s">
        <v>47</v>
      </c>
      <c r="C892">
        <v>48007.9</v>
      </c>
      <c r="D892">
        <v>5.3251137799626456</v>
      </c>
    </row>
    <row r="893" spans="1:4" x14ac:dyDescent="0.35">
      <c r="A893" t="s">
        <v>155</v>
      </c>
      <c r="B893" t="s">
        <v>48</v>
      </c>
      <c r="C893">
        <v>48209.8</v>
      </c>
      <c r="D893">
        <v>4.8787882478271749</v>
      </c>
    </row>
    <row r="894" spans="1:4" x14ac:dyDescent="0.35">
      <c r="A894" t="s">
        <v>155</v>
      </c>
      <c r="B894" t="s">
        <v>49</v>
      </c>
      <c r="C894">
        <v>48090.1</v>
      </c>
      <c r="D894">
        <v>1.8074576070849171</v>
      </c>
    </row>
    <row r="895" spans="1:4" x14ac:dyDescent="0.35">
      <c r="A895" t="s">
        <v>155</v>
      </c>
      <c r="B895" t="s">
        <v>50</v>
      </c>
      <c r="C895">
        <v>48149.1</v>
      </c>
      <c r="D895">
        <v>2.423357127370616</v>
      </c>
    </row>
    <row r="896" spans="1:4" x14ac:dyDescent="0.35">
      <c r="A896" t="s">
        <v>155</v>
      </c>
      <c r="B896" t="s">
        <v>51</v>
      </c>
      <c r="C896">
        <v>48196.4</v>
      </c>
      <c r="D896">
        <v>0.39187487716536901</v>
      </c>
    </row>
    <row r="897" spans="1:5" x14ac:dyDescent="0.35">
      <c r="A897" t="s">
        <v>155</v>
      </c>
      <c r="B897" t="s">
        <v>52</v>
      </c>
      <c r="C897">
        <v>47902.400000000001</v>
      </c>
      <c r="D897">
        <v>-0.63967123462002207</v>
      </c>
    </row>
    <row r="898" spans="1:5" x14ac:dyDescent="0.35">
      <c r="A898" t="s">
        <v>155</v>
      </c>
      <c r="B898" t="s">
        <v>53</v>
      </c>
      <c r="C898">
        <v>47400.2</v>
      </c>
      <c r="D898">
        <v>-1.444988662039127</v>
      </c>
    </row>
    <row r="899" spans="1:5" x14ac:dyDescent="0.35">
      <c r="A899" t="s">
        <v>155</v>
      </c>
      <c r="B899" t="s">
        <v>54</v>
      </c>
      <c r="C899">
        <v>47233.1</v>
      </c>
      <c r="D899">
        <v>-1.9207528478450719</v>
      </c>
    </row>
    <row r="900" spans="1:5" x14ac:dyDescent="0.35">
      <c r="A900" t="s">
        <v>155</v>
      </c>
      <c r="B900" t="s">
        <v>55</v>
      </c>
      <c r="C900">
        <v>47175</v>
      </c>
      <c r="D900">
        <v>-2.1420238215913181</v>
      </c>
    </row>
    <row r="901" spans="1:5" x14ac:dyDescent="0.35">
      <c r="A901" t="s">
        <v>155</v>
      </c>
      <c r="B901" t="s">
        <v>56</v>
      </c>
      <c r="C901">
        <v>46765.8</v>
      </c>
      <c r="D901">
        <v>-2.4013440994976909</v>
      </c>
    </row>
    <row r="902" spans="1:5" x14ac:dyDescent="0.35">
      <c r="A902" t="s">
        <v>155</v>
      </c>
      <c r="B902" t="s">
        <v>57</v>
      </c>
      <c r="C902">
        <v>46974</v>
      </c>
      <c r="D902">
        <v>-0.90321909475796769</v>
      </c>
    </row>
    <row r="903" spans="1:5" x14ac:dyDescent="0.35">
      <c r="A903" t="s">
        <v>155</v>
      </c>
      <c r="B903" t="s">
        <v>58</v>
      </c>
      <c r="C903">
        <v>47099.1</v>
      </c>
      <c r="D903">
        <v>-0.28410254426570902</v>
      </c>
    </row>
    <row r="904" spans="1:5" x14ac:dyDescent="0.35">
      <c r="A904" t="s">
        <v>155</v>
      </c>
      <c r="B904" t="s">
        <v>59</v>
      </c>
      <c r="C904">
        <v>47016</v>
      </c>
      <c r="D904">
        <v>-0.33761219442645912</v>
      </c>
    </row>
    <row r="905" spans="1:5" x14ac:dyDescent="0.35">
      <c r="A905" t="s">
        <v>155</v>
      </c>
      <c r="B905" t="s">
        <v>60</v>
      </c>
      <c r="C905">
        <v>46613.9</v>
      </c>
      <c r="D905">
        <v>-0.32533866350484941</v>
      </c>
    </row>
    <row r="906" spans="1:5" x14ac:dyDescent="0.35">
      <c r="A906" t="s">
        <v>155</v>
      </c>
      <c r="B906" t="s">
        <v>61</v>
      </c>
      <c r="C906">
        <v>46705</v>
      </c>
      <c r="D906">
        <v>-0.57430318290200966</v>
      </c>
    </row>
    <row r="907" spans="1:5" x14ac:dyDescent="0.35">
      <c r="A907" t="s">
        <v>155</v>
      </c>
      <c r="B907" t="s">
        <v>62</v>
      </c>
      <c r="C907">
        <v>46842.6</v>
      </c>
      <c r="D907">
        <v>-0.54608472578292744</v>
      </c>
    </row>
    <row r="908" spans="1:5" x14ac:dyDescent="0.35">
      <c r="A908" t="s">
        <v>155</v>
      </c>
      <c r="B908" t="s">
        <v>63</v>
      </c>
      <c r="C908">
        <v>46794.400000000001</v>
      </c>
      <c r="D908">
        <v>-0.47244316660102992</v>
      </c>
    </row>
    <row r="909" spans="1:5" x14ac:dyDescent="0.35">
      <c r="A909" t="s">
        <v>155</v>
      </c>
      <c r="B909" t="s">
        <v>64</v>
      </c>
      <c r="C909">
        <v>46408.3</v>
      </c>
      <c r="D909">
        <v>-0.44204573702367839</v>
      </c>
      <c r="E909">
        <v>-0.39022586343569138</v>
      </c>
    </row>
    <row r="910" spans="1:5" x14ac:dyDescent="0.35">
      <c r="A910" t="s">
        <v>155</v>
      </c>
      <c r="B910" t="s">
        <v>65</v>
      </c>
      <c r="C910">
        <v>47078.5</v>
      </c>
      <c r="D910">
        <v>0.79651958970004078</v>
      </c>
      <c r="E910">
        <v>0.15027501356869619</v>
      </c>
    </row>
    <row r="911" spans="1:5" x14ac:dyDescent="0.35">
      <c r="A911" t="s">
        <v>155</v>
      </c>
      <c r="B911" t="s">
        <v>66</v>
      </c>
      <c r="C911">
        <v>47035.6</v>
      </c>
      <c r="D911">
        <v>0.41117164987862659</v>
      </c>
      <c r="E911">
        <v>0.53157491995890427</v>
      </c>
    </row>
    <row r="912" spans="1:5" x14ac:dyDescent="0.35">
      <c r="A912" t="s">
        <v>155</v>
      </c>
      <c r="B912" t="s">
        <v>67</v>
      </c>
      <c r="C912">
        <v>47305.5</v>
      </c>
      <c r="D912">
        <v>1.0863030163428711</v>
      </c>
      <c r="E912">
        <v>0.56936520652200251</v>
      </c>
    </row>
    <row r="913" spans="1:5" x14ac:dyDescent="0.35">
      <c r="A913" t="s">
        <v>155</v>
      </c>
      <c r="B913" t="s">
        <v>68</v>
      </c>
      <c r="C913">
        <v>47856.9</v>
      </c>
      <c r="D913">
        <v>3.0736985584453289</v>
      </c>
      <c r="E913">
        <v>0.6081697135823888</v>
      </c>
    </row>
    <row r="914" spans="1:5" x14ac:dyDescent="0.35">
      <c r="A914" t="s">
        <v>155</v>
      </c>
      <c r="B914" t="s">
        <v>69</v>
      </c>
      <c r="C914">
        <v>47847</v>
      </c>
      <c r="D914">
        <v>1.619199878691421</v>
      </c>
      <c r="E914">
        <v>0.62813997339812444</v>
      </c>
    </row>
    <row r="915" spans="1:5" x14ac:dyDescent="0.35">
      <c r="A915" t="s">
        <v>155</v>
      </c>
      <c r="B915" t="s">
        <v>70</v>
      </c>
      <c r="C915">
        <v>48368.9</v>
      </c>
      <c r="D915">
        <v>2.7952283407177552</v>
      </c>
      <c r="E915">
        <v>0.62921871406756302</v>
      </c>
    </row>
    <row r="916" spans="1:5" x14ac:dyDescent="0.35">
      <c r="A916" t="s">
        <v>155</v>
      </c>
      <c r="B916" t="s">
        <v>71</v>
      </c>
      <c r="C916">
        <v>48586</v>
      </c>
      <c r="D916">
        <v>2.670885575612405</v>
      </c>
      <c r="E916">
        <v>0.64884289376424131</v>
      </c>
    </row>
    <row r="917" spans="1:5" x14ac:dyDescent="0.35">
      <c r="A917" t="s">
        <v>155</v>
      </c>
      <c r="B917" t="s">
        <v>72</v>
      </c>
      <c r="C917">
        <v>49057.9</v>
      </c>
      <c r="D917">
        <v>2.4785925055279892</v>
      </c>
      <c r="E917">
        <v>0.85328541309769135</v>
      </c>
    </row>
    <row r="918" spans="1:5" x14ac:dyDescent="0.35">
      <c r="A918" t="s">
        <v>155</v>
      </c>
      <c r="B918" t="s">
        <v>73</v>
      </c>
      <c r="C918">
        <v>49703</v>
      </c>
      <c r="D918">
        <v>3.8056873445171799</v>
      </c>
      <c r="E918">
        <v>0.82101751844928228</v>
      </c>
    </row>
    <row r="919" spans="1:5" x14ac:dyDescent="0.35">
      <c r="A919" t="s">
        <v>155</v>
      </c>
      <c r="B919" t="s">
        <v>74</v>
      </c>
      <c r="C919">
        <v>49935.4</v>
      </c>
      <c r="D919">
        <v>3.1873124868866349</v>
      </c>
      <c r="E919">
        <v>0.55441269825006712</v>
      </c>
    </row>
    <row r="920" spans="1:5" x14ac:dyDescent="0.35">
      <c r="A920" t="s">
        <v>155</v>
      </c>
      <c r="B920" t="s">
        <v>75</v>
      </c>
      <c r="C920">
        <v>50328.6</v>
      </c>
      <c r="D920">
        <v>3.5238080425810359</v>
      </c>
      <c r="E920">
        <v>0.64890371119837631</v>
      </c>
    </row>
    <row r="921" spans="1:5" x14ac:dyDescent="0.35">
      <c r="A921" t="s">
        <v>155</v>
      </c>
      <c r="B921" t="s">
        <v>76</v>
      </c>
      <c r="C921">
        <v>50437.599999999999</v>
      </c>
      <c r="D921">
        <v>2.7735695494707491</v>
      </c>
      <c r="E921">
        <v>0.5621858675941005</v>
      </c>
    </row>
    <row r="922" spans="1:5" x14ac:dyDescent="0.35">
      <c r="A922" t="s">
        <v>155</v>
      </c>
      <c r="B922" t="s">
        <v>77</v>
      </c>
      <c r="C922">
        <v>50338.400000000001</v>
      </c>
      <c r="D922">
        <v>1.270291187846724</v>
      </c>
      <c r="E922">
        <v>0.34362344950477092</v>
      </c>
    </row>
    <row r="923" spans="1:5" x14ac:dyDescent="0.35">
      <c r="A923" t="s">
        <v>155</v>
      </c>
      <c r="B923" t="s">
        <v>78</v>
      </c>
      <c r="C923">
        <v>50289.2</v>
      </c>
      <c r="D923">
        <v>0.70601722456553762</v>
      </c>
      <c r="E923">
        <v>-0.36124342683803412</v>
      </c>
    </row>
    <row r="924" spans="1:5" x14ac:dyDescent="0.35">
      <c r="A924" t="s">
        <v>155</v>
      </c>
      <c r="B924" t="s">
        <v>79</v>
      </c>
      <c r="C924">
        <v>50333.9</v>
      </c>
      <c r="D924">
        <v>1.0530237188437709E-2</v>
      </c>
      <c r="E924">
        <v>0.77555247523006809</v>
      </c>
    </row>
    <row r="925" spans="1:5" x14ac:dyDescent="0.35">
      <c r="A925" t="s">
        <v>155</v>
      </c>
      <c r="B925" t="s">
        <v>80</v>
      </c>
      <c r="C925">
        <v>50770.9</v>
      </c>
      <c r="D925">
        <v>0.65864271263190133</v>
      </c>
      <c r="E925">
        <v>0.82277789387702627</v>
      </c>
    </row>
    <row r="926" spans="1:5" x14ac:dyDescent="0.35">
      <c r="A926" t="s">
        <v>155</v>
      </c>
      <c r="B926" t="s">
        <v>81</v>
      </c>
      <c r="C926">
        <v>51129.2</v>
      </c>
      <c r="D926">
        <v>1.5587557245584931</v>
      </c>
      <c r="E926">
        <v>0.84316170743394436</v>
      </c>
    </row>
    <row r="927" spans="1:5" x14ac:dyDescent="0.35">
      <c r="A927" t="s">
        <v>155</v>
      </c>
      <c r="B927" t="s">
        <v>82</v>
      </c>
      <c r="C927">
        <v>51158.7</v>
      </c>
      <c r="D927">
        <v>1.7142223588647461</v>
      </c>
      <c r="E927">
        <v>0.87532164416890335</v>
      </c>
    </row>
    <row r="928" spans="1:5" x14ac:dyDescent="0.35">
      <c r="A928" t="s">
        <v>155</v>
      </c>
      <c r="B928" t="s">
        <v>83</v>
      </c>
      <c r="C928">
        <v>51058.6</v>
      </c>
      <c r="D928">
        <v>1.4295186352780269</v>
      </c>
      <c r="E928">
        <v>0.87194054741041294</v>
      </c>
    </row>
    <row r="929" spans="1:5" x14ac:dyDescent="0.35">
      <c r="A929" t="s">
        <v>155</v>
      </c>
      <c r="B929" t="s">
        <v>84</v>
      </c>
      <c r="C929">
        <v>50950.5</v>
      </c>
      <c r="D929">
        <v>0.35312173569524902</v>
      </c>
      <c r="E929">
        <v>0.92123441011730101</v>
      </c>
    </row>
    <row r="930" spans="1:5" x14ac:dyDescent="0.35">
      <c r="A930" t="s">
        <v>155</v>
      </c>
      <c r="B930" t="s">
        <v>85</v>
      </c>
      <c r="C930">
        <v>47628.1</v>
      </c>
      <c r="D930">
        <v>-7.0932839385952144</v>
      </c>
      <c r="E930">
        <v>0.97525918278650325</v>
      </c>
    </row>
    <row r="931" spans="1:5" x14ac:dyDescent="0.35">
      <c r="A931" t="s">
        <v>155</v>
      </c>
      <c r="B931" t="s">
        <v>86</v>
      </c>
      <c r="C931">
        <v>49981.8</v>
      </c>
      <c r="D931">
        <v>-2.327362674678954</v>
      </c>
      <c r="E931">
        <v>0.98002621789385214</v>
      </c>
    </row>
    <row r="932" spans="1:5" x14ac:dyDescent="0.35">
      <c r="A932" t="s">
        <v>155</v>
      </c>
      <c r="B932" t="s">
        <v>87</v>
      </c>
      <c r="C932">
        <v>50474.2</v>
      </c>
      <c r="D932">
        <v>-1.1511678071480249</v>
      </c>
      <c r="E932">
        <v>0.96395414456059292</v>
      </c>
    </row>
    <row r="933" spans="1:5" x14ac:dyDescent="0.35">
      <c r="A933" t="s">
        <v>155</v>
      </c>
      <c r="B933" t="s">
        <v>88</v>
      </c>
      <c r="C933">
        <v>50135.5</v>
      </c>
      <c r="D933">
        <v>-1.612523316440861</v>
      </c>
      <c r="E933">
        <v>0.9525453901426002</v>
      </c>
    </row>
    <row r="934" spans="1:5" x14ac:dyDescent="0.35">
      <c r="A934" t="s">
        <v>155</v>
      </c>
      <c r="B934" t="s">
        <v>89</v>
      </c>
      <c r="C934">
        <v>50908.5</v>
      </c>
      <c r="D934">
        <v>6.660698052860516</v>
      </c>
      <c r="E934">
        <v>0.92117933254764095</v>
      </c>
    </row>
    <row r="935" spans="1:5" x14ac:dyDescent="0.35">
      <c r="A935" t="s">
        <v>155</v>
      </c>
      <c r="B935" t="s">
        <v>90</v>
      </c>
      <c r="C935">
        <v>51469.7</v>
      </c>
      <c r="D935">
        <v>2.9334345845569412</v>
      </c>
      <c r="E935">
        <v>0.90476823675518758</v>
      </c>
    </row>
    <row r="936" spans="1:5" x14ac:dyDescent="0.35">
      <c r="A936" t="s">
        <v>155</v>
      </c>
      <c r="B936" t="s">
        <v>91</v>
      </c>
      <c r="C936">
        <v>51848.6</v>
      </c>
      <c r="D936">
        <v>2.6865618703797081</v>
      </c>
      <c r="E936">
        <v>0.89392691851617434</v>
      </c>
    </row>
    <row r="937" spans="1:5" x14ac:dyDescent="0.35">
      <c r="A937" t="s">
        <v>155</v>
      </c>
      <c r="B937" t="s">
        <v>92</v>
      </c>
      <c r="C937">
        <v>51520.6</v>
      </c>
      <c r="D937">
        <v>2.7252387692155708</v>
      </c>
      <c r="E937">
        <v>0.87139703337224794</v>
      </c>
    </row>
    <row r="938" spans="1:5" x14ac:dyDescent="0.35">
      <c r="A938" t="s">
        <v>155</v>
      </c>
      <c r="B938" t="s">
        <v>93</v>
      </c>
      <c r="C938">
        <v>51671.6</v>
      </c>
      <c r="D938">
        <v>1.4878403843206249</v>
      </c>
      <c r="E938">
        <v>0.83562205778513454</v>
      </c>
    </row>
    <row r="939" spans="1:5" x14ac:dyDescent="0.35">
      <c r="A939" t="s">
        <v>155</v>
      </c>
      <c r="B939" t="s">
        <v>94</v>
      </c>
      <c r="C939">
        <v>51616.2</v>
      </c>
      <c r="D939">
        <v>0.28422916931703651</v>
      </c>
      <c r="E939">
        <v>0.83518753506855625</v>
      </c>
    </row>
    <row r="940" spans="1:5" x14ac:dyDescent="0.35">
      <c r="A940" t="s">
        <v>155</v>
      </c>
      <c r="B940" t="s">
        <v>95</v>
      </c>
      <c r="C940">
        <v>51113.1</v>
      </c>
      <c r="D940">
        <v>-1.428710891337686</v>
      </c>
      <c r="E940">
        <v>0.82347302684200141</v>
      </c>
    </row>
    <row r="941" spans="1:5" x14ac:dyDescent="0.35">
      <c r="A941" t="s">
        <v>155</v>
      </c>
      <c r="B941" t="s">
        <v>96</v>
      </c>
      <c r="C941">
        <v>51164.1</v>
      </c>
      <c r="D941">
        <v>-0.6943613456523402</v>
      </c>
      <c r="E941">
        <v>0.66023696776915897</v>
      </c>
    </row>
    <row r="942" spans="1:5" x14ac:dyDescent="0.35">
      <c r="A942" t="s">
        <v>155</v>
      </c>
      <c r="B942" t="s">
        <v>97</v>
      </c>
      <c r="C942">
        <v>51205.2</v>
      </c>
      <c r="D942">
        <v>-0.90672181754695214</v>
      </c>
      <c r="E942">
        <v>0.54115951049742483</v>
      </c>
    </row>
    <row r="943" spans="1:5" x14ac:dyDescent="0.35">
      <c r="A943" t="s">
        <v>155</v>
      </c>
      <c r="B943" t="s">
        <v>98</v>
      </c>
      <c r="C943">
        <v>50473.3</v>
      </c>
      <c r="D943">
        <v>-2.2391093110712972</v>
      </c>
      <c r="E943">
        <v>0.55946186841103696</v>
      </c>
    </row>
    <row r="944" spans="1:5" x14ac:dyDescent="0.35">
      <c r="A944" t="s">
        <v>155</v>
      </c>
      <c r="B944" t="s">
        <v>99</v>
      </c>
      <c r="C944">
        <v>50423.3</v>
      </c>
      <c r="D944">
        <v>-1.35874545971376</v>
      </c>
      <c r="E944">
        <v>0.57328215951564387</v>
      </c>
    </row>
    <row r="945" spans="1:5" x14ac:dyDescent="0.35">
      <c r="A945" t="s">
        <v>155</v>
      </c>
      <c r="B945" t="s">
        <v>100</v>
      </c>
      <c r="C945">
        <v>50978.2</v>
      </c>
      <c r="D945">
        <v>-0.36400238737728652</v>
      </c>
      <c r="E945">
        <v>0.45675746128502892</v>
      </c>
    </row>
    <row r="946" spans="1:5" x14ac:dyDescent="0.35">
      <c r="A946" t="s">
        <v>155</v>
      </c>
      <c r="B946" t="s">
        <v>101</v>
      </c>
      <c r="C946">
        <v>51113.1</v>
      </c>
      <c r="D946">
        <v>-0.1800264955033839</v>
      </c>
      <c r="E946">
        <v>0.2208649046275051</v>
      </c>
    </row>
    <row r="947" spans="1:5" x14ac:dyDescent="0.35">
      <c r="A947" t="s">
        <v>155</v>
      </c>
      <c r="B947" t="s">
        <v>102</v>
      </c>
      <c r="C947">
        <v>51499.199999999997</v>
      </c>
      <c r="D947">
        <v>2.0121789976361888</v>
      </c>
      <c r="E947">
        <v>-6.7366504499545413E-2</v>
      </c>
    </row>
    <row r="948" spans="1:5" x14ac:dyDescent="0.35">
      <c r="A948" t="s">
        <v>155</v>
      </c>
      <c r="B948" t="s">
        <v>103</v>
      </c>
      <c r="C948">
        <v>51475</v>
      </c>
      <c r="D948">
        <v>2.0642883077683938</v>
      </c>
      <c r="E948">
        <v>0.18514787159562199</v>
      </c>
    </row>
    <row r="949" spans="1:5" x14ac:dyDescent="0.35">
      <c r="A949" t="s">
        <v>155</v>
      </c>
      <c r="B949" t="s">
        <v>104</v>
      </c>
      <c r="C949">
        <v>51614.400000000001</v>
      </c>
      <c r="D949">
        <v>1.2402612961513431</v>
      </c>
      <c r="E949">
        <v>-5.1907923992241978E-2</v>
      </c>
    </row>
    <row r="950" spans="1:5" x14ac:dyDescent="0.35">
      <c r="A950" t="s">
        <v>155</v>
      </c>
      <c r="B950" t="s">
        <v>105</v>
      </c>
      <c r="C950">
        <v>51645.7</v>
      </c>
      <c r="D950">
        <v>1.0366115004496459</v>
      </c>
      <c r="E950">
        <v>0.28582713314200409</v>
      </c>
    </row>
    <row r="951" spans="1:5" x14ac:dyDescent="0.35">
      <c r="A951" t="s">
        <v>155</v>
      </c>
      <c r="B951" t="s">
        <v>106</v>
      </c>
      <c r="C951">
        <v>51630.5</v>
      </c>
      <c r="D951">
        <v>0.25463095682891512</v>
      </c>
      <c r="E951">
        <v>0.2319319891223412</v>
      </c>
    </row>
    <row r="952" spans="1:5" x14ac:dyDescent="0.35">
      <c r="A952" t="s">
        <v>155</v>
      </c>
      <c r="B952" t="s">
        <v>107</v>
      </c>
      <c r="C952">
        <v>51821.8</v>
      </c>
      <c r="D952">
        <v>0.67146572401544224</v>
      </c>
      <c r="E952">
        <v>0.1956674455616231</v>
      </c>
    </row>
    <row r="953" spans="1:5" x14ac:dyDescent="0.35">
      <c r="A953" t="s">
        <v>155</v>
      </c>
      <c r="B953" t="s">
        <v>108</v>
      </c>
      <c r="C953">
        <v>52255.199999999997</v>
      </c>
      <c r="D953">
        <v>1.233870410184734</v>
      </c>
      <c r="E953">
        <v>0.32504962792480557</v>
      </c>
    </row>
    <row r="954" spans="1:5" x14ac:dyDescent="0.35">
      <c r="A954" t="s">
        <v>155</v>
      </c>
      <c r="B954" t="s">
        <v>109</v>
      </c>
      <c r="C954">
        <v>52451.8</v>
      </c>
      <c r="D954">
        <v>1.5487713214115031</v>
      </c>
      <c r="E954">
        <v>0.2561569161513928</v>
      </c>
    </row>
    <row r="955" spans="1:5" x14ac:dyDescent="0.35">
      <c r="A955" t="s">
        <v>156</v>
      </c>
      <c r="B955" t="s">
        <v>4</v>
      </c>
      <c r="C955">
        <v>30195.5</v>
      </c>
    </row>
    <row r="956" spans="1:5" x14ac:dyDescent="0.35">
      <c r="A956" t="s">
        <v>156</v>
      </c>
      <c r="B956" t="s">
        <v>5</v>
      </c>
      <c r="C956">
        <v>31302</v>
      </c>
    </row>
    <row r="957" spans="1:5" x14ac:dyDescent="0.35">
      <c r="A957" t="s">
        <v>156</v>
      </c>
      <c r="B957" t="s">
        <v>6</v>
      </c>
      <c r="C957">
        <v>31478.1</v>
      </c>
    </row>
    <row r="958" spans="1:5" x14ac:dyDescent="0.35">
      <c r="A958" t="s">
        <v>156</v>
      </c>
      <c r="B958" t="s">
        <v>7</v>
      </c>
      <c r="C958">
        <v>32313.4</v>
      </c>
    </row>
    <row r="959" spans="1:5" x14ac:dyDescent="0.35">
      <c r="A959" t="s">
        <v>156</v>
      </c>
      <c r="B959" t="s">
        <v>8</v>
      </c>
      <c r="C959">
        <v>32740.6</v>
      </c>
      <c r="D959">
        <v>8.0922991325823528</v>
      </c>
    </row>
    <row r="960" spans="1:5" x14ac:dyDescent="0.35">
      <c r="A960" t="s">
        <v>156</v>
      </c>
      <c r="B960" t="s">
        <v>9</v>
      </c>
      <c r="C960">
        <v>33391</v>
      </c>
      <c r="D960">
        <v>6.4604409325340413</v>
      </c>
    </row>
    <row r="961" spans="1:5" x14ac:dyDescent="0.35">
      <c r="A961" t="s">
        <v>156</v>
      </c>
      <c r="B961" t="s">
        <v>10</v>
      </c>
      <c r="C961">
        <v>32506.6</v>
      </c>
      <c r="D961">
        <v>3.2151079695171219</v>
      </c>
    </row>
    <row r="962" spans="1:5" x14ac:dyDescent="0.35">
      <c r="A962" t="s">
        <v>156</v>
      </c>
      <c r="B962" t="s">
        <v>11</v>
      </c>
      <c r="C962">
        <v>33556</v>
      </c>
      <c r="D962">
        <v>3.773368010522193</v>
      </c>
    </row>
    <row r="963" spans="1:5" x14ac:dyDescent="0.35">
      <c r="A963" t="s">
        <v>156</v>
      </c>
      <c r="B963" t="s">
        <v>12</v>
      </c>
      <c r="C963">
        <v>34824</v>
      </c>
      <c r="D963">
        <v>6.169090626845521</v>
      </c>
      <c r="E963">
        <v>0.44850364423961608</v>
      </c>
    </row>
    <row r="964" spans="1:5" x14ac:dyDescent="0.35">
      <c r="A964" t="s">
        <v>156</v>
      </c>
      <c r="B964" t="s">
        <v>13</v>
      </c>
      <c r="C964">
        <v>34882</v>
      </c>
      <c r="D964">
        <v>4.3684534252825769</v>
      </c>
      <c r="E964">
        <v>0.54561067208238057</v>
      </c>
    </row>
    <row r="965" spans="1:5" x14ac:dyDescent="0.35">
      <c r="A965" t="s">
        <v>156</v>
      </c>
      <c r="B965" t="s">
        <v>14</v>
      </c>
      <c r="C965">
        <v>34833.199999999997</v>
      </c>
      <c r="D965">
        <v>6.9127809336792394</v>
      </c>
      <c r="E965">
        <v>0.77551966134726114</v>
      </c>
    </row>
    <row r="966" spans="1:5" x14ac:dyDescent="0.35">
      <c r="A966" t="s">
        <v>156</v>
      </c>
      <c r="B966" t="s">
        <v>15</v>
      </c>
      <c r="C966">
        <v>35811.4</v>
      </c>
      <c r="D966">
        <v>6.5050593486892296</v>
      </c>
      <c r="E966">
        <v>0.86133341794178087</v>
      </c>
    </row>
    <row r="967" spans="1:5" x14ac:dyDescent="0.35">
      <c r="A967" t="s">
        <v>156</v>
      </c>
      <c r="B967" t="s">
        <v>16</v>
      </c>
      <c r="C967">
        <v>35297.699999999997</v>
      </c>
      <c r="D967">
        <v>1.3511001759157291</v>
      </c>
      <c r="E967">
        <v>0.86144997275881341</v>
      </c>
    </row>
    <row r="968" spans="1:5" x14ac:dyDescent="0.35">
      <c r="A968" t="s">
        <v>156</v>
      </c>
      <c r="B968" t="s">
        <v>17</v>
      </c>
      <c r="C968">
        <v>36109.599999999999</v>
      </c>
      <c r="D968">
        <v>3.458782111762043</v>
      </c>
      <c r="E968">
        <v>0.897293616566057</v>
      </c>
    </row>
    <row r="969" spans="1:5" x14ac:dyDescent="0.35">
      <c r="A969" t="s">
        <v>156</v>
      </c>
      <c r="B969" t="s">
        <v>18</v>
      </c>
      <c r="C969">
        <v>35400.699999999997</v>
      </c>
      <c r="D969">
        <v>1.6160638977291111</v>
      </c>
      <c r="E969">
        <v>0.8632328761172483</v>
      </c>
    </row>
    <row r="970" spans="1:5" x14ac:dyDescent="0.35">
      <c r="A970" t="s">
        <v>156</v>
      </c>
      <c r="B970" t="s">
        <v>19</v>
      </c>
      <c r="C970">
        <v>38094.699999999997</v>
      </c>
      <c r="D970">
        <v>6.1808886373804981</v>
      </c>
      <c r="E970">
        <v>0.83970399844787036</v>
      </c>
    </row>
    <row r="971" spans="1:5" x14ac:dyDescent="0.35">
      <c r="A971" t="s">
        <v>156</v>
      </c>
      <c r="B971" t="s">
        <v>20</v>
      </c>
      <c r="C971">
        <v>37853.1</v>
      </c>
      <c r="D971">
        <v>6.9895072766205004</v>
      </c>
      <c r="E971">
        <v>0.92061908608765153</v>
      </c>
    </row>
    <row r="972" spans="1:5" x14ac:dyDescent="0.35">
      <c r="A972" t="s">
        <v>156</v>
      </c>
      <c r="B972" t="s">
        <v>21</v>
      </c>
      <c r="C972">
        <v>39251.4</v>
      </c>
      <c r="D972">
        <v>8.3428354418013146</v>
      </c>
      <c r="E972">
        <v>0.92095871266624685</v>
      </c>
    </row>
    <row r="973" spans="1:5" x14ac:dyDescent="0.35">
      <c r="A973" t="s">
        <v>156</v>
      </c>
      <c r="B973" t="s">
        <v>22</v>
      </c>
      <c r="C973">
        <v>38016.5</v>
      </c>
      <c r="D973">
        <v>7.1288682055065626</v>
      </c>
      <c r="E973">
        <v>0.48623533893580317</v>
      </c>
    </row>
    <row r="974" spans="1:5" x14ac:dyDescent="0.35">
      <c r="A974" t="s">
        <v>156</v>
      </c>
      <c r="B974" t="s">
        <v>23</v>
      </c>
      <c r="C974">
        <v>39640.9</v>
      </c>
      <c r="D974">
        <v>3.9786248698353579</v>
      </c>
      <c r="E974">
        <v>0.57227206847345147</v>
      </c>
    </row>
    <row r="975" spans="1:5" x14ac:dyDescent="0.35">
      <c r="A975" t="s">
        <v>156</v>
      </c>
      <c r="B975" t="s">
        <v>24</v>
      </c>
      <c r="C975">
        <v>40278</v>
      </c>
      <c r="D975">
        <v>6.2092535409310781</v>
      </c>
      <c r="E975">
        <v>0.62576450964260077</v>
      </c>
    </row>
    <row r="976" spans="1:5" x14ac:dyDescent="0.35">
      <c r="A976" t="s">
        <v>156</v>
      </c>
      <c r="B976" t="s">
        <v>25</v>
      </c>
      <c r="C976">
        <v>41312.400000000001</v>
      </c>
      <c r="D976">
        <v>5.1175584651978756</v>
      </c>
      <c r="E976">
        <v>0.52965692458555313</v>
      </c>
    </row>
    <row r="977" spans="1:5" x14ac:dyDescent="0.35">
      <c r="A977" t="s">
        <v>156</v>
      </c>
      <c r="B977" t="s">
        <v>26</v>
      </c>
      <c r="C977">
        <v>40040.9</v>
      </c>
      <c r="D977">
        <v>5.1881155706291002</v>
      </c>
      <c r="E977">
        <v>0.54032470806190425</v>
      </c>
    </row>
    <row r="978" spans="1:5" x14ac:dyDescent="0.35">
      <c r="A978" t="s">
        <v>156</v>
      </c>
      <c r="B978" t="s">
        <v>27</v>
      </c>
      <c r="C978">
        <v>42087.9</v>
      </c>
      <c r="D978">
        <v>5.9898874908435049</v>
      </c>
      <c r="E978">
        <v>0.44043545450830668</v>
      </c>
    </row>
    <row r="979" spans="1:5" x14ac:dyDescent="0.35">
      <c r="A979" t="s">
        <v>156</v>
      </c>
      <c r="B979" t="s">
        <v>28</v>
      </c>
      <c r="C979">
        <v>42491.5</v>
      </c>
      <c r="D979">
        <v>5.349864174303459</v>
      </c>
      <c r="E979">
        <v>0.46095139460564089</v>
      </c>
    </row>
    <row r="980" spans="1:5" x14ac:dyDescent="0.35">
      <c r="A980" t="s">
        <v>156</v>
      </c>
      <c r="B980" t="s">
        <v>29</v>
      </c>
      <c r="C980">
        <v>43043</v>
      </c>
      <c r="D980">
        <v>4.1036918992557032</v>
      </c>
      <c r="E980">
        <v>0.56615648575146038</v>
      </c>
    </row>
    <row r="981" spans="1:5" x14ac:dyDescent="0.35">
      <c r="A981" t="s">
        <v>156</v>
      </c>
      <c r="B981" t="s">
        <v>30</v>
      </c>
      <c r="C981">
        <v>42744.6</v>
      </c>
      <c r="D981">
        <v>6.5341439897902669</v>
      </c>
      <c r="E981">
        <v>0.73213845465533511</v>
      </c>
    </row>
    <row r="982" spans="1:5" x14ac:dyDescent="0.35">
      <c r="A982" t="s">
        <v>156</v>
      </c>
      <c r="B982" t="s">
        <v>31</v>
      </c>
      <c r="C982">
        <v>43475.5</v>
      </c>
      <c r="D982">
        <v>3.2437272585242818</v>
      </c>
      <c r="E982">
        <v>0.65659654681216717</v>
      </c>
    </row>
    <row r="983" spans="1:5" x14ac:dyDescent="0.35">
      <c r="A983" t="s">
        <v>156</v>
      </c>
      <c r="B983" t="s">
        <v>32</v>
      </c>
      <c r="C983">
        <v>45780.7</v>
      </c>
      <c r="D983">
        <v>7.4558548999695402</v>
      </c>
      <c r="E983">
        <v>0.61454672700377189</v>
      </c>
    </row>
    <row r="984" spans="1:5" x14ac:dyDescent="0.35">
      <c r="A984" t="s">
        <v>156</v>
      </c>
      <c r="B984" t="s">
        <v>33</v>
      </c>
      <c r="C984">
        <v>45582.6</v>
      </c>
      <c r="D984">
        <v>5.7326448726554498</v>
      </c>
      <c r="E984">
        <v>0.49171122778649651</v>
      </c>
    </row>
    <row r="985" spans="1:5" x14ac:dyDescent="0.35">
      <c r="A985" t="s">
        <v>156</v>
      </c>
      <c r="B985" t="s">
        <v>34</v>
      </c>
      <c r="C985">
        <v>43555.7</v>
      </c>
      <c r="D985">
        <v>1.8797707160490511</v>
      </c>
      <c r="E985">
        <v>0.44803914442369352</v>
      </c>
    </row>
    <row r="986" spans="1:5" x14ac:dyDescent="0.35">
      <c r="A986" t="s">
        <v>156</v>
      </c>
      <c r="B986" t="s">
        <v>35</v>
      </c>
      <c r="C986">
        <v>45667</v>
      </c>
      <c r="D986">
        <v>4.9178375366671689</v>
      </c>
      <c r="E986">
        <v>0.60427143591863386</v>
      </c>
    </row>
    <row r="987" spans="1:5" x14ac:dyDescent="0.35">
      <c r="A987" t="s">
        <v>156</v>
      </c>
      <c r="B987" t="s">
        <v>36</v>
      </c>
      <c r="C987">
        <v>44821.9</v>
      </c>
      <c r="D987">
        <v>-2.1165745663745219</v>
      </c>
      <c r="E987">
        <v>0.62121943241917621</v>
      </c>
    </row>
    <row r="988" spans="1:5" x14ac:dyDescent="0.35">
      <c r="A988" t="s">
        <v>156</v>
      </c>
      <c r="B988" t="s">
        <v>37</v>
      </c>
      <c r="C988">
        <v>43778.8</v>
      </c>
      <c r="D988">
        <v>-4.0376382810291824</v>
      </c>
      <c r="E988">
        <v>0.36932791324927972</v>
      </c>
    </row>
    <row r="989" spans="1:5" x14ac:dyDescent="0.35">
      <c r="A989" t="s">
        <v>156</v>
      </c>
      <c r="B989" t="s">
        <v>38</v>
      </c>
      <c r="C989">
        <v>43206.1</v>
      </c>
      <c r="D989">
        <v>-0.80588897898110112</v>
      </c>
      <c r="E989">
        <v>0.53096653146952033</v>
      </c>
    </row>
    <row r="990" spans="1:5" x14ac:dyDescent="0.35">
      <c r="A990" t="s">
        <v>156</v>
      </c>
      <c r="B990" t="s">
        <v>39</v>
      </c>
      <c r="C990">
        <v>41269.800000000003</v>
      </c>
      <c r="D990">
        <v>-10.124493878590791</v>
      </c>
      <c r="E990">
        <v>0.71379199418372596</v>
      </c>
    </row>
    <row r="991" spans="1:5" x14ac:dyDescent="0.35">
      <c r="A991" t="s">
        <v>156</v>
      </c>
      <c r="B991" t="s">
        <v>40</v>
      </c>
      <c r="C991">
        <v>41698.400000000001</v>
      </c>
      <c r="D991">
        <v>-7.2234100499575389</v>
      </c>
      <c r="E991">
        <v>0.73387188360464362</v>
      </c>
    </row>
    <row r="992" spans="1:5" x14ac:dyDescent="0.35">
      <c r="A992" t="s">
        <v>156</v>
      </c>
      <c r="B992" t="s">
        <v>41</v>
      </c>
      <c r="C992">
        <v>41816.400000000001</v>
      </c>
      <c r="D992">
        <v>-4.5861074861566893</v>
      </c>
      <c r="E992">
        <v>0.75331441833984025</v>
      </c>
    </row>
    <row r="993" spans="1:5" x14ac:dyDescent="0.35">
      <c r="A993" t="s">
        <v>156</v>
      </c>
      <c r="B993" t="s">
        <v>42</v>
      </c>
      <c r="C993">
        <v>41018.9</v>
      </c>
      <c r="D993">
        <v>-5.1948752888015282</v>
      </c>
      <c r="E993">
        <v>0.83732701009222077</v>
      </c>
    </row>
    <row r="994" spans="1:5" x14ac:dyDescent="0.35">
      <c r="A994" t="s">
        <v>156</v>
      </c>
      <c r="B994" t="s">
        <v>43</v>
      </c>
      <c r="C994">
        <v>40151.300000000003</v>
      </c>
      <c r="D994">
        <v>-2.7476179168621209</v>
      </c>
      <c r="E994">
        <v>0.83709155850214101</v>
      </c>
    </row>
    <row r="995" spans="1:5" x14ac:dyDescent="0.35">
      <c r="A995" t="s">
        <v>156</v>
      </c>
      <c r="B995" t="s">
        <v>44</v>
      </c>
      <c r="C995">
        <v>41591.599999999999</v>
      </c>
      <c r="D995">
        <v>-0.25645349629936393</v>
      </c>
      <c r="E995">
        <v>0.85330328512685472</v>
      </c>
    </row>
    <row r="996" spans="1:5" x14ac:dyDescent="0.35">
      <c r="A996" t="s">
        <v>156</v>
      </c>
      <c r="B996" t="s">
        <v>45</v>
      </c>
      <c r="C996">
        <v>42050.1</v>
      </c>
      <c r="D996">
        <v>0.55731574560716624</v>
      </c>
      <c r="E996">
        <v>0.88109451896080127</v>
      </c>
    </row>
    <row r="997" spans="1:5" x14ac:dyDescent="0.35">
      <c r="A997" t="s">
        <v>156</v>
      </c>
      <c r="B997" t="s">
        <v>46</v>
      </c>
      <c r="C997">
        <v>42051.6</v>
      </c>
      <c r="D997">
        <v>2.4864499538175</v>
      </c>
      <c r="E997">
        <v>0.86205390994284492</v>
      </c>
    </row>
    <row r="998" spans="1:5" x14ac:dyDescent="0.35">
      <c r="A998" t="s">
        <v>156</v>
      </c>
      <c r="B998" t="s">
        <v>47</v>
      </c>
      <c r="C998">
        <v>41602.5</v>
      </c>
      <c r="D998">
        <v>3.5505443166442521</v>
      </c>
      <c r="E998">
        <v>0.63997350464192237</v>
      </c>
    </row>
    <row r="999" spans="1:5" x14ac:dyDescent="0.35">
      <c r="A999" t="s">
        <v>156</v>
      </c>
      <c r="B999" t="s">
        <v>48</v>
      </c>
      <c r="C999">
        <v>42649.8</v>
      </c>
      <c r="D999">
        <v>2.5124360793837832</v>
      </c>
      <c r="E999">
        <v>0.67062852714467425</v>
      </c>
    </row>
    <row r="1000" spans="1:5" x14ac:dyDescent="0.35">
      <c r="A1000" t="s">
        <v>156</v>
      </c>
      <c r="B1000" t="s">
        <v>49</v>
      </c>
      <c r="C1000">
        <v>43114.1</v>
      </c>
      <c r="D1000">
        <v>2.49883252433415</v>
      </c>
      <c r="E1000">
        <v>0.57409995007877246</v>
      </c>
    </row>
    <row r="1001" spans="1:5" x14ac:dyDescent="0.35">
      <c r="A1001" t="s">
        <v>156</v>
      </c>
      <c r="B1001" t="s">
        <v>50</v>
      </c>
      <c r="C1001">
        <v>42315.6</v>
      </c>
      <c r="D1001">
        <v>0.62583767549377589</v>
      </c>
      <c r="E1001">
        <v>0.53684879121177043</v>
      </c>
    </row>
    <row r="1002" spans="1:5" x14ac:dyDescent="0.35">
      <c r="A1002" t="s">
        <v>156</v>
      </c>
      <c r="B1002" t="s">
        <v>51</v>
      </c>
      <c r="C1002">
        <v>41890.699999999997</v>
      </c>
      <c r="D1002">
        <v>0.690358363604749</v>
      </c>
      <c r="E1002">
        <v>0.73628339163722267</v>
      </c>
    </row>
    <row r="1003" spans="1:5" x14ac:dyDescent="0.35">
      <c r="A1003" t="s">
        <v>156</v>
      </c>
      <c r="B1003" t="s">
        <v>52</v>
      </c>
      <c r="C1003">
        <v>41940.300000000003</v>
      </c>
      <c r="D1003">
        <v>-1.677540607090954</v>
      </c>
      <c r="E1003">
        <v>0.79744104350140388</v>
      </c>
    </row>
    <row r="1004" spans="1:5" x14ac:dyDescent="0.35">
      <c r="A1004" t="s">
        <v>156</v>
      </c>
      <c r="B1004" t="s">
        <v>53</v>
      </c>
      <c r="C1004">
        <v>43323.3</v>
      </c>
      <c r="D1004">
        <v>0.48405067360113557</v>
      </c>
      <c r="E1004">
        <v>0.75209648393952222</v>
      </c>
    </row>
    <row r="1005" spans="1:5" x14ac:dyDescent="0.35">
      <c r="A1005" t="s">
        <v>156</v>
      </c>
      <c r="B1005" t="s">
        <v>54</v>
      </c>
      <c r="C1005">
        <v>42029.9</v>
      </c>
      <c r="D1005">
        <v>-0.67745426292807476</v>
      </c>
      <c r="E1005">
        <v>0.82638087787686743</v>
      </c>
    </row>
    <row r="1006" spans="1:5" x14ac:dyDescent="0.35">
      <c r="A1006" t="s">
        <v>156</v>
      </c>
      <c r="B1006" t="s">
        <v>55</v>
      </c>
      <c r="C1006">
        <v>41764.699999999997</v>
      </c>
      <c r="D1006">
        <v>-0.30123601173451547</v>
      </c>
      <c r="E1006">
        <v>0.84229239506432119</v>
      </c>
    </row>
    <row r="1007" spans="1:5" x14ac:dyDescent="0.35">
      <c r="A1007" t="s">
        <v>156</v>
      </c>
      <c r="B1007" t="s">
        <v>56</v>
      </c>
      <c r="C1007">
        <v>42262.9</v>
      </c>
      <c r="D1007">
        <v>0.76624541206288621</v>
      </c>
      <c r="E1007">
        <v>0.91312896570589019</v>
      </c>
    </row>
    <row r="1008" spans="1:5" x14ac:dyDescent="0.35">
      <c r="A1008" t="s">
        <v>156</v>
      </c>
      <c r="B1008" t="s">
        <v>57</v>
      </c>
      <c r="C1008">
        <v>43045.8</v>
      </c>
      <c r="D1008">
        <v>-0.64259313780179028</v>
      </c>
      <c r="E1008">
        <v>0.87812585067533944</v>
      </c>
    </row>
    <row r="1009" spans="1:5" x14ac:dyDescent="0.35">
      <c r="A1009" t="s">
        <v>156</v>
      </c>
      <c r="B1009" t="s">
        <v>58</v>
      </c>
      <c r="C1009">
        <v>44364.2</v>
      </c>
      <c r="D1009">
        <v>5.4051568130822156</v>
      </c>
      <c r="E1009">
        <v>0.76893983063955618</v>
      </c>
    </row>
    <row r="1010" spans="1:5" x14ac:dyDescent="0.35">
      <c r="A1010" t="s">
        <v>156</v>
      </c>
      <c r="B1010" t="s">
        <v>59</v>
      </c>
      <c r="C1010">
        <v>43252.4</v>
      </c>
      <c r="D1010">
        <v>3.500123803371662</v>
      </c>
      <c r="E1010">
        <v>0.82306194950589939</v>
      </c>
    </row>
    <row r="1011" spans="1:5" x14ac:dyDescent="0.35">
      <c r="A1011" t="s">
        <v>156</v>
      </c>
      <c r="B1011" t="s">
        <v>60</v>
      </c>
      <c r="C1011">
        <v>46350.3</v>
      </c>
      <c r="D1011">
        <v>9.2318131838184847</v>
      </c>
      <c r="E1011">
        <v>0.80910189364001661</v>
      </c>
    </row>
    <row r="1012" spans="1:5" x14ac:dyDescent="0.35">
      <c r="A1012" t="s">
        <v>156</v>
      </c>
      <c r="B1012" t="s">
        <v>61</v>
      </c>
      <c r="C1012">
        <v>47503.8</v>
      </c>
      <c r="D1012">
        <v>9.8545042702017742</v>
      </c>
      <c r="E1012">
        <v>0.36518938315702348</v>
      </c>
    </row>
    <row r="1013" spans="1:5" x14ac:dyDescent="0.35">
      <c r="A1013" t="s">
        <v>156</v>
      </c>
      <c r="B1013" t="s">
        <v>62</v>
      </c>
      <c r="C1013">
        <v>47846.3</v>
      </c>
      <c r="D1013">
        <v>7.5560952043254064</v>
      </c>
      <c r="E1013">
        <v>0.39223474952992488</v>
      </c>
    </row>
    <row r="1014" spans="1:5" x14ac:dyDescent="0.35">
      <c r="A1014" t="s">
        <v>156</v>
      </c>
      <c r="B1014" t="s">
        <v>63</v>
      </c>
      <c r="C1014">
        <v>47602.5</v>
      </c>
      <c r="D1014">
        <v>9.5832557698816458</v>
      </c>
      <c r="E1014">
        <v>0.41104052874365782</v>
      </c>
    </row>
    <row r="1015" spans="1:5" x14ac:dyDescent="0.35">
      <c r="A1015" t="s">
        <v>156</v>
      </c>
      <c r="B1015" t="s">
        <v>64</v>
      </c>
      <c r="C1015">
        <v>59351</v>
      </c>
      <c r="D1015">
        <v>24.72412056305668</v>
      </c>
      <c r="E1015">
        <v>-0.3003944825370824</v>
      </c>
    </row>
    <row r="1016" spans="1:5" x14ac:dyDescent="0.35">
      <c r="A1016" t="s">
        <v>156</v>
      </c>
      <c r="B1016" t="s">
        <v>65</v>
      </c>
      <c r="C1016">
        <v>57819.1</v>
      </c>
      <c r="D1016">
        <v>19.650946307803601</v>
      </c>
      <c r="E1016">
        <v>-6.6761276269978104E-2</v>
      </c>
    </row>
    <row r="1017" spans="1:5" x14ac:dyDescent="0.35">
      <c r="A1017" t="s">
        <v>156</v>
      </c>
      <c r="B1017" t="s">
        <v>66</v>
      </c>
      <c r="C1017">
        <v>59258.9</v>
      </c>
      <c r="D1017">
        <v>21.392218976980971</v>
      </c>
      <c r="E1017">
        <v>0.20790171390719139</v>
      </c>
    </row>
    <row r="1018" spans="1:5" x14ac:dyDescent="0.35">
      <c r="A1018" t="s">
        <v>156</v>
      </c>
      <c r="B1018" t="s">
        <v>67</v>
      </c>
      <c r="C1018">
        <v>59337.3</v>
      </c>
      <c r="D1018">
        <v>22.035283245533751</v>
      </c>
      <c r="E1018">
        <v>0.26136311122391009</v>
      </c>
    </row>
    <row r="1019" spans="1:5" x14ac:dyDescent="0.35">
      <c r="A1019" t="s">
        <v>156</v>
      </c>
      <c r="B1019" t="s">
        <v>68</v>
      </c>
      <c r="C1019">
        <v>58393.599999999999</v>
      </c>
      <c r="D1019">
        <v>-1.626267532562617</v>
      </c>
      <c r="E1019">
        <v>0.14094645490045801</v>
      </c>
    </row>
    <row r="1020" spans="1:5" x14ac:dyDescent="0.35">
      <c r="A1020" t="s">
        <v>156</v>
      </c>
      <c r="B1020" t="s">
        <v>69</v>
      </c>
      <c r="C1020">
        <v>57906.7</v>
      </c>
      <c r="D1020">
        <v>0.15139237185026361</v>
      </c>
      <c r="E1020">
        <v>0.25546704500768902</v>
      </c>
    </row>
    <row r="1021" spans="1:5" x14ac:dyDescent="0.35">
      <c r="A1021" t="s">
        <v>156</v>
      </c>
      <c r="B1021" t="s">
        <v>70</v>
      </c>
      <c r="C1021">
        <v>58005.7</v>
      </c>
      <c r="D1021">
        <v>-2.1374698125434488</v>
      </c>
      <c r="E1021">
        <v>0.31557732511980963</v>
      </c>
    </row>
    <row r="1022" spans="1:5" x14ac:dyDescent="0.35">
      <c r="A1022" t="s">
        <v>156</v>
      </c>
      <c r="B1022" t="s">
        <v>71</v>
      </c>
      <c r="C1022">
        <v>64242.5</v>
      </c>
      <c r="D1022">
        <v>7.9426872122230403</v>
      </c>
      <c r="E1022">
        <v>0.32441574459073952</v>
      </c>
    </row>
    <row r="1023" spans="1:5" x14ac:dyDescent="0.35">
      <c r="A1023" t="s">
        <v>156</v>
      </c>
      <c r="B1023" t="s">
        <v>72</v>
      </c>
      <c r="C1023">
        <v>62873.4</v>
      </c>
      <c r="D1023">
        <v>7.3916885992243726</v>
      </c>
      <c r="E1023">
        <v>0.44403622086293898</v>
      </c>
    </row>
    <row r="1024" spans="1:5" x14ac:dyDescent="0.35">
      <c r="A1024" t="s">
        <v>156</v>
      </c>
      <c r="B1024" t="s">
        <v>73</v>
      </c>
      <c r="C1024">
        <v>63356.3</v>
      </c>
      <c r="D1024">
        <v>8.9941254699079227</v>
      </c>
      <c r="E1024">
        <v>0.47048486030081488</v>
      </c>
    </row>
    <row r="1025" spans="1:5" x14ac:dyDescent="0.35">
      <c r="A1025" t="s">
        <v>156</v>
      </c>
      <c r="B1025" t="s">
        <v>74</v>
      </c>
      <c r="C1025">
        <v>67131.899999999994</v>
      </c>
      <c r="D1025">
        <v>14.611805926251719</v>
      </c>
      <c r="E1025">
        <v>0.62501405247600528</v>
      </c>
    </row>
    <row r="1026" spans="1:5" x14ac:dyDescent="0.35">
      <c r="A1026" t="s">
        <v>156</v>
      </c>
      <c r="B1026" t="s">
        <v>75</v>
      </c>
      <c r="C1026">
        <v>69281</v>
      </c>
      <c r="D1026">
        <v>7.5505712885980856</v>
      </c>
      <c r="E1026">
        <v>0.64495234836398785</v>
      </c>
    </row>
    <row r="1027" spans="1:5" x14ac:dyDescent="0.35">
      <c r="A1027" t="s">
        <v>156</v>
      </c>
      <c r="B1027" t="s">
        <v>76</v>
      </c>
      <c r="C1027">
        <v>70023.199999999997</v>
      </c>
      <c r="D1027">
        <v>10.770343493045919</v>
      </c>
      <c r="E1027">
        <v>0.57702715588375908</v>
      </c>
    </row>
    <row r="1028" spans="1:5" x14ac:dyDescent="0.35">
      <c r="A1028" t="s">
        <v>156</v>
      </c>
      <c r="B1028" t="s">
        <v>77</v>
      </c>
      <c r="C1028">
        <v>70197.3</v>
      </c>
      <c r="D1028">
        <v>10.25354994172559</v>
      </c>
      <c r="E1028">
        <v>0.14428647010514739</v>
      </c>
    </row>
    <row r="1029" spans="1:5" x14ac:dyDescent="0.35">
      <c r="A1029" t="s">
        <v>156</v>
      </c>
      <c r="B1029" t="s">
        <v>78</v>
      </c>
      <c r="C1029">
        <v>71212.7</v>
      </c>
      <c r="D1029">
        <v>5.9011832456020414</v>
      </c>
      <c r="E1029">
        <v>-1.8226870054693339E-2</v>
      </c>
    </row>
    <row r="1030" spans="1:5" x14ac:dyDescent="0.35">
      <c r="A1030" t="s">
        <v>156</v>
      </c>
      <c r="B1030" t="s">
        <v>79</v>
      </c>
      <c r="C1030">
        <v>71507.199999999997</v>
      </c>
      <c r="D1030">
        <v>3.1627445600680408</v>
      </c>
      <c r="E1030">
        <v>0.67350579449626324</v>
      </c>
    </row>
    <row r="1031" spans="1:5" x14ac:dyDescent="0.35">
      <c r="A1031" t="s">
        <v>156</v>
      </c>
      <c r="B1031" t="s">
        <v>80</v>
      </c>
      <c r="C1031">
        <v>72370.399999999994</v>
      </c>
      <c r="D1031">
        <v>3.297076030442561</v>
      </c>
      <c r="E1031">
        <v>0.76289249385301761</v>
      </c>
    </row>
    <row r="1032" spans="1:5" x14ac:dyDescent="0.35">
      <c r="A1032" t="s">
        <v>156</v>
      </c>
      <c r="B1032" t="s">
        <v>81</v>
      </c>
      <c r="C1032">
        <v>73317.8</v>
      </c>
      <c r="D1032">
        <v>4.3493568312154176</v>
      </c>
      <c r="E1032">
        <v>0.78377270278628119</v>
      </c>
    </row>
    <row r="1033" spans="1:5" x14ac:dyDescent="0.35">
      <c r="A1033" t="s">
        <v>156</v>
      </c>
      <c r="B1033" t="s">
        <v>82</v>
      </c>
      <c r="C1033">
        <v>75286.600000000006</v>
      </c>
      <c r="D1033">
        <v>5.5630990824458282</v>
      </c>
      <c r="E1033">
        <v>0.80069432836927634</v>
      </c>
    </row>
    <row r="1034" spans="1:5" x14ac:dyDescent="0.35">
      <c r="A1034" t="s">
        <v>156</v>
      </c>
      <c r="B1034" t="s">
        <v>83</v>
      </c>
      <c r="C1034">
        <v>75953.399999999994</v>
      </c>
      <c r="D1034">
        <v>6.0321850402588311</v>
      </c>
      <c r="E1034">
        <v>0.84141580260146442</v>
      </c>
    </row>
    <row r="1035" spans="1:5" x14ac:dyDescent="0.35">
      <c r="A1035" t="s">
        <v>156</v>
      </c>
      <c r="B1035" t="s">
        <v>84</v>
      </c>
      <c r="C1035">
        <v>79101.600000000006</v>
      </c>
      <c r="D1035">
        <v>8.8935726114188132</v>
      </c>
      <c r="E1035">
        <v>0.9200929399046488</v>
      </c>
    </row>
    <row r="1036" spans="1:5" x14ac:dyDescent="0.35">
      <c r="A1036" t="s">
        <v>156</v>
      </c>
      <c r="B1036" t="s">
        <v>85</v>
      </c>
      <c r="C1036">
        <v>74686.100000000006</v>
      </c>
      <c r="D1036">
        <v>1.849058011447575</v>
      </c>
      <c r="E1036">
        <v>0.96083910077883494</v>
      </c>
    </row>
    <row r="1037" spans="1:5" x14ac:dyDescent="0.35">
      <c r="A1037" t="s">
        <v>156</v>
      </c>
      <c r="B1037" t="s">
        <v>86</v>
      </c>
      <c r="C1037">
        <v>84235.8</v>
      </c>
      <c r="D1037">
        <v>11.231784491020569</v>
      </c>
      <c r="E1037">
        <v>0.96458199140247103</v>
      </c>
    </row>
    <row r="1038" spans="1:5" x14ac:dyDescent="0.35">
      <c r="A1038" t="s">
        <v>156</v>
      </c>
      <c r="B1038" t="s">
        <v>87</v>
      </c>
      <c r="C1038">
        <v>80398.8</v>
      </c>
      <c r="D1038">
        <v>5.6879256366986439</v>
      </c>
      <c r="E1038">
        <v>0.97191847431389577</v>
      </c>
    </row>
    <row r="1039" spans="1:5" x14ac:dyDescent="0.35">
      <c r="A1039" t="s">
        <v>156</v>
      </c>
      <c r="B1039" t="s">
        <v>88</v>
      </c>
      <c r="C1039">
        <v>89481.8</v>
      </c>
      <c r="D1039">
        <v>12.330215051760559</v>
      </c>
      <c r="E1039">
        <v>0.9644727623687166</v>
      </c>
    </row>
    <row r="1040" spans="1:5" x14ac:dyDescent="0.35">
      <c r="A1040" t="s">
        <v>156</v>
      </c>
      <c r="B1040" t="s">
        <v>89</v>
      </c>
      <c r="C1040">
        <v>91789</v>
      </c>
      <c r="D1040">
        <v>20.619846755844002</v>
      </c>
      <c r="E1040">
        <v>0.96631503452225187</v>
      </c>
    </row>
    <row r="1041" spans="1:5" x14ac:dyDescent="0.35">
      <c r="A1041" t="s">
        <v>156</v>
      </c>
      <c r="B1041" t="s">
        <v>90</v>
      </c>
      <c r="C1041">
        <v>96103.9</v>
      </c>
      <c r="D1041">
        <v>13.180988884618341</v>
      </c>
      <c r="E1041">
        <v>0.92506134766095871</v>
      </c>
    </row>
    <row r="1042" spans="1:5" x14ac:dyDescent="0.35">
      <c r="A1042" t="s">
        <v>156</v>
      </c>
      <c r="B1042" t="s">
        <v>91</v>
      </c>
      <c r="C1042">
        <v>93024.9</v>
      </c>
      <c r="D1042">
        <v>14.586794855186231</v>
      </c>
      <c r="E1042">
        <v>0.88025899912144778</v>
      </c>
    </row>
    <row r="1043" spans="1:5" x14ac:dyDescent="0.35">
      <c r="A1043" t="s">
        <v>156</v>
      </c>
      <c r="B1043" t="s">
        <v>92</v>
      </c>
      <c r="C1043">
        <v>96250.3</v>
      </c>
      <c r="D1043">
        <v>7.2916837399462944</v>
      </c>
      <c r="E1043">
        <v>0.85268821980533593</v>
      </c>
    </row>
    <row r="1044" spans="1:5" x14ac:dyDescent="0.35">
      <c r="A1044" t="s">
        <v>156</v>
      </c>
      <c r="B1044" t="s">
        <v>93</v>
      </c>
      <c r="C1044">
        <v>99337.8</v>
      </c>
      <c r="D1044">
        <v>7.9033698530577539</v>
      </c>
      <c r="E1044">
        <v>0.85828435994569907</v>
      </c>
    </row>
    <row r="1045" spans="1:5" x14ac:dyDescent="0.35">
      <c r="A1045" t="s">
        <v>156</v>
      </c>
      <c r="B1045" t="s">
        <v>94</v>
      </c>
      <c r="C1045">
        <v>103702.8</v>
      </c>
      <c r="D1045">
        <v>7.6099217956165397</v>
      </c>
      <c r="E1045">
        <v>0.81993873662332084</v>
      </c>
    </row>
    <row r="1046" spans="1:5" x14ac:dyDescent="0.35">
      <c r="A1046" t="s">
        <v>156</v>
      </c>
      <c r="B1046" t="s">
        <v>95</v>
      </c>
      <c r="C1046">
        <v>101871.4</v>
      </c>
      <c r="D1046">
        <v>9.0844034261068245</v>
      </c>
      <c r="E1046">
        <v>0.76117047622836864</v>
      </c>
    </row>
    <row r="1047" spans="1:5" x14ac:dyDescent="0.35">
      <c r="A1047" t="s">
        <v>156</v>
      </c>
      <c r="B1047" t="s">
        <v>96</v>
      </c>
      <c r="C1047">
        <v>97070.5</v>
      </c>
      <c r="D1047">
        <v>0.8485428586730922</v>
      </c>
      <c r="E1047">
        <v>0.81296221016844505</v>
      </c>
    </row>
    <row r="1048" spans="1:5" x14ac:dyDescent="0.35">
      <c r="A1048" t="s">
        <v>156</v>
      </c>
      <c r="B1048" t="s">
        <v>97</v>
      </c>
      <c r="C1048">
        <v>97626</v>
      </c>
      <c r="D1048">
        <v>-1.738231188405073</v>
      </c>
      <c r="E1048">
        <v>0.8177682597550352</v>
      </c>
    </row>
    <row r="1049" spans="1:5" x14ac:dyDescent="0.35">
      <c r="A1049" t="s">
        <v>156</v>
      </c>
      <c r="B1049" t="s">
        <v>98</v>
      </c>
      <c r="C1049">
        <v>98745.7</v>
      </c>
      <c r="D1049">
        <v>-4.898125730592934</v>
      </c>
      <c r="E1049">
        <v>0.83179751755170839</v>
      </c>
    </row>
    <row r="1050" spans="1:5" x14ac:dyDescent="0.35">
      <c r="A1050" t="s">
        <v>156</v>
      </c>
      <c r="B1050" t="s">
        <v>99</v>
      </c>
      <c r="C1050">
        <v>93875.7</v>
      </c>
      <c r="D1050">
        <v>-8.1739666732467349</v>
      </c>
      <c r="E1050">
        <v>0.86772977288491915</v>
      </c>
    </row>
    <row r="1051" spans="1:5" x14ac:dyDescent="0.35">
      <c r="A1051" t="s">
        <v>156</v>
      </c>
      <c r="B1051" t="s">
        <v>100</v>
      </c>
      <c r="C1051">
        <v>96349.8</v>
      </c>
      <c r="D1051">
        <v>-0.74521995401014562</v>
      </c>
      <c r="E1051">
        <v>0.89479502378614739</v>
      </c>
    </row>
    <row r="1052" spans="1:5" x14ac:dyDescent="0.35">
      <c r="A1052" t="s">
        <v>156</v>
      </c>
      <c r="B1052" t="s">
        <v>101</v>
      </c>
      <c r="C1052">
        <v>96303.8</v>
      </c>
      <c r="D1052">
        <v>-1.363607333891474</v>
      </c>
      <c r="E1052">
        <v>0.59924661258743417</v>
      </c>
    </row>
    <row r="1053" spans="1:5" x14ac:dyDescent="0.35">
      <c r="A1053" t="s">
        <v>156</v>
      </c>
      <c r="B1053" t="s">
        <v>102</v>
      </c>
      <c r="C1053">
        <v>103618.8</v>
      </c>
      <c r="D1053">
        <v>4.8170922014319526</v>
      </c>
      <c r="E1053">
        <v>0.49655997951690339</v>
      </c>
    </row>
    <row r="1054" spans="1:5" x14ac:dyDescent="0.35">
      <c r="A1054" t="s">
        <v>156</v>
      </c>
      <c r="B1054" t="s">
        <v>103</v>
      </c>
      <c r="C1054">
        <v>105226.7</v>
      </c>
      <c r="D1054">
        <v>11.414550360176269</v>
      </c>
      <c r="E1054">
        <v>0.58187606058535168</v>
      </c>
    </row>
    <row r="1055" spans="1:5" x14ac:dyDescent="0.35">
      <c r="A1055" t="s">
        <v>156</v>
      </c>
      <c r="B1055" t="s">
        <v>104</v>
      </c>
      <c r="C1055">
        <v>112509.3</v>
      </c>
      <c r="D1055">
        <v>15.505056580165849</v>
      </c>
      <c r="E1055">
        <v>0.2330510306274948</v>
      </c>
    </row>
    <row r="1056" spans="1:5" x14ac:dyDescent="0.35">
      <c r="A1056" t="s">
        <v>156</v>
      </c>
      <c r="B1056" t="s">
        <v>105</v>
      </c>
      <c r="C1056">
        <v>107611.3</v>
      </c>
      <c r="D1056">
        <v>11.101788275465671</v>
      </c>
      <c r="E1056">
        <v>0.41711171734520108</v>
      </c>
    </row>
    <row r="1057" spans="1:5" x14ac:dyDescent="0.35">
      <c r="A1057" t="s">
        <v>156</v>
      </c>
      <c r="B1057" t="s">
        <v>106</v>
      </c>
      <c r="C1057">
        <v>108962.2</v>
      </c>
      <c r="D1057">
        <v>5.028225254943786</v>
      </c>
      <c r="E1057">
        <v>0.29787635456823658</v>
      </c>
    </row>
    <row r="1058" spans="1:5" x14ac:dyDescent="0.35">
      <c r="A1058" t="s">
        <v>156</v>
      </c>
      <c r="B1058" t="s">
        <v>107</v>
      </c>
      <c r="C1058">
        <v>105049</v>
      </c>
      <c r="D1058">
        <v>-0.16901624134620441</v>
      </c>
      <c r="E1058">
        <v>0.33564770774046421</v>
      </c>
    </row>
    <row r="1059" spans="1:5" x14ac:dyDescent="0.35">
      <c r="A1059" t="s">
        <v>156</v>
      </c>
      <c r="B1059" t="s">
        <v>108</v>
      </c>
      <c r="C1059">
        <v>97708.9</v>
      </c>
      <c r="D1059">
        <v>-14.10432348052635</v>
      </c>
      <c r="E1059">
        <v>0.17438067330629639</v>
      </c>
    </row>
    <row r="1060" spans="1:5" x14ac:dyDescent="0.35">
      <c r="A1060" t="s">
        <v>156</v>
      </c>
      <c r="B1060" t="s">
        <v>109</v>
      </c>
      <c r="C1060">
        <v>101539.8</v>
      </c>
      <c r="D1060">
        <v>-5.8074820950796608</v>
      </c>
      <c r="E1060">
        <v>0.53353438934632613</v>
      </c>
    </row>
    <row r="1061" spans="1:5" x14ac:dyDescent="0.35">
      <c r="A1061" t="s">
        <v>157</v>
      </c>
      <c r="B1061" t="s">
        <v>4</v>
      </c>
      <c r="C1061">
        <v>41631.699999999997</v>
      </c>
    </row>
    <row r="1062" spans="1:5" x14ac:dyDescent="0.35">
      <c r="A1062" t="s">
        <v>157</v>
      </c>
      <c r="B1062" t="s">
        <v>5</v>
      </c>
      <c r="C1062">
        <v>41355.599999999999</v>
      </c>
    </row>
    <row r="1063" spans="1:5" x14ac:dyDescent="0.35">
      <c r="A1063" t="s">
        <v>157</v>
      </c>
      <c r="B1063" t="s">
        <v>6</v>
      </c>
      <c r="C1063">
        <v>42014.3</v>
      </c>
    </row>
    <row r="1064" spans="1:5" x14ac:dyDescent="0.35">
      <c r="A1064" t="s">
        <v>157</v>
      </c>
      <c r="B1064" t="s">
        <v>7</v>
      </c>
      <c r="C1064">
        <v>42251.8</v>
      </c>
    </row>
    <row r="1065" spans="1:5" x14ac:dyDescent="0.35">
      <c r="A1065" t="s">
        <v>157</v>
      </c>
      <c r="B1065" t="s">
        <v>8</v>
      </c>
      <c r="C1065">
        <v>42100.4</v>
      </c>
      <c r="D1065">
        <v>1.11953455221049</v>
      </c>
    </row>
    <row r="1066" spans="1:5" x14ac:dyDescent="0.35">
      <c r="A1066" t="s">
        <v>157</v>
      </c>
      <c r="B1066" t="s">
        <v>9</v>
      </c>
      <c r="C1066">
        <v>42544.7</v>
      </c>
      <c r="D1066">
        <v>2.8347446356893471</v>
      </c>
    </row>
    <row r="1067" spans="1:5" x14ac:dyDescent="0.35">
      <c r="A1067" t="s">
        <v>157</v>
      </c>
      <c r="B1067" t="s">
        <v>10</v>
      </c>
      <c r="C1067">
        <v>42630.1</v>
      </c>
      <c r="D1067">
        <v>1.455054001528074</v>
      </c>
    </row>
    <row r="1068" spans="1:5" x14ac:dyDescent="0.35">
      <c r="A1068" t="s">
        <v>157</v>
      </c>
      <c r="B1068" t="s">
        <v>11</v>
      </c>
      <c r="C1068">
        <v>43228.9</v>
      </c>
      <c r="D1068">
        <v>2.286229661720927</v>
      </c>
    </row>
    <row r="1069" spans="1:5" x14ac:dyDescent="0.35">
      <c r="A1069" t="s">
        <v>157</v>
      </c>
      <c r="B1069" t="s">
        <v>12</v>
      </c>
      <c r="C1069">
        <v>43328.1</v>
      </c>
      <c r="D1069">
        <v>2.8744143432664382</v>
      </c>
    </row>
    <row r="1070" spans="1:5" x14ac:dyDescent="0.35">
      <c r="A1070" t="s">
        <v>157</v>
      </c>
      <c r="B1070" t="s">
        <v>13</v>
      </c>
      <c r="C1070">
        <v>43087.199999999997</v>
      </c>
      <c r="D1070">
        <v>1.2670681323318369</v>
      </c>
    </row>
    <row r="1071" spans="1:5" x14ac:dyDescent="0.35">
      <c r="A1071" t="s">
        <v>157</v>
      </c>
      <c r="B1071" t="s">
        <v>14</v>
      </c>
      <c r="C1071">
        <v>42859.6</v>
      </c>
      <c r="D1071">
        <v>0.53690807504681004</v>
      </c>
    </row>
    <row r="1072" spans="1:5" x14ac:dyDescent="0.35">
      <c r="A1072" t="s">
        <v>157</v>
      </c>
      <c r="B1072" t="s">
        <v>15</v>
      </c>
      <c r="C1072">
        <v>42543.8</v>
      </c>
      <c r="D1072">
        <v>-1.597511958898771</v>
      </c>
    </row>
    <row r="1073" spans="1:4" x14ac:dyDescent="0.35">
      <c r="A1073" t="s">
        <v>157</v>
      </c>
      <c r="B1073" t="s">
        <v>16</v>
      </c>
      <c r="C1073">
        <v>42614.7</v>
      </c>
      <c r="D1073">
        <v>-1.6602121088758319</v>
      </c>
    </row>
    <row r="1074" spans="1:4" x14ac:dyDescent="0.35">
      <c r="A1074" t="s">
        <v>157</v>
      </c>
      <c r="B1074" t="s">
        <v>17</v>
      </c>
      <c r="C1074">
        <v>42256.3</v>
      </c>
      <c r="D1074">
        <v>-1.9472514129526051</v>
      </c>
    </row>
    <row r="1075" spans="1:4" x14ac:dyDescent="0.35">
      <c r="A1075" t="s">
        <v>157</v>
      </c>
      <c r="B1075" t="s">
        <v>18</v>
      </c>
      <c r="C1075">
        <v>42614.5</v>
      </c>
      <c r="D1075">
        <v>-0.57350863431777221</v>
      </c>
    </row>
    <row r="1076" spans="1:4" x14ac:dyDescent="0.35">
      <c r="A1076" t="s">
        <v>157</v>
      </c>
      <c r="B1076" t="s">
        <v>19</v>
      </c>
      <c r="C1076">
        <v>42734.3</v>
      </c>
      <c r="D1076">
        <v>0.44677429932524731</v>
      </c>
    </row>
    <row r="1077" spans="1:4" x14ac:dyDescent="0.35">
      <c r="A1077" t="s">
        <v>157</v>
      </c>
      <c r="B1077" t="s">
        <v>20</v>
      </c>
      <c r="C1077">
        <v>43156.9</v>
      </c>
      <c r="D1077">
        <v>1.264304787098897</v>
      </c>
    </row>
    <row r="1078" spans="1:4" x14ac:dyDescent="0.35">
      <c r="A1078" t="s">
        <v>157</v>
      </c>
      <c r="B1078" t="s">
        <v>21</v>
      </c>
      <c r="C1078">
        <v>43424.6</v>
      </c>
      <c r="D1078">
        <v>2.7272645687856159</v>
      </c>
    </row>
    <row r="1079" spans="1:4" x14ac:dyDescent="0.35">
      <c r="A1079" t="s">
        <v>157</v>
      </c>
      <c r="B1079" t="s">
        <v>22</v>
      </c>
      <c r="C1079">
        <v>43446.9</v>
      </c>
      <c r="D1079">
        <v>1.9344931843432891</v>
      </c>
    </row>
    <row r="1080" spans="1:4" x14ac:dyDescent="0.35">
      <c r="A1080" t="s">
        <v>157</v>
      </c>
      <c r="B1080" t="s">
        <v>23</v>
      </c>
      <c r="C1080">
        <v>43236.2</v>
      </c>
      <c r="D1080">
        <v>1.167623085062738</v>
      </c>
    </row>
    <row r="1081" spans="1:4" x14ac:dyDescent="0.35">
      <c r="A1081" t="s">
        <v>157</v>
      </c>
      <c r="B1081" t="s">
        <v>24</v>
      </c>
      <c r="C1081">
        <v>43632.1</v>
      </c>
      <c r="D1081">
        <v>1.0950805950719289</v>
      </c>
    </row>
    <row r="1082" spans="1:4" x14ac:dyDescent="0.35">
      <c r="A1082" t="s">
        <v>157</v>
      </c>
      <c r="B1082" t="s">
        <v>25</v>
      </c>
      <c r="C1082">
        <v>43751.3</v>
      </c>
      <c r="D1082">
        <v>0.74952258469553057</v>
      </c>
    </row>
    <row r="1083" spans="1:4" x14ac:dyDescent="0.35">
      <c r="A1083" t="s">
        <v>157</v>
      </c>
      <c r="B1083" t="s">
        <v>26</v>
      </c>
      <c r="C1083">
        <v>43585.5</v>
      </c>
      <c r="D1083">
        <v>0.31850234433958602</v>
      </c>
    </row>
    <row r="1084" spans="1:4" x14ac:dyDescent="0.35">
      <c r="A1084" t="s">
        <v>157</v>
      </c>
      <c r="B1084" t="s">
        <v>27</v>
      </c>
      <c r="C1084">
        <v>43650.400000000001</v>
      </c>
      <c r="D1084">
        <v>0.95343387285271719</v>
      </c>
    </row>
    <row r="1085" spans="1:4" x14ac:dyDescent="0.35">
      <c r="A1085" t="s">
        <v>157</v>
      </c>
      <c r="B1085" t="s">
        <v>28</v>
      </c>
      <c r="C1085">
        <v>44024.1</v>
      </c>
      <c r="D1085">
        <v>0.89440932466943923</v>
      </c>
    </row>
    <row r="1086" spans="1:4" x14ac:dyDescent="0.35">
      <c r="A1086" t="s">
        <v>157</v>
      </c>
      <c r="B1086" t="s">
        <v>29</v>
      </c>
      <c r="C1086">
        <v>44419.9</v>
      </c>
      <c r="D1086">
        <v>1.5166240577689221</v>
      </c>
    </row>
    <row r="1087" spans="1:4" x14ac:dyDescent="0.35">
      <c r="A1087" t="s">
        <v>157</v>
      </c>
      <c r="B1087" t="s">
        <v>30</v>
      </c>
      <c r="C1087">
        <v>44361.7</v>
      </c>
      <c r="D1087">
        <v>1.765195832683192</v>
      </c>
    </row>
    <row r="1088" spans="1:4" x14ac:dyDescent="0.35">
      <c r="A1088" t="s">
        <v>157</v>
      </c>
      <c r="B1088" t="s">
        <v>31</v>
      </c>
      <c r="C1088">
        <v>44651.3</v>
      </c>
      <c r="D1088">
        <v>2.267097619360797</v>
      </c>
    </row>
    <row r="1089" spans="1:4" x14ac:dyDescent="0.35">
      <c r="A1089" t="s">
        <v>157</v>
      </c>
      <c r="B1089" t="s">
        <v>32</v>
      </c>
      <c r="C1089">
        <v>45180.9</v>
      </c>
      <c r="D1089">
        <v>2.5937219917018588</v>
      </c>
    </row>
    <row r="1090" spans="1:4" x14ac:dyDescent="0.35">
      <c r="A1090" t="s">
        <v>157</v>
      </c>
      <c r="B1090" t="s">
        <v>33</v>
      </c>
      <c r="C1090">
        <v>45309.4</v>
      </c>
      <c r="D1090">
        <v>1.982694925589352</v>
      </c>
    </row>
    <row r="1091" spans="1:4" x14ac:dyDescent="0.35">
      <c r="A1091" t="s">
        <v>157</v>
      </c>
      <c r="B1091" t="s">
        <v>34</v>
      </c>
      <c r="C1091">
        <v>45437.2</v>
      </c>
      <c r="D1091">
        <v>2.395466823480179</v>
      </c>
    </row>
    <row r="1092" spans="1:4" x14ac:dyDescent="0.35">
      <c r="A1092" t="s">
        <v>157</v>
      </c>
      <c r="B1092" t="s">
        <v>35</v>
      </c>
      <c r="C1092">
        <v>45977.5</v>
      </c>
      <c r="D1092">
        <v>2.9268724150788978</v>
      </c>
    </row>
    <row r="1093" spans="1:4" x14ac:dyDescent="0.35">
      <c r="A1093" t="s">
        <v>157</v>
      </c>
      <c r="B1093" t="s">
        <v>36</v>
      </c>
      <c r="C1093">
        <v>45967.3</v>
      </c>
      <c r="D1093">
        <v>1.725584297612649</v>
      </c>
    </row>
    <row r="1094" spans="1:4" x14ac:dyDescent="0.35">
      <c r="A1094" t="s">
        <v>157</v>
      </c>
      <c r="B1094" t="s">
        <v>37</v>
      </c>
      <c r="C1094">
        <v>45737</v>
      </c>
      <c r="D1094">
        <v>0.93930818554914386</v>
      </c>
    </row>
    <row r="1095" spans="1:4" x14ac:dyDescent="0.35">
      <c r="A1095" t="s">
        <v>157</v>
      </c>
      <c r="B1095" t="s">
        <v>38</v>
      </c>
      <c r="C1095">
        <v>45674.400000000001</v>
      </c>
      <c r="D1095">
        <v>0.52068130927771183</v>
      </c>
    </row>
    <row r="1096" spans="1:4" x14ac:dyDescent="0.35">
      <c r="A1096" t="s">
        <v>157</v>
      </c>
      <c r="B1096" t="s">
        <v>39</v>
      </c>
      <c r="C1096">
        <v>45107.1</v>
      </c>
      <c r="D1096">
        <v>-1.9112484334928139</v>
      </c>
    </row>
    <row r="1097" spans="1:4" x14ac:dyDescent="0.35">
      <c r="A1097" t="s">
        <v>157</v>
      </c>
      <c r="B1097" t="s">
        <v>40</v>
      </c>
      <c r="C1097">
        <v>43965.4</v>
      </c>
      <c r="D1097">
        <v>-4.4527313200471594</v>
      </c>
    </row>
    <row r="1098" spans="1:4" x14ac:dyDescent="0.35">
      <c r="A1098" t="s">
        <v>157</v>
      </c>
      <c r="B1098" t="s">
        <v>41</v>
      </c>
      <c r="C1098">
        <v>44012.6</v>
      </c>
      <c r="D1098">
        <v>-3.8431641776566519</v>
      </c>
    </row>
    <row r="1099" spans="1:4" x14ac:dyDescent="0.35">
      <c r="A1099" t="s">
        <v>157</v>
      </c>
      <c r="B1099" t="s">
        <v>42</v>
      </c>
      <c r="C1099">
        <v>44388.800000000003</v>
      </c>
      <c r="D1099">
        <v>-2.8550780523814199</v>
      </c>
    </row>
    <row r="1100" spans="1:4" x14ac:dyDescent="0.35">
      <c r="A1100" t="s">
        <v>157</v>
      </c>
      <c r="B1100" t="s">
        <v>43</v>
      </c>
      <c r="C1100">
        <v>44421.599999999999</v>
      </c>
      <c r="D1100">
        <v>-1.531382442759142</v>
      </c>
    </row>
    <row r="1101" spans="1:4" x14ac:dyDescent="0.35">
      <c r="A1101" t="s">
        <v>157</v>
      </c>
      <c r="B1101" t="s">
        <v>44</v>
      </c>
      <c r="C1101">
        <v>44817.1</v>
      </c>
      <c r="D1101">
        <v>1.9186802086130139</v>
      </c>
    </row>
    <row r="1102" spans="1:4" x14ac:dyDescent="0.35">
      <c r="A1102" t="s">
        <v>157</v>
      </c>
      <c r="B1102" t="s">
        <v>45</v>
      </c>
      <c r="C1102">
        <v>44972.4</v>
      </c>
      <c r="D1102">
        <v>2.1573011710770071</v>
      </c>
    </row>
    <row r="1103" spans="1:4" x14ac:dyDescent="0.35">
      <c r="A1103" t="s">
        <v>157</v>
      </c>
      <c r="B1103" t="s">
        <v>46</v>
      </c>
      <c r="C1103">
        <v>45137.599999999999</v>
      </c>
      <c r="D1103">
        <v>1.672841668892908</v>
      </c>
    </row>
    <row r="1104" spans="1:4" x14ac:dyDescent="0.35">
      <c r="A1104" t="s">
        <v>157</v>
      </c>
      <c r="B1104" t="s">
        <v>47</v>
      </c>
      <c r="C1104">
        <v>44933.2</v>
      </c>
      <c r="D1104">
        <v>1.145110481816441</v>
      </c>
    </row>
    <row r="1105" spans="1:4" x14ac:dyDescent="0.35">
      <c r="A1105" t="s">
        <v>157</v>
      </c>
      <c r="B1105" t="s">
        <v>48</v>
      </c>
      <c r="C1105">
        <v>44731.5</v>
      </c>
      <c r="D1105">
        <v>-0.19118115988971021</v>
      </c>
    </row>
    <row r="1106" spans="1:4" x14ac:dyDescent="0.35">
      <c r="A1106" t="s">
        <v>157</v>
      </c>
      <c r="B1106" t="s">
        <v>49</v>
      </c>
      <c r="C1106">
        <v>44417.5</v>
      </c>
      <c r="D1106">
        <v>-1.2415432343230679</v>
      </c>
    </row>
    <row r="1107" spans="1:4" x14ac:dyDescent="0.35">
      <c r="A1107" t="s">
        <v>157</v>
      </c>
      <c r="B1107" t="s">
        <v>50</v>
      </c>
      <c r="C1107">
        <v>44109.4</v>
      </c>
      <c r="D1107">
        <v>-2.304269038731166</v>
      </c>
    </row>
    <row r="1108" spans="1:4" x14ac:dyDescent="0.35">
      <c r="A1108" t="s">
        <v>157</v>
      </c>
      <c r="B1108" t="s">
        <v>51</v>
      </c>
      <c r="C1108">
        <v>43520</v>
      </c>
      <c r="D1108">
        <v>-3.1956339898956672</v>
      </c>
    </row>
    <row r="1109" spans="1:4" x14ac:dyDescent="0.35">
      <c r="A1109" t="s">
        <v>157</v>
      </c>
      <c r="B1109" t="s">
        <v>52</v>
      </c>
      <c r="C1109">
        <v>43288.3</v>
      </c>
      <c r="D1109">
        <v>-3.2795560779532331</v>
      </c>
    </row>
    <row r="1110" spans="1:4" x14ac:dyDescent="0.35">
      <c r="A1110" t="s">
        <v>157</v>
      </c>
      <c r="B1110" t="s">
        <v>53</v>
      </c>
      <c r="C1110">
        <v>42634.1</v>
      </c>
      <c r="D1110">
        <v>-4.0979133373863643</v>
      </c>
    </row>
    <row r="1111" spans="1:4" x14ac:dyDescent="0.35">
      <c r="A1111" t="s">
        <v>157</v>
      </c>
      <c r="B1111" t="s">
        <v>54</v>
      </c>
      <c r="C1111">
        <v>42194.3</v>
      </c>
      <c r="D1111">
        <v>-4.4387770837595886</v>
      </c>
    </row>
    <row r="1112" spans="1:4" x14ac:dyDescent="0.35">
      <c r="A1112" t="s">
        <v>157</v>
      </c>
      <c r="B1112" t="s">
        <v>55</v>
      </c>
      <c r="C1112">
        <v>41500.6</v>
      </c>
      <c r="D1112">
        <v>-4.751271758422269</v>
      </c>
    </row>
    <row r="1113" spans="1:4" x14ac:dyDescent="0.35">
      <c r="A1113" t="s">
        <v>157</v>
      </c>
      <c r="B1113" t="s">
        <v>56</v>
      </c>
      <c r="C1113">
        <v>41648.699999999997</v>
      </c>
      <c r="D1113">
        <v>-3.861223500279312</v>
      </c>
    </row>
    <row r="1114" spans="1:4" x14ac:dyDescent="0.35">
      <c r="A1114" t="s">
        <v>157</v>
      </c>
      <c r="B1114" t="s">
        <v>57</v>
      </c>
      <c r="C1114">
        <v>42005.2</v>
      </c>
      <c r="D1114">
        <v>-1.4860982410649191</v>
      </c>
    </row>
    <row r="1115" spans="1:4" x14ac:dyDescent="0.35">
      <c r="A1115" t="s">
        <v>157</v>
      </c>
      <c r="B1115" t="s">
        <v>58</v>
      </c>
      <c r="C1115">
        <v>41886.9</v>
      </c>
      <c r="D1115">
        <v>-0.73120119505229153</v>
      </c>
    </row>
    <row r="1116" spans="1:4" x14ac:dyDescent="0.35">
      <c r="A1116" t="s">
        <v>157</v>
      </c>
      <c r="B1116" t="s">
        <v>59</v>
      </c>
      <c r="C1116">
        <v>42407.3</v>
      </c>
      <c r="D1116">
        <v>2.161263226624738</v>
      </c>
    </row>
    <row r="1117" spans="1:4" x14ac:dyDescent="0.35">
      <c r="A1117" t="s">
        <v>157</v>
      </c>
      <c r="B1117" t="s">
        <v>60</v>
      </c>
      <c r="C1117">
        <v>42103.1</v>
      </c>
      <c r="D1117">
        <v>1.0851216541008459</v>
      </c>
    </row>
    <row r="1118" spans="1:4" x14ac:dyDescent="0.35">
      <c r="A1118" t="s">
        <v>157</v>
      </c>
      <c r="B1118" t="s">
        <v>61</v>
      </c>
      <c r="C1118">
        <v>42219.6</v>
      </c>
      <c r="D1118">
        <v>0.50911480490312166</v>
      </c>
    </row>
    <row r="1119" spans="1:4" x14ac:dyDescent="0.35">
      <c r="A1119" t="s">
        <v>157</v>
      </c>
      <c r="B1119" t="s">
        <v>62</v>
      </c>
      <c r="C1119">
        <v>42264.2</v>
      </c>
      <c r="D1119">
        <v>0.8967263132101031</v>
      </c>
    </row>
    <row r="1120" spans="1:4" x14ac:dyDescent="0.35">
      <c r="A1120" t="s">
        <v>157</v>
      </c>
      <c r="B1120" t="s">
        <v>63</v>
      </c>
      <c r="C1120">
        <v>42606.3</v>
      </c>
      <c r="D1120">
        <v>0.46816124353041938</v>
      </c>
    </row>
    <row r="1121" spans="1:5" x14ac:dyDescent="0.35">
      <c r="A1121" t="s">
        <v>157</v>
      </c>
      <c r="B1121" t="s">
        <v>64</v>
      </c>
      <c r="C1121">
        <v>42861.7</v>
      </c>
      <c r="D1121">
        <v>1.7857281099486659</v>
      </c>
    </row>
    <row r="1122" spans="1:5" x14ac:dyDescent="0.35">
      <c r="A1122" t="s">
        <v>157</v>
      </c>
      <c r="B1122" t="s">
        <v>65</v>
      </c>
      <c r="C1122">
        <v>42891.9</v>
      </c>
      <c r="D1122">
        <v>1.5798428725641289</v>
      </c>
      <c r="E1122">
        <v>0.14736964474342021</v>
      </c>
    </row>
    <row r="1123" spans="1:5" x14ac:dyDescent="0.35">
      <c r="A1123" t="s">
        <v>157</v>
      </c>
      <c r="B1123" t="s">
        <v>66</v>
      </c>
      <c r="C1123">
        <v>42962.9</v>
      </c>
      <c r="D1123">
        <v>1.639656056719033</v>
      </c>
      <c r="E1123">
        <v>0.24615589107035921</v>
      </c>
    </row>
    <row r="1124" spans="1:5" x14ac:dyDescent="0.35">
      <c r="A1124" t="s">
        <v>157</v>
      </c>
      <c r="B1124" t="s">
        <v>67</v>
      </c>
      <c r="C1124">
        <v>43166.5</v>
      </c>
      <c r="D1124">
        <v>1.3062601795151769</v>
      </c>
      <c r="E1124">
        <v>0.2233473082416737</v>
      </c>
    </row>
    <row r="1125" spans="1:5" x14ac:dyDescent="0.35">
      <c r="A1125" t="s">
        <v>157</v>
      </c>
      <c r="B1125" t="s">
        <v>68</v>
      </c>
      <c r="C1125">
        <v>43315.5</v>
      </c>
      <c r="D1125">
        <v>1.0531885339508329</v>
      </c>
      <c r="E1125">
        <v>6.7265876163183427E-2</v>
      </c>
    </row>
    <row r="1126" spans="1:5" x14ac:dyDescent="0.35">
      <c r="A1126" t="s">
        <v>157</v>
      </c>
      <c r="B1126" t="s">
        <v>69</v>
      </c>
      <c r="C1126">
        <v>43517.4</v>
      </c>
      <c r="D1126">
        <v>1.4477861197881841</v>
      </c>
      <c r="E1126">
        <v>0.12900548015873969</v>
      </c>
    </row>
    <row r="1127" spans="1:5" x14ac:dyDescent="0.35">
      <c r="A1127" t="s">
        <v>157</v>
      </c>
      <c r="B1127" t="s">
        <v>70</v>
      </c>
      <c r="C1127">
        <v>43998.7</v>
      </c>
      <c r="D1127">
        <v>2.382313544947412</v>
      </c>
      <c r="E1127">
        <v>0.22042637506553131</v>
      </c>
    </row>
    <row r="1128" spans="1:5" x14ac:dyDescent="0.35">
      <c r="A1128" t="s">
        <v>157</v>
      </c>
      <c r="B1128" t="s">
        <v>71</v>
      </c>
      <c r="C1128">
        <v>44496.3</v>
      </c>
      <c r="D1128">
        <v>3.0341308187784932</v>
      </c>
      <c r="E1128">
        <v>0.36447554943969018</v>
      </c>
    </row>
    <row r="1129" spans="1:5" x14ac:dyDescent="0.35">
      <c r="A1129" t="s">
        <v>157</v>
      </c>
      <c r="B1129" t="s">
        <v>72</v>
      </c>
      <c r="C1129">
        <v>44927.3</v>
      </c>
      <c r="D1129">
        <v>3.6535089176897411</v>
      </c>
      <c r="E1129">
        <v>0.78513100314212148</v>
      </c>
    </row>
    <row r="1130" spans="1:5" x14ac:dyDescent="0.35">
      <c r="A1130" t="s">
        <v>157</v>
      </c>
      <c r="B1130" t="s">
        <v>73</v>
      </c>
      <c r="C1130">
        <v>45056.2</v>
      </c>
      <c r="D1130">
        <v>3.4749741330214432</v>
      </c>
      <c r="E1130">
        <v>0.71317982668404856</v>
      </c>
    </row>
    <row r="1131" spans="1:5" x14ac:dyDescent="0.35">
      <c r="A1131" t="s">
        <v>157</v>
      </c>
      <c r="B1131" t="s">
        <v>74</v>
      </c>
      <c r="C1131">
        <v>45364.2</v>
      </c>
      <c r="D1131">
        <v>3.0563159698419602</v>
      </c>
      <c r="E1131">
        <v>0.63307720576626225</v>
      </c>
    </row>
    <row r="1132" spans="1:5" x14ac:dyDescent="0.35">
      <c r="A1132" t="s">
        <v>157</v>
      </c>
      <c r="B1132" t="s">
        <v>75</v>
      </c>
      <c r="C1132">
        <v>45791.7</v>
      </c>
      <c r="D1132">
        <v>2.86968123419437</v>
      </c>
      <c r="E1132">
        <v>0.63585449820021189</v>
      </c>
    </row>
    <row r="1133" spans="1:5" x14ac:dyDescent="0.35">
      <c r="A1133" t="s">
        <v>157</v>
      </c>
      <c r="B1133" t="s">
        <v>76</v>
      </c>
      <c r="C1133">
        <v>46060</v>
      </c>
      <c r="D1133">
        <v>2.4899266594900662</v>
      </c>
      <c r="E1133">
        <v>0.56763582858212847</v>
      </c>
    </row>
    <row r="1134" spans="1:5" x14ac:dyDescent="0.35">
      <c r="A1134" t="s">
        <v>157</v>
      </c>
      <c r="B1134" t="s">
        <v>77</v>
      </c>
      <c r="C1134">
        <v>46500.3</v>
      </c>
      <c r="D1134">
        <v>3.1548164739222559</v>
      </c>
      <c r="E1134">
        <v>0.3850210131760215</v>
      </c>
    </row>
    <row r="1135" spans="1:5" x14ac:dyDescent="0.35">
      <c r="A1135" t="s">
        <v>157</v>
      </c>
      <c r="B1135" t="s">
        <v>78</v>
      </c>
      <c r="C1135">
        <v>46812.3</v>
      </c>
      <c r="D1135">
        <v>3.1422741179501159</v>
      </c>
      <c r="E1135">
        <v>0.4736508875865531</v>
      </c>
    </row>
    <row r="1136" spans="1:5" x14ac:dyDescent="0.35">
      <c r="A1136" t="s">
        <v>157</v>
      </c>
      <c r="B1136" t="s">
        <v>79</v>
      </c>
      <c r="C1136">
        <v>47103.7</v>
      </c>
      <c r="D1136">
        <v>2.8248702210363241</v>
      </c>
      <c r="E1136">
        <v>0.870944635964919</v>
      </c>
    </row>
    <row r="1137" spans="1:5" x14ac:dyDescent="0.35">
      <c r="A1137" t="s">
        <v>157</v>
      </c>
      <c r="B1137" t="s">
        <v>80</v>
      </c>
      <c r="C1137">
        <v>47491.7</v>
      </c>
      <c r="D1137">
        <v>3.061006453769044</v>
      </c>
      <c r="E1137">
        <v>0.90093756931342406</v>
      </c>
    </row>
    <row r="1138" spans="1:5" x14ac:dyDescent="0.35">
      <c r="A1138" t="s">
        <v>157</v>
      </c>
      <c r="B1138" t="s">
        <v>81</v>
      </c>
      <c r="C1138">
        <v>47755.1</v>
      </c>
      <c r="D1138">
        <v>2.6627103320674399</v>
      </c>
      <c r="E1138">
        <v>0.91945935367667186</v>
      </c>
    </row>
    <row r="1139" spans="1:5" x14ac:dyDescent="0.35">
      <c r="A1139" t="s">
        <v>157</v>
      </c>
      <c r="B1139" t="s">
        <v>82</v>
      </c>
      <c r="C1139">
        <v>47952.2</v>
      </c>
      <c r="D1139">
        <v>2.4058692497952761</v>
      </c>
      <c r="E1139">
        <v>0.87676519279036569</v>
      </c>
    </row>
    <row r="1140" spans="1:5" x14ac:dyDescent="0.35">
      <c r="A1140" t="s">
        <v>157</v>
      </c>
      <c r="B1140" t="s">
        <v>83</v>
      </c>
      <c r="C1140">
        <v>48397.4</v>
      </c>
      <c r="D1140">
        <v>2.7094539071144021</v>
      </c>
      <c r="E1140">
        <v>0.8881101035437472</v>
      </c>
    </row>
    <row r="1141" spans="1:5" x14ac:dyDescent="0.35">
      <c r="A1141" t="s">
        <v>157</v>
      </c>
      <c r="B1141" t="s">
        <v>84</v>
      </c>
      <c r="C1141">
        <v>46338.2</v>
      </c>
      <c r="D1141">
        <v>-2.458828401231596</v>
      </c>
      <c r="E1141">
        <v>0.91603014238305014</v>
      </c>
    </row>
    <row r="1142" spans="1:5" x14ac:dyDescent="0.35">
      <c r="A1142" t="s">
        <v>157</v>
      </c>
      <c r="B1142" t="s">
        <v>85</v>
      </c>
      <c r="C1142">
        <v>39366.6</v>
      </c>
      <c r="D1142">
        <v>-19.31681264524055</v>
      </c>
      <c r="E1142">
        <v>0.94969578294875368</v>
      </c>
    </row>
    <row r="1143" spans="1:5" x14ac:dyDescent="0.35">
      <c r="A1143" t="s">
        <v>157</v>
      </c>
      <c r="B1143" t="s">
        <v>86</v>
      </c>
      <c r="C1143">
        <v>45008.9</v>
      </c>
      <c r="D1143">
        <v>-6.3344433410462369</v>
      </c>
      <c r="E1143">
        <v>0.9119204443882285</v>
      </c>
    </row>
    <row r="1144" spans="1:5" x14ac:dyDescent="0.35">
      <c r="A1144" t="s">
        <v>157</v>
      </c>
      <c r="B1144" t="s">
        <v>87</v>
      </c>
      <c r="C1144">
        <v>45162.8</v>
      </c>
      <c r="D1144">
        <v>-6.9172354140493857</v>
      </c>
      <c r="E1144">
        <v>0.90212654258353853</v>
      </c>
    </row>
    <row r="1145" spans="1:5" x14ac:dyDescent="0.35">
      <c r="A1145" t="s">
        <v>157</v>
      </c>
      <c r="B1145" t="s">
        <v>88</v>
      </c>
      <c r="C1145">
        <v>43846.3</v>
      </c>
      <c r="D1145">
        <v>-5.5276338223076644</v>
      </c>
      <c r="E1145">
        <v>0.89827635883464096</v>
      </c>
    </row>
    <row r="1146" spans="1:5" x14ac:dyDescent="0.35">
      <c r="A1146" t="s">
        <v>157</v>
      </c>
      <c r="B1146" t="s">
        <v>89</v>
      </c>
      <c r="C1146">
        <v>45872.4</v>
      </c>
      <c r="D1146">
        <v>15.294588796561319</v>
      </c>
      <c r="E1146">
        <v>0.89169433537923315</v>
      </c>
    </row>
    <row r="1147" spans="1:5" x14ac:dyDescent="0.35">
      <c r="A1147" t="s">
        <v>157</v>
      </c>
      <c r="B1147" t="s">
        <v>90</v>
      </c>
      <c r="C1147">
        <v>47501.7</v>
      </c>
      <c r="D1147">
        <v>5.3905251881200549</v>
      </c>
      <c r="E1147">
        <v>0.75505673789974215</v>
      </c>
    </row>
    <row r="1148" spans="1:5" x14ac:dyDescent="0.35">
      <c r="A1148" t="s">
        <v>157</v>
      </c>
      <c r="B1148" t="s">
        <v>91</v>
      </c>
      <c r="C1148">
        <v>48432.800000000003</v>
      </c>
      <c r="D1148">
        <v>6.9903531016657157</v>
      </c>
      <c r="E1148">
        <v>0.73673314290301684</v>
      </c>
    </row>
    <row r="1149" spans="1:5" x14ac:dyDescent="0.35">
      <c r="A1149" t="s">
        <v>157</v>
      </c>
      <c r="B1149" t="s">
        <v>92</v>
      </c>
      <c r="C1149">
        <v>49143.199999999997</v>
      </c>
      <c r="D1149">
        <v>11.40481483430967</v>
      </c>
      <c r="E1149">
        <v>7.0367161826732499E-2</v>
      </c>
    </row>
    <row r="1150" spans="1:5" x14ac:dyDescent="0.35">
      <c r="A1150" t="s">
        <v>157</v>
      </c>
      <c r="B1150" t="s">
        <v>93</v>
      </c>
      <c r="C1150">
        <v>49334.400000000001</v>
      </c>
      <c r="D1150">
        <v>7.2757977464598476</v>
      </c>
      <c r="E1150">
        <v>0.14936791268739669</v>
      </c>
    </row>
    <row r="1151" spans="1:5" x14ac:dyDescent="0.35">
      <c r="A1151" t="s">
        <v>157</v>
      </c>
      <c r="B1151" t="s">
        <v>94</v>
      </c>
      <c r="C1151">
        <v>49894</v>
      </c>
      <c r="D1151">
        <v>4.9135255173193171</v>
      </c>
      <c r="E1151">
        <v>0.40727058401958582</v>
      </c>
    </row>
    <row r="1152" spans="1:5" x14ac:dyDescent="0.35">
      <c r="A1152" t="s">
        <v>157</v>
      </c>
      <c r="B1152" t="s">
        <v>95</v>
      </c>
      <c r="C1152">
        <v>50251</v>
      </c>
      <c r="D1152">
        <v>3.6853177091118039</v>
      </c>
      <c r="E1152">
        <v>0.1878871301569674</v>
      </c>
    </row>
    <row r="1153" spans="1:5" x14ac:dyDescent="0.35">
      <c r="A1153" t="s">
        <v>157</v>
      </c>
      <c r="B1153" t="s">
        <v>96</v>
      </c>
      <c r="C1153">
        <v>50889.4</v>
      </c>
      <c r="D1153">
        <v>3.491616535771692</v>
      </c>
      <c r="E1153">
        <v>0.27522159174134248</v>
      </c>
    </row>
    <row r="1154" spans="1:5" x14ac:dyDescent="0.35">
      <c r="A1154" t="s">
        <v>157</v>
      </c>
      <c r="B1154" t="s">
        <v>97</v>
      </c>
      <c r="C1154">
        <v>51136.5</v>
      </c>
      <c r="D1154">
        <v>3.5876921459432691</v>
      </c>
      <c r="E1154">
        <v>0.2060280638582612</v>
      </c>
    </row>
    <row r="1155" spans="1:5" x14ac:dyDescent="0.35">
      <c r="A1155" t="s">
        <v>157</v>
      </c>
      <c r="B1155" t="s">
        <v>98</v>
      </c>
      <c r="C1155">
        <v>51188.800000000003</v>
      </c>
      <c r="D1155">
        <v>2.56200030691463</v>
      </c>
      <c r="E1155">
        <v>0.23213095448025059</v>
      </c>
    </row>
    <row r="1156" spans="1:5" x14ac:dyDescent="0.35">
      <c r="A1156" t="s">
        <v>157</v>
      </c>
      <c r="B1156" t="s">
        <v>99</v>
      </c>
      <c r="C1156">
        <v>51565.2</v>
      </c>
      <c r="D1156">
        <v>2.5816579121650691</v>
      </c>
      <c r="E1156">
        <v>0.28882928893140408</v>
      </c>
    </row>
    <row r="1157" spans="1:5" x14ac:dyDescent="0.35">
      <c r="A1157" t="s">
        <v>157</v>
      </c>
      <c r="B1157" t="s">
        <v>100</v>
      </c>
      <c r="C1157">
        <v>51933.599999999999</v>
      </c>
      <c r="D1157">
        <v>2.0311329147894521</v>
      </c>
      <c r="E1157">
        <v>0.40434559781894541</v>
      </c>
    </row>
    <row r="1158" spans="1:5" x14ac:dyDescent="0.35">
      <c r="A1158" t="s">
        <v>157</v>
      </c>
      <c r="B1158" t="s">
        <v>101</v>
      </c>
      <c r="C1158">
        <v>52204.4</v>
      </c>
      <c r="D1158">
        <v>2.066825458071416</v>
      </c>
      <c r="E1158">
        <v>0.58408173402993835</v>
      </c>
    </row>
    <row r="1159" spans="1:5" x14ac:dyDescent="0.35">
      <c r="A1159" t="s">
        <v>157</v>
      </c>
      <c r="B1159" t="s">
        <v>102</v>
      </c>
      <c r="C1159">
        <v>52279.9</v>
      </c>
      <c r="D1159">
        <v>2.1091217860648008</v>
      </c>
      <c r="E1159">
        <v>-6.563561309087719E-2</v>
      </c>
    </row>
    <row r="1160" spans="1:5" x14ac:dyDescent="0.35">
      <c r="A1160" t="s">
        <v>157</v>
      </c>
      <c r="B1160" t="s">
        <v>103</v>
      </c>
      <c r="C1160">
        <v>52897</v>
      </c>
      <c r="D1160">
        <v>2.5499600120753692</v>
      </c>
      <c r="E1160">
        <v>0.25794255991986548</v>
      </c>
    </row>
    <row r="1161" spans="1:5" x14ac:dyDescent="0.35">
      <c r="A1161" t="s">
        <v>157</v>
      </c>
      <c r="B1161" t="s">
        <v>104</v>
      </c>
      <c r="C1161">
        <v>52747.6</v>
      </c>
      <c r="D1161">
        <v>1.5552294147250401</v>
      </c>
      <c r="E1161">
        <v>-0.25733010113359489</v>
      </c>
    </row>
    <row r="1162" spans="1:5" x14ac:dyDescent="0.35">
      <c r="A1162" t="s">
        <v>157</v>
      </c>
      <c r="B1162" t="s">
        <v>105</v>
      </c>
      <c r="C1162">
        <v>53109</v>
      </c>
      <c r="D1162">
        <v>1.7179622887221071</v>
      </c>
      <c r="E1162">
        <v>0.1240281359458844</v>
      </c>
    </row>
    <row r="1163" spans="1:5" x14ac:dyDescent="0.35">
      <c r="A1163" t="s">
        <v>157</v>
      </c>
      <c r="B1163" t="s">
        <v>106</v>
      </c>
      <c r="C1163">
        <v>53427.5</v>
      </c>
      <c r="D1163">
        <v>2.1713618705369981</v>
      </c>
      <c r="E1163">
        <v>0.16740057513777151</v>
      </c>
    </row>
    <row r="1164" spans="1:5" x14ac:dyDescent="0.35">
      <c r="A1164" t="s">
        <v>157</v>
      </c>
      <c r="B1164" t="s">
        <v>107</v>
      </c>
      <c r="C1164">
        <v>53926.8</v>
      </c>
      <c r="D1164">
        <v>1.9280944931060311</v>
      </c>
      <c r="E1164">
        <v>0.1384657851179398</v>
      </c>
    </row>
    <row r="1165" spans="1:5" x14ac:dyDescent="0.35">
      <c r="A1165" t="s">
        <v>157</v>
      </c>
      <c r="B1165" t="s">
        <v>108</v>
      </c>
      <c r="C1165">
        <v>53993.2</v>
      </c>
      <c r="D1165">
        <v>2.3339839018217701</v>
      </c>
      <c r="E1165">
        <v>0.28080595551184018</v>
      </c>
    </row>
    <row r="1166" spans="1:5" x14ac:dyDescent="0.35">
      <c r="A1166" t="s">
        <v>157</v>
      </c>
      <c r="B1166" t="s">
        <v>109</v>
      </c>
      <c r="C1166">
        <v>54437.599999999999</v>
      </c>
      <c r="D1166">
        <v>2.4708686168784308</v>
      </c>
      <c r="E1166">
        <v>-9.4792375807177323E-2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docMetadata/LabelInfo.xml><?xml version="1.0" encoding="utf-8"?>
<clbl:labelList xmlns:clbl="http://schemas.microsoft.com/office/2020/mipLabelMetadata">
  <clbl:label id="{1ddf9560-f40a-4faa-b693-65e98d55b544}" enabled="1" method="Privileged" siteId="{9ecbd628-0072-405d-8567-32c6750b0d3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ict_inv</vt:lpstr>
      <vt:lpstr>ai_patent</vt:lpstr>
      <vt:lpstr>ai_inv</vt:lpstr>
      <vt:lpstr>hs_export</vt:lpstr>
      <vt:lpstr>Corr_exposure_data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2026-09-02T09:00:34Z</dcterms:created>
  <dcterms:modified xsi:type="dcterms:W3CDTF">2026-09-12T08:55:47Z</dcterms:modified>
</cp:coreProperties>
</file>