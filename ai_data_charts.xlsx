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nbnl-my.sharepoint.com/personal/w_a_van_den_end_dnb_nl/Documents/Projecten_nw/AI/Data/"/>
    </mc:Choice>
  </mc:AlternateContent>
  <xr:revisionPtr revIDLastSave="396" documentId="13_ncr:1_{168B706B-C04D-4114-BEFE-4F25AD195DA9}" xr6:coauthVersionLast="47" xr6:coauthVersionMax="47" xr10:uidLastSave="{D4E52490-7245-4BD3-A34A-E60CE19360AD}"/>
  <bookViews>
    <workbookView xWindow="-110" yWindow="-110" windowWidth="19420" windowHeight="11500" xr2:uid="{00000000-000D-0000-FFFF-FFFF00000000}"/>
  </bookViews>
  <sheets>
    <sheet name="ict_inv" sheetId="2" r:id="rId1"/>
    <sheet name="ai_patent" sheetId="3" r:id="rId2"/>
    <sheet name="ai_inv" sheetId="4" r:id="rId3"/>
    <sheet name="hs_export" sheetId="12" r:id="rId4"/>
    <sheet name="eu_export" sheetId="15" r:id="rId5"/>
    <sheet name="Corr_exposure_data" sheetId="13" r:id="rId6"/>
    <sheet name="index_sox" sheetId="14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I131" i="2"/>
  <c r="L261" i="12"/>
  <c r="M261" i="12"/>
  <c r="L262" i="12"/>
  <c r="M262" i="12"/>
  <c r="L263" i="12"/>
  <c r="M263" i="12"/>
  <c r="L264" i="12"/>
  <c r="M264" i="12"/>
  <c r="L265" i="12"/>
  <c r="M265" i="12"/>
  <c r="L266" i="12"/>
  <c r="M266" i="12"/>
  <c r="L267" i="12"/>
  <c r="M267" i="12"/>
  <c r="L268" i="12"/>
  <c r="M268" i="12"/>
  <c r="L269" i="12"/>
  <c r="M269" i="12"/>
  <c r="L270" i="12"/>
  <c r="M270" i="12"/>
  <c r="L271" i="12"/>
  <c r="M271" i="12"/>
  <c r="L272" i="12"/>
  <c r="M272" i="12"/>
  <c r="L273" i="12"/>
  <c r="M273" i="12"/>
  <c r="L274" i="12"/>
  <c r="M274" i="12"/>
  <c r="L275" i="12"/>
  <c r="M275" i="12"/>
  <c r="L276" i="12"/>
  <c r="M276" i="12"/>
  <c r="L277" i="12"/>
  <c r="M277" i="12"/>
  <c r="L278" i="12"/>
  <c r="M278" i="12"/>
  <c r="L279" i="12"/>
  <c r="M279" i="12"/>
  <c r="L233" i="12"/>
  <c r="M233" i="12"/>
  <c r="L234" i="12"/>
  <c r="M234" i="12"/>
  <c r="L235" i="12"/>
  <c r="M235" i="12"/>
  <c r="L236" i="12"/>
  <c r="M236" i="12"/>
  <c r="L237" i="12"/>
  <c r="M237" i="12"/>
  <c r="L238" i="12"/>
  <c r="M238" i="12"/>
  <c r="L239" i="12"/>
  <c r="M239" i="12"/>
  <c r="L240" i="12"/>
  <c r="M240" i="12"/>
  <c r="L241" i="12"/>
  <c r="M241" i="12"/>
  <c r="L242" i="12"/>
  <c r="M242" i="12"/>
  <c r="L243" i="12"/>
  <c r="M243" i="12"/>
  <c r="L244" i="12"/>
  <c r="M244" i="12"/>
  <c r="L245" i="12"/>
  <c r="M245" i="12"/>
  <c r="L246" i="12"/>
  <c r="M246" i="12"/>
  <c r="L247" i="12"/>
  <c r="M247" i="12"/>
  <c r="L248" i="12"/>
  <c r="M248" i="12"/>
  <c r="L249" i="12"/>
  <c r="M249" i="12"/>
  <c r="L250" i="12"/>
  <c r="M250" i="12"/>
  <c r="L251" i="12"/>
  <c r="M251" i="12"/>
  <c r="L205" i="12"/>
  <c r="M205" i="12"/>
  <c r="L206" i="12"/>
  <c r="M206" i="12"/>
  <c r="L207" i="12"/>
  <c r="M207" i="12"/>
  <c r="L208" i="12"/>
  <c r="M208" i="12"/>
  <c r="L209" i="12"/>
  <c r="M209" i="12"/>
  <c r="L210" i="12"/>
  <c r="M210" i="12"/>
  <c r="L211" i="12"/>
  <c r="M211" i="12"/>
  <c r="L212" i="12"/>
  <c r="M212" i="12"/>
  <c r="L213" i="12"/>
  <c r="M213" i="12"/>
  <c r="L214" i="12"/>
  <c r="M214" i="12"/>
  <c r="L215" i="12"/>
  <c r="M215" i="12"/>
  <c r="L216" i="12"/>
  <c r="M216" i="12"/>
  <c r="L217" i="12"/>
  <c r="M217" i="12"/>
  <c r="L218" i="12"/>
  <c r="M218" i="12"/>
  <c r="L219" i="12"/>
  <c r="M219" i="12"/>
  <c r="L220" i="12"/>
  <c r="M220" i="12"/>
  <c r="L221" i="12"/>
  <c r="M221" i="12"/>
  <c r="L222" i="12"/>
  <c r="M222" i="12"/>
  <c r="L223" i="12"/>
  <c r="M223" i="12"/>
  <c r="L195" i="12"/>
  <c r="M195" i="12"/>
  <c r="L167" i="12"/>
  <c r="M167" i="12"/>
  <c r="L139" i="12"/>
  <c r="M139" i="12"/>
  <c r="L111" i="12"/>
  <c r="M111" i="12"/>
  <c r="L83" i="12"/>
  <c r="M83" i="12"/>
  <c r="L55" i="12"/>
  <c r="M55" i="12"/>
  <c r="L27" i="12"/>
  <c r="M27" i="12"/>
  <c r="Z258" i="15"/>
  <c r="Z259" i="15"/>
  <c r="Z3" i="15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40" i="15"/>
  <c r="Z41" i="15"/>
  <c r="Z42" i="15"/>
  <c r="Z43" i="15"/>
  <c r="Z44" i="15"/>
  <c r="Z45" i="15"/>
  <c r="Z46" i="15"/>
  <c r="Z47" i="15"/>
  <c r="Z48" i="15"/>
  <c r="Z49" i="15"/>
  <c r="Z50" i="15"/>
  <c r="Z51" i="15"/>
  <c r="Z54" i="15"/>
  <c r="Z55" i="15"/>
  <c r="Z56" i="15"/>
  <c r="Z57" i="15"/>
  <c r="Z58" i="15"/>
  <c r="Z59" i="15"/>
  <c r="Z60" i="15"/>
  <c r="Z61" i="15"/>
  <c r="Z62" i="15"/>
  <c r="Z63" i="15"/>
  <c r="Z64" i="15"/>
  <c r="Z65" i="15"/>
  <c r="Z66" i="15"/>
  <c r="Z67" i="15"/>
  <c r="Z68" i="15"/>
  <c r="Z69" i="15"/>
  <c r="Z70" i="15"/>
  <c r="Z71" i="15"/>
  <c r="Z72" i="15"/>
  <c r="Z73" i="15"/>
  <c r="Z74" i="15"/>
  <c r="Z75" i="15"/>
  <c r="Z76" i="15"/>
  <c r="Z77" i="15"/>
  <c r="Z80" i="15"/>
  <c r="Z81" i="15"/>
  <c r="Z82" i="15"/>
  <c r="Z83" i="15"/>
  <c r="Z84" i="15"/>
  <c r="Z85" i="15"/>
  <c r="Z86" i="15"/>
  <c r="Z87" i="15"/>
  <c r="Z88" i="15"/>
  <c r="Z89" i="15"/>
  <c r="Z90" i="15"/>
  <c r="Z91" i="15"/>
  <c r="Z92" i="15"/>
  <c r="Z93" i="15"/>
  <c r="Z94" i="15"/>
  <c r="Z95" i="15"/>
  <c r="Z96" i="15"/>
  <c r="Z97" i="15"/>
  <c r="Z98" i="15"/>
  <c r="Z99" i="15"/>
  <c r="Z100" i="15"/>
  <c r="Z101" i="15"/>
  <c r="Z102" i="15"/>
  <c r="Z103" i="15"/>
  <c r="Z106" i="15"/>
  <c r="Z107" i="15"/>
  <c r="Z108" i="15"/>
  <c r="Z109" i="15"/>
  <c r="Z110" i="15"/>
  <c r="Z111" i="15"/>
  <c r="Z112" i="15"/>
  <c r="Z113" i="15"/>
  <c r="Z114" i="15"/>
  <c r="Z115" i="15"/>
  <c r="Z116" i="15"/>
  <c r="Z117" i="15"/>
  <c r="Z118" i="15"/>
  <c r="Z119" i="15"/>
  <c r="Z120" i="15"/>
  <c r="Z121" i="15"/>
  <c r="Z122" i="15"/>
  <c r="Z123" i="15"/>
  <c r="Z124" i="15"/>
  <c r="Z125" i="15"/>
  <c r="Z126" i="15"/>
  <c r="Z127" i="15"/>
  <c r="Z128" i="15"/>
  <c r="Z129" i="15"/>
  <c r="Z132" i="15"/>
  <c r="Z133" i="15"/>
  <c r="Z134" i="15"/>
  <c r="Z135" i="15"/>
  <c r="Z136" i="15"/>
  <c r="Z137" i="15"/>
  <c r="Z138" i="15"/>
  <c r="Z139" i="15"/>
  <c r="Z140" i="15"/>
  <c r="Z141" i="15"/>
  <c r="Z142" i="15"/>
  <c r="Z143" i="15"/>
  <c r="Z144" i="15"/>
  <c r="Z145" i="15"/>
  <c r="Z146" i="15"/>
  <c r="Z147" i="15"/>
  <c r="Z148" i="15"/>
  <c r="Z149" i="15"/>
  <c r="Z150" i="15"/>
  <c r="Z151" i="15"/>
  <c r="Z152" i="15"/>
  <c r="Z153" i="15"/>
  <c r="Z154" i="15"/>
  <c r="Z155" i="15"/>
  <c r="Z158" i="15"/>
  <c r="Z159" i="15"/>
  <c r="Z160" i="15"/>
  <c r="Z161" i="15"/>
  <c r="Z162" i="15"/>
  <c r="Z163" i="15"/>
  <c r="Z164" i="15"/>
  <c r="Z165" i="15"/>
  <c r="Z166" i="15"/>
  <c r="Z167" i="15"/>
  <c r="Z168" i="15"/>
  <c r="Z169" i="15"/>
  <c r="Z170" i="15"/>
  <c r="Z171" i="15"/>
  <c r="Z172" i="15"/>
  <c r="Z173" i="15"/>
  <c r="Z174" i="15"/>
  <c r="Z175" i="15"/>
  <c r="Z176" i="15"/>
  <c r="Z177" i="15"/>
  <c r="Z178" i="15"/>
  <c r="Z179" i="15"/>
  <c r="Z180" i="15"/>
  <c r="Z181" i="15"/>
  <c r="Z184" i="15"/>
  <c r="Z185" i="15"/>
  <c r="Z186" i="15"/>
  <c r="Z187" i="15"/>
  <c r="Z188" i="15"/>
  <c r="Z189" i="15"/>
  <c r="Z190" i="15"/>
  <c r="Z191" i="15"/>
  <c r="Z192" i="15"/>
  <c r="Z193" i="15"/>
  <c r="Z194" i="15"/>
  <c r="Z195" i="15"/>
  <c r="Z196" i="15"/>
  <c r="Z197" i="15"/>
  <c r="Z198" i="15"/>
  <c r="Z199" i="15"/>
  <c r="Z200" i="15"/>
  <c r="Z201" i="15"/>
  <c r="Z202" i="15"/>
  <c r="Z203" i="15"/>
  <c r="Z204" i="15"/>
  <c r="Z205" i="15"/>
  <c r="Z206" i="15"/>
  <c r="Z207" i="15"/>
  <c r="Z210" i="15"/>
  <c r="Z211" i="15"/>
  <c r="Z212" i="15"/>
  <c r="Z213" i="15"/>
  <c r="Z214" i="15"/>
  <c r="Z215" i="15"/>
  <c r="Z216" i="15"/>
  <c r="Z217" i="15"/>
  <c r="Z218" i="15"/>
  <c r="Z219" i="15"/>
  <c r="Z220" i="15"/>
  <c r="Z221" i="15"/>
  <c r="Z222" i="15"/>
  <c r="Z223" i="15"/>
  <c r="Z224" i="15"/>
  <c r="Z225" i="15"/>
  <c r="Z226" i="15"/>
  <c r="Z227" i="15"/>
  <c r="Z228" i="15"/>
  <c r="Z229" i="15"/>
  <c r="Z230" i="15"/>
  <c r="Z231" i="15"/>
  <c r="Z232" i="15"/>
  <c r="Z233" i="15"/>
  <c r="Z236" i="15"/>
  <c r="Z237" i="15"/>
  <c r="Z238" i="15"/>
  <c r="Z239" i="15"/>
  <c r="Z240" i="15"/>
  <c r="Z241" i="15"/>
  <c r="Z242" i="15"/>
  <c r="Z243" i="15"/>
  <c r="Z244" i="15"/>
  <c r="Z245" i="15"/>
  <c r="Z246" i="15"/>
  <c r="Z247" i="15"/>
  <c r="Z248" i="15"/>
  <c r="Z249" i="15"/>
  <c r="Z250" i="15"/>
  <c r="Z251" i="15"/>
  <c r="Z252" i="15"/>
  <c r="Z253" i="15"/>
  <c r="Z254" i="15"/>
  <c r="Z255" i="15"/>
  <c r="Z256" i="15"/>
  <c r="Z257" i="15"/>
  <c r="Z2" i="15"/>
  <c r="L28" i="15"/>
  <c r="L29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L9" i="12"/>
  <c r="M9" i="12"/>
  <c r="L10" i="12"/>
  <c r="M10" i="12"/>
  <c r="L11" i="12"/>
  <c r="M11" i="12"/>
  <c r="L37" i="12"/>
  <c r="M37" i="12"/>
  <c r="L38" i="12"/>
  <c r="M38" i="12"/>
  <c r="L39" i="12"/>
  <c r="M39" i="1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2" i="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P5" i="14"/>
  <c r="P6" i="14"/>
  <c r="P8" i="14"/>
  <c r="P9" i="14"/>
  <c r="P10" i="14"/>
  <c r="P11" i="14"/>
  <c r="P12" i="14"/>
  <c r="P13" i="14"/>
  <c r="P14" i="14"/>
  <c r="P21" i="14"/>
  <c r="P22" i="14"/>
  <c r="P24" i="14"/>
  <c r="P25" i="14"/>
  <c r="P26" i="14"/>
  <c r="P27" i="14"/>
  <c r="P28" i="14"/>
  <c r="P29" i="14"/>
  <c r="P30" i="14"/>
  <c r="P37" i="14"/>
  <c r="P38" i="14"/>
  <c r="P40" i="14"/>
  <c r="P41" i="14"/>
  <c r="P42" i="14"/>
  <c r="P43" i="14"/>
  <c r="P44" i="14"/>
  <c r="P45" i="14"/>
  <c r="P46" i="14"/>
  <c r="P53" i="14"/>
  <c r="P54" i="14"/>
  <c r="P55" i="14"/>
  <c r="P56" i="14"/>
  <c r="P57" i="14"/>
  <c r="P58" i="14"/>
  <c r="P59" i="14"/>
  <c r="P60" i="14"/>
  <c r="P61" i="14"/>
  <c r="P62" i="14"/>
  <c r="P69" i="14"/>
  <c r="P70" i="14"/>
  <c r="P71" i="14"/>
  <c r="P72" i="14"/>
  <c r="P73" i="14"/>
  <c r="P74" i="14"/>
  <c r="P75" i="14"/>
  <c r="P76" i="14"/>
  <c r="P77" i="14"/>
  <c r="P78" i="14"/>
  <c r="P85" i="14"/>
  <c r="P86" i="14"/>
  <c r="P87" i="14"/>
  <c r="P88" i="14"/>
  <c r="P89" i="14"/>
  <c r="P90" i="14"/>
  <c r="P91" i="14"/>
  <c r="P92" i="14"/>
  <c r="P93" i="14"/>
  <c r="P94" i="14"/>
  <c r="P101" i="14"/>
  <c r="P102" i="14"/>
  <c r="P103" i="14"/>
  <c r="P104" i="14"/>
  <c r="P105" i="14"/>
  <c r="P106" i="14"/>
  <c r="P107" i="14"/>
  <c r="P2" i="14"/>
  <c r="O3" i="14"/>
  <c r="P3" i="14" s="1"/>
  <c r="O4" i="14"/>
  <c r="P4" i="14" s="1"/>
  <c r="O5" i="14"/>
  <c r="O6" i="14"/>
  <c r="O7" i="14"/>
  <c r="P7" i="14" s="1"/>
  <c r="O8" i="14"/>
  <c r="O9" i="14"/>
  <c r="O10" i="14"/>
  <c r="O11" i="14"/>
  <c r="O12" i="14"/>
  <c r="O13" i="14"/>
  <c r="O14" i="14"/>
  <c r="O15" i="14"/>
  <c r="P15" i="14" s="1"/>
  <c r="O16" i="14"/>
  <c r="P16" i="14" s="1"/>
  <c r="O17" i="14"/>
  <c r="P17" i="14" s="1"/>
  <c r="O18" i="14"/>
  <c r="P18" i="14" s="1"/>
  <c r="O19" i="14"/>
  <c r="P19" i="14" s="1"/>
  <c r="O20" i="14"/>
  <c r="P20" i="14" s="1"/>
  <c r="O21" i="14"/>
  <c r="O22" i="14"/>
  <c r="O23" i="14"/>
  <c r="P23" i="14" s="1"/>
  <c r="O24" i="14"/>
  <c r="O25" i="14"/>
  <c r="O26" i="14"/>
  <c r="O27" i="14"/>
  <c r="O28" i="14"/>
  <c r="O29" i="14"/>
  <c r="O30" i="14"/>
  <c r="O31" i="14"/>
  <c r="P31" i="14" s="1"/>
  <c r="O32" i="14"/>
  <c r="P32" i="14" s="1"/>
  <c r="O33" i="14"/>
  <c r="P33" i="14" s="1"/>
  <c r="O34" i="14"/>
  <c r="P34" i="14" s="1"/>
  <c r="O35" i="14"/>
  <c r="P35" i="14" s="1"/>
  <c r="O36" i="14"/>
  <c r="P36" i="14" s="1"/>
  <c r="O37" i="14"/>
  <c r="O38" i="14"/>
  <c r="O39" i="14"/>
  <c r="P39" i="14" s="1"/>
  <c r="O40" i="14"/>
  <c r="O41" i="14"/>
  <c r="O42" i="14"/>
  <c r="O43" i="14"/>
  <c r="O44" i="14"/>
  <c r="O45" i="14"/>
  <c r="O46" i="14"/>
  <c r="O47" i="14"/>
  <c r="P47" i="14" s="1"/>
  <c r="O48" i="14"/>
  <c r="P48" i="14" s="1"/>
  <c r="O49" i="14"/>
  <c r="P49" i="14" s="1"/>
  <c r="O50" i="14"/>
  <c r="P50" i="14" s="1"/>
  <c r="O51" i="14"/>
  <c r="P51" i="14" s="1"/>
  <c r="O52" i="14"/>
  <c r="P52" i="14" s="1"/>
  <c r="O53" i="14"/>
  <c r="O54" i="14"/>
  <c r="O55" i="14"/>
  <c r="O56" i="14"/>
  <c r="O57" i="14"/>
  <c r="O58" i="14"/>
  <c r="O59" i="14"/>
  <c r="O60" i="14"/>
  <c r="O61" i="14"/>
  <c r="O62" i="14"/>
  <c r="O63" i="14"/>
  <c r="P63" i="14" s="1"/>
  <c r="O64" i="14"/>
  <c r="P64" i="14" s="1"/>
  <c r="O65" i="14"/>
  <c r="P65" i="14" s="1"/>
  <c r="O66" i="14"/>
  <c r="P66" i="14" s="1"/>
  <c r="O67" i="14"/>
  <c r="P67" i="14" s="1"/>
  <c r="O68" i="14"/>
  <c r="P68" i="14" s="1"/>
  <c r="O69" i="14"/>
  <c r="O70" i="14"/>
  <c r="O71" i="14"/>
  <c r="O72" i="14"/>
  <c r="O73" i="14"/>
  <c r="O74" i="14"/>
  <c r="O75" i="14"/>
  <c r="O76" i="14"/>
  <c r="O77" i="14"/>
  <c r="O78" i="14"/>
  <c r="O79" i="14"/>
  <c r="P79" i="14" s="1"/>
  <c r="O80" i="14"/>
  <c r="P80" i="14" s="1"/>
  <c r="O81" i="14"/>
  <c r="P81" i="14" s="1"/>
  <c r="O82" i="14"/>
  <c r="P82" i="14" s="1"/>
  <c r="O83" i="14"/>
  <c r="P83" i="14" s="1"/>
  <c r="O84" i="14"/>
  <c r="P84" i="14" s="1"/>
  <c r="O85" i="14"/>
  <c r="O86" i="14"/>
  <c r="O87" i="14"/>
  <c r="O88" i="14"/>
  <c r="O89" i="14"/>
  <c r="O90" i="14"/>
  <c r="O91" i="14"/>
  <c r="O92" i="14"/>
  <c r="O93" i="14"/>
  <c r="O94" i="14"/>
  <c r="O95" i="14"/>
  <c r="P95" i="14" s="1"/>
  <c r="O96" i="14"/>
  <c r="P96" i="14" s="1"/>
  <c r="O97" i="14"/>
  <c r="P97" i="14" s="1"/>
  <c r="O98" i="14"/>
  <c r="P98" i="14" s="1"/>
  <c r="O99" i="14"/>
  <c r="P99" i="14" s="1"/>
  <c r="O100" i="14"/>
  <c r="P100" i="14" s="1"/>
  <c r="O101" i="14"/>
  <c r="O102" i="14"/>
  <c r="O103" i="14"/>
  <c r="O104" i="14"/>
  <c r="O105" i="14"/>
  <c r="O106" i="14"/>
  <c r="O107" i="14"/>
  <c r="O2" i="14"/>
  <c r="AF107" i="14"/>
  <c r="Y107" i="14"/>
  <c r="Q107" i="14"/>
  <c r="H107" i="14"/>
  <c r="G107" i="14"/>
  <c r="E107" i="14"/>
  <c r="D107" i="14"/>
  <c r="AF106" i="14"/>
  <c r="Y106" i="14"/>
  <c r="Q106" i="14"/>
  <c r="H106" i="14"/>
  <c r="G106" i="14"/>
  <c r="E106" i="14"/>
  <c r="D106" i="14"/>
  <c r="AF105" i="14"/>
  <c r="Y105" i="14"/>
  <c r="Q105" i="14"/>
  <c r="H105" i="14"/>
  <c r="G105" i="14"/>
  <c r="E105" i="14"/>
  <c r="D105" i="14"/>
  <c r="AF104" i="14"/>
  <c r="Y104" i="14"/>
  <c r="Q104" i="14"/>
  <c r="H104" i="14"/>
  <c r="G104" i="14"/>
  <c r="E104" i="14"/>
  <c r="D104" i="14"/>
  <c r="AF103" i="14"/>
  <c r="Y103" i="14"/>
  <c r="Q103" i="14"/>
  <c r="H103" i="14"/>
  <c r="G103" i="14"/>
  <c r="E103" i="14"/>
  <c r="D103" i="14"/>
  <c r="AF102" i="14"/>
  <c r="Y102" i="14"/>
  <c r="Q102" i="14"/>
  <c r="H102" i="14"/>
  <c r="G102" i="14"/>
  <c r="E102" i="14"/>
  <c r="D102" i="14"/>
  <c r="AF101" i="14"/>
  <c r="Y101" i="14"/>
  <c r="Q101" i="14"/>
  <c r="H101" i="14"/>
  <c r="G101" i="14"/>
  <c r="E101" i="14"/>
  <c r="D101" i="14"/>
  <c r="AF100" i="14"/>
  <c r="Y100" i="14"/>
  <c r="Q100" i="14"/>
  <c r="H100" i="14"/>
  <c r="G100" i="14"/>
  <c r="E100" i="14"/>
  <c r="D100" i="14"/>
  <c r="AF99" i="14"/>
  <c r="Y99" i="14"/>
  <c r="Q99" i="14"/>
  <c r="H99" i="14"/>
  <c r="G99" i="14"/>
  <c r="E99" i="14"/>
  <c r="D99" i="14"/>
  <c r="AF98" i="14"/>
  <c r="Y98" i="14"/>
  <c r="Q98" i="14"/>
  <c r="H98" i="14"/>
  <c r="G98" i="14"/>
  <c r="E98" i="14"/>
  <c r="D98" i="14"/>
  <c r="AF97" i="14"/>
  <c r="Y97" i="14"/>
  <c r="Q97" i="14"/>
  <c r="H97" i="14"/>
  <c r="G97" i="14"/>
  <c r="E97" i="14"/>
  <c r="D97" i="14"/>
  <c r="AF96" i="14"/>
  <c r="Y96" i="14"/>
  <c r="Q96" i="14"/>
  <c r="H96" i="14"/>
  <c r="G96" i="14"/>
  <c r="E96" i="14"/>
  <c r="D96" i="14"/>
  <c r="AF95" i="14"/>
  <c r="Y95" i="14"/>
  <c r="Q95" i="14"/>
  <c r="H95" i="14"/>
  <c r="G95" i="14"/>
  <c r="E95" i="14"/>
  <c r="D95" i="14"/>
  <c r="AF94" i="14"/>
  <c r="Y94" i="14"/>
  <c r="Q94" i="14"/>
  <c r="H94" i="14"/>
  <c r="G94" i="14"/>
  <c r="E94" i="14"/>
  <c r="D94" i="14"/>
  <c r="AF93" i="14"/>
  <c r="Y93" i="14"/>
  <c r="Q93" i="14"/>
  <c r="H93" i="14"/>
  <c r="G93" i="14"/>
  <c r="E93" i="14"/>
  <c r="D93" i="14"/>
  <c r="AF92" i="14"/>
  <c r="Y92" i="14"/>
  <c r="Q92" i="14"/>
  <c r="H92" i="14"/>
  <c r="G92" i="14"/>
  <c r="E92" i="14"/>
  <c r="D92" i="14"/>
  <c r="AF91" i="14"/>
  <c r="Y91" i="14"/>
  <c r="Q91" i="14"/>
  <c r="H91" i="14"/>
  <c r="G91" i="14"/>
  <c r="E91" i="14"/>
  <c r="D91" i="14"/>
  <c r="AF90" i="14"/>
  <c r="Y90" i="14"/>
  <c r="Q90" i="14"/>
  <c r="H90" i="14"/>
  <c r="G90" i="14"/>
  <c r="E90" i="14"/>
  <c r="D90" i="14"/>
  <c r="AF89" i="14"/>
  <c r="Y89" i="14"/>
  <c r="Q89" i="14"/>
  <c r="H89" i="14"/>
  <c r="G89" i="14"/>
  <c r="E89" i="14"/>
  <c r="D89" i="14"/>
  <c r="AF88" i="14"/>
  <c r="Y88" i="14"/>
  <c r="Q88" i="14"/>
  <c r="H88" i="14"/>
  <c r="G88" i="14"/>
  <c r="E88" i="14"/>
  <c r="D88" i="14"/>
  <c r="AF87" i="14"/>
  <c r="Y87" i="14"/>
  <c r="Q87" i="14"/>
  <c r="H87" i="14"/>
  <c r="G87" i="14"/>
  <c r="E87" i="14"/>
  <c r="D87" i="14"/>
  <c r="AF86" i="14"/>
  <c r="Y86" i="14"/>
  <c r="Q86" i="14"/>
  <c r="H86" i="14"/>
  <c r="G86" i="14"/>
  <c r="E86" i="14"/>
  <c r="D86" i="14"/>
  <c r="AF85" i="14"/>
  <c r="Y85" i="14"/>
  <c r="Q85" i="14"/>
  <c r="H85" i="14"/>
  <c r="G85" i="14"/>
  <c r="E85" i="14"/>
  <c r="D85" i="14"/>
  <c r="AF84" i="14"/>
  <c r="Y84" i="14"/>
  <c r="Q84" i="14"/>
  <c r="H84" i="14"/>
  <c r="G84" i="14"/>
  <c r="E84" i="14"/>
  <c r="D84" i="14"/>
  <c r="AF83" i="14"/>
  <c r="Y83" i="14"/>
  <c r="Q83" i="14"/>
  <c r="H83" i="14"/>
  <c r="G83" i="14"/>
  <c r="E83" i="14"/>
  <c r="D83" i="14"/>
  <c r="AP3" i="14" s="1"/>
  <c r="AF82" i="14"/>
  <c r="Y82" i="14"/>
  <c r="Q82" i="14"/>
  <c r="H82" i="14"/>
  <c r="G82" i="14"/>
  <c r="E82" i="14"/>
  <c r="D82" i="14"/>
  <c r="AF81" i="14"/>
  <c r="Y81" i="14"/>
  <c r="Q81" i="14"/>
  <c r="H81" i="14"/>
  <c r="G81" i="14"/>
  <c r="E81" i="14"/>
  <c r="D81" i="14"/>
  <c r="AF80" i="14"/>
  <c r="Y80" i="14"/>
  <c r="Q80" i="14"/>
  <c r="H80" i="14"/>
  <c r="G80" i="14"/>
  <c r="E80" i="14"/>
  <c r="D80" i="14"/>
  <c r="AF79" i="14"/>
  <c r="Y79" i="14"/>
  <c r="Q79" i="14"/>
  <c r="H79" i="14"/>
  <c r="G79" i="14"/>
  <c r="E79" i="14"/>
  <c r="D79" i="14"/>
  <c r="AF78" i="14"/>
  <c r="Y78" i="14"/>
  <c r="Q78" i="14"/>
  <c r="H78" i="14"/>
  <c r="G78" i="14"/>
  <c r="E78" i="14"/>
  <c r="D78" i="14"/>
  <c r="AF77" i="14"/>
  <c r="Y77" i="14"/>
  <c r="Q77" i="14"/>
  <c r="H77" i="14"/>
  <c r="G77" i="14"/>
  <c r="E77" i="14"/>
  <c r="D77" i="14"/>
  <c r="AF76" i="14"/>
  <c r="Y76" i="14"/>
  <c r="Q76" i="14"/>
  <c r="H76" i="14"/>
  <c r="G76" i="14"/>
  <c r="E76" i="14"/>
  <c r="D76" i="14"/>
  <c r="AF75" i="14"/>
  <c r="Y75" i="14"/>
  <c r="Q75" i="14"/>
  <c r="H75" i="14"/>
  <c r="G75" i="14"/>
  <c r="E75" i="14"/>
  <c r="D75" i="14"/>
  <c r="AF74" i="14"/>
  <c r="Y74" i="14"/>
  <c r="Q74" i="14"/>
  <c r="H74" i="14"/>
  <c r="G74" i="14"/>
  <c r="E74" i="14"/>
  <c r="D74" i="14"/>
  <c r="AF73" i="14"/>
  <c r="Y73" i="14"/>
  <c r="Q73" i="14"/>
  <c r="H73" i="14"/>
  <c r="G73" i="14"/>
  <c r="E73" i="14"/>
  <c r="D73" i="14"/>
  <c r="AF72" i="14"/>
  <c r="Y72" i="14"/>
  <c r="Q72" i="14"/>
  <c r="H72" i="14"/>
  <c r="G72" i="14"/>
  <c r="E72" i="14"/>
  <c r="D72" i="14"/>
  <c r="AF71" i="14"/>
  <c r="Y71" i="14"/>
  <c r="Q71" i="14"/>
  <c r="H71" i="14"/>
  <c r="G71" i="14"/>
  <c r="E71" i="14"/>
  <c r="D71" i="14"/>
  <c r="AF70" i="14"/>
  <c r="Y70" i="14"/>
  <c r="Q70" i="14"/>
  <c r="H70" i="14"/>
  <c r="G70" i="14"/>
  <c r="E70" i="14"/>
  <c r="D70" i="14"/>
  <c r="AF69" i="14"/>
  <c r="Y69" i="14"/>
  <c r="Q69" i="14"/>
  <c r="H69" i="14"/>
  <c r="G69" i="14"/>
  <c r="E69" i="14"/>
  <c r="D69" i="14"/>
  <c r="AF68" i="14"/>
  <c r="Y68" i="14"/>
  <c r="Q68" i="14"/>
  <c r="H68" i="14"/>
  <c r="G68" i="14"/>
  <c r="E68" i="14"/>
  <c r="D68" i="14"/>
  <c r="AF67" i="14"/>
  <c r="Y67" i="14"/>
  <c r="Q67" i="14"/>
  <c r="H67" i="14"/>
  <c r="G67" i="14"/>
  <c r="E67" i="14"/>
  <c r="D67" i="14"/>
  <c r="AF66" i="14"/>
  <c r="Y66" i="14"/>
  <c r="Q66" i="14"/>
  <c r="H66" i="14"/>
  <c r="G66" i="14"/>
  <c r="E66" i="14"/>
  <c r="D66" i="14"/>
  <c r="AF65" i="14"/>
  <c r="Y65" i="14"/>
  <c r="Q65" i="14"/>
  <c r="H65" i="14"/>
  <c r="G65" i="14"/>
  <c r="E65" i="14"/>
  <c r="D65" i="14"/>
  <c r="AF64" i="14"/>
  <c r="Y64" i="14"/>
  <c r="Q64" i="14"/>
  <c r="H64" i="14"/>
  <c r="G64" i="14"/>
  <c r="E64" i="14"/>
  <c r="D64" i="14"/>
  <c r="AF63" i="14"/>
  <c r="Y63" i="14"/>
  <c r="Q63" i="14"/>
  <c r="H63" i="14"/>
  <c r="G63" i="14"/>
  <c r="E63" i="14"/>
  <c r="D63" i="14"/>
  <c r="AF62" i="14"/>
  <c r="Y62" i="14"/>
  <c r="Q62" i="14"/>
  <c r="H62" i="14"/>
  <c r="G62" i="14"/>
  <c r="E62" i="14"/>
  <c r="D62" i="14"/>
  <c r="AF61" i="14"/>
  <c r="Y61" i="14"/>
  <c r="Q61" i="14"/>
  <c r="H61" i="14"/>
  <c r="G61" i="14"/>
  <c r="E61" i="14"/>
  <c r="D61" i="14"/>
  <c r="AF60" i="14"/>
  <c r="Y60" i="14"/>
  <c r="Q60" i="14"/>
  <c r="H60" i="14"/>
  <c r="G60" i="14"/>
  <c r="E60" i="14"/>
  <c r="D60" i="14"/>
  <c r="AF59" i="14"/>
  <c r="Y59" i="14"/>
  <c r="Q59" i="14"/>
  <c r="H59" i="14"/>
  <c r="G59" i="14"/>
  <c r="E59" i="14"/>
  <c r="D59" i="14"/>
  <c r="AF58" i="14"/>
  <c r="Y58" i="14"/>
  <c r="Q58" i="14"/>
  <c r="H58" i="14"/>
  <c r="G58" i="14"/>
  <c r="E58" i="14"/>
  <c r="D58" i="14"/>
  <c r="AF57" i="14"/>
  <c r="Y57" i="14"/>
  <c r="Q57" i="14"/>
  <c r="H57" i="14"/>
  <c r="G57" i="14"/>
  <c r="E57" i="14"/>
  <c r="D57" i="14"/>
  <c r="AF56" i="14"/>
  <c r="Y56" i="14"/>
  <c r="Q56" i="14"/>
  <c r="H56" i="14"/>
  <c r="G56" i="14"/>
  <c r="E56" i="14"/>
  <c r="D56" i="14"/>
  <c r="AF55" i="14"/>
  <c r="Y55" i="14"/>
  <c r="Q55" i="14"/>
  <c r="H55" i="14"/>
  <c r="G55" i="14"/>
  <c r="E55" i="14"/>
  <c r="D55" i="14"/>
  <c r="AF54" i="14"/>
  <c r="Y54" i="14"/>
  <c r="Q54" i="14"/>
  <c r="H54" i="14"/>
  <c r="G54" i="14"/>
  <c r="E54" i="14"/>
  <c r="D54" i="14"/>
  <c r="AF53" i="14"/>
  <c r="Y53" i="14"/>
  <c r="Q53" i="14"/>
  <c r="H53" i="14"/>
  <c r="G53" i="14"/>
  <c r="E53" i="14"/>
  <c r="D53" i="14"/>
  <c r="AF52" i="14"/>
  <c r="Y52" i="14"/>
  <c r="Q52" i="14"/>
  <c r="H52" i="14"/>
  <c r="G52" i="14"/>
  <c r="E52" i="14"/>
  <c r="D52" i="14"/>
  <c r="AF51" i="14"/>
  <c r="Y51" i="14"/>
  <c r="Q51" i="14"/>
  <c r="H51" i="14"/>
  <c r="G51" i="14"/>
  <c r="E51" i="14"/>
  <c r="D51" i="14"/>
  <c r="AF50" i="14"/>
  <c r="Y50" i="14"/>
  <c r="Q50" i="14"/>
  <c r="H50" i="14"/>
  <c r="G50" i="14"/>
  <c r="E50" i="14"/>
  <c r="D50" i="14"/>
  <c r="AF49" i="14"/>
  <c r="Y49" i="14"/>
  <c r="Q49" i="14"/>
  <c r="H49" i="14"/>
  <c r="G49" i="14"/>
  <c r="E49" i="14"/>
  <c r="D49" i="14"/>
  <c r="AF48" i="14"/>
  <c r="Y48" i="14"/>
  <c r="Q48" i="14"/>
  <c r="H48" i="14"/>
  <c r="G48" i="14"/>
  <c r="E48" i="14"/>
  <c r="D48" i="14"/>
  <c r="AF47" i="14"/>
  <c r="Y47" i="14"/>
  <c r="Q47" i="14"/>
  <c r="H47" i="14"/>
  <c r="G47" i="14"/>
  <c r="E47" i="14"/>
  <c r="D47" i="14"/>
  <c r="AF46" i="14"/>
  <c r="Y46" i="14"/>
  <c r="Q46" i="14"/>
  <c r="H46" i="14"/>
  <c r="G46" i="14"/>
  <c r="E46" i="14"/>
  <c r="D46" i="14"/>
  <c r="AF45" i="14"/>
  <c r="Y45" i="14"/>
  <c r="Q45" i="14"/>
  <c r="H45" i="14"/>
  <c r="G45" i="14"/>
  <c r="E45" i="14"/>
  <c r="D45" i="14"/>
  <c r="AF44" i="14"/>
  <c r="Y44" i="14"/>
  <c r="Q44" i="14"/>
  <c r="H44" i="14"/>
  <c r="G44" i="14"/>
  <c r="E44" i="14"/>
  <c r="D44" i="14"/>
  <c r="AF43" i="14"/>
  <c r="Y43" i="14"/>
  <c r="Q43" i="14"/>
  <c r="H43" i="14"/>
  <c r="G43" i="14"/>
  <c r="E43" i="14"/>
  <c r="D43" i="14"/>
  <c r="AF42" i="14"/>
  <c r="Y42" i="14"/>
  <c r="Q42" i="14"/>
  <c r="H42" i="14"/>
  <c r="G42" i="14"/>
  <c r="E42" i="14"/>
  <c r="D42" i="14"/>
  <c r="AF41" i="14"/>
  <c r="Y41" i="14"/>
  <c r="Q41" i="14"/>
  <c r="H41" i="14"/>
  <c r="G41" i="14"/>
  <c r="E41" i="14"/>
  <c r="D41" i="14"/>
  <c r="AF40" i="14"/>
  <c r="Y40" i="14"/>
  <c r="Q40" i="14"/>
  <c r="H40" i="14"/>
  <c r="G40" i="14"/>
  <c r="E40" i="14"/>
  <c r="D40" i="14"/>
  <c r="AF39" i="14"/>
  <c r="Y39" i="14"/>
  <c r="Q39" i="14"/>
  <c r="H39" i="14"/>
  <c r="G39" i="14"/>
  <c r="E39" i="14"/>
  <c r="D39" i="14"/>
  <c r="AF38" i="14"/>
  <c r="Y38" i="14"/>
  <c r="Q38" i="14"/>
  <c r="H38" i="14"/>
  <c r="G38" i="14"/>
  <c r="E38" i="14"/>
  <c r="D38" i="14"/>
  <c r="AF37" i="14"/>
  <c r="Y37" i="14"/>
  <c r="Q37" i="14"/>
  <c r="H37" i="14"/>
  <c r="G37" i="14"/>
  <c r="E37" i="14"/>
  <c r="D37" i="14"/>
  <c r="AF36" i="14"/>
  <c r="Y36" i="14"/>
  <c r="Q36" i="14"/>
  <c r="H36" i="14"/>
  <c r="G36" i="14"/>
  <c r="E36" i="14"/>
  <c r="D36" i="14"/>
  <c r="AF35" i="14"/>
  <c r="Y35" i="14"/>
  <c r="Q35" i="14"/>
  <c r="H35" i="14"/>
  <c r="G35" i="14"/>
  <c r="E35" i="14"/>
  <c r="D35" i="14"/>
  <c r="AF34" i="14"/>
  <c r="Y34" i="14"/>
  <c r="Q34" i="14"/>
  <c r="H34" i="14"/>
  <c r="G34" i="14"/>
  <c r="E34" i="14"/>
  <c r="D34" i="14"/>
  <c r="AF33" i="14"/>
  <c r="Y33" i="14"/>
  <c r="Q33" i="14"/>
  <c r="H33" i="14"/>
  <c r="G33" i="14"/>
  <c r="E33" i="14"/>
  <c r="D33" i="14"/>
  <c r="AF32" i="14"/>
  <c r="Y32" i="14"/>
  <c r="Q32" i="14"/>
  <c r="H32" i="14"/>
  <c r="G32" i="14"/>
  <c r="E32" i="14"/>
  <c r="D32" i="14"/>
  <c r="AF31" i="14"/>
  <c r="Y31" i="14"/>
  <c r="Q31" i="14"/>
  <c r="H31" i="14"/>
  <c r="G31" i="14"/>
  <c r="E31" i="14"/>
  <c r="D31" i="14"/>
  <c r="AF30" i="14"/>
  <c r="Y30" i="14"/>
  <c r="Q30" i="14"/>
  <c r="H30" i="14"/>
  <c r="G30" i="14"/>
  <c r="E30" i="14"/>
  <c r="D30" i="14"/>
  <c r="AF29" i="14"/>
  <c r="Y29" i="14"/>
  <c r="Q29" i="14"/>
  <c r="H29" i="14"/>
  <c r="G29" i="14"/>
  <c r="E29" i="14"/>
  <c r="D29" i="14"/>
  <c r="AF28" i="14"/>
  <c r="Y28" i="14"/>
  <c r="Q28" i="14"/>
  <c r="H28" i="14"/>
  <c r="G28" i="14"/>
  <c r="E28" i="14"/>
  <c r="D28" i="14"/>
  <c r="AF27" i="14"/>
  <c r="Y27" i="14"/>
  <c r="Q27" i="14"/>
  <c r="H27" i="14"/>
  <c r="G27" i="14"/>
  <c r="E27" i="14"/>
  <c r="D27" i="14"/>
  <c r="AF26" i="14"/>
  <c r="Y26" i="14"/>
  <c r="Q26" i="14"/>
  <c r="H26" i="14"/>
  <c r="G26" i="14"/>
  <c r="E26" i="14"/>
  <c r="D26" i="14"/>
  <c r="AF25" i="14"/>
  <c r="Y25" i="14"/>
  <c r="Q25" i="14"/>
  <c r="H25" i="14"/>
  <c r="G25" i="14"/>
  <c r="E25" i="14"/>
  <c r="D25" i="14"/>
  <c r="AF24" i="14"/>
  <c r="Y24" i="14"/>
  <c r="Q24" i="14"/>
  <c r="H24" i="14"/>
  <c r="G24" i="14"/>
  <c r="E24" i="14"/>
  <c r="D24" i="14"/>
  <c r="AF23" i="14"/>
  <c r="Y23" i="14"/>
  <c r="Q23" i="14"/>
  <c r="H23" i="14"/>
  <c r="G23" i="14"/>
  <c r="E23" i="14"/>
  <c r="D23" i="14"/>
  <c r="AF22" i="14"/>
  <c r="Y22" i="14"/>
  <c r="Q22" i="14"/>
  <c r="H22" i="14"/>
  <c r="G22" i="14"/>
  <c r="E22" i="14"/>
  <c r="D22" i="14"/>
  <c r="AF21" i="14"/>
  <c r="Y21" i="14"/>
  <c r="Q21" i="14"/>
  <c r="H21" i="14"/>
  <c r="G21" i="14"/>
  <c r="E21" i="14"/>
  <c r="D21" i="14"/>
  <c r="AF20" i="14"/>
  <c r="Y20" i="14"/>
  <c r="Q20" i="14"/>
  <c r="H20" i="14"/>
  <c r="G20" i="14"/>
  <c r="E20" i="14"/>
  <c r="D20" i="14"/>
  <c r="AF19" i="14"/>
  <c r="Y19" i="14"/>
  <c r="Q19" i="14"/>
  <c r="H19" i="14"/>
  <c r="G19" i="14"/>
  <c r="E19" i="14"/>
  <c r="D19" i="14"/>
  <c r="AF18" i="14"/>
  <c r="Y18" i="14"/>
  <c r="Q18" i="14"/>
  <c r="H18" i="14"/>
  <c r="G18" i="14"/>
  <c r="E18" i="14"/>
  <c r="D18" i="14"/>
  <c r="AF17" i="14"/>
  <c r="Y17" i="14"/>
  <c r="Q17" i="14"/>
  <c r="H17" i="14"/>
  <c r="G17" i="14"/>
  <c r="E17" i="14"/>
  <c r="D17" i="14"/>
  <c r="AF16" i="14"/>
  <c r="Y16" i="14"/>
  <c r="Q16" i="14"/>
  <c r="H16" i="14"/>
  <c r="G16" i="14"/>
  <c r="E16" i="14"/>
  <c r="D16" i="14"/>
  <c r="AF15" i="14"/>
  <c r="Y15" i="14"/>
  <c r="Q15" i="14"/>
  <c r="H15" i="14"/>
  <c r="G15" i="14"/>
  <c r="E15" i="14"/>
  <c r="D15" i="14"/>
  <c r="AF14" i="14"/>
  <c r="Y14" i="14"/>
  <c r="Q14" i="14"/>
  <c r="H14" i="14"/>
  <c r="G14" i="14"/>
  <c r="E14" i="14"/>
  <c r="D14" i="14"/>
  <c r="AF13" i="14"/>
  <c r="Y13" i="14"/>
  <c r="Q13" i="14"/>
  <c r="H13" i="14"/>
  <c r="G13" i="14"/>
  <c r="E13" i="14"/>
  <c r="D13" i="14"/>
  <c r="AF12" i="14"/>
  <c r="Y12" i="14"/>
  <c r="Q12" i="14"/>
  <c r="H12" i="14"/>
  <c r="G12" i="14"/>
  <c r="E12" i="14"/>
  <c r="D12" i="14"/>
  <c r="AF11" i="14"/>
  <c r="Y11" i="14"/>
  <c r="Q11" i="14"/>
  <c r="H11" i="14"/>
  <c r="G11" i="14"/>
  <c r="E11" i="14"/>
  <c r="D11" i="14"/>
  <c r="AF10" i="14"/>
  <c r="Y10" i="14"/>
  <c r="Q10" i="14"/>
  <c r="H10" i="14"/>
  <c r="G10" i="14"/>
  <c r="E10" i="14"/>
  <c r="D10" i="14"/>
  <c r="AF9" i="14"/>
  <c r="Y9" i="14"/>
  <c r="Q9" i="14"/>
  <c r="H9" i="14"/>
  <c r="G9" i="14"/>
  <c r="E9" i="14"/>
  <c r="D9" i="14"/>
  <c r="AF8" i="14"/>
  <c r="Y8" i="14"/>
  <c r="Q8" i="14"/>
  <c r="H8" i="14"/>
  <c r="G8" i="14"/>
  <c r="E8" i="14"/>
  <c r="D8" i="14"/>
  <c r="AF7" i="14"/>
  <c r="Y7" i="14"/>
  <c r="Q7" i="14"/>
  <c r="J7" i="14"/>
  <c r="H7" i="14"/>
  <c r="G7" i="14"/>
  <c r="E7" i="14"/>
  <c r="D7" i="14"/>
  <c r="AF6" i="14"/>
  <c r="Y6" i="14"/>
  <c r="Q6" i="14"/>
  <c r="H6" i="14"/>
  <c r="G6" i="14"/>
  <c r="E6" i="14"/>
  <c r="D6" i="14"/>
  <c r="AP2" i="14" s="1"/>
  <c r="AF5" i="14"/>
  <c r="Y5" i="14"/>
  <c r="Q5" i="14"/>
  <c r="H5" i="14"/>
  <c r="E5" i="14"/>
  <c r="AF4" i="14"/>
  <c r="Y4" i="14"/>
  <c r="Q4" i="14"/>
  <c r="H4" i="14"/>
  <c r="E4" i="14"/>
  <c r="AF3" i="14"/>
  <c r="Y3" i="14"/>
  <c r="Q3" i="14"/>
  <c r="H3" i="14"/>
  <c r="E3" i="14"/>
  <c r="J6" i="14" s="1"/>
  <c r="AF2" i="14"/>
  <c r="Y2" i="14"/>
  <c r="Q2" i="14"/>
  <c r="H2" i="14"/>
  <c r="E2" i="14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60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AC13" i="13"/>
  <c r="AB13" i="13"/>
  <c r="AB12" i="13"/>
  <c r="AC12" i="13"/>
  <c r="AC11" i="13"/>
  <c r="AB11" i="13"/>
  <c r="M194" i="12"/>
  <c r="M193" i="12"/>
  <c r="M192" i="12"/>
  <c r="M191" i="12"/>
  <c r="M190" i="12"/>
  <c r="M189" i="12"/>
  <c r="M188" i="12"/>
  <c r="M187" i="12"/>
  <c r="M186" i="12"/>
  <c r="M185" i="12"/>
  <c r="M184" i="12"/>
  <c r="M183" i="12"/>
  <c r="M182" i="12"/>
  <c r="M181" i="12"/>
  <c r="M180" i="12"/>
  <c r="M179" i="12"/>
  <c r="M178" i="12"/>
  <c r="M177" i="12"/>
  <c r="M166" i="12"/>
  <c r="M165" i="12"/>
  <c r="M164" i="12"/>
  <c r="M163" i="12"/>
  <c r="M162" i="12"/>
  <c r="M161" i="12"/>
  <c r="M160" i="12"/>
  <c r="M159" i="12"/>
  <c r="M158" i="12"/>
  <c r="M157" i="12"/>
  <c r="M156" i="12"/>
  <c r="M155" i="12"/>
  <c r="M154" i="12"/>
  <c r="M153" i="12"/>
  <c r="M152" i="12"/>
  <c r="M151" i="12"/>
  <c r="M150" i="12"/>
  <c r="M14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AC10" i="13"/>
  <c r="AB10" i="13"/>
  <c r="AC9" i="13"/>
  <c r="AB9" i="13"/>
  <c r="AC8" i="13"/>
  <c r="AB8" i="13"/>
  <c r="AC7" i="13"/>
  <c r="AB7" i="13"/>
  <c r="AC6" i="13"/>
  <c r="AB6" i="13"/>
  <c r="AC5" i="13"/>
  <c r="AB5" i="13"/>
  <c r="AC4" i="13"/>
  <c r="AB4" i="13"/>
  <c r="T2" i="14" l="1"/>
  <c r="AC2" i="14"/>
  <c r="AJ2" i="14"/>
  <c r="AJ3" i="14"/>
  <c r="J3" i="14"/>
  <c r="T3" i="14"/>
  <c r="AC3" i="14"/>
  <c r="J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End, W.A. van den (Jan Willem) (EBO_CMA)</author>
  </authors>
  <commentList>
    <comment ref="F1" authorId="0" shapeId="0" xr:uid="{632FC09B-BDED-4825-A7F8-588043C662C5}">
      <text>
        <r>
          <rPr>
            <b/>
            <sz val="9"/>
            <color indexed="81"/>
            <rFont val="Tahoma"/>
            <charset val="1"/>
          </rPr>
          <t>Brent (Fred)</t>
        </r>
      </text>
    </comment>
  </commentList>
</comments>
</file>

<file path=xl/sharedStrings.xml><?xml version="1.0" encoding="utf-8"?>
<sst xmlns="http://schemas.openxmlformats.org/spreadsheetml/2006/main" count="3744" uniqueCount="220">
  <si>
    <t>country</t>
  </si>
  <si>
    <t>quarter</t>
  </si>
  <si>
    <t>gdp_level</t>
  </si>
  <si>
    <t>AT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</si>
  <si>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</si>
  <si>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</si>
  <si>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</si>
  <si>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</si>
  <si>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</si>
  <si>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</si>
  <si>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</si>
  <si>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</si>
  <si>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</si>
  <si>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</si>
  <si>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</si>
  <si>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</si>
  <si>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</si>
  <si>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</si>
  <si>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</si>
  <si>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</si>
  <si>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</si>
  <si>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</si>
  <si>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</si>
  <si>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</si>
  <si>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</si>
  <si>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</si>
  <si>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</si>
  <si>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</si>
  <si>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</si>
  <si>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</si>
  <si>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</si>
  <si>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</si>
  <si>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</si>
  <si>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</si>
  <si>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</si>
  <si>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</si>
  <si>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</si>
  <si>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</si>
  <si>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</si>
  <si>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</si>
  <si>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</si>
  <si>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</si>
  <si>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</si>
  <si>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</si>
  <si>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</si>
  <si>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</si>
  <si>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</si>
  <si>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</si>
  <si>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</si>
  <si>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</si>
  <si>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</si>
  <si>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</si>
  <si>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</si>
  <si>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</si>
  <si>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</si>
  <si>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</si>
  <si>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</si>
  <si>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</si>
  <si>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</si>
  <si>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</si>
  <si>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</si>
  <si>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</si>
  <si>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</si>
  <si>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</si>
  <si>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</si>
  <si>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</si>
  <si>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</si>
  <si>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</si>
  <si>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</si>
  <si>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</si>
  <si>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</si>
  <si>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</si>
  <si>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</si>
  <si>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</si>
  <si>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</si>
  <si>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</si>
  <si>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</si>
  <si>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</si>
  <si>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</si>
  <si>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</si>
  <si>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</si>
  <si>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</si>
  <si>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</si>
  <si>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</si>
  <si>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</si>
  <si>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</si>
  <si>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</si>
  <si>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</si>
  <si>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</si>
  <si>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</si>
  <si>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</si>
  <si>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</si>
  <si>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</si>
  <si>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</si>
  <si>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</si>
  <si>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</si>
  <si>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</si>
  <si>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</si>
  <si>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</si>
  <si>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</si>
  <si>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</si>
  <si>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</si>
  <si>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</si>
  <si>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</si>
  <si>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</si>
  <si>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</si>
  <si>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</si>
  <si>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</si>
  <si>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</si>
  <si>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</si>
  <si>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BE</t>
  </si>
  <si>
    <t>DE</t>
  </si>
  <si>
    <t>ES</t>
  </si>
  <si>
    <t>FR</t>
  </si>
  <si>
    <t>IT</t>
  </si>
  <si>
    <t>NL</t>
  </si>
  <si>
    <t>year</t>
  </si>
  <si>
    <t>N1132G</t>
  </si>
  <si>
    <t>N1173G</t>
  </si>
  <si>
    <t>N11G</t>
  </si>
  <si>
    <t>ict_share</t>
  </si>
  <si>
    <t>ai_patents</t>
  </si>
  <si>
    <t>ai_investment</t>
  </si>
  <si>
    <t>wui_global</t>
  </si>
  <si>
    <t>HS_847150</t>
  </si>
  <si>
    <t>HS_847180</t>
  </si>
  <si>
    <t>HS_847330</t>
  </si>
  <si>
    <t>total_export</t>
  </si>
  <si>
    <t>dgdp</t>
  </si>
  <si>
    <t>z_raw</t>
  </si>
  <si>
    <t>wui_shock</t>
  </si>
  <si>
    <t>wui_used</t>
  </si>
  <si>
    <t>z</t>
  </si>
  <si>
    <t>F</t>
  </si>
  <si>
    <t>dgdp_lag1</t>
  </si>
  <si>
    <t>wui_x_exposure</t>
  </si>
  <si>
    <t>is_focus</t>
  </si>
  <si>
    <t>wui_used_focus</t>
  </si>
  <si>
    <t>F_focus</t>
  </si>
  <si>
    <t>wui_x_exposure_focus</t>
  </si>
  <si>
    <t>is_boom</t>
  </si>
  <si>
    <t>is_bust</t>
  </si>
  <si>
    <t>wui_x_dum</t>
  </si>
  <si>
    <t>wui_x_exposure_x_dum</t>
  </si>
  <si>
    <t>is_boom_focus</t>
  </si>
  <si>
    <t>wui_x_dum_focus</t>
  </si>
  <si>
    <t>wui_x_exposure_x_dum_focus</t>
  </si>
  <si>
    <t>average correl</t>
  </si>
  <si>
    <t>2000-26</t>
  </si>
  <si>
    <t>2020-26</t>
  </si>
  <si>
    <t>HS_848610</t>
  </si>
  <si>
    <t>HS_848620</t>
  </si>
  <si>
    <t>HS_848630</t>
  </si>
  <si>
    <t>HS_848640</t>
  </si>
  <si>
    <t>HS_848690</t>
  </si>
  <si>
    <t>FI</t>
  </si>
  <si>
    <t>IE</t>
  </si>
  <si>
    <t>PT</t>
  </si>
  <si>
    <t>ICT equipment</t>
  </si>
  <si>
    <t>Total economy</t>
  </si>
  <si>
    <t>Computer software and databases</t>
  </si>
  <si>
    <t>HS 8471.50: Processing units for automatic data-processing machines (computer processing units)</t>
  </si>
  <si>
    <t xml:space="preserve">HS 8471.80: Other units of automatic data-processing machines </t>
  </si>
  <si>
    <t>HS 8473.30: Parts and accessories of machines of heading 8471 (computeronderdelen en accessoires)</t>
  </si>
  <si>
    <t>Machines en apparaten voor de vervaardiging van halfgeleiderboules of wafers</t>
  </si>
  <si>
    <t>Machines en apparaten voor de vervaardiging van halfgeleiderdevices of elektronische geïntegreerde schakelingen (chips)</t>
  </si>
  <si>
    <t>Machines en apparaten voor de vervaardiging van flat panel displays</t>
  </si>
  <si>
    <t>Machines en apparaten genoemd in hoofdstuk 90 voor gebruik bij de vervaardiging van wafers, chips of flat panel displays</t>
  </si>
  <si>
    <t>Onderdelen en accessoires van machines onder HS 8486</t>
  </si>
  <si>
    <t>share_8</t>
  </si>
  <si>
    <t>share_5</t>
  </si>
  <si>
    <t>N112G_secJ</t>
  </si>
  <si>
    <t>N117G_secJ</t>
  </si>
  <si>
    <t>N1173G_secJ</t>
  </si>
  <si>
    <t>NACE Rev 2 section J</t>
  </si>
  <si>
    <t>Other buildings and structures in information and communication</t>
  </si>
  <si>
    <t>Intellectual property products in information and communication</t>
  </si>
  <si>
    <t>Computer software and databases in information and communication</t>
  </si>
  <si>
    <t>Total GFCF (GFCF covers both tangible and intangible investment)</t>
  </si>
  <si>
    <t>Computer software and databases excl  information and communication</t>
  </si>
  <si>
    <t xml:space="preserve">    EUR bn</t>
  </si>
  <si>
    <t>Share ICT/AI investment in total GFCF</t>
  </si>
  <si>
    <t>ticker</t>
  </si>
  <si>
    <t>Semiconductor index</t>
  </si>
  <si>
    <t>log_ret</t>
  </si>
  <si>
    <t>index</t>
  </si>
  <si>
    <t>Oil price (RH-axis)</t>
  </si>
  <si>
    <t>correl log returns</t>
  </si>
  <si>
    <t>Geopolitical risk (GPR index)</t>
  </si>
  <si>
    <t>Econ policy uncertainty (EPU)</t>
  </si>
  <si>
    <t>Global uncertainty (WUI)</t>
  </si>
  <si>
    <t>^SOX</t>
  </si>
  <si>
    <t>full</t>
  </si>
  <si>
    <t>correl levels</t>
  </si>
  <si>
    <t>2026Q3</t>
  </si>
  <si>
    <t>annual log returns (SOX), uncertainty index</t>
  </si>
  <si>
    <t>2026Q4</t>
  </si>
  <si>
    <t>index, level, 2010Q1=100</t>
  </si>
  <si>
    <t>yoy return of index (quarterly data)</t>
  </si>
  <si>
    <t>2027Q1</t>
  </si>
  <si>
    <t>weak pos corr: olie up, sox up</t>
  </si>
  <si>
    <t>20 (virtuous): olie, GPR dalen, SOX stijgt</t>
  </si>
  <si>
    <t>also in big upward swings in 2022, 2026</t>
  </si>
  <si>
    <t>22 (vicious): tegengestelde cycli, olie, GPR omhoog, SOX omlaag</t>
  </si>
  <si>
    <t>Semicon supercycli counterbalances adv supplky shocks in energy markets?</t>
  </si>
  <si>
    <t>conclusion: different cycle, stroing uoward trend (see levels)</t>
  </si>
  <si>
    <t>26 (virtuous): beide omhoog = hedge</t>
  </si>
  <si>
    <t>levels (indices, SOX index / STOXX600, Uncertainty composite EPU, GPR, VIX)</t>
  </si>
  <si>
    <t>annual log return (SOX), STOXX600</t>
  </si>
  <si>
    <t>Global uncertainty (rh axis)</t>
  </si>
  <si>
    <t>STOXX Europe 600</t>
  </si>
  <si>
    <t>SOX / STOXX Europe 600</t>
  </si>
  <si>
    <t>share</t>
  </si>
  <si>
    <t>CPA 2.2 261 extra</t>
  </si>
  <si>
    <t>CPA 2.2 261 intra</t>
  </si>
  <si>
    <t>CPA 2.2 262 extra</t>
  </si>
  <si>
    <t>CPA 2.2 262 intra</t>
  </si>
  <si>
    <t>CPA 2.2 2899 extra</t>
  </si>
  <si>
    <t>CPA 2.2 2899 intra</t>
  </si>
  <si>
    <t>semicond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</si>
</sst>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charset val="1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0" borderId="0" xfId="0" applyFont="1"/>
    <xf numFmtId="0" fontId="3" fillId="0" borderId="0" xfId="0" applyFont="1"/>
    <xf numFmtId="4" fontId="0" fillId="0" borderId="0" xfId="0" applyNumberFormat="1"/>
    <xf numFmtId="20" fontId="0" fillId="0" borderId="0" xfId="0" applyNumberFormat="1"/>
    <xf numFmtId="0" fontId="2" fillId="0" borderId="0" xfId="0" applyFont="1"/>
    <xf numFmtId="0" fontId="5" fillId="0" borderId="0" xfId="1"/>
    <xf numFmtId="3" fontId="5" fillId="0" borderId="0" xfId="1" applyNumberFormat="1"/>
  </cellXfs>
  <cellStyles count="2">
    <cellStyle name="Normal" xfId="0" builtinId="0"/>
    <cellStyle name="Normal 2" xfId="1" xr:uid="{EAB2E575-7FB7-45F4-907A-FE7EC19CB8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ict_inv!$A$2:$A$263</c:f>
              <c:strCache>
                <c:ptCount val="262"/>
                <c:pt idx="0">
                  <c:v>AT</c:v>
                </c:pt>
                <c:pt idx="1">
                  <c:v>AT</c:v>
                </c:pt>
                <c:pt idx="2">
                  <c:v>AT</c:v>
                </c:pt>
                <c:pt idx="3">
                  <c:v>AT</c:v>
                </c:pt>
                <c:pt idx="4">
                  <c:v>AT</c:v>
                </c:pt>
                <c:pt idx="5">
                  <c:v>AT</c:v>
                </c:pt>
                <c:pt idx="6">
                  <c:v>AT</c:v>
                </c:pt>
                <c:pt idx="7">
                  <c:v>AT</c:v>
                </c:pt>
                <c:pt idx="8">
                  <c:v>AT</c:v>
                </c:pt>
                <c:pt idx="9">
                  <c:v>AT</c:v>
                </c:pt>
                <c:pt idx="10">
                  <c:v>AT</c:v>
                </c:pt>
                <c:pt idx="11">
                  <c:v>AT</c:v>
                </c:pt>
                <c:pt idx="12">
                  <c:v>AT</c:v>
                </c:pt>
                <c:pt idx="13">
                  <c:v>AT</c:v>
                </c:pt>
                <c:pt idx="14">
                  <c:v>AT</c:v>
                </c:pt>
                <c:pt idx="15">
                  <c:v>AT</c:v>
                </c:pt>
                <c:pt idx="16">
                  <c:v>AT</c:v>
                </c:pt>
                <c:pt idx="17">
                  <c:v>AT</c:v>
                </c:pt>
                <c:pt idx="18">
                  <c:v>AT</c:v>
                </c:pt>
                <c:pt idx="19">
                  <c:v>AT</c:v>
                </c:pt>
                <c:pt idx="20">
                  <c:v>AT</c:v>
                </c:pt>
                <c:pt idx="21">
                  <c:v>AT</c:v>
                </c:pt>
                <c:pt idx="22">
                  <c:v>AT</c:v>
                </c:pt>
                <c:pt idx="23">
                  <c:v>AT</c:v>
                </c:pt>
                <c:pt idx="24">
                  <c:v>AT</c:v>
                </c:pt>
                <c:pt idx="26">
                  <c:v>BE</c:v>
                </c:pt>
                <c:pt idx="27">
                  <c:v>BE</c:v>
                </c:pt>
                <c:pt idx="28">
                  <c:v>BE</c:v>
                </c:pt>
                <c:pt idx="29">
                  <c:v>BE</c:v>
                </c:pt>
                <c:pt idx="30">
                  <c:v>BE</c:v>
                </c:pt>
                <c:pt idx="31">
                  <c:v>BE</c:v>
                </c:pt>
                <c:pt idx="32">
                  <c:v>BE</c:v>
                </c:pt>
                <c:pt idx="33">
                  <c:v>BE</c:v>
                </c:pt>
                <c:pt idx="34">
                  <c:v>BE</c:v>
                </c:pt>
                <c:pt idx="35">
                  <c:v>BE</c:v>
                </c:pt>
                <c:pt idx="36">
                  <c:v>BE</c:v>
                </c:pt>
                <c:pt idx="37">
                  <c:v>BE</c:v>
                </c:pt>
                <c:pt idx="38">
                  <c:v>BE</c:v>
                </c:pt>
                <c:pt idx="39">
                  <c:v>BE</c:v>
                </c:pt>
                <c:pt idx="40">
                  <c:v>BE</c:v>
                </c:pt>
                <c:pt idx="41">
                  <c:v>BE</c:v>
                </c:pt>
                <c:pt idx="42">
                  <c:v>BE</c:v>
                </c:pt>
                <c:pt idx="43">
                  <c:v>BE</c:v>
                </c:pt>
                <c:pt idx="44">
                  <c:v>BE</c:v>
                </c:pt>
                <c:pt idx="45">
                  <c:v>BE</c:v>
                </c:pt>
                <c:pt idx="46">
                  <c:v>BE</c:v>
                </c:pt>
                <c:pt idx="47">
                  <c:v>BE</c:v>
                </c:pt>
                <c:pt idx="48">
                  <c:v>BE</c:v>
                </c:pt>
                <c:pt idx="49">
                  <c:v>BE</c:v>
                </c:pt>
                <c:pt idx="50">
                  <c:v>BE</c:v>
                </c:pt>
                <c:pt idx="52">
                  <c:v>DE</c:v>
                </c:pt>
                <c:pt idx="53">
                  <c:v>DE</c:v>
                </c:pt>
                <c:pt idx="54">
                  <c:v>DE</c:v>
                </c:pt>
                <c:pt idx="55">
                  <c:v>DE</c:v>
                </c:pt>
                <c:pt idx="56">
                  <c:v>DE</c:v>
                </c:pt>
                <c:pt idx="57">
                  <c:v>DE</c:v>
                </c:pt>
                <c:pt idx="58">
                  <c:v>DE</c:v>
                </c:pt>
                <c:pt idx="59">
                  <c:v>DE</c:v>
                </c:pt>
                <c:pt idx="60">
                  <c:v>DE</c:v>
                </c:pt>
                <c:pt idx="61">
                  <c:v>DE</c:v>
                </c:pt>
                <c:pt idx="62">
                  <c:v>DE</c:v>
                </c:pt>
                <c:pt idx="63">
                  <c:v>DE</c:v>
                </c:pt>
                <c:pt idx="64">
                  <c:v>DE</c:v>
                </c:pt>
                <c:pt idx="65">
                  <c:v>DE</c:v>
                </c:pt>
                <c:pt idx="66">
                  <c:v>DE</c:v>
                </c:pt>
                <c:pt idx="67">
                  <c:v>DE</c:v>
                </c:pt>
                <c:pt idx="68">
                  <c:v>DE</c:v>
                </c:pt>
                <c:pt idx="69">
                  <c:v>DE</c:v>
                </c:pt>
                <c:pt idx="70">
                  <c:v>DE</c:v>
                </c:pt>
                <c:pt idx="71">
                  <c:v>DE</c:v>
                </c:pt>
                <c:pt idx="72">
                  <c:v>DE</c:v>
                </c:pt>
                <c:pt idx="73">
                  <c:v>DE</c:v>
                </c:pt>
                <c:pt idx="74">
                  <c:v>DE</c:v>
                </c:pt>
                <c:pt idx="75">
                  <c:v>DE</c:v>
                </c:pt>
                <c:pt idx="76">
                  <c:v>DE</c:v>
                </c:pt>
                <c:pt idx="78">
                  <c:v>ES</c:v>
                </c:pt>
                <c:pt idx="79">
                  <c:v>ES</c:v>
                </c:pt>
                <c:pt idx="80">
                  <c:v>ES</c:v>
                </c:pt>
                <c:pt idx="81">
                  <c:v>ES</c:v>
                </c:pt>
                <c:pt idx="82">
                  <c:v>ES</c:v>
                </c:pt>
                <c:pt idx="83">
                  <c:v>ES</c:v>
                </c:pt>
                <c:pt idx="84">
                  <c:v>ES</c:v>
                </c:pt>
                <c:pt idx="85">
                  <c:v>ES</c:v>
                </c:pt>
                <c:pt idx="86">
                  <c:v>ES</c:v>
                </c:pt>
                <c:pt idx="87">
                  <c:v>ES</c:v>
                </c:pt>
                <c:pt idx="88">
                  <c:v>ES</c:v>
                </c:pt>
                <c:pt idx="89">
                  <c:v>ES</c:v>
                </c:pt>
                <c:pt idx="90">
                  <c:v>ES</c:v>
                </c:pt>
                <c:pt idx="91">
                  <c:v>ES</c:v>
                </c:pt>
                <c:pt idx="92">
                  <c:v>ES</c:v>
                </c:pt>
                <c:pt idx="93">
                  <c:v>ES</c:v>
                </c:pt>
                <c:pt idx="94">
                  <c:v>ES</c:v>
                </c:pt>
                <c:pt idx="95">
                  <c:v>ES</c:v>
                </c:pt>
                <c:pt idx="96">
                  <c:v>ES</c:v>
                </c:pt>
                <c:pt idx="97">
                  <c:v>ES</c:v>
                </c:pt>
                <c:pt idx="98">
                  <c:v>ES</c:v>
                </c:pt>
                <c:pt idx="99">
                  <c:v>ES</c:v>
                </c:pt>
                <c:pt idx="100">
                  <c:v>ES</c:v>
                </c:pt>
                <c:pt idx="101">
                  <c:v>ES</c:v>
                </c:pt>
                <c:pt idx="102">
                  <c:v>ES</c:v>
                </c:pt>
                <c:pt idx="104">
                  <c:v>FR</c:v>
                </c:pt>
                <c:pt idx="105">
                  <c:v>FR</c:v>
                </c:pt>
                <c:pt idx="106">
                  <c:v>FR</c:v>
                </c:pt>
                <c:pt idx="107">
                  <c:v>FR</c:v>
                </c:pt>
                <c:pt idx="108">
                  <c:v>FR</c:v>
                </c:pt>
                <c:pt idx="109">
                  <c:v>FR</c:v>
                </c:pt>
                <c:pt idx="110">
                  <c:v>FR</c:v>
                </c:pt>
                <c:pt idx="111">
                  <c:v>FR</c:v>
                </c:pt>
                <c:pt idx="112">
                  <c:v>FR</c:v>
                </c:pt>
                <c:pt idx="113">
                  <c:v>FR</c:v>
                </c:pt>
                <c:pt idx="114">
                  <c:v>FR</c:v>
                </c:pt>
                <c:pt idx="115">
                  <c:v>FR</c:v>
                </c:pt>
                <c:pt idx="116">
                  <c:v>FR</c:v>
                </c:pt>
                <c:pt idx="117">
                  <c:v>FR</c:v>
                </c:pt>
                <c:pt idx="118">
                  <c:v>FR</c:v>
                </c:pt>
                <c:pt idx="119">
                  <c:v>FR</c:v>
                </c:pt>
                <c:pt idx="120">
                  <c:v>FR</c:v>
                </c:pt>
                <c:pt idx="121">
                  <c:v>FR</c:v>
                </c:pt>
                <c:pt idx="122">
                  <c:v>FR</c:v>
                </c:pt>
                <c:pt idx="123">
                  <c:v>FR</c:v>
                </c:pt>
                <c:pt idx="124">
                  <c:v>FR</c:v>
                </c:pt>
                <c:pt idx="125">
                  <c:v>FR</c:v>
                </c:pt>
                <c:pt idx="126">
                  <c:v>FR</c:v>
                </c:pt>
                <c:pt idx="127">
                  <c:v>FR</c:v>
                </c:pt>
                <c:pt idx="128">
                  <c:v>FR</c:v>
                </c:pt>
                <c:pt idx="129">
                  <c:v>FR</c:v>
                </c:pt>
                <c:pt idx="131">
                  <c:v>IT</c:v>
                </c:pt>
                <c:pt idx="132">
                  <c:v>IT</c:v>
                </c:pt>
                <c:pt idx="133">
                  <c:v>IT</c:v>
                </c:pt>
                <c:pt idx="134">
                  <c:v>IT</c:v>
                </c:pt>
                <c:pt idx="135">
                  <c:v>IT</c:v>
                </c:pt>
                <c:pt idx="136">
                  <c:v>IT</c:v>
                </c:pt>
                <c:pt idx="137">
                  <c:v>IT</c:v>
                </c:pt>
                <c:pt idx="138">
                  <c:v>IT</c:v>
                </c:pt>
                <c:pt idx="139">
                  <c:v>IT</c:v>
                </c:pt>
                <c:pt idx="140">
                  <c:v>IT</c:v>
                </c:pt>
                <c:pt idx="141">
                  <c:v>IT</c:v>
                </c:pt>
                <c:pt idx="142">
                  <c:v>IT</c:v>
                </c:pt>
                <c:pt idx="143">
                  <c:v>IT</c:v>
                </c:pt>
                <c:pt idx="144">
                  <c:v>IT</c:v>
                </c:pt>
                <c:pt idx="145">
                  <c:v>IT</c:v>
                </c:pt>
                <c:pt idx="146">
                  <c:v>IT</c:v>
                </c:pt>
                <c:pt idx="147">
                  <c:v>IT</c:v>
                </c:pt>
                <c:pt idx="148">
                  <c:v>IT</c:v>
                </c:pt>
                <c:pt idx="149">
                  <c:v>IT</c:v>
                </c:pt>
                <c:pt idx="150">
                  <c:v>IT</c:v>
                </c:pt>
                <c:pt idx="151">
                  <c:v>IT</c:v>
                </c:pt>
                <c:pt idx="152">
                  <c:v>IT</c:v>
                </c:pt>
                <c:pt idx="153">
                  <c:v>IT</c:v>
                </c:pt>
                <c:pt idx="154">
                  <c:v>IT</c:v>
                </c:pt>
                <c:pt idx="155">
                  <c:v>IT</c:v>
                </c:pt>
                <c:pt idx="156">
                  <c:v>IT</c:v>
                </c:pt>
                <c:pt idx="158">
                  <c:v>NL</c:v>
                </c:pt>
                <c:pt idx="159">
                  <c:v>NL</c:v>
                </c:pt>
                <c:pt idx="160">
                  <c:v>NL</c:v>
                </c:pt>
                <c:pt idx="161">
                  <c:v>NL</c:v>
                </c:pt>
                <c:pt idx="162">
                  <c:v>NL</c:v>
                </c:pt>
                <c:pt idx="163">
                  <c:v>NL</c:v>
                </c:pt>
                <c:pt idx="164">
                  <c:v>NL</c:v>
                </c:pt>
                <c:pt idx="165">
                  <c:v>NL</c:v>
                </c:pt>
                <c:pt idx="166">
                  <c:v>NL</c:v>
                </c:pt>
                <c:pt idx="167">
                  <c:v>NL</c:v>
                </c:pt>
                <c:pt idx="168">
                  <c:v>NL</c:v>
                </c:pt>
                <c:pt idx="169">
                  <c:v>NL</c:v>
                </c:pt>
                <c:pt idx="170">
                  <c:v>NL</c:v>
                </c:pt>
                <c:pt idx="171">
                  <c:v>NL</c:v>
                </c:pt>
                <c:pt idx="172">
                  <c:v>NL</c:v>
                </c:pt>
                <c:pt idx="173">
                  <c:v>NL</c:v>
                </c:pt>
                <c:pt idx="174">
                  <c:v>NL</c:v>
                </c:pt>
                <c:pt idx="175">
                  <c:v>NL</c:v>
                </c:pt>
                <c:pt idx="176">
                  <c:v>NL</c:v>
                </c:pt>
                <c:pt idx="177">
                  <c:v>NL</c:v>
                </c:pt>
                <c:pt idx="178">
                  <c:v>NL</c:v>
                </c:pt>
                <c:pt idx="179">
                  <c:v>NL</c:v>
                </c:pt>
                <c:pt idx="180">
                  <c:v>NL</c:v>
                </c:pt>
                <c:pt idx="181">
                  <c:v>NL</c:v>
                </c:pt>
                <c:pt idx="182">
                  <c:v>NL</c:v>
                </c:pt>
                <c:pt idx="184">
                  <c:v>FI</c:v>
                </c:pt>
                <c:pt idx="185">
                  <c:v>FI</c:v>
                </c:pt>
                <c:pt idx="186">
                  <c:v>FI</c:v>
                </c:pt>
                <c:pt idx="187">
                  <c:v>FI</c:v>
                </c:pt>
                <c:pt idx="188">
                  <c:v>FI</c:v>
                </c:pt>
                <c:pt idx="189">
                  <c:v>FI</c:v>
                </c:pt>
                <c:pt idx="190">
                  <c:v>FI</c:v>
                </c:pt>
                <c:pt idx="191">
                  <c:v>FI</c:v>
                </c:pt>
                <c:pt idx="192">
                  <c:v>FI</c:v>
                </c:pt>
                <c:pt idx="193">
                  <c:v>FI</c:v>
                </c:pt>
                <c:pt idx="194">
                  <c:v>FI</c:v>
                </c:pt>
                <c:pt idx="195">
                  <c:v>FI</c:v>
                </c:pt>
                <c:pt idx="196">
                  <c:v>FI</c:v>
                </c:pt>
                <c:pt idx="197">
                  <c:v>FI</c:v>
                </c:pt>
                <c:pt idx="198">
                  <c:v>FI</c:v>
                </c:pt>
                <c:pt idx="199">
                  <c:v>FI</c:v>
                </c:pt>
                <c:pt idx="200">
                  <c:v>FI</c:v>
                </c:pt>
                <c:pt idx="201">
                  <c:v>FI</c:v>
                </c:pt>
                <c:pt idx="202">
                  <c:v>FI</c:v>
                </c:pt>
                <c:pt idx="203">
                  <c:v>FI</c:v>
                </c:pt>
                <c:pt idx="204">
                  <c:v>FI</c:v>
                </c:pt>
                <c:pt idx="205">
                  <c:v>FI</c:v>
                </c:pt>
                <c:pt idx="206">
                  <c:v>FI</c:v>
                </c:pt>
                <c:pt idx="207">
                  <c:v>FI</c:v>
                </c:pt>
                <c:pt idx="208">
                  <c:v>FI</c:v>
                </c:pt>
                <c:pt idx="209">
                  <c:v>FI</c:v>
                </c:pt>
                <c:pt idx="211">
                  <c:v>IE</c:v>
                </c:pt>
                <c:pt idx="212">
                  <c:v>IE</c:v>
                </c:pt>
                <c:pt idx="213">
                  <c:v>IE</c:v>
                </c:pt>
                <c:pt idx="214">
                  <c:v>IE</c:v>
                </c:pt>
                <c:pt idx="215">
                  <c:v>IE</c:v>
                </c:pt>
                <c:pt idx="216">
                  <c:v>IE</c:v>
                </c:pt>
                <c:pt idx="217">
                  <c:v>IE</c:v>
                </c:pt>
                <c:pt idx="218">
                  <c:v>IE</c:v>
                </c:pt>
                <c:pt idx="219">
                  <c:v>IE</c:v>
                </c:pt>
                <c:pt idx="220">
                  <c:v>IE</c:v>
                </c:pt>
                <c:pt idx="221">
                  <c:v>IE</c:v>
                </c:pt>
                <c:pt idx="222">
                  <c:v>IE</c:v>
                </c:pt>
                <c:pt idx="223">
                  <c:v>IE</c:v>
                </c:pt>
                <c:pt idx="224">
                  <c:v>IE</c:v>
                </c:pt>
                <c:pt idx="225">
                  <c:v>IE</c:v>
                </c:pt>
                <c:pt idx="226">
                  <c:v>IE</c:v>
                </c:pt>
                <c:pt idx="227">
                  <c:v>IE</c:v>
                </c:pt>
                <c:pt idx="228">
                  <c:v>IE</c:v>
                </c:pt>
                <c:pt idx="229">
                  <c:v>IE</c:v>
                </c:pt>
                <c:pt idx="230">
                  <c:v>IE</c:v>
                </c:pt>
                <c:pt idx="231">
                  <c:v>IE</c:v>
                </c:pt>
                <c:pt idx="232">
                  <c:v>IE</c:v>
                </c:pt>
                <c:pt idx="233">
                  <c:v>IE</c:v>
                </c:pt>
                <c:pt idx="234">
                  <c:v>IE</c:v>
                </c:pt>
                <c:pt idx="235">
                  <c:v>IE</c:v>
                </c:pt>
                <c:pt idx="237">
                  <c:v>PT</c:v>
                </c:pt>
                <c:pt idx="238">
                  <c:v>PT</c:v>
                </c:pt>
                <c:pt idx="239">
                  <c:v>PT</c:v>
                </c:pt>
                <c:pt idx="240">
                  <c:v>PT</c:v>
                </c:pt>
                <c:pt idx="241">
                  <c:v>PT</c:v>
                </c:pt>
                <c:pt idx="242">
                  <c:v>PT</c:v>
                </c:pt>
                <c:pt idx="243">
                  <c:v>PT</c:v>
                </c:pt>
                <c:pt idx="244">
                  <c:v>PT</c:v>
                </c:pt>
                <c:pt idx="245">
                  <c:v>PT</c:v>
                </c:pt>
                <c:pt idx="246">
                  <c:v>PT</c:v>
                </c:pt>
                <c:pt idx="247">
                  <c:v>PT</c:v>
                </c:pt>
                <c:pt idx="248">
                  <c:v>PT</c:v>
                </c:pt>
                <c:pt idx="249">
                  <c:v>PT</c:v>
                </c:pt>
                <c:pt idx="250">
                  <c:v>PT</c:v>
                </c:pt>
                <c:pt idx="251">
                  <c:v>PT</c:v>
                </c:pt>
                <c:pt idx="252">
                  <c:v>PT</c:v>
                </c:pt>
                <c:pt idx="253">
                  <c:v>PT</c:v>
                </c:pt>
                <c:pt idx="254">
                  <c:v>PT</c:v>
                </c:pt>
                <c:pt idx="255">
                  <c:v>PT</c:v>
                </c:pt>
                <c:pt idx="256">
                  <c:v>PT</c:v>
                </c:pt>
                <c:pt idx="257">
                  <c:v>PT</c:v>
                </c:pt>
                <c:pt idx="258">
                  <c:v>PT</c:v>
                </c:pt>
                <c:pt idx="259">
                  <c:v>PT</c:v>
                </c:pt>
                <c:pt idx="260">
                  <c:v>PT</c:v>
                </c:pt>
                <c:pt idx="261">
                  <c:v>PT</c:v>
                </c:pt>
              </c:strCache>
            </c:strRef>
          </c:cat>
          <c:val>
            <c:numRef>
              <c:f>ict_inv!$I$2:$I$263</c:f>
              <c:numCache>
                <c:formatCode>General</c:formatCode>
                <c:ptCount val="262"/>
                <c:pt idx="10">
                  <c:v>0.13951299645784493</c:v>
                </c:pt>
                <c:pt idx="11">
                  <c:v>0.1467147589337007</c:v>
                </c:pt>
                <c:pt idx="12">
                  <c:v>0.14263754713345994</c:v>
                </c:pt>
                <c:pt idx="13">
                  <c:v>0.14779517232352962</c:v>
                </c:pt>
                <c:pt idx="14">
                  <c:v>0.14288333346522847</c:v>
                </c:pt>
                <c:pt idx="15">
                  <c:v>0.15515944808249907</c:v>
                </c:pt>
                <c:pt idx="16">
                  <c:v>0.15546366398225395</c:v>
                </c:pt>
                <c:pt idx="17">
                  <c:v>0.1514119442963342</c:v>
                </c:pt>
                <c:pt idx="18">
                  <c:v>0.15970830024254651</c:v>
                </c:pt>
                <c:pt idx="19">
                  <c:v>0.16885807361071786</c:v>
                </c:pt>
                <c:pt idx="20">
                  <c:v>0.17076349956742379</c:v>
                </c:pt>
                <c:pt idx="21">
                  <c:v>0.15599160182125507</c:v>
                </c:pt>
                <c:pt idx="22">
                  <c:v>0.15603500394963879</c:v>
                </c:pt>
                <c:pt idx="23">
                  <c:v>0.1673103527784183</c:v>
                </c:pt>
                <c:pt idx="24">
                  <c:v>0.17496495406425419</c:v>
                </c:pt>
                <c:pt idx="36">
                  <c:v>0.13870546750492541</c:v>
                </c:pt>
                <c:pt idx="37">
                  <c:v>0.13387189643647013</c:v>
                </c:pt>
                <c:pt idx="38">
                  <c:v>0.1344566572698688</c:v>
                </c:pt>
                <c:pt idx="39">
                  <c:v>0.14066013500993929</c:v>
                </c:pt>
                <c:pt idx="40">
                  <c:v>0.13813216110499676</c:v>
                </c:pt>
                <c:pt idx="41">
                  <c:v>0.13227337787003415</c:v>
                </c:pt>
                <c:pt idx="42">
                  <c:v>0.13260173436388301</c:v>
                </c:pt>
                <c:pt idx="43">
                  <c:v>0.1392873283304116</c:v>
                </c:pt>
                <c:pt idx="44">
                  <c:v>0.13952240899050841</c:v>
                </c:pt>
                <c:pt idx="45">
                  <c:v>0.14138633599396772</c:v>
                </c:pt>
                <c:pt idx="46">
                  <c:v>0.14451633046915727</c:v>
                </c:pt>
                <c:pt idx="47">
                  <c:v>0.14637497707145938</c:v>
                </c:pt>
                <c:pt idx="48">
                  <c:v>0.14806210436677839</c:v>
                </c:pt>
                <c:pt idx="49">
                  <c:v>0.14690436069296814</c:v>
                </c:pt>
                <c:pt idx="50">
                  <c:v>0.16444982264139651</c:v>
                </c:pt>
                <c:pt idx="62">
                  <c:v>9.0077486009470506E-2</c:v>
                </c:pt>
                <c:pt idx="63">
                  <c:v>8.5987208995551345E-2</c:v>
                </c:pt>
                <c:pt idx="64">
                  <c:v>7.9699344978556588E-2</c:v>
                </c:pt>
                <c:pt idx="65">
                  <c:v>7.9472535305386019E-2</c:v>
                </c:pt>
                <c:pt idx="66">
                  <c:v>8.0341460522861424E-2</c:v>
                </c:pt>
                <c:pt idx="67">
                  <c:v>8.4820190971738083E-2</c:v>
                </c:pt>
                <c:pt idx="68">
                  <c:v>8.3646788238765979E-2</c:v>
                </c:pt>
                <c:pt idx="69">
                  <c:v>8.1342778719866005E-2</c:v>
                </c:pt>
                <c:pt idx="70">
                  <c:v>8.1720008952551479E-2</c:v>
                </c:pt>
                <c:pt idx="71">
                  <c:v>8.2855752884193876E-2</c:v>
                </c:pt>
                <c:pt idx="72">
                  <c:v>8.1815293370048725E-2</c:v>
                </c:pt>
                <c:pt idx="73">
                  <c:v>8.3727042533414536E-2</c:v>
                </c:pt>
                <c:pt idx="74">
                  <c:v>8.4524514070205975E-2</c:v>
                </c:pt>
                <c:pt idx="75">
                  <c:v>8.1127962753161406E-2</c:v>
                </c:pt>
                <c:pt idx="76">
                  <c:v>8.6916760469719023E-2</c:v>
                </c:pt>
                <c:pt idx="88">
                  <c:v>0.1074243369536154</c:v>
                </c:pt>
                <c:pt idx="89">
                  <c:v>0.12123041767877794</c:v>
                </c:pt>
                <c:pt idx="90">
                  <c:v>0.13847860293548636</c:v>
                </c:pt>
                <c:pt idx="91">
                  <c:v>0.13966913760817296</c:v>
                </c:pt>
                <c:pt idx="92">
                  <c:v>0.14538068139353627</c:v>
                </c:pt>
                <c:pt idx="93">
                  <c:v>0.15730156336399739</c:v>
                </c:pt>
                <c:pt idx="94">
                  <c:v>0.15809620778610484</c:v>
                </c:pt>
                <c:pt idx="95">
                  <c:v>0.15021224463963617</c:v>
                </c:pt>
                <c:pt idx="96">
                  <c:v>0.1479568305506872</c:v>
                </c:pt>
                <c:pt idx="97">
                  <c:v>0.14029367629612752</c:v>
                </c:pt>
                <c:pt idx="98">
                  <c:v>0.14433972800453612</c:v>
                </c:pt>
                <c:pt idx="99">
                  <c:v>0.15242426670940856</c:v>
                </c:pt>
                <c:pt idx="100">
                  <c:v>0.14409521444535103</c:v>
                </c:pt>
                <c:pt idx="101">
                  <c:v>0.14973134678937391</c:v>
                </c:pt>
                <c:pt idx="102">
                  <c:v>0.14957258351238967</c:v>
                </c:pt>
                <c:pt idx="114">
                  <c:v>0.12050157625859317</c:v>
                </c:pt>
                <c:pt idx="115">
                  <c:v>0.11937892610031375</c:v>
                </c:pt>
                <c:pt idx="116">
                  <c:v>0.12509834427816516</c:v>
                </c:pt>
                <c:pt idx="117">
                  <c:v>0.12674239051188763</c:v>
                </c:pt>
                <c:pt idx="118">
                  <c:v>0.13153127566391373</c:v>
                </c:pt>
                <c:pt idx="119">
                  <c:v>0.13764973587361881</c:v>
                </c:pt>
                <c:pt idx="120">
                  <c:v>0.14114053079650749</c:v>
                </c:pt>
                <c:pt idx="121">
                  <c:v>0.14670742546312507</c:v>
                </c:pt>
                <c:pt idx="122">
                  <c:v>0.15168226831207224</c:v>
                </c:pt>
                <c:pt idx="123">
                  <c:v>0.15379843721398415</c:v>
                </c:pt>
                <c:pt idx="124">
                  <c:v>0.16587155074328955</c:v>
                </c:pt>
                <c:pt idx="125">
                  <c:v>0.16207230967799771</c:v>
                </c:pt>
                <c:pt idx="126">
                  <c:v>0.1686231784194008</c:v>
                </c:pt>
                <c:pt idx="127">
                  <c:v>0.17200175474117566</c:v>
                </c:pt>
                <c:pt idx="128">
                  <c:v>0.17927674237936195</c:v>
                </c:pt>
                <c:pt idx="129">
                  <c:v>0.18315117620270271</c:v>
                </c:pt>
                <c:pt idx="141">
                  <c:v>0.1153878572144056</c:v>
                </c:pt>
                <c:pt idx="142">
                  <c:v>0.11286976640016097</c:v>
                </c:pt>
                <c:pt idx="143">
                  <c:v>0.12475169707490456</c:v>
                </c:pt>
                <c:pt idx="144">
                  <c:v>0.13192991082085431</c:v>
                </c:pt>
                <c:pt idx="145">
                  <c:v>0.14276659834860508</c:v>
                </c:pt>
                <c:pt idx="146">
                  <c:v>0.14846969286853964</c:v>
                </c:pt>
                <c:pt idx="147">
                  <c:v>0.15013560412008597</c:v>
                </c:pt>
                <c:pt idx="148">
                  <c:v>0.14949041730184481</c:v>
                </c:pt>
                <c:pt idx="149">
                  <c:v>0.14589680494322688</c:v>
                </c:pt>
                <c:pt idx="150">
                  <c:v>0.14739048347028474</c:v>
                </c:pt>
                <c:pt idx="151">
                  <c:v>0.15574566778244744</c:v>
                </c:pt>
                <c:pt idx="152">
                  <c:v>0.12785786405169186</c:v>
                </c:pt>
                <c:pt idx="153">
                  <c:v>0.12232868683850653</c:v>
                </c:pt>
                <c:pt idx="154">
                  <c:v>0.10709498893925179</c:v>
                </c:pt>
                <c:pt idx="155">
                  <c:v>0.1181932096010781</c:v>
                </c:pt>
                <c:pt idx="156">
                  <c:v>0.11807159271376098</c:v>
                </c:pt>
                <c:pt idx="168">
                  <c:v>0.17761031646987296</c:v>
                </c:pt>
                <c:pt idx="169">
                  <c:v>0.1715983572078652</c:v>
                </c:pt>
                <c:pt idx="170">
                  <c:v>0.18669096495815898</c:v>
                </c:pt>
                <c:pt idx="171">
                  <c:v>0.20925797503467405</c:v>
                </c:pt>
                <c:pt idx="172">
                  <c:v>0.20401315120496222</c:v>
                </c:pt>
                <c:pt idx="173">
                  <c:v>0.19984521342183278</c:v>
                </c:pt>
                <c:pt idx="174">
                  <c:v>0.19060538891127871</c:v>
                </c:pt>
                <c:pt idx="175">
                  <c:v>0.18168337186651118</c:v>
                </c:pt>
                <c:pt idx="176">
                  <c:v>0.17426099357607167</c:v>
                </c:pt>
                <c:pt idx="177">
                  <c:v>0.17313412187867469</c:v>
                </c:pt>
                <c:pt idx="178">
                  <c:v>0.18034013840432025</c:v>
                </c:pt>
                <c:pt idx="179">
                  <c:v>0.17060593737291582</c:v>
                </c:pt>
                <c:pt idx="180">
                  <c:v>0.1723953161408304</c:v>
                </c:pt>
                <c:pt idx="181">
                  <c:v>0.16855357686097394</c:v>
                </c:pt>
                <c:pt idx="182">
                  <c:v>0.16819795598684004</c:v>
                </c:pt>
                <c:pt idx="194">
                  <c:v>9.9121969397023543E-2</c:v>
                </c:pt>
                <c:pt idx="195">
                  <c:v>9.7791519434628979E-2</c:v>
                </c:pt>
                <c:pt idx="196">
                  <c:v>9.6600881887067086E-2</c:v>
                </c:pt>
                <c:pt idx="197">
                  <c:v>0.10214769826599771</c:v>
                </c:pt>
                <c:pt idx="198">
                  <c:v>0.11499832233530925</c:v>
                </c:pt>
                <c:pt idx="199">
                  <c:v>0.11431934788885681</c:v>
                </c:pt>
                <c:pt idx="200">
                  <c:v>0.10420688545688546</c:v>
                </c:pt>
                <c:pt idx="201">
                  <c:v>0.10619751648475513</c:v>
                </c:pt>
                <c:pt idx="202">
                  <c:v>0.10991881892939176</c:v>
                </c:pt>
                <c:pt idx="203">
                  <c:v>0.10563452822414504</c:v>
                </c:pt>
                <c:pt idx="204">
                  <c:v>0.10737080502367717</c:v>
                </c:pt>
                <c:pt idx="205">
                  <c:v>0.10582716049382716</c:v>
                </c:pt>
                <c:pt idx="206">
                  <c:v>9.9421084704448506E-2</c:v>
                </c:pt>
                <c:pt idx="207">
                  <c:v>0.11324535449834844</c:v>
                </c:pt>
                <c:pt idx="208">
                  <c:v>0.14071954748750329</c:v>
                </c:pt>
                <c:pt idx="209">
                  <c:v>0.14533763099499505</c:v>
                </c:pt>
                <c:pt idx="221">
                  <c:v>0.17142662928031269</c:v>
                </c:pt>
                <c:pt idx="222">
                  <c:v>0.21290558800453316</c:v>
                </c:pt>
                <c:pt idx="223">
                  <c:v>0.23477584339955118</c:v>
                </c:pt>
                <c:pt idx="224">
                  <c:v>0.20688592659957641</c:v>
                </c:pt>
                <c:pt idx="225">
                  <c:v>0.20919179823965831</c:v>
                </c:pt>
                <c:pt idx="226">
                  <c:v>0.19049801405438435</c:v>
                </c:pt>
                <c:pt idx="227">
                  <c:v>0.15669748436626812</c:v>
                </c:pt>
                <c:pt idx="228">
                  <c:v>0.40580189169109832</c:v>
                </c:pt>
                <c:pt idx="229">
                  <c:v>0.19086473467152662</c:v>
                </c:pt>
                <c:pt idx="230">
                  <c:v>0.26662936464636444</c:v>
                </c:pt>
                <c:pt idx="231">
                  <c:v>0.3780372329247822</c:v>
                </c:pt>
                <c:pt idx="232">
                  <c:v>0.19515385353486892</c:v>
                </c:pt>
                <c:pt idx="233">
                  <c:v>0.25178245429196827</c:v>
                </c:pt>
                <c:pt idx="234">
                  <c:v>0.19374804262614678</c:v>
                </c:pt>
                <c:pt idx="235">
                  <c:v>9.6012028645875991E-2</c:v>
                </c:pt>
                <c:pt idx="247">
                  <c:v>0.12911981388134938</c:v>
                </c:pt>
                <c:pt idx="248">
                  <c:v>0.1324422843256379</c:v>
                </c:pt>
                <c:pt idx="249">
                  <c:v>0.15448284624209202</c:v>
                </c:pt>
                <c:pt idx="250">
                  <c:v>0.15875367403053001</c:v>
                </c:pt>
                <c:pt idx="251">
                  <c:v>0.16205320636764514</c:v>
                </c:pt>
                <c:pt idx="252">
                  <c:v>0.15554637618713565</c:v>
                </c:pt>
                <c:pt idx="253">
                  <c:v>0.14130583113852538</c:v>
                </c:pt>
                <c:pt idx="254">
                  <c:v>0.14199197700874147</c:v>
                </c:pt>
                <c:pt idx="255">
                  <c:v>0.13948003480297469</c:v>
                </c:pt>
                <c:pt idx="256">
                  <c:v>0.13808506064016793</c:v>
                </c:pt>
                <c:pt idx="257">
                  <c:v>0.14810212813728665</c:v>
                </c:pt>
                <c:pt idx="258">
                  <c:v>0.15193398171114972</c:v>
                </c:pt>
                <c:pt idx="259">
                  <c:v>0.14461475316746994</c:v>
                </c:pt>
                <c:pt idx="260">
                  <c:v>0.13707314166650114</c:v>
                </c:pt>
                <c:pt idx="261">
                  <c:v>8.6782381012711671E-2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8C-4BEF-AF35-6F6D0161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94912"/>
        <c:axId val="1019400672"/>
      </c:lineChart>
      <c:catAx>
        <c:axId val="10193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400672"/>
        <c:crosses val="autoZero"/>
        <c:auto val="1"/>
        <c:lblAlgn val="ctr"/>
        <c:lblOffset val="100"/>
        <c:tickLblSkip val="29"/>
        <c:tickMarkSkip val="12"/>
        <c:noMultiLvlLbl val="0"/>
      </c:catAx>
      <c:valAx>
        <c:axId val="1019400672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39491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83858267716535"/>
          <c:y val="5.4236293379994166E-2"/>
          <c:w val="0.84560586176727914"/>
          <c:h val="0.49393008165645963"/>
        </c:manualLayout>
      </c:layout>
      <c:barChart>
        <c:barDir val="col"/>
        <c:grouping val="stacked"/>
        <c:varyColors val="0"/>
        <c:ser>
          <c:idx val="1"/>
          <c:order val="0"/>
          <c:tx>
            <c:v>ICT equipment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ict_inv!$B$176:$B$184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ict_inv!$C$176:$C$184</c:f>
              <c:numCache>
                <c:formatCode>General</c:formatCode>
                <c:ptCount val="9"/>
                <c:pt idx="0">
                  <c:v>5019</c:v>
                </c:pt>
                <c:pt idx="1">
                  <c:v>5159</c:v>
                </c:pt>
                <c:pt idx="2">
                  <c:v>5339</c:v>
                </c:pt>
                <c:pt idx="3">
                  <c:v>6464</c:v>
                </c:pt>
                <c:pt idx="4">
                  <c:v>6747</c:v>
                </c:pt>
                <c:pt idx="5">
                  <c:v>6745</c:v>
                </c:pt>
                <c:pt idx="6">
                  <c:v>7787</c:v>
                </c:pt>
                <c:pt idx="7">
                  <c:v>7873</c:v>
                </c:pt>
                <c:pt idx="8">
                  <c:v>8359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E-4E6F-8353-7FB59989A5D6}"/>
            </c:ext>
          </c:extLst>
        </c:ser>
        <c:ser>
          <c:idx val="2"/>
          <c:order val="1"/>
          <c:tx>
            <c:v>Software &amp; databases exl inform &amp; com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ict_inv!$B$176:$B$184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ict_inv!$S$176:$S$184</c:f>
              <c:numCache>
                <c:formatCode>General</c:formatCode>
                <c:ptCount val="9"/>
                <c:pt idx="0">
                  <c:v>16283</c:v>
                </c:pt>
                <c:pt idx="1">
                  <c:v>16615</c:v>
                </c:pt>
                <c:pt idx="2">
                  <c:v>17030</c:v>
                </c:pt>
                <c:pt idx="3">
                  <c:v>17721</c:v>
                </c:pt>
                <c:pt idx="4">
                  <c:v>17872</c:v>
                </c:pt>
                <c:pt idx="5">
                  <c:v>18362</c:v>
                </c:pt>
                <c:pt idx="6">
                  <c:v>20303</c:v>
                </c:pt>
                <c:pt idx="7">
                  <c:v>21685</c:v>
                </c:pt>
                <c:pt idx="8">
                  <c:v>22366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BE-4E6F-8353-7FB59989A5D6}"/>
            </c:ext>
          </c:extLst>
        </c:ser>
        <c:ser>
          <c:idx val="3"/>
          <c:order val="2"/>
          <c:tx>
            <c:v>Other buildings &amp; structures in inform &amp; com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ict_inv!$B$176:$B$184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ict_inv!$E$176:$E$184</c:f>
              <c:numCache>
                <c:formatCode>General</c:formatCode>
                <c:ptCount val="9"/>
                <c:pt idx="0">
                  <c:v>2114</c:v>
                </c:pt>
                <c:pt idx="1">
                  <c:v>1893</c:v>
                </c:pt>
                <c:pt idx="2">
                  <c:v>1670</c:v>
                </c:pt>
                <c:pt idx="3">
                  <c:v>2299</c:v>
                </c:pt>
                <c:pt idx="4">
                  <c:v>3223</c:v>
                </c:pt>
                <c:pt idx="5">
                  <c:v>2797</c:v>
                </c:pt>
                <c:pt idx="6">
                  <c:v>3173</c:v>
                </c:pt>
                <c:pt idx="7">
                  <c:v>2444</c:v>
                </c:pt>
                <c:pt idx="8">
                  <c:v>2491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BE-4E6F-8353-7FB59989A5D6}"/>
            </c:ext>
          </c:extLst>
        </c:ser>
        <c:ser>
          <c:idx val="4"/>
          <c:order val="3"/>
          <c:tx>
            <c:v>Intellectual property products in inform &amp; com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ict_inv!$B$176:$B$184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ict_inv!$F$176:$F$184</c:f>
              <c:numCache>
                <c:formatCode>General</c:formatCode>
                <c:ptCount val="9"/>
                <c:pt idx="0">
                  <c:v>3069</c:v>
                </c:pt>
                <c:pt idx="1">
                  <c:v>3287</c:v>
                </c:pt>
                <c:pt idx="2">
                  <c:v>3332</c:v>
                </c:pt>
                <c:pt idx="3">
                  <c:v>3552</c:v>
                </c:pt>
                <c:pt idx="4">
                  <c:v>3482</c:v>
                </c:pt>
                <c:pt idx="5">
                  <c:v>3560</c:v>
                </c:pt>
                <c:pt idx="6">
                  <c:v>3806</c:v>
                </c:pt>
                <c:pt idx="7">
                  <c:v>4012</c:v>
                </c:pt>
                <c:pt idx="8">
                  <c:v>4258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BE-4E6F-8353-7FB59989A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0062160"/>
        <c:axId val="2116070896"/>
      </c:barChart>
      <c:catAx>
        <c:axId val="214006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116070896"/>
        <c:crosses val="autoZero"/>
        <c:auto val="1"/>
        <c:lblAlgn val="ctr"/>
        <c:lblOffset val="100"/>
        <c:noMultiLvlLbl val="0"/>
      </c:catAx>
      <c:valAx>
        <c:axId val="21160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140062160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68665427238261889"/>
          <c:w val="0.99321653543307087"/>
          <c:h val="0.313345727617381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ai_inv!$A$13</c:f>
              <c:strCache>
                <c:ptCount val="1"/>
                <c:pt idx="0">
                  <c:v>BE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ai_inv!$B$2:$B$12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ai_inv!$C$13:$C$23</c:f>
              <c:numCache>
                <c:formatCode>General</c:formatCode>
                <c:ptCount val="11"/>
                <c:pt idx="0">
                  <c:v>38</c:v>
                </c:pt>
                <c:pt idx="1">
                  <c:v>12</c:v>
                </c:pt>
                <c:pt idx="2">
                  <c:v>54</c:v>
                </c:pt>
                <c:pt idx="3">
                  <c:v>26</c:v>
                </c:pt>
                <c:pt idx="4">
                  <c:v>30</c:v>
                </c:pt>
                <c:pt idx="5">
                  <c:v>70</c:v>
                </c:pt>
                <c:pt idx="6">
                  <c:v>65</c:v>
                </c:pt>
                <c:pt idx="7">
                  <c:v>79</c:v>
                </c:pt>
                <c:pt idx="8">
                  <c:v>61</c:v>
                </c:pt>
                <c:pt idx="9">
                  <c:v>97</c:v>
                </c:pt>
                <c:pt idx="10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A-461E-8270-9724DC2E340C}"/>
            </c:ext>
          </c:extLst>
        </c:ser>
        <c:ser>
          <c:idx val="0"/>
          <c:order val="1"/>
          <c:tx>
            <c:strRef>
              <c:f>ai_inv!$A$2</c:f>
              <c:strCache>
                <c:ptCount val="1"/>
                <c:pt idx="0">
                  <c:v>AT</c:v>
                </c:pt>
              </c:strCache>
            </c:strRef>
          </c:tx>
          <c:spPr>
            <a:ln w="127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ai_inv!$C$2:$C$12</c:f>
              <c:numCache>
                <c:formatCode>General</c:formatCode>
                <c:ptCount val="11"/>
                <c:pt idx="0">
                  <c:v>3</c:v>
                </c:pt>
                <c:pt idx="1">
                  <c:v>21</c:v>
                </c:pt>
                <c:pt idx="2">
                  <c:v>24</c:v>
                </c:pt>
                <c:pt idx="3">
                  <c:v>39</c:v>
                </c:pt>
                <c:pt idx="4">
                  <c:v>43</c:v>
                </c:pt>
                <c:pt idx="5">
                  <c:v>47</c:v>
                </c:pt>
                <c:pt idx="6">
                  <c:v>67</c:v>
                </c:pt>
                <c:pt idx="7">
                  <c:v>68</c:v>
                </c:pt>
                <c:pt idx="8">
                  <c:v>149</c:v>
                </c:pt>
                <c:pt idx="9">
                  <c:v>133</c:v>
                </c:pt>
                <c:pt idx="1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EA-461E-8270-9724DC2E340C}"/>
            </c:ext>
          </c:extLst>
        </c:ser>
        <c:ser>
          <c:idx val="2"/>
          <c:order val="2"/>
          <c:tx>
            <c:strRef>
              <c:f>ai_inv!$A$24</c:f>
              <c:strCache>
                <c:ptCount val="1"/>
                <c:pt idx="0">
                  <c:v>DE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ai_inv!$C$24:$C$34</c:f>
              <c:numCache>
                <c:formatCode>General</c:formatCode>
                <c:ptCount val="11"/>
                <c:pt idx="0">
                  <c:v>106</c:v>
                </c:pt>
                <c:pt idx="1">
                  <c:v>168</c:v>
                </c:pt>
                <c:pt idx="2">
                  <c:v>245</c:v>
                </c:pt>
                <c:pt idx="3">
                  <c:v>265</c:v>
                </c:pt>
                <c:pt idx="4">
                  <c:v>389</c:v>
                </c:pt>
                <c:pt idx="5">
                  <c:v>404</c:v>
                </c:pt>
                <c:pt idx="6">
                  <c:v>710</c:v>
                </c:pt>
                <c:pt idx="7">
                  <c:v>886</c:v>
                </c:pt>
                <c:pt idx="8">
                  <c:v>846</c:v>
                </c:pt>
                <c:pt idx="9">
                  <c:v>791</c:v>
                </c:pt>
                <c:pt idx="10">
                  <c:v>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EA-461E-8270-9724DC2E340C}"/>
            </c:ext>
          </c:extLst>
        </c:ser>
        <c:ser>
          <c:idx val="3"/>
          <c:order val="3"/>
          <c:tx>
            <c:strRef>
              <c:f>ai_inv!$A$35</c:f>
              <c:strCache>
                <c:ptCount val="1"/>
                <c:pt idx="0">
                  <c:v>ES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ai_inv!$C$35:$C$45</c:f>
              <c:numCache>
                <c:formatCode>General</c:formatCode>
                <c:ptCount val="11"/>
                <c:pt idx="0">
                  <c:v>67</c:v>
                </c:pt>
                <c:pt idx="1">
                  <c:v>91</c:v>
                </c:pt>
                <c:pt idx="2">
                  <c:v>89</c:v>
                </c:pt>
                <c:pt idx="3">
                  <c:v>109</c:v>
                </c:pt>
                <c:pt idx="4">
                  <c:v>138</c:v>
                </c:pt>
                <c:pt idx="5">
                  <c:v>161</c:v>
                </c:pt>
                <c:pt idx="6">
                  <c:v>272</c:v>
                </c:pt>
                <c:pt idx="7">
                  <c:v>227</c:v>
                </c:pt>
                <c:pt idx="8">
                  <c:v>307</c:v>
                </c:pt>
                <c:pt idx="9">
                  <c:v>258</c:v>
                </c:pt>
                <c:pt idx="10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EA-461E-8270-9724DC2E340C}"/>
            </c:ext>
          </c:extLst>
        </c:ser>
        <c:ser>
          <c:idx val="4"/>
          <c:order val="4"/>
          <c:tx>
            <c:strRef>
              <c:f>ai_inv!$A$46</c:f>
              <c:strCache>
                <c:ptCount val="1"/>
                <c:pt idx="0">
                  <c:v>FR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ai_inv!$C$46:$C$56</c:f>
              <c:numCache>
                <c:formatCode>General</c:formatCode>
                <c:ptCount val="11"/>
                <c:pt idx="0">
                  <c:v>81</c:v>
                </c:pt>
                <c:pt idx="1">
                  <c:v>172</c:v>
                </c:pt>
                <c:pt idx="2">
                  <c:v>260</c:v>
                </c:pt>
                <c:pt idx="3">
                  <c:v>274</c:v>
                </c:pt>
                <c:pt idx="4">
                  <c:v>264</c:v>
                </c:pt>
                <c:pt idx="5">
                  <c:v>315</c:v>
                </c:pt>
                <c:pt idx="6">
                  <c:v>377</c:v>
                </c:pt>
                <c:pt idx="7">
                  <c:v>496</c:v>
                </c:pt>
                <c:pt idx="8">
                  <c:v>523</c:v>
                </c:pt>
                <c:pt idx="9">
                  <c:v>569</c:v>
                </c:pt>
                <c:pt idx="10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EA-461E-8270-9724DC2E340C}"/>
            </c:ext>
          </c:extLst>
        </c:ser>
        <c:ser>
          <c:idx val="5"/>
          <c:order val="5"/>
          <c:tx>
            <c:strRef>
              <c:f>ai_inv!$A$57</c:f>
              <c:strCache>
                <c:ptCount val="1"/>
                <c:pt idx="0">
                  <c:v>IT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ai_inv!$C$57:$C$67</c:f>
              <c:numCache>
                <c:formatCode>General</c:formatCode>
                <c:ptCount val="11"/>
                <c:pt idx="0">
                  <c:v>34</c:v>
                </c:pt>
                <c:pt idx="1">
                  <c:v>26</c:v>
                </c:pt>
                <c:pt idx="2">
                  <c:v>26</c:v>
                </c:pt>
                <c:pt idx="3">
                  <c:v>44</c:v>
                </c:pt>
                <c:pt idx="4">
                  <c:v>42</c:v>
                </c:pt>
                <c:pt idx="5">
                  <c:v>55</c:v>
                </c:pt>
                <c:pt idx="6">
                  <c:v>108</c:v>
                </c:pt>
                <c:pt idx="7">
                  <c:v>104</c:v>
                </c:pt>
                <c:pt idx="8">
                  <c:v>103</c:v>
                </c:pt>
                <c:pt idx="9">
                  <c:v>162</c:v>
                </c:pt>
                <c:pt idx="10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EA-461E-8270-9724DC2E340C}"/>
            </c:ext>
          </c:extLst>
        </c:ser>
        <c:ser>
          <c:idx val="6"/>
          <c:order val="6"/>
          <c:tx>
            <c:strRef>
              <c:f>ai_inv!$A$68</c:f>
              <c:strCache>
                <c:ptCount val="1"/>
                <c:pt idx="0">
                  <c:v>NL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ai_inv!$C$68:$C$78</c:f>
              <c:numCache>
                <c:formatCode>General</c:formatCode>
                <c:ptCount val="11"/>
                <c:pt idx="0">
                  <c:v>38</c:v>
                </c:pt>
                <c:pt idx="1">
                  <c:v>53</c:v>
                </c:pt>
                <c:pt idx="2">
                  <c:v>60</c:v>
                </c:pt>
                <c:pt idx="3">
                  <c:v>76</c:v>
                </c:pt>
                <c:pt idx="4">
                  <c:v>82</c:v>
                </c:pt>
                <c:pt idx="5">
                  <c:v>133</c:v>
                </c:pt>
                <c:pt idx="6">
                  <c:v>150</c:v>
                </c:pt>
                <c:pt idx="7">
                  <c:v>185</c:v>
                </c:pt>
                <c:pt idx="8">
                  <c:v>180</c:v>
                </c:pt>
                <c:pt idx="9">
                  <c:v>183</c:v>
                </c:pt>
                <c:pt idx="10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EA-461E-8270-9724DC2E340C}"/>
            </c:ext>
          </c:extLst>
        </c:ser>
        <c:ser>
          <c:idx val="7"/>
          <c:order val="7"/>
          <c:tx>
            <c:strRef>
              <c:f>ai_inv!$A$79</c:f>
              <c:strCache>
                <c:ptCount val="1"/>
                <c:pt idx="0">
                  <c:v>FI</c:v>
                </c:pt>
              </c:strCache>
            </c:strRef>
          </c:tx>
          <c:spPr>
            <a:ln w="127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ai_inv!$C$79:$C$89</c:f>
              <c:numCache>
                <c:formatCode>General</c:formatCode>
                <c:ptCount val="11"/>
                <c:pt idx="0">
                  <c:v>26</c:v>
                </c:pt>
                <c:pt idx="1">
                  <c:v>23</c:v>
                </c:pt>
                <c:pt idx="2">
                  <c:v>46</c:v>
                </c:pt>
                <c:pt idx="3">
                  <c:v>55</c:v>
                </c:pt>
                <c:pt idx="4">
                  <c:v>77</c:v>
                </c:pt>
                <c:pt idx="5">
                  <c:v>72</c:v>
                </c:pt>
                <c:pt idx="6">
                  <c:v>71</c:v>
                </c:pt>
                <c:pt idx="7">
                  <c:v>70</c:v>
                </c:pt>
                <c:pt idx="8">
                  <c:v>67</c:v>
                </c:pt>
                <c:pt idx="9">
                  <c:v>129</c:v>
                </c:pt>
                <c:pt idx="1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F-48F1-8C36-C267B9195A28}"/>
            </c:ext>
          </c:extLst>
        </c:ser>
        <c:ser>
          <c:idx val="8"/>
          <c:order val="8"/>
          <c:tx>
            <c:strRef>
              <c:f>ai_inv!$A$90</c:f>
              <c:strCache>
                <c:ptCount val="1"/>
                <c:pt idx="0">
                  <c:v>IE</c:v>
                </c:pt>
              </c:strCache>
            </c:strRef>
          </c:tx>
          <c:spPr>
            <a:ln w="127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ai_inv!$C$90:$C$100</c:f>
              <c:numCache>
                <c:formatCode>General</c:formatCode>
                <c:ptCount val="11"/>
                <c:pt idx="0">
                  <c:v>29</c:v>
                </c:pt>
                <c:pt idx="1">
                  <c:v>36</c:v>
                </c:pt>
                <c:pt idx="2">
                  <c:v>55</c:v>
                </c:pt>
                <c:pt idx="3">
                  <c:v>49</c:v>
                </c:pt>
                <c:pt idx="4">
                  <c:v>65</c:v>
                </c:pt>
                <c:pt idx="5">
                  <c:v>61</c:v>
                </c:pt>
                <c:pt idx="6">
                  <c:v>86</c:v>
                </c:pt>
                <c:pt idx="7">
                  <c:v>99</c:v>
                </c:pt>
                <c:pt idx="8">
                  <c:v>64</c:v>
                </c:pt>
                <c:pt idx="9">
                  <c:v>91</c:v>
                </c:pt>
                <c:pt idx="10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5F-48F1-8C36-C267B9195A28}"/>
            </c:ext>
          </c:extLst>
        </c:ser>
        <c:ser>
          <c:idx val="9"/>
          <c:order val="9"/>
          <c:tx>
            <c:strRef>
              <c:f>ai_inv!$A$101</c:f>
              <c:strCache>
                <c:ptCount val="1"/>
                <c:pt idx="0">
                  <c:v>PT</c:v>
                </c:pt>
              </c:strCache>
            </c:strRef>
          </c:tx>
          <c:spPr>
            <a:ln w="127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ai_inv!$C$101:$C$111</c:f>
              <c:numCache>
                <c:formatCode>General</c:formatCode>
                <c:ptCount val="11"/>
                <c:pt idx="0">
                  <c:v>23</c:v>
                </c:pt>
                <c:pt idx="1">
                  <c:v>26</c:v>
                </c:pt>
                <c:pt idx="2">
                  <c:v>22</c:v>
                </c:pt>
                <c:pt idx="3">
                  <c:v>40</c:v>
                </c:pt>
                <c:pt idx="4">
                  <c:v>73</c:v>
                </c:pt>
                <c:pt idx="5">
                  <c:v>46</c:v>
                </c:pt>
                <c:pt idx="6">
                  <c:v>80</c:v>
                </c:pt>
                <c:pt idx="7">
                  <c:v>84</c:v>
                </c:pt>
                <c:pt idx="8">
                  <c:v>46</c:v>
                </c:pt>
                <c:pt idx="9">
                  <c:v>60</c:v>
                </c:pt>
                <c:pt idx="1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5F-48F1-8C36-C267B9195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338784"/>
        <c:axId val="470350352"/>
      </c:lineChart>
      <c:catAx>
        <c:axId val="92733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70350352"/>
        <c:crosses val="autoZero"/>
        <c:auto val="1"/>
        <c:lblAlgn val="ctr"/>
        <c:lblOffset val="100"/>
        <c:tickLblSkip val="2"/>
        <c:noMultiLvlLbl val="0"/>
      </c:catAx>
      <c:valAx>
        <c:axId val="4703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2733878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ai_inv!$A$13</c:f>
              <c:strCache>
                <c:ptCount val="1"/>
                <c:pt idx="0">
                  <c:v>BE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ai_inv!$B$2:$B$12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ai_inv!$D$13:$D$23</c:f>
              <c:numCache>
                <c:formatCode>General</c:formatCode>
                <c:ptCount val="11"/>
                <c:pt idx="0">
                  <c:v>4.564531667039036E-2</c:v>
                </c:pt>
                <c:pt idx="1">
                  <c:v>1.427945852293281E-2</c:v>
                </c:pt>
                <c:pt idx="2">
                  <c:v>6.3535840096762733E-2</c:v>
                </c:pt>
                <c:pt idx="3">
                  <c:v>3.0782053589187449E-2</c:v>
                </c:pt>
                <c:pt idx="4">
                  <c:v>3.5464220738767004E-2</c:v>
                </c:pt>
                <c:pt idx="5">
                  <c:v>8.3282966967595781E-2</c:v>
                </c:pt>
                <c:pt idx="6">
                  <c:v>7.8195394652156802E-2</c:v>
                </c:pt>
                <c:pt idx="7">
                  <c:v>0.10875296145326996</c:v>
                </c:pt>
                <c:pt idx="8">
                  <c:v>7.5325659994788949E-2</c:v>
                </c:pt>
                <c:pt idx="9">
                  <c:v>0.12157170913529927</c:v>
                </c:pt>
                <c:pt idx="10">
                  <c:v>0.15312210918745311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F-40C9-9CF2-B9979FA1E494}"/>
            </c:ext>
          </c:extLst>
        </c:ser>
        <c:ser>
          <c:idx val="0"/>
          <c:order val="1"/>
          <c:tx>
            <c:strRef>
              <c:f>ai_inv!$A$2</c:f>
              <c:strCache>
                <c:ptCount val="1"/>
                <c:pt idx="0">
                  <c:v>AT</c:v>
                </c:pt>
              </c:strCache>
            </c:strRef>
          </c:tx>
          <c:spPr>
            <a:ln w="127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ai_inv!$D$2:$D$12</c:f>
              <c:numCache>
                <c:formatCode>General</c:formatCode>
                <c:ptCount val="11"/>
                <c:pt idx="0">
                  <c:v>3.8424345665413607E-3</c:v>
                </c:pt>
                <c:pt idx="1">
                  <c:v>2.6593454464407827E-2</c:v>
                </c:pt>
                <c:pt idx="2">
                  <c:v>3.0408654303014641E-2</c:v>
                </c:pt>
                <c:pt idx="3">
                  <c:v>4.9144445606549576E-2</c:v>
                </c:pt>
                <c:pt idx="4">
                  <c:v>5.385865984623979E-2</c:v>
                </c:pt>
                <c:pt idx="5">
                  <c:v>5.829789978715065E-2</c:v>
                </c:pt>
                <c:pt idx="6">
                  <c:v>8.2834574409556383E-2</c:v>
                </c:pt>
                <c:pt idx="7">
                  <c:v>8.3541572989535184E-2</c:v>
                </c:pt>
                <c:pt idx="8">
                  <c:v>0.1821841062096658</c:v>
                </c:pt>
                <c:pt idx="9">
                  <c:v>0.16170723937777973</c:v>
                </c:pt>
                <c:pt idx="10">
                  <c:v>9.0456370480347451E-2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F-40C9-9CF2-B9979FA1E494}"/>
            </c:ext>
          </c:extLst>
        </c:ser>
        <c:ser>
          <c:idx val="2"/>
          <c:order val="2"/>
          <c:tx>
            <c:strRef>
              <c:f>ai_inv!$A$24</c:f>
              <c:strCache>
                <c:ptCount val="1"/>
                <c:pt idx="0">
                  <c:v>DE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ai_inv!$D$24:$D$34</c:f>
              <c:numCache>
                <c:formatCode>General</c:formatCode>
                <c:ptCount val="11"/>
                <c:pt idx="0">
                  <c:v>0.12824390538987357</c:v>
                </c:pt>
                <c:pt idx="1">
                  <c:v>0.19710120442914567</c:v>
                </c:pt>
                <c:pt idx="2">
                  <c:v>0.2866476036260337</c:v>
                </c:pt>
                <c:pt idx="3">
                  <c:v>0.30904366728708643</c:v>
                </c:pt>
                <c:pt idx="4">
                  <c:v>0.44081917574746615</c:v>
                </c:pt>
                <c:pt idx="5">
                  <c:v>0.45788272308748962</c:v>
                </c:pt>
                <c:pt idx="6">
                  <c:v>0.80486273122799368</c:v>
                </c:pt>
                <c:pt idx="7">
                  <c:v>1.0051881778071241</c:v>
                </c:pt>
                <c:pt idx="8">
                  <c:v>0.97153717622604896</c:v>
                </c:pt>
                <c:pt idx="9">
                  <c:v>0.9130617465220543</c:v>
                </c:pt>
                <c:pt idx="10">
                  <c:v>0.9487082838006321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2F-40C9-9CF2-B9979FA1E494}"/>
            </c:ext>
          </c:extLst>
        </c:ser>
        <c:ser>
          <c:idx val="3"/>
          <c:order val="3"/>
          <c:tx>
            <c:strRef>
              <c:f>ai_inv!$A$35</c:f>
              <c:strCache>
                <c:ptCount val="1"/>
                <c:pt idx="0">
                  <c:v>ES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ai_inv!$D$35:$D$45</c:f>
              <c:numCache>
                <c:formatCode>General</c:formatCode>
                <c:ptCount val="11"/>
                <c:pt idx="0">
                  <c:v>7.7607915544054662E-2</c:v>
                </c:pt>
                <c:pt idx="1">
                  <c:v>0.10554628320503466</c:v>
                </c:pt>
                <c:pt idx="2">
                  <c:v>0.10333145246869289</c:v>
                </c:pt>
                <c:pt idx="3">
                  <c:v>0.12600325758880629</c:v>
                </c:pt>
                <c:pt idx="4">
                  <c:v>0.15891513931560547</c:v>
                </c:pt>
                <c:pt idx="5">
                  <c:v>0.18506300188281488</c:v>
                </c:pt>
                <c:pt idx="6">
                  <c:v>0.31179180560697956</c:v>
                </c:pt>
                <c:pt idx="7">
                  <c:v>0.25968023867702644</c:v>
                </c:pt>
                <c:pt idx="8">
                  <c:v>0.35081825214804757</c:v>
                </c:pt>
                <c:pt idx="9">
                  <c:v>0.29524923383968193</c:v>
                </c:pt>
                <c:pt idx="10">
                  <c:v>0.39276003548020183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2F-40C9-9CF2-B9979FA1E494}"/>
            </c:ext>
          </c:extLst>
        </c:ser>
        <c:ser>
          <c:idx val="4"/>
          <c:order val="4"/>
          <c:tx>
            <c:strRef>
              <c:f>ai_inv!$A$46</c:f>
              <c:strCache>
                <c:ptCount val="1"/>
                <c:pt idx="0">
                  <c:v>FR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ai_inv!$D$46:$D$56</c:f>
              <c:numCache>
                <c:formatCode>General</c:formatCode>
                <c:ptCount val="11"/>
                <c:pt idx="0">
                  <c:v>0.10601178432229676</c:v>
                </c:pt>
                <c:pt idx="1">
                  <c:v>0.22398837344070882</c:v>
                </c:pt>
                <c:pt idx="2">
                  <c:v>0.33530907759052059</c:v>
                </c:pt>
                <c:pt idx="3">
                  <c:v>0.35322569832978384</c:v>
                </c:pt>
                <c:pt idx="4">
                  <c:v>0.34031450732385177</c:v>
                </c:pt>
                <c:pt idx="5">
                  <c:v>0.40667777822246953</c:v>
                </c:pt>
                <c:pt idx="6">
                  <c:v>0.4872141816804883</c:v>
                </c:pt>
                <c:pt idx="7">
                  <c:v>0.63567576434884254</c:v>
                </c:pt>
                <c:pt idx="8">
                  <c:v>0.66468912121235235</c:v>
                </c:pt>
                <c:pt idx="9">
                  <c:v>0.71903626394317466</c:v>
                </c:pt>
                <c:pt idx="10">
                  <c:v>0.66349147596007962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2F-40C9-9CF2-B9979FA1E494}"/>
            </c:ext>
          </c:extLst>
        </c:ser>
        <c:ser>
          <c:idx val="5"/>
          <c:order val="5"/>
          <c:tx>
            <c:strRef>
              <c:f>ai_inv!$A$57</c:f>
              <c:strCache>
                <c:ptCount val="1"/>
                <c:pt idx="0">
                  <c:v>IT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ai_inv!$D$57:$D$67</c:f>
              <c:numCache>
                <c:formatCode>General</c:formatCode>
                <c:ptCount val="11"/>
                <c:pt idx="0">
                  <c:v>4.2927937880748716E-2</c:v>
                </c:pt>
                <c:pt idx="1">
                  <c:v>3.2762220623313847E-2</c:v>
                </c:pt>
                <c:pt idx="2">
                  <c:v>3.2616358860233882E-2</c:v>
                </c:pt>
                <c:pt idx="3">
                  <c:v>5.4816160302385876E-2</c:v>
                </c:pt>
                <c:pt idx="4">
                  <c:v>5.156227556598806E-2</c:v>
                </c:pt>
                <c:pt idx="5">
                  <c:v>6.6888981317299437E-2</c:v>
                </c:pt>
                <c:pt idx="6">
                  <c:v>0.13016172594448602</c:v>
                </c:pt>
                <c:pt idx="7">
                  <c:v>0.12490001993596472</c:v>
                </c:pt>
                <c:pt idx="8">
                  <c:v>0.12307912912554071</c:v>
                </c:pt>
                <c:pt idx="9">
                  <c:v>0.19245825022186158</c:v>
                </c:pt>
                <c:pt idx="10">
                  <c:v>0.28744673954959582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2F-40C9-9CF2-B9979FA1E494}"/>
            </c:ext>
          </c:extLst>
        </c:ser>
        <c:ser>
          <c:idx val="6"/>
          <c:order val="6"/>
          <c:tx>
            <c:strRef>
              <c:f>ai_inv!$A$68</c:f>
              <c:strCache>
                <c:ptCount val="1"/>
                <c:pt idx="0">
                  <c:v>NL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ai_inv!$D$68:$D$78</c:f>
              <c:numCache>
                <c:formatCode>General</c:formatCode>
                <c:ptCount val="11"/>
                <c:pt idx="0">
                  <c:v>4.4609630514865571E-2</c:v>
                </c:pt>
                <c:pt idx="1">
                  <c:v>6.1851723912576664E-2</c:v>
                </c:pt>
                <c:pt idx="2">
                  <c:v>6.9782534362082968E-2</c:v>
                </c:pt>
                <c:pt idx="3">
                  <c:v>8.7586361881493352E-2</c:v>
                </c:pt>
                <c:pt idx="4">
                  <c:v>9.3441649678139102E-2</c:v>
                </c:pt>
                <c:pt idx="5">
                  <c:v>0.14946708802150527</c:v>
                </c:pt>
                <c:pt idx="6">
                  <c:v>0.16782878778385441</c:v>
                </c:pt>
                <c:pt idx="7">
                  <c:v>0.20532445147850253</c:v>
                </c:pt>
                <c:pt idx="8">
                  <c:v>0.1989706584602324</c:v>
                </c:pt>
                <c:pt idx="9">
                  <c:v>0.20145576559796033</c:v>
                </c:pt>
                <c:pt idx="10">
                  <c:v>0.2431703248579489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2F-40C9-9CF2-B9979FA1E494}"/>
            </c:ext>
          </c:extLst>
        </c:ser>
        <c:ser>
          <c:idx val="7"/>
          <c:order val="7"/>
          <c:tx>
            <c:strRef>
              <c:f>ai_inv!$A$79</c:f>
              <c:strCache>
                <c:ptCount val="1"/>
                <c:pt idx="0">
                  <c:v>FI</c:v>
                </c:pt>
              </c:strCache>
            </c:strRef>
          </c:tx>
          <c:spPr>
            <a:ln w="127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ai_inv!$D$79:$D$89</c:f>
              <c:numCache>
                <c:formatCode>General</c:formatCode>
                <c:ptCount val="11"/>
                <c:pt idx="0">
                  <c:v>2.8765675910405984E-2</c:v>
                </c:pt>
                <c:pt idx="1">
                  <c:v>2.6011184809468072E-2</c:v>
                </c:pt>
                <c:pt idx="2">
                  <c:v>5.2546566538803352E-2</c:v>
                </c:pt>
                <c:pt idx="3">
                  <c:v>6.2728960706579018E-2</c:v>
                </c:pt>
                <c:pt idx="4">
                  <c:v>8.6613880943033933E-2</c:v>
                </c:pt>
                <c:pt idx="5">
                  <c:v>8.0413953161106014E-2</c:v>
                </c:pt>
                <c:pt idx="6">
                  <c:v>7.899061124270032E-2</c:v>
                </c:pt>
                <c:pt idx="7">
                  <c:v>7.7173679365411862E-2</c:v>
                </c:pt>
                <c:pt idx="8">
                  <c:v>7.3574628832469471E-2</c:v>
                </c:pt>
                <c:pt idx="9">
                  <c:v>0.14084537797877056</c:v>
                </c:pt>
                <c:pt idx="10">
                  <c:v>7.5906513537926684E-2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2F-40C9-9CF2-B9979FA1E494}"/>
            </c:ext>
          </c:extLst>
        </c:ser>
        <c:ser>
          <c:idx val="8"/>
          <c:order val="8"/>
          <c:tx>
            <c:strRef>
              <c:f>ai_inv!$A$90</c:f>
              <c:strCache>
                <c:ptCount val="1"/>
                <c:pt idx="0">
                  <c:v>IE</c:v>
                </c:pt>
              </c:strCache>
            </c:strRef>
          </c:tx>
          <c:spPr>
            <a:ln w="127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ai_inv!$D$90:$D$100</c:f>
              <c:numCache>
                <c:formatCode>General</c:formatCode>
                <c:ptCount val="11"/>
                <c:pt idx="0">
                  <c:v>3.1367764322088529E-2</c:v>
                </c:pt>
                <c:pt idx="1">
                  <c:v>3.8828291587527056E-2</c:v>
                </c:pt>
                <c:pt idx="2">
                  <c:v>5.9221931496376695E-2</c:v>
                </c:pt>
                <c:pt idx="3">
                  <c:v>5.2766641144842273E-2</c:v>
                </c:pt>
                <c:pt idx="4">
                  <c:v>7.0146736180283595E-2</c:v>
                </c:pt>
                <c:pt idx="5">
                  <c:v>6.5717391515130619E-2</c:v>
                </c:pt>
                <c:pt idx="6">
                  <c:v>9.2762377305576529E-2</c:v>
                </c:pt>
                <c:pt idx="7">
                  <c:v>0.10720841207015111</c:v>
                </c:pt>
                <c:pt idx="8">
                  <c:v>6.8854963474593592E-2</c:v>
                </c:pt>
                <c:pt idx="9">
                  <c:v>9.751152725554342E-2</c:v>
                </c:pt>
                <c:pt idx="10">
                  <c:v>9.5110771989557044E-2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2F-40C9-9CF2-B9979FA1E494}"/>
            </c:ext>
          </c:extLst>
        </c:ser>
        <c:ser>
          <c:idx val="9"/>
          <c:order val="9"/>
          <c:tx>
            <c:strRef>
              <c:f>ai_inv!$A$101</c:f>
              <c:strCache>
                <c:ptCount val="1"/>
                <c:pt idx="0">
                  <c:v>PT</c:v>
                </c:pt>
              </c:strCache>
            </c:strRef>
          </c:tx>
          <c:spPr>
            <a:ln w="127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ai_inv!$D$101:$D$111</c:f>
              <c:numCache>
                <c:formatCode>General</c:formatCode>
                <c:ptCount val="11"/>
                <c:pt idx="0">
                  <c:v>2.4438109425353793E-2</c:v>
                </c:pt>
                <c:pt idx="1">
                  <c:v>2.7561934847826319E-2</c:v>
                </c:pt>
                <c:pt idx="2">
                  <c:v>2.3166405342594277E-2</c:v>
                </c:pt>
                <c:pt idx="3">
                  <c:v>4.1951807860719996E-2</c:v>
                </c:pt>
                <c:pt idx="4">
                  <c:v>7.635775596061195E-2</c:v>
                </c:pt>
                <c:pt idx="5">
                  <c:v>4.7893169080586502E-2</c:v>
                </c:pt>
                <c:pt idx="6">
                  <c:v>8.3178759471981237E-2</c:v>
                </c:pt>
                <c:pt idx="7">
                  <c:v>8.703175104774831E-2</c:v>
                </c:pt>
                <c:pt idx="8">
                  <c:v>4.7606037273457358E-2</c:v>
                </c:pt>
                <c:pt idx="9">
                  <c:v>6.1729855747615428E-2</c:v>
                </c:pt>
                <c:pt idx="10">
                  <c:v>4.0051512406726192E-2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12F-40C9-9CF2-B9979FA1E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338784"/>
        <c:axId val="470350352"/>
      </c:lineChart>
      <c:catAx>
        <c:axId val="92733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70350352"/>
        <c:crosses val="autoZero"/>
        <c:auto val="1"/>
        <c:lblAlgn val="ctr"/>
        <c:lblOffset val="100"/>
        <c:tickLblSkip val="2"/>
        <c:noMultiLvlLbl val="0"/>
      </c:catAx>
      <c:valAx>
        <c:axId val="4703503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27338784"/>
        <c:crosses val="autoZero"/>
        <c:crossBetween val="between"/>
        <c:majorUnit val="0.25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627270275426099E-2"/>
          <c:y val="0.81879620979580947"/>
          <c:w val="0.94803675856307434"/>
          <c:h val="0.15408514613639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hs_export!$A$2:$A$279</c:f>
              <c:strCache>
                <c:ptCount val="278"/>
                <c:pt idx="0">
                  <c:v>AT</c:v>
                </c:pt>
                <c:pt idx="1">
                  <c:v>AT</c:v>
                </c:pt>
                <c:pt idx="2">
                  <c:v>AT</c:v>
                </c:pt>
                <c:pt idx="3">
                  <c:v>AT</c:v>
                </c:pt>
                <c:pt idx="4">
                  <c:v>AT</c:v>
                </c:pt>
                <c:pt idx="5">
                  <c:v>AT</c:v>
                </c:pt>
                <c:pt idx="6">
                  <c:v>AT</c:v>
                </c:pt>
                <c:pt idx="7">
                  <c:v>AT</c:v>
                </c:pt>
                <c:pt idx="8">
                  <c:v>AT</c:v>
                </c:pt>
                <c:pt idx="9">
                  <c:v>AT</c:v>
                </c:pt>
                <c:pt idx="10">
                  <c:v>AT</c:v>
                </c:pt>
                <c:pt idx="11">
                  <c:v>AT</c:v>
                </c:pt>
                <c:pt idx="12">
                  <c:v>AT</c:v>
                </c:pt>
                <c:pt idx="13">
                  <c:v>AT</c:v>
                </c:pt>
                <c:pt idx="14">
                  <c:v>AT</c:v>
                </c:pt>
                <c:pt idx="15">
                  <c:v>AT</c:v>
                </c:pt>
                <c:pt idx="16">
                  <c:v>AT</c:v>
                </c:pt>
                <c:pt idx="17">
                  <c:v>AT</c:v>
                </c:pt>
                <c:pt idx="18">
                  <c:v>AT</c:v>
                </c:pt>
                <c:pt idx="19">
                  <c:v>AT</c:v>
                </c:pt>
                <c:pt idx="20">
                  <c:v>AT</c:v>
                </c:pt>
                <c:pt idx="21">
                  <c:v>AT</c:v>
                </c:pt>
                <c:pt idx="22">
                  <c:v>AT</c:v>
                </c:pt>
                <c:pt idx="23">
                  <c:v>AT</c:v>
                </c:pt>
                <c:pt idx="24">
                  <c:v>AT</c:v>
                </c:pt>
                <c:pt idx="25">
                  <c:v>AT</c:v>
                </c:pt>
                <c:pt idx="28">
                  <c:v>BE</c:v>
                </c:pt>
                <c:pt idx="29">
                  <c:v>BE</c:v>
                </c:pt>
                <c:pt idx="30">
                  <c:v>BE</c:v>
                </c:pt>
                <c:pt idx="31">
                  <c:v>BE</c:v>
                </c:pt>
                <c:pt idx="32">
                  <c:v>BE</c:v>
                </c:pt>
                <c:pt idx="33">
                  <c:v>BE</c:v>
                </c:pt>
                <c:pt idx="34">
                  <c:v>BE</c:v>
                </c:pt>
                <c:pt idx="35">
                  <c:v>BE</c:v>
                </c:pt>
                <c:pt idx="36">
                  <c:v>BE</c:v>
                </c:pt>
                <c:pt idx="37">
                  <c:v>BE</c:v>
                </c:pt>
                <c:pt idx="38">
                  <c:v>BE</c:v>
                </c:pt>
                <c:pt idx="39">
                  <c:v>BE</c:v>
                </c:pt>
                <c:pt idx="40">
                  <c:v>BE</c:v>
                </c:pt>
                <c:pt idx="41">
                  <c:v>BE</c:v>
                </c:pt>
                <c:pt idx="42">
                  <c:v>BE</c:v>
                </c:pt>
                <c:pt idx="43">
                  <c:v>BE</c:v>
                </c:pt>
                <c:pt idx="44">
                  <c:v>BE</c:v>
                </c:pt>
                <c:pt idx="45">
                  <c:v>BE</c:v>
                </c:pt>
                <c:pt idx="46">
                  <c:v>BE</c:v>
                </c:pt>
                <c:pt idx="47">
                  <c:v>BE</c:v>
                </c:pt>
                <c:pt idx="48">
                  <c:v>BE</c:v>
                </c:pt>
                <c:pt idx="49">
                  <c:v>BE</c:v>
                </c:pt>
                <c:pt idx="50">
                  <c:v>BE</c:v>
                </c:pt>
                <c:pt idx="51">
                  <c:v>BE</c:v>
                </c:pt>
                <c:pt idx="52">
                  <c:v>BE</c:v>
                </c:pt>
                <c:pt idx="53">
                  <c:v>BE</c:v>
                </c:pt>
                <c:pt idx="56">
                  <c:v>DE</c:v>
                </c:pt>
                <c:pt idx="57">
                  <c:v>DE</c:v>
                </c:pt>
                <c:pt idx="58">
                  <c:v>DE</c:v>
                </c:pt>
                <c:pt idx="59">
                  <c:v>DE</c:v>
                </c:pt>
                <c:pt idx="60">
                  <c:v>DE</c:v>
                </c:pt>
                <c:pt idx="61">
                  <c:v>DE</c:v>
                </c:pt>
                <c:pt idx="62">
                  <c:v>DE</c:v>
                </c:pt>
                <c:pt idx="63">
                  <c:v>DE</c:v>
                </c:pt>
                <c:pt idx="64">
                  <c:v>DE</c:v>
                </c:pt>
                <c:pt idx="65">
                  <c:v>DE</c:v>
                </c:pt>
                <c:pt idx="66">
                  <c:v>DE</c:v>
                </c:pt>
                <c:pt idx="67">
                  <c:v>DE</c:v>
                </c:pt>
                <c:pt idx="68">
                  <c:v>DE</c:v>
                </c:pt>
                <c:pt idx="69">
                  <c:v>DE</c:v>
                </c:pt>
                <c:pt idx="70">
                  <c:v>DE</c:v>
                </c:pt>
                <c:pt idx="71">
                  <c:v>DE</c:v>
                </c:pt>
                <c:pt idx="72">
                  <c:v>DE</c:v>
                </c:pt>
                <c:pt idx="73">
                  <c:v>DE</c:v>
                </c:pt>
                <c:pt idx="74">
                  <c:v>DE</c:v>
                </c:pt>
                <c:pt idx="75">
                  <c:v>DE</c:v>
                </c:pt>
                <c:pt idx="76">
                  <c:v>DE</c:v>
                </c:pt>
                <c:pt idx="77">
                  <c:v>DE</c:v>
                </c:pt>
                <c:pt idx="78">
                  <c:v>DE</c:v>
                </c:pt>
                <c:pt idx="79">
                  <c:v>DE</c:v>
                </c:pt>
                <c:pt idx="80">
                  <c:v>DE</c:v>
                </c:pt>
                <c:pt idx="81">
                  <c:v>DE</c:v>
                </c:pt>
                <c:pt idx="84">
                  <c:v>ES</c:v>
                </c:pt>
                <c:pt idx="85">
                  <c:v>ES</c:v>
                </c:pt>
                <c:pt idx="86">
                  <c:v>ES</c:v>
                </c:pt>
                <c:pt idx="87">
                  <c:v>ES</c:v>
                </c:pt>
                <c:pt idx="88">
                  <c:v>ES</c:v>
                </c:pt>
                <c:pt idx="89">
                  <c:v>ES</c:v>
                </c:pt>
                <c:pt idx="90">
                  <c:v>ES</c:v>
                </c:pt>
                <c:pt idx="91">
                  <c:v>ES</c:v>
                </c:pt>
                <c:pt idx="92">
                  <c:v>ES</c:v>
                </c:pt>
                <c:pt idx="93">
                  <c:v>ES</c:v>
                </c:pt>
                <c:pt idx="94">
                  <c:v>ES</c:v>
                </c:pt>
                <c:pt idx="95">
                  <c:v>ES</c:v>
                </c:pt>
                <c:pt idx="96">
                  <c:v>ES</c:v>
                </c:pt>
                <c:pt idx="97">
                  <c:v>ES</c:v>
                </c:pt>
                <c:pt idx="98">
                  <c:v>ES</c:v>
                </c:pt>
                <c:pt idx="99">
                  <c:v>ES</c:v>
                </c:pt>
                <c:pt idx="100">
                  <c:v>ES</c:v>
                </c:pt>
                <c:pt idx="101">
                  <c:v>ES</c:v>
                </c:pt>
                <c:pt idx="102">
                  <c:v>ES</c:v>
                </c:pt>
                <c:pt idx="103">
                  <c:v>ES</c:v>
                </c:pt>
                <c:pt idx="104">
                  <c:v>ES</c:v>
                </c:pt>
                <c:pt idx="105">
                  <c:v>ES</c:v>
                </c:pt>
                <c:pt idx="106">
                  <c:v>ES</c:v>
                </c:pt>
                <c:pt idx="107">
                  <c:v>ES</c:v>
                </c:pt>
                <c:pt idx="108">
                  <c:v>ES</c:v>
                </c:pt>
                <c:pt idx="109">
                  <c:v>ES</c:v>
                </c:pt>
                <c:pt idx="112">
                  <c:v>FR</c:v>
                </c:pt>
                <c:pt idx="113">
                  <c:v>FR</c:v>
                </c:pt>
                <c:pt idx="114">
                  <c:v>FR</c:v>
                </c:pt>
                <c:pt idx="115">
                  <c:v>FR</c:v>
                </c:pt>
                <c:pt idx="116">
                  <c:v>FR</c:v>
                </c:pt>
                <c:pt idx="117">
                  <c:v>FR</c:v>
                </c:pt>
                <c:pt idx="118">
                  <c:v>FR</c:v>
                </c:pt>
                <c:pt idx="119">
                  <c:v>FR</c:v>
                </c:pt>
                <c:pt idx="120">
                  <c:v>FR</c:v>
                </c:pt>
                <c:pt idx="121">
                  <c:v>FR</c:v>
                </c:pt>
                <c:pt idx="122">
                  <c:v>FR</c:v>
                </c:pt>
                <c:pt idx="123">
                  <c:v>FR</c:v>
                </c:pt>
                <c:pt idx="124">
                  <c:v>FR</c:v>
                </c:pt>
                <c:pt idx="125">
                  <c:v>FR</c:v>
                </c:pt>
                <c:pt idx="126">
                  <c:v>FR</c:v>
                </c:pt>
                <c:pt idx="127">
                  <c:v>FR</c:v>
                </c:pt>
                <c:pt idx="128">
                  <c:v>FR</c:v>
                </c:pt>
                <c:pt idx="129">
                  <c:v>FR</c:v>
                </c:pt>
                <c:pt idx="130">
                  <c:v>FR</c:v>
                </c:pt>
                <c:pt idx="131">
                  <c:v>FR</c:v>
                </c:pt>
                <c:pt idx="132">
                  <c:v>FR</c:v>
                </c:pt>
                <c:pt idx="133">
                  <c:v>FR</c:v>
                </c:pt>
                <c:pt idx="134">
                  <c:v>FR</c:v>
                </c:pt>
                <c:pt idx="135">
                  <c:v>FR</c:v>
                </c:pt>
                <c:pt idx="136">
                  <c:v>FR</c:v>
                </c:pt>
                <c:pt idx="137">
                  <c:v>FR</c:v>
                </c:pt>
                <c:pt idx="140">
                  <c:v>IT</c:v>
                </c:pt>
                <c:pt idx="141">
                  <c:v>IT</c:v>
                </c:pt>
                <c:pt idx="142">
                  <c:v>IT</c:v>
                </c:pt>
                <c:pt idx="143">
                  <c:v>IT</c:v>
                </c:pt>
                <c:pt idx="144">
                  <c:v>IT</c:v>
                </c:pt>
                <c:pt idx="145">
                  <c:v>IT</c:v>
                </c:pt>
                <c:pt idx="146">
                  <c:v>IT</c:v>
                </c:pt>
                <c:pt idx="147">
                  <c:v>IT</c:v>
                </c:pt>
                <c:pt idx="148">
                  <c:v>IT</c:v>
                </c:pt>
                <c:pt idx="149">
                  <c:v>IT</c:v>
                </c:pt>
                <c:pt idx="150">
                  <c:v>IT</c:v>
                </c:pt>
                <c:pt idx="151">
                  <c:v>IT</c:v>
                </c:pt>
                <c:pt idx="152">
                  <c:v>IT</c:v>
                </c:pt>
                <c:pt idx="153">
                  <c:v>IT</c:v>
                </c:pt>
                <c:pt idx="154">
                  <c:v>IT</c:v>
                </c:pt>
                <c:pt idx="155">
                  <c:v>IT</c:v>
                </c:pt>
                <c:pt idx="156">
                  <c:v>IT</c:v>
                </c:pt>
                <c:pt idx="157">
                  <c:v>IT</c:v>
                </c:pt>
                <c:pt idx="158">
                  <c:v>IT</c:v>
                </c:pt>
                <c:pt idx="159">
                  <c:v>IT</c:v>
                </c:pt>
                <c:pt idx="160">
                  <c:v>IT</c:v>
                </c:pt>
                <c:pt idx="161">
                  <c:v>IT</c:v>
                </c:pt>
                <c:pt idx="162">
                  <c:v>IT</c:v>
                </c:pt>
                <c:pt idx="163">
                  <c:v>IT</c:v>
                </c:pt>
                <c:pt idx="164">
                  <c:v>IT</c:v>
                </c:pt>
                <c:pt idx="165">
                  <c:v>IT</c:v>
                </c:pt>
                <c:pt idx="168">
                  <c:v>NL</c:v>
                </c:pt>
                <c:pt idx="169">
                  <c:v>NL</c:v>
                </c:pt>
                <c:pt idx="170">
                  <c:v>NL</c:v>
                </c:pt>
                <c:pt idx="171">
                  <c:v>NL</c:v>
                </c:pt>
                <c:pt idx="172">
                  <c:v>NL</c:v>
                </c:pt>
                <c:pt idx="173">
                  <c:v>NL</c:v>
                </c:pt>
                <c:pt idx="174">
                  <c:v>NL</c:v>
                </c:pt>
                <c:pt idx="175">
                  <c:v>NL</c:v>
                </c:pt>
                <c:pt idx="176">
                  <c:v>NL</c:v>
                </c:pt>
                <c:pt idx="177">
                  <c:v>NL</c:v>
                </c:pt>
                <c:pt idx="178">
                  <c:v>NL</c:v>
                </c:pt>
                <c:pt idx="179">
                  <c:v>NL</c:v>
                </c:pt>
                <c:pt idx="180">
                  <c:v>NL</c:v>
                </c:pt>
                <c:pt idx="181">
                  <c:v>NL</c:v>
                </c:pt>
                <c:pt idx="182">
                  <c:v>NL</c:v>
                </c:pt>
                <c:pt idx="183">
                  <c:v>NL</c:v>
                </c:pt>
                <c:pt idx="184">
                  <c:v>NL</c:v>
                </c:pt>
                <c:pt idx="185">
                  <c:v>NL</c:v>
                </c:pt>
                <c:pt idx="186">
                  <c:v>NL</c:v>
                </c:pt>
                <c:pt idx="187">
                  <c:v>NL</c:v>
                </c:pt>
                <c:pt idx="188">
                  <c:v>NL</c:v>
                </c:pt>
                <c:pt idx="189">
                  <c:v>NL</c:v>
                </c:pt>
                <c:pt idx="190">
                  <c:v>NL</c:v>
                </c:pt>
                <c:pt idx="191">
                  <c:v>NL</c:v>
                </c:pt>
                <c:pt idx="192">
                  <c:v>NL</c:v>
                </c:pt>
                <c:pt idx="193">
                  <c:v>NL</c:v>
                </c:pt>
                <c:pt idx="196">
                  <c:v>FI</c:v>
                </c:pt>
                <c:pt idx="197">
                  <c:v>FI</c:v>
                </c:pt>
                <c:pt idx="198">
                  <c:v>FI</c:v>
                </c:pt>
                <c:pt idx="199">
                  <c:v>FI</c:v>
                </c:pt>
                <c:pt idx="200">
                  <c:v>FI</c:v>
                </c:pt>
                <c:pt idx="201">
                  <c:v>FI</c:v>
                </c:pt>
                <c:pt idx="202">
                  <c:v>FI</c:v>
                </c:pt>
                <c:pt idx="203">
                  <c:v>FI</c:v>
                </c:pt>
                <c:pt idx="204">
                  <c:v>FI</c:v>
                </c:pt>
                <c:pt idx="205">
                  <c:v>FI</c:v>
                </c:pt>
                <c:pt idx="206">
                  <c:v>FI</c:v>
                </c:pt>
                <c:pt idx="207">
                  <c:v>FI</c:v>
                </c:pt>
                <c:pt idx="208">
                  <c:v>FI</c:v>
                </c:pt>
                <c:pt idx="209">
                  <c:v>FI</c:v>
                </c:pt>
                <c:pt idx="210">
                  <c:v>FI</c:v>
                </c:pt>
                <c:pt idx="211">
                  <c:v>FI</c:v>
                </c:pt>
                <c:pt idx="212">
                  <c:v>FI</c:v>
                </c:pt>
                <c:pt idx="213">
                  <c:v>FI</c:v>
                </c:pt>
                <c:pt idx="214">
                  <c:v>FI</c:v>
                </c:pt>
                <c:pt idx="215">
                  <c:v>FI</c:v>
                </c:pt>
                <c:pt idx="216">
                  <c:v>FI</c:v>
                </c:pt>
                <c:pt idx="217">
                  <c:v>FI</c:v>
                </c:pt>
                <c:pt idx="218">
                  <c:v>FI</c:v>
                </c:pt>
                <c:pt idx="219">
                  <c:v>FI</c:v>
                </c:pt>
                <c:pt idx="220">
                  <c:v>FI</c:v>
                </c:pt>
                <c:pt idx="221">
                  <c:v>FI</c:v>
                </c:pt>
                <c:pt idx="224">
                  <c:v>IE</c:v>
                </c:pt>
                <c:pt idx="225">
                  <c:v>IE</c:v>
                </c:pt>
                <c:pt idx="226">
                  <c:v>IE</c:v>
                </c:pt>
                <c:pt idx="227">
                  <c:v>IE</c:v>
                </c:pt>
                <c:pt idx="228">
                  <c:v>IE</c:v>
                </c:pt>
                <c:pt idx="229">
                  <c:v>IE</c:v>
                </c:pt>
                <c:pt idx="230">
                  <c:v>IE</c:v>
                </c:pt>
                <c:pt idx="231">
                  <c:v>IE</c:v>
                </c:pt>
                <c:pt idx="232">
                  <c:v>IE</c:v>
                </c:pt>
                <c:pt idx="233">
                  <c:v>IE</c:v>
                </c:pt>
                <c:pt idx="234">
                  <c:v>IE</c:v>
                </c:pt>
                <c:pt idx="235">
                  <c:v>IE</c:v>
                </c:pt>
                <c:pt idx="236">
                  <c:v>IE</c:v>
                </c:pt>
                <c:pt idx="237">
                  <c:v>IE</c:v>
                </c:pt>
                <c:pt idx="238">
                  <c:v>IE</c:v>
                </c:pt>
                <c:pt idx="239">
                  <c:v>IE</c:v>
                </c:pt>
                <c:pt idx="240">
                  <c:v>IE</c:v>
                </c:pt>
                <c:pt idx="241">
                  <c:v>IE</c:v>
                </c:pt>
                <c:pt idx="242">
                  <c:v>IE</c:v>
                </c:pt>
                <c:pt idx="243">
                  <c:v>IE</c:v>
                </c:pt>
                <c:pt idx="244">
                  <c:v>IE</c:v>
                </c:pt>
                <c:pt idx="245">
                  <c:v>IE</c:v>
                </c:pt>
                <c:pt idx="246">
                  <c:v>IE</c:v>
                </c:pt>
                <c:pt idx="247">
                  <c:v>IE</c:v>
                </c:pt>
                <c:pt idx="248">
                  <c:v>IE</c:v>
                </c:pt>
                <c:pt idx="249">
                  <c:v>IE</c:v>
                </c:pt>
                <c:pt idx="252">
                  <c:v>PT</c:v>
                </c:pt>
                <c:pt idx="253">
                  <c:v>PT</c:v>
                </c:pt>
                <c:pt idx="254">
                  <c:v>PT</c:v>
                </c:pt>
                <c:pt idx="255">
                  <c:v>PT</c:v>
                </c:pt>
                <c:pt idx="256">
                  <c:v>PT</c:v>
                </c:pt>
                <c:pt idx="257">
                  <c:v>PT</c:v>
                </c:pt>
                <c:pt idx="258">
                  <c:v>PT</c:v>
                </c:pt>
                <c:pt idx="259">
                  <c:v>PT</c:v>
                </c:pt>
                <c:pt idx="260">
                  <c:v>PT</c:v>
                </c:pt>
                <c:pt idx="261">
                  <c:v>PT</c:v>
                </c:pt>
                <c:pt idx="262">
                  <c:v>PT</c:v>
                </c:pt>
                <c:pt idx="263">
                  <c:v>PT</c:v>
                </c:pt>
                <c:pt idx="264">
                  <c:v>PT</c:v>
                </c:pt>
                <c:pt idx="265">
                  <c:v>PT</c:v>
                </c:pt>
                <c:pt idx="266">
                  <c:v>PT</c:v>
                </c:pt>
                <c:pt idx="267">
                  <c:v>PT</c:v>
                </c:pt>
                <c:pt idx="268">
                  <c:v>PT</c:v>
                </c:pt>
                <c:pt idx="269">
                  <c:v>PT</c:v>
                </c:pt>
                <c:pt idx="270">
                  <c:v>PT</c:v>
                </c:pt>
                <c:pt idx="271">
                  <c:v>PT</c:v>
                </c:pt>
                <c:pt idx="272">
                  <c:v>PT</c:v>
                </c:pt>
                <c:pt idx="273">
                  <c:v>PT</c:v>
                </c:pt>
                <c:pt idx="274">
                  <c:v>PT</c:v>
                </c:pt>
                <c:pt idx="275">
                  <c:v>PT</c:v>
                </c:pt>
                <c:pt idx="276">
                  <c:v>PT</c:v>
                </c:pt>
                <c:pt idx="277">
                  <c:v>PT</c:v>
                </c:pt>
              </c:strCache>
            </c:strRef>
          </c:cat>
          <c:val>
            <c:numRef>
              <c:f>hs_export!$L$2:$L$279</c:f>
              <c:numCache>
                <c:formatCode>General</c:formatCode>
                <c:ptCount val="278"/>
                <c:pt idx="7">
                  <c:v>8.6109727296884361E-3</c:v>
                </c:pt>
                <c:pt idx="8">
                  <c:v>5.6347754599481272E-3</c:v>
                </c:pt>
                <c:pt idx="9">
                  <c:v>6.43156347113359E-3</c:v>
                </c:pt>
                <c:pt idx="10">
                  <c:v>6.7865206252460892E-3</c:v>
                </c:pt>
                <c:pt idx="11">
                  <c:v>6.2494439477731546E-3</c:v>
                </c:pt>
                <c:pt idx="12">
                  <c:v>5.5791381287846964E-3</c:v>
                </c:pt>
                <c:pt idx="13">
                  <c:v>5.4682082407508407E-3</c:v>
                </c:pt>
                <c:pt idx="14">
                  <c:v>5.9103976775360849E-3</c:v>
                </c:pt>
                <c:pt idx="15">
                  <c:v>6.2426365016600609E-3</c:v>
                </c:pt>
                <c:pt idx="16">
                  <c:v>5.8829039897048971E-3</c:v>
                </c:pt>
                <c:pt idx="17">
                  <c:v>5.6057719305995296E-3</c:v>
                </c:pt>
                <c:pt idx="18">
                  <c:v>6.2000655146999244E-3</c:v>
                </c:pt>
                <c:pt idx="19">
                  <c:v>6.3145273216903735E-3</c:v>
                </c:pt>
                <c:pt idx="20">
                  <c:v>7.9620023590604855E-3</c:v>
                </c:pt>
                <c:pt idx="21">
                  <c:v>8.6988473259112693E-3</c:v>
                </c:pt>
                <c:pt idx="22">
                  <c:v>9.0952651006337322E-3</c:v>
                </c:pt>
                <c:pt idx="23">
                  <c:v>1.0135753265715653E-2</c:v>
                </c:pt>
                <c:pt idx="24">
                  <c:v>1.0938846500243855E-2</c:v>
                </c:pt>
                <c:pt idx="25">
                  <c:v>1.2189642834199063E-2</c:v>
                </c:pt>
                <c:pt idx="35">
                  <c:v>2.0090136616477839E-3</c:v>
                </c:pt>
                <c:pt idx="36">
                  <c:v>2.3677060035855518E-3</c:v>
                </c:pt>
                <c:pt idx="37">
                  <c:v>2.1432949044359576E-3</c:v>
                </c:pt>
                <c:pt idx="38">
                  <c:v>1.8523286985826677E-3</c:v>
                </c:pt>
                <c:pt idx="39">
                  <c:v>1.7208960444870468E-3</c:v>
                </c:pt>
                <c:pt idx="40">
                  <c:v>1.7852602036726335E-3</c:v>
                </c:pt>
                <c:pt idx="41">
                  <c:v>1.6109516265643182E-3</c:v>
                </c:pt>
                <c:pt idx="42">
                  <c:v>1.4489137532095542E-3</c:v>
                </c:pt>
                <c:pt idx="43">
                  <c:v>1.9583521348527679E-3</c:v>
                </c:pt>
                <c:pt idx="44">
                  <c:v>1.7310958189824476E-3</c:v>
                </c:pt>
                <c:pt idx="45">
                  <c:v>1.3638538939542812E-3</c:v>
                </c:pt>
                <c:pt idx="46">
                  <c:v>9.4977813718250426E-4</c:v>
                </c:pt>
                <c:pt idx="47">
                  <c:v>1.1637200051124775E-3</c:v>
                </c:pt>
                <c:pt idx="48">
                  <c:v>1.1196408347603347E-3</c:v>
                </c:pt>
                <c:pt idx="49">
                  <c:v>1.0379161106533019E-3</c:v>
                </c:pt>
                <c:pt idx="50">
                  <c:v>1.0102626708667407E-3</c:v>
                </c:pt>
                <c:pt idx="51">
                  <c:v>1.3734006993514035E-3</c:v>
                </c:pt>
                <c:pt idx="52">
                  <c:v>1.599424189248626E-3</c:v>
                </c:pt>
                <c:pt idx="53">
                  <c:v>1.7476777602858985E-3</c:v>
                </c:pt>
                <c:pt idx="63">
                  <c:v>8.1822427647735198E-3</c:v>
                </c:pt>
                <c:pt idx="64">
                  <c:v>6.7618036994451852E-3</c:v>
                </c:pt>
                <c:pt idx="65">
                  <c:v>6.6932405736477157E-3</c:v>
                </c:pt>
                <c:pt idx="66">
                  <c:v>7.1376457718902069E-3</c:v>
                </c:pt>
                <c:pt idx="67">
                  <c:v>6.2559731365755249E-3</c:v>
                </c:pt>
                <c:pt idx="68">
                  <c:v>4.2809296793764285E-3</c:v>
                </c:pt>
                <c:pt idx="69">
                  <c:v>4.5029432625088303E-3</c:v>
                </c:pt>
                <c:pt idx="70">
                  <c:v>5.033264537551891E-3</c:v>
                </c:pt>
                <c:pt idx="71">
                  <c:v>5.2152880298605734E-3</c:v>
                </c:pt>
                <c:pt idx="72">
                  <c:v>5.0202532928572104E-3</c:v>
                </c:pt>
                <c:pt idx="73">
                  <c:v>6.2879579708429627E-3</c:v>
                </c:pt>
                <c:pt idx="74">
                  <c:v>6.6531281239480943E-3</c:v>
                </c:pt>
                <c:pt idx="75">
                  <c:v>6.3775653178436203E-3</c:v>
                </c:pt>
                <c:pt idx="76">
                  <c:v>6.5731775508103812E-3</c:v>
                </c:pt>
                <c:pt idx="77">
                  <c:v>6.9720308855406353E-3</c:v>
                </c:pt>
                <c:pt idx="78">
                  <c:v>6.603116359320477E-3</c:v>
                </c:pt>
                <c:pt idx="79">
                  <c:v>6.6590186257231496E-3</c:v>
                </c:pt>
                <c:pt idx="80">
                  <c:v>7.2403273037029061E-3</c:v>
                </c:pt>
                <c:pt idx="81">
                  <c:v>8.2052885120005772E-3</c:v>
                </c:pt>
                <c:pt idx="91">
                  <c:v>2.2048934785289238E-3</c:v>
                </c:pt>
                <c:pt idx="92">
                  <c:v>1.5291591295571439E-3</c:v>
                </c:pt>
                <c:pt idx="93">
                  <c:v>1.4988452797332411E-3</c:v>
                </c:pt>
                <c:pt idx="94">
                  <c:v>9.7384558955597358E-4</c:v>
                </c:pt>
                <c:pt idx="95">
                  <c:v>9.5543827648464266E-4</c:v>
                </c:pt>
                <c:pt idx="96">
                  <c:v>8.4306972728487382E-4</c:v>
                </c:pt>
                <c:pt idx="97">
                  <c:v>8.8569986962367731E-4</c:v>
                </c:pt>
                <c:pt idx="98">
                  <c:v>8.758868287934619E-4</c:v>
                </c:pt>
                <c:pt idx="99">
                  <c:v>9.6149594779698102E-4</c:v>
                </c:pt>
                <c:pt idx="100">
                  <c:v>9.4241311560013755E-4</c:v>
                </c:pt>
                <c:pt idx="101">
                  <c:v>1.1243212904837401E-3</c:v>
                </c:pt>
                <c:pt idx="102">
                  <c:v>9.805391695922273E-4</c:v>
                </c:pt>
                <c:pt idx="103">
                  <c:v>1.0536751119772981E-3</c:v>
                </c:pt>
                <c:pt idx="104">
                  <c:v>1.1652818508140527E-3</c:v>
                </c:pt>
                <c:pt idx="105">
                  <c:v>1.04960618699399E-3</c:v>
                </c:pt>
                <c:pt idx="106">
                  <c:v>8.0289113999721469E-4</c:v>
                </c:pt>
                <c:pt idx="107">
                  <c:v>9.0130153583506531E-4</c:v>
                </c:pt>
                <c:pt idx="108">
                  <c:v>9.3981855054767844E-4</c:v>
                </c:pt>
                <c:pt idx="109">
                  <c:v>9.4713414194090182E-4</c:v>
                </c:pt>
                <c:pt idx="119">
                  <c:v>4.7324212811742528E-3</c:v>
                </c:pt>
                <c:pt idx="120">
                  <c:v>5.1178012463033232E-3</c:v>
                </c:pt>
                <c:pt idx="121">
                  <c:v>4.8246133802818903E-3</c:v>
                </c:pt>
                <c:pt idx="122">
                  <c:v>4.6184079409399221E-3</c:v>
                </c:pt>
                <c:pt idx="123">
                  <c:v>4.2477655084227767E-3</c:v>
                </c:pt>
                <c:pt idx="124">
                  <c:v>3.2069979813317421E-3</c:v>
                </c:pt>
                <c:pt idx="125">
                  <c:v>3.1056809716154469E-3</c:v>
                </c:pt>
                <c:pt idx="126">
                  <c:v>2.9912463625333444E-3</c:v>
                </c:pt>
                <c:pt idx="127">
                  <c:v>3.3184888650071476E-3</c:v>
                </c:pt>
                <c:pt idx="128">
                  <c:v>3.2134549440852415E-3</c:v>
                </c:pt>
                <c:pt idx="129">
                  <c:v>3.6058313112699689E-3</c:v>
                </c:pt>
                <c:pt idx="130">
                  <c:v>4.0992614839977948E-3</c:v>
                </c:pt>
                <c:pt idx="131">
                  <c:v>3.4384790187707466E-3</c:v>
                </c:pt>
                <c:pt idx="132">
                  <c:v>3.9207653731878735E-3</c:v>
                </c:pt>
                <c:pt idx="133">
                  <c:v>3.8858799820514806E-3</c:v>
                </c:pt>
                <c:pt idx="134">
                  <c:v>3.8122780963748912E-3</c:v>
                </c:pt>
                <c:pt idx="135">
                  <c:v>3.1076927761608114E-3</c:v>
                </c:pt>
                <c:pt idx="136">
                  <c:v>3.5887497335238558E-3</c:v>
                </c:pt>
                <c:pt idx="137">
                  <c:v>4.4220983605174572E-3</c:v>
                </c:pt>
                <c:pt idx="147">
                  <c:v>2.1254894796605478E-3</c:v>
                </c:pt>
                <c:pt idx="148">
                  <c:v>1.7471219176536802E-3</c:v>
                </c:pt>
                <c:pt idx="149">
                  <c:v>1.7423867351796906E-3</c:v>
                </c:pt>
                <c:pt idx="150">
                  <c:v>2.7590683699639791E-3</c:v>
                </c:pt>
                <c:pt idx="151">
                  <c:v>3.5215186620328556E-3</c:v>
                </c:pt>
                <c:pt idx="152">
                  <c:v>1.3934387413724269E-3</c:v>
                </c:pt>
                <c:pt idx="153">
                  <c:v>1.5184488622590933E-3</c:v>
                </c:pt>
                <c:pt idx="154">
                  <c:v>1.501388010089781E-3</c:v>
                </c:pt>
                <c:pt idx="155">
                  <c:v>1.5483700798769569E-3</c:v>
                </c:pt>
                <c:pt idx="156">
                  <c:v>1.7152469975612913E-3</c:v>
                </c:pt>
                <c:pt idx="157">
                  <c:v>1.4468630800577333E-3</c:v>
                </c:pt>
                <c:pt idx="158">
                  <c:v>1.4491159898051198E-3</c:v>
                </c:pt>
                <c:pt idx="159">
                  <c:v>1.4449947616008254E-3</c:v>
                </c:pt>
                <c:pt idx="160">
                  <c:v>1.6862523806117978E-3</c:v>
                </c:pt>
                <c:pt idx="161">
                  <c:v>1.4456681117781679E-3</c:v>
                </c:pt>
                <c:pt idx="162">
                  <c:v>1.3304063597103831E-3</c:v>
                </c:pt>
                <c:pt idx="163">
                  <c:v>1.3592154736887776E-3</c:v>
                </c:pt>
                <c:pt idx="164">
                  <c:v>1.2658870303831995E-3</c:v>
                </c:pt>
                <c:pt idx="165">
                  <c:v>1.257397528805886E-3</c:v>
                </c:pt>
                <c:pt idx="175">
                  <c:v>4.1521121147909283E-2</c:v>
                </c:pt>
                <c:pt idx="176">
                  <c:v>3.3174377619455096E-2</c:v>
                </c:pt>
                <c:pt idx="177">
                  <c:v>3.4152416566143186E-2</c:v>
                </c:pt>
                <c:pt idx="178">
                  <c:v>3.8122727462742027E-2</c:v>
                </c:pt>
                <c:pt idx="179">
                  <c:v>3.8042355287537209E-2</c:v>
                </c:pt>
                <c:pt idx="180">
                  <c:v>3.2503443601999124E-2</c:v>
                </c:pt>
                <c:pt idx="181">
                  <c:v>3.2628010858668864E-2</c:v>
                </c:pt>
                <c:pt idx="182">
                  <c:v>3.4205572193602422E-2</c:v>
                </c:pt>
                <c:pt idx="183">
                  <c:v>3.4911290258213046E-2</c:v>
                </c:pt>
                <c:pt idx="184">
                  <c:v>3.5203886763129889E-2</c:v>
                </c:pt>
                <c:pt idx="185">
                  <c:v>3.0799968942898191E-2</c:v>
                </c:pt>
                <c:pt idx="186">
                  <c:v>3.5653310477274255E-2</c:v>
                </c:pt>
                <c:pt idx="187">
                  <c:v>3.5626753996667669E-2</c:v>
                </c:pt>
                <c:pt idx="188">
                  <c:v>4.0941736503368756E-2</c:v>
                </c:pt>
                <c:pt idx="189">
                  <c:v>3.9758557880639193E-2</c:v>
                </c:pt>
                <c:pt idx="190">
                  <c:v>3.7170913379145826E-2</c:v>
                </c:pt>
                <c:pt idx="191">
                  <c:v>4.6707081237946535E-2</c:v>
                </c:pt>
                <c:pt idx="192">
                  <c:v>5.073801192484511E-2</c:v>
                </c:pt>
                <c:pt idx="193">
                  <c:v>5.6385918207876154E-2</c:v>
                </c:pt>
                <c:pt idx="203">
                  <c:v>2.9063364292932887E-3</c:v>
                </c:pt>
                <c:pt idx="204">
                  <c:v>2.5883456322242323E-3</c:v>
                </c:pt>
                <c:pt idx="205">
                  <c:v>2.3197609237285951E-3</c:v>
                </c:pt>
                <c:pt idx="206">
                  <c:v>2.2792320620595168E-3</c:v>
                </c:pt>
                <c:pt idx="207">
                  <c:v>2.2086032255350632E-3</c:v>
                </c:pt>
                <c:pt idx="208">
                  <c:v>2.4057045349259692E-3</c:v>
                </c:pt>
                <c:pt idx="209">
                  <c:v>2.8999253128214096E-3</c:v>
                </c:pt>
                <c:pt idx="210">
                  <c:v>2.4637858710562974E-3</c:v>
                </c:pt>
                <c:pt idx="211">
                  <c:v>2.3588503361007245E-3</c:v>
                </c:pt>
                <c:pt idx="212">
                  <c:v>2.1389497932797429E-3</c:v>
                </c:pt>
                <c:pt idx="213">
                  <c:v>2.5744456959750188E-3</c:v>
                </c:pt>
                <c:pt idx="214">
                  <c:v>2.4738548395859257E-3</c:v>
                </c:pt>
                <c:pt idx="215">
                  <c:v>2.1187430230096981E-3</c:v>
                </c:pt>
                <c:pt idx="216">
                  <c:v>1.8532806132259684E-3</c:v>
                </c:pt>
                <c:pt idx="217">
                  <c:v>2.4926657137190676E-3</c:v>
                </c:pt>
                <c:pt idx="218">
                  <c:v>1.7665672184869769E-3</c:v>
                </c:pt>
                <c:pt idx="219">
                  <c:v>2.3227764535056119E-3</c:v>
                </c:pt>
                <c:pt idx="220">
                  <c:v>2.5059066788575865E-3</c:v>
                </c:pt>
                <c:pt idx="221">
                  <c:v>2.2556468139838491E-3</c:v>
                </c:pt>
                <c:pt idx="231">
                  <c:v>8.3039499716812473E-2</c:v>
                </c:pt>
                <c:pt idx="232">
                  <c:v>6.6942892180466923E-2</c:v>
                </c:pt>
                <c:pt idx="233">
                  <c:v>4.040293382906518E-2</c:v>
                </c:pt>
                <c:pt idx="234">
                  <c:v>2.7492556943766615E-2</c:v>
                </c:pt>
                <c:pt idx="235">
                  <c:v>1.7568337658883666E-2</c:v>
                </c:pt>
                <c:pt idx="236">
                  <c:v>1.3506700876241735E-2</c:v>
                </c:pt>
                <c:pt idx="237">
                  <c:v>1.6957342014752796E-2</c:v>
                </c:pt>
                <c:pt idx="238">
                  <c:v>1.485123992305005E-2</c:v>
                </c:pt>
                <c:pt idx="239">
                  <c:v>1.4247057621586859E-2</c:v>
                </c:pt>
                <c:pt idx="240">
                  <c:v>1.2226285421149162E-2</c:v>
                </c:pt>
                <c:pt idx="241">
                  <c:v>1.3263928289246652E-2</c:v>
                </c:pt>
                <c:pt idx="242">
                  <c:v>1.443875393498213E-2</c:v>
                </c:pt>
                <c:pt idx="243">
                  <c:v>1.6070222871191194E-2</c:v>
                </c:pt>
                <c:pt idx="244">
                  <c:v>1.3353065387102748E-2</c:v>
                </c:pt>
                <c:pt idx="245">
                  <c:v>9.9987704636224882E-3</c:v>
                </c:pt>
                <c:pt idx="246">
                  <c:v>8.5612907026790339E-3</c:v>
                </c:pt>
                <c:pt idx="247">
                  <c:v>8.6070317001936941E-3</c:v>
                </c:pt>
                <c:pt idx="248">
                  <c:v>9.7984921434813473E-3</c:v>
                </c:pt>
                <c:pt idx="249">
                  <c:v>1.4201096622109055E-2</c:v>
                </c:pt>
                <c:pt idx="259">
                  <c:v>9.1384418860326055E-3</c:v>
                </c:pt>
                <c:pt idx="260">
                  <c:v>4.93777327857406E-3</c:v>
                </c:pt>
                <c:pt idx="261">
                  <c:v>1.0154160092563005E-3</c:v>
                </c:pt>
                <c:pt idx="262">
                  <c:v>1.1417193769890522E-3</c:v>
                </c:pt>
                <c:pt idx="263">
                  <c:v>6.2161544417243598E-4</c:v>
                </c:pt>
                <c:pt idx="264">
                  <c:v>6.7633436025582507E-4</c:v>
                </c:pt>
                <c:pt idx="265">
                  <c:v>5.3569415120615434E-4</c:v>
                </c:pt>
                <c:pt idx="266">
                  <c:v>5.5234609210153592E-4</c:v>
                </c:pt>
                <c:pt idx="267">
                  <c:v>5.6413463011412536E-4</c:v>
                </c:pt>
                <c:pt idx="268">
                  <c:v>5.3010456173587135E-4</c:v>
                </c:pt>
                <c:pt idx="269">
                  <c:v>5.1043766185456679E-4</c:v>
                </c:pt>
                <c:pt idx="270">
                  <c:v>4.1024880620061353E-4</c:v>
                </c:pt>
                <c:pt idx="271">
                  <c:v>9.2910354375745977E-4</c:v>
                </c:pt>
                <c:pt idx="272">
                  <c:v>1.3197847331515155E-3</c:v>
                </c:pt>
                <c:pt idx="273">
                  <c:v>1.671275473907524E-3</c:v>
                </c:pt>
                <c:pt idx="274">
                  <c:v>1.351494356405867E-3</c:v>
                </c:pt>
                <c:pt idx="275">
                  <c:v>1.5157353561754169E-3</c:v>
                </c:pt>
                <c:pt idx="276">
                  <c:v>1.222372412947433E-3</c:v>
                </c:pt>
                <c:pt idx="277">
                  <c:v>1.3041899024667106E-3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E4-40B5-9985-DD29133CE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94912"/>
        <c:axId val="1019400672"/>
      </c:lineChart>
      <c:catAx>
        <c:axId val="10193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400672"/>
        <c:crosses val="autoZero"/>
        <c:auto val="1"/>
        <c:lblAlgn val="ctr"/>
        <c:lblOffset val="100"/>
        <c:tickLblSkip val="29"/>
        <c:tickMarkSkip val="12"/>
        <c:noMultiLvlLbl val="0"/>
      </c:catAx>
      <c:valAx>
        <c:axId val="1019400672"/>
        <c:scaling>
          <c:orientation val="minMax"/>
          <c:max val="8.0000000000000016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394912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hs_export!$A$2:$A$279</c:f>
              <c:strCache>
                <c:ptCount val="278"/>
                <c:pt idx="0">
                  <c:v>AT</c:v>
                </c:pt>
                <c:pt idx="1">
                  <c:v>AT</c:v>
                </c:pt>
                <c:pt idx="2">
                  <c:v>AT</c:v>
                </c:pt>
                <c:pt idx="3">
                  <c:v>AT</c:v>
                </c:pt>
                <c:pt idx="4">
                  <c:v>AT</c:v>
                </c:pt>
                <c:pt idx="5">
                  <c:v>AT</c:v>
                </c:pt>
                <c:pt idx="6">
                  <c:v>AT</c:v>
                </c:pt>
                <c:pt idx="7">
                  <c:v>AT</c:v>
                </c:pt>
                <c:pt idx="8">
                  <c:v>AT</c:v>
                </c:pt>
                <c:pt idx="9">
                  <c:v>AT</c:v>
                </c:pt>
                <c:pt idx="10">
                  <c:v>AT</c:v>
                </c:pt>
                <c:pt idx="11">
                  <c:v>AT</c:v>
                </c:pt>
                <c:pt idx="12">
                  <c:v>AT</c:v>
                </c:pt>
                <c:pt idx="13">
                  <c:v>AT</c:v>
                </c:pt>
                <c:pt idx="14">
                  <c:v>AT</c:v>
                </c:pt>
                <c:pt idx="15">
                  <c:v>AT</c:v>
                </c:pt>
                <c:pt idx="16">
                  <c:v>AT</c:v>
                </c:pt>
                <c:pt idx="17">
                  <c:v>AT</c:v>
                </c:pt>
                <c:pt idx="18">
                  <c:v>AT</c:v>
                </c:pt>
                <c:pt idx="19">
                  <c:v>AT</c:v>
                </c:pt>
                <c:pt idx="20">
                  <c:v>AT</c:v>
                </c:pt>
                <c:pt idx="21">
                  <c:v>AT</c:v>
                </c:pt>
                <c:pt idx="22">
                  <c:v>AT</c:v>
                </c:pt>
                <c:pt idx="23">
                  <c:v>AT</c:v>
                </c:pt>
                <c:pt idx="24">
                  <c:v>AT</c:v>
                </c:pt>
                <c:pt idx="25">
                  <c:v>AT</c:v>
                </c:pt>
                <c:pt idx="28">
                  <c:v>BE</c:v>
                </c:pt>
                <c:pt idx="29">
                  <c:v>BE</c:v>
                </c:pt>
                <c:pt idx="30">
                  <c:v>BE</c:v>
                </c:pt>
                <c:pt idx="31">
                  <c:v>BE</c:v>
                </c:pt>
                <c:pt idx="32">
                  <c:v>BE</c:v>
                </c:pt>
                <c:pt idx="33">
                  <c:v>BE</c:v>
                </c:pt>
                <c:pt idx="34">
                  <c:v>BE</c:v>
                </c:pt>
                <c:pt idx="35">
                  <c:v>BE</c:v>
                </c:pt>
                <c:pt idx="36">
                  <c:v>BE</c:v>
                </c:pt>
                <c:pt idx="37">
                  <c:v>BE</c:v>
                </c:pt>
                <c:pt idx="38">
                  <c:v>BE</c:v>
                </c:pt>
                <c:pt idx="39">
                  <c:v>BE</c:v>
                </c:pt>
                <c:pt idx="40">
                  <c:v>BE</c:v>
                </c:pt>
                <c:pt idx="41">
                  <c:v>BE</c:v>
                </c:pt>
                <c:pt idx="42">
                  <c:v>BE</c:v>
                </c:pt>
                <c:pt idx="43">
                  <c:v>BE</c:v>
                </c:pt>
                <c:pt idx="44">
                  <c:v>BE</c:v>
                </c:pt>
                <c:pt idx="45">
                  <c:v>BE</c:v>
                </c:pt>
                <c:pt idx="46">
                  <c:v>BE</c:v>
                </c:pt>
                <c:pt idx="47">
                  <c:v>BE</c:v>
                </c:pt>
                <c:pt idx="48">
                  <c:v>BE</c:v>
                </c:pt>
                <c:pt idx="49">
                  <c:v>BE</c:v>
                </c:pt>
                <c:pt idx="50">
                  <c:v>BE</c:v>
                </c:pt>
                <c:pt idx="51">
                  <c:v>BE</c:v>
                </c:pt>
                <c:pt idx="52">
                  <c:v>BE</c:v>
                </c:pt>
                <c:pt idx="53">
                  <c:v>BE</c:v>
                </c:pt>
                <c:pt idx="56">
                  <c:v>DE</c:v>
                </c:pt>
                <c:pt idx="57">
                  <c:v>DE</c:v>
                </c:pt>
                <c:pt idx="58">
                  <c:v>DE</c:v>
                </c:pt>
                <c:pt idx="59">
                  <c:v>DE</c:v>
                </c:pt>
                <c:pt idx="60">
                  <c:v>DE</c:v>
                </c:pt>
                <c:pt idx="61">
                  <c:v>DE</c:v>
                </c:pt>
                <c:pt idx="62">
                  <c:v>DE</c:v>
                </c:pt>
                <c:pt idx="63">
                  <c:v>DE</c:v>
                </c:pt>
                <c:pt idx="64">
                  <c:v>DE</c:v>
                </c:pt>
                <c:pt idx="65">
                  <c:v>DE</c:v>
                </c:pt>
                <c:pt idx="66">
                  <c:v>DE</c:v>
                </c:pt>
                <c:pt idx="67">
                  <c:v>DE</c:v>
                </c:pt>
                <c:pt idx="68">
                  <c:v>DE</c:v>
                </c:pt>
                <c:pt idx="69">
                  <c:v>DE</c:v>
                </c:pt>
                <c:pt idx="70">
                  <c:v>DE</c:v>
                </c:pt>
                <c:pt idx="71">
                  <c:v>DE</c:v>
                </c:pt>
                <c:pt idx="72">
                  <c:v>DE</c:v>
                </c:pt>
                <c:pt idx="73">
                  <c:v>DE</c:v>
                </c:pt>
                <c:pt idx="74">
                  <c:v>DE</c:v>
                </c:pt>
                <c:pt idx="75">
                  <c:v>DE</c:v>
                </c:pt>
                <c:pt idx="76">
                  <c:v>DE</c:v>
                </c:pt>
                <c:pt idx="77">
                  <c:v>DE</c:v>
                </c:pt>
                <c:pt idx="78">
                  <c:v>DE</c:v>
                </c:pt>
                <c:pt idx="79">
                  <c:v>DE</c:v>
                </c:pt>
                <c:pt idx="80">
                  <c:v>DE</c:v>
                </c:pt>
                <c:pt idx="81">
                  <c:v>DE</c:v>
                </c:pt>
                <c:pt idx="84">
                  <c:v>ES</c:v>
                </c:pt>
                <c:pt idx="85">
                  <c:v>ES</c:v>
                </c:pt>
                <c:pt idx="86">
                  <c:v>ES</c:v>
                </c:pt>
                <c:pt idx="87">
                  <c:v>ES</c:v>
                </c:pt>
                <c:pt idx="88">
                  <c:v>ES</c:v>
                </c:pt>
                <c:pt idx="89">
                  <c:v>ES</c:v>
                </c:pt>
                <c:pt idx="90">
                  <c:v>ES</c:v>
                </c:pt>
                <c:pt idx="91">
                  <c:v>ES</c:v>
                </c:pt>
                <c:pt idx="92">
                  <c:v>ES</c:v>
                </c:pt>
                <c:pt idx="93">
                  <c:v>ES</c:v>
                </c:pt>
                <c:pt idx="94">
                  <c:v>ES</c:v>
                </c:pt>
                <c:pt idx="95">
                  <c:v>ES</c:v>
                </c:pt>
                <c:pt idx="96">
                  <c:v>ES</c:v>
                </c:pt>
                <c:pt idx="97">
                  <c:v>ES</c:v>
                </c:pt>
                <c:pt idx="98">
                  <c:v>ES</c:v>
                </c:pt>
                <c:pt idx="99">
                  <c:v>ES</c:v>
                </c:pt>
                <c:pt idx="100">
                  <c:v>ES</c:v>
                </c:pt>
                <c:pt idx="101">
                  <c:v>ES</c:v>
                </c:pt>
                <c:pt idx="102">
                  <c:v>ES</c:v>
                </c:pt>
                <c:pt idx="103">
                  <c:v>ES</c:v>
                </c:pt>
                <c:pt idx="104">
                  <c:v>ES</c:v>
                </c:pt>
                <c:pt idx="105">
                  <c:v>ES</c:v>
                </c:pt>
                <c:pt idx="106">
                  <c:v>ES</c:v>
                </c:pt>
                <c:pt idx="107">
                  <c:v>ES</c:v>
                </c:pt>
                <c:pt idx="108">
                  <c:v>ES</c:v>
                </c:pt>
                <c:pt idx="109">
                  <c:v>ES</c:v>
                </c:pt>
                <c:pt idx="112">
                  <c:v>FR</c:v>
                </c:pt>
                <c:pt idx="113">
                  <c:v>FR</c:v>
                </c:pt>
                <c:pt idx="114">
                  <c:v>FR</c:v>
                </c:pt>
                <c:pt idx="115">
                  <c:v>FR</c:v>
                </c:pt>
                <c:pt idx="116">
                  <c:v>FR</c:v>
                </c:pt>
                <c:pt idx="117">
                  <c:v>FR</c:v>
                </c:pt>
                <c:pt idx="118">
                  <c:v>FR</c:v>
                </c:pt>
                <c:pt idx="119">
                  <c:v>FR</c:v>
                </c:pt>
                <c:pt idx="120">
                  <c:v>FR</c:v>
                </c:pt>
                <c:pt idx="121">
                  <c:v>FR</c:v>
                </c:pt>
                <c:pt idx="122">
                  <c:v>FR</c:v>
                </c:pt>
                <c:pt idx="123">
                  <c:v>FR</c:v>
                </c:pt>
                <c:pt idx="124">
                  <c:v>FR</c:v>
                </c:pt>
                <c:pt idx="125">
                  <c:v>FR</c:v>
                </c:pt>
                <c:pt idx="126">
                  <c:v>FR</c:v>
                </c:pt>
                <c:pt idx="127">
                  <c:v>FR</c:v>
                </c:pt>
                <c:pt idx="128">
                  <c:v>FR</c:v>
                </c:pt>
                <c:pt idx="129">
                  <c:v>FR</c:v>
                </c:pt>
                <c:pt idx="130">
                  <c:v>FR</c:v>
                </c:pt>
                <c:pt idx="131">
                  <c:v>FR</c:v>
                </c:pt>
                <c:pt idx="132">
                  <c:v>FR</c:v>
                </c:pt>
                <c:pt idx="133">
                  <c:v>FR</c:v>
                </c:pt>
                <c:pt idx="134">
                  <c:v>FR</c:v>
                </c:pt>
                <c:pt idx="135">
                  <c:v>FR</c:v>
                </c:pt>
                <c:pt idx="136">
                  <c:v>FR</c:v>
                </c:pt>
                <c:pt idx="137">
                  <c:v>FR</c:v>
                </c:pt>
                <c:pt idx="140">
                  <c:v>IT</c:v>
                </c:pt>
                <c:pt idx="141">
                  <c:v>IT</c:v>
                </c:pt>
                <c:pt idx="142">
                  <c:v>IT</c:v>
                </c:pt>
                <c:pt idx="143">
                  <c:v>IT</c:v>
                </c:pt>
                <c:pt idx="144">
                  <c:v>IT</c:v>
                </c:pt>
                <c:pt idx="145">
                  <c:v>IT</c:v>
                </c:pt>
                <c:pt idx="146">
                  <c:v>IT</c:v>
                </c:pt>
                <c:pt idx="147">
                  <c:v>IT</c:v>
                </c:pt>
                <c:pt idx="148">
                  <c:v>IT</c:v>
                </c:pt>
                <c:pt idx="149">
                  <c:v>IT</c:v>
                </c:pt>
                <c:pt idx="150">
                  <c:v>IT</c:v>
                </c:pt>
                <c:pt idx="151">
                  <c:v>IT</c:v>
                </c:pt>
                <c:pt idx="152">
                  <c:v>IT</c:v>
                </c:pt>
                <c:pt idx="153">
                  <c:v>IT</c:v>
                </c:pt>
                <c:pt idx="154">
                  <c:v>IT</c:v>
                </c:pt>
                <c:pt idx="155">
                  <c:v>IT</c:v>
                </c:pt>
                <c:pt idx="156">
                  <c:v>IT</c:v>
                </c:pt>
                <c:pt idx="157">
                  <c:v>IT</c:v>
                </c:pt>
                <c:pt idx="158">
                  <c:v>IT</c:v>
                </c:pt>
                <c:pt idx="159">
                  <c:v>IT</c:v>
                </c:pt>
                <c:pt idx="160">
                  <c:v>IT</c:v>
                </c:pt>
                <c:pt idx="161">
                  <c:v>IT</c:v>
                </c:pt>
                <c:pt idx="162">
                  <c:v>IT</c:v>
                </c:pt>
                <c:pt idx="163">
                  <c:v>IT</c:v>
                </c:pt>
                <c:pt idx="164">
                  <c:v>IT</c:v>
                </c:pt>
                <c:pt idx="165">
                  <c:v>IT</c:v>
                </c:pt>
                <c:pt idx="168">
                  <c:v>NL</c:v>
                </c:pt>
                <c:pt idx="169">
                  <c:v>NL</c:v>
                </c:pt>
                <c:pt idx="170">
                  <c:v>NL</c:v>
                </c:pt>
                <c:pt idx="171">
                  <c:v>NL</c:v>
                </c:pt>
                <c:pt idx="172">
                  <c:v>NL</c:v>
                </c:pt>
                <c:pt idx="173">
                  <c:v>NL</c:v>
                </c:pt>
                <c:pt idx="174">
                  <c:v>NL</c:v>
                </c:pt>
                <c:pt idx="175">
                  <c:v>NL</c:v>
                </c:pt>
                <c:pt idx="176">
                  <c:v>NL</c:v>
                </c:pt>
                <c:pt idx="177">
                  <c:v>NL</c:v>
                </c:pt>
                <c:pt idx="178">
                  <c:v>NL</c:v>
                </c:pt>
                <c:pt idx="179">
                  <c:v>NL</c:v>
                </c:pt>
                <c:pt idx="180">
                  <c:v>NL</c:v>
                </c:pt>
                <c:pt idx="181">
                  <c:v>NL</c:v>
                </c:pt>
                <c:pt idx="182">
                  <c:v>NL</c:v>
                </c:pt>
                <c:pt idx="183">
                  <c:v>NL</c:v>
                </c:pt>
                <c:pt idx="184">
                  <c:v>NL</c:v>
                </c:pt>
                <c:pt idx="185">
                  <c:v>NL</c:v>
                </c:pt>
                <c:pt idx="186">
                  <c:v>NL</c:v>
                </c:pt>
                <c:pt idx="187">
                  <c:v>NL</c:v>
                </c:pt>
                <c:pt idx="188">
                  <c:v>NL</c:v>
                </c:pt>
                <c:pt idx="189">
                  <c:v>NL</c:v>
                </c:pt>
                <c:pt idx="190">
                  <c:v>NL</c:v>
                </c:pt>
                <c:pt idx="191">
                  <c:v>NL</c:v>
                </c:pt>
                <c:pt idx="192">
                  <c:v>NL</c:v>
                </c:pt>
                <c:pt idx="193">
                  <c:v>NL</c:v>
                </c:pt>
                <c:pt idx="196">
                  <c:v>FI</c:v>
                </c:pt>
                <c:pt idx="197">
                  <c:v>FI</c:v>
                </c:pt>
                <c:pt idx="198">
                  <c:v>FI</c:v>
                </c:pt>
                <c:pt idx="199">
                  <c:v>FI</c:v>
                </c:pt>
                <c:pt idx="200">
                  <c:v>FI</c:v>
                </c:pt>
                <c:pt idx="201">
                  <c:v>FI</c:v>
                </c:pt>
                <c:pt idx="202">
                  <c:v>FI</c:v>
                </c:pt>
                <c:pt idx="203">
                  <c:v>FI</c:v>
                </c:pt>
                <c:pt idx="204">
                  <c:v>FI</c:v>
                </c:pt>
                <c:pt idx="205">
                  <c:v>FI</c:v>
                </c:pt>
                <c:pt idx="206">
                  <c:v>FI</c:v>
                </c:pt>
                <c:pt idx="207">
                  <c:v>FI</c:v>
                </c:pt>
                <c:pt idx="208">
                  <c:v>FI</c:v>
                </c:pt>
                <c:pt idx="209">
                  <c:v>FI</c:v>
                </c:pt>
                <c:pt idx="210">
                  <c:v>FI</c:v>
                </c:pt>
                <c:pt idx="211">
                  <c:v>FI</c:v>
                </c:pt>
                <c:pt idx="212">
                  <c:v>FI</c:v>
                </c:pt>
                <c:pt idx="213">
                  <c:v>FI</c:v>
                </c:pt>
                <c:pt idx="214">
                  <c:v>FI</c:v>
                </c:pt>
                <c:pt idx="215">
                  <c:v>FI</c:v>
                </c:pt>
                <c:pt idx="216">
                  <c:v>FI</c:v>
                </c:pt>
                <c:pt idx="217">
                  <c:v>FI</c:v>
                </c:pt>
                <c:pt idx="218">
                  <c:v>FI</c:v>
                </c:pt>
                <c:pt idx="219">
                  <c:v>FI</c:v>
                </c:pt>
                <c:pt idx="220">
                  <c:v>FI</c:v>
                </c:pt>
                <c:pt idx="221">
                  <c:v>FI</c:v>
                </c:pt>
                <c:pt idx="224">
                  <c:v>IE</c:v>
                </c:pt>
                <c:pt idx="225">
                  <c:v>IE</c:v>
                </c:pt>
                <c:pt idx="226">
                  <c:v>IE</c:v>
                </c:pt>
                <c:pt idx="227">
                  <c:v>IE</c:v>
                </c:pt>
                <c:pt idx="228">
                  <c:v>IE</c:v>
                </c:pt>
                <c:pt idx="229">
                  <c:v>IE</c:v>
                </c:pt>
                <c:pt idx="230">
                  <c:v>IE</c:v>
                </c:pt>
                <c:pt idx="231">
                  <c:v>IE</c:v>
                </c:pt>
                <c:pt idx="232">
                  <c:v>IE</c:v>
                </c:pt>
                <c:pt idx="233">
                  <c:v>IE</c:v>
                </c:pt>
                <c:pt idx="234">
                  <c:v>IE</c:v>
                </c:pt>
                <c:pt idx="235">
                  <c:v>IE</c:v>
                </c:pt>
                <c:pt idx="236">
                  <c:v>IE</c:v>
                </c:pt>
                <c:pt idx="237">
                  <c:v>IE</c:v>
                </c:pt>
                <c:pt idx="238">
                  <c:v>IE</c:v>
                </c:pt>
                <c:pt idx="239">
                  <c:v>IE</c:v>
                </c:pt>
                <c:pt idx="240">
                  <c:v>IE</c:v>
                </c:pt>
                <c:pt idx="241">
                  <c:v>IE</c:v>
                </c:pt>
                <c:pt idx="242">
                  <c:v>IE</c:v>
                </c:pt>
                <c:pt idx="243">
                  <c:v>IE</c:v>
                </c:pt>
                <c:pt idx="244">
                  <c:v>IE</c:v>
                </c:pt>
                <c:pt idx="245">
                  <c:v>IE</c:v>
                </c:pt>
                <c:pt idx="246">
                  <c:v>IE</c:v>
                </c:pt>
                <c:pt idx="247">
                  <c:v>IE</c:v>
                </c:pt>
                <c:pt idx="248">
                  <c:v>IE</c:v>
                </c:pt>
                <c:pt idx="249">
                  <c:v>IE</c:v>
                </c:pt>
                <c:pt idx="252">
                  <c:v>PT</c:v>
                </c:pt>
                <c:pt idx="253">
                  <c:v>PT</c:v>
                </c:pt>
                <c:pt idx="254">
                  <c:v>PT</c:v>
                </c:pt>
                <c:pt idx="255">
                  <c:v>PT</c:v>
                </c:pt>
                <c:pt idx="256">
                  <c:v>PT</c:v>
                </c:pt>
                <c:pt idx="257">
                  <c:v>PT</c:v>
                </c:pt>
                <c:pt idx="258">
                  <c:v>PT</c:v>
                </c:pt>
                <c:pt idx="259">
                  <c:v>PT</c:v>
                </c:pt>
                <c:pt idx="260">
                  <c:v>PT</c:v>
                </c:pt>
                <c:pt idx="261">
                  <c:v>PT</c:v>
                </c:pt>
                <c:pt idx="262">
                  <c:v>PT</c:v>
                </c:pt>
                <c:pt idx="263">
                  <c:v>PT</c:v>
                </c:pt>
                <c:pt idx="264">
                  <c:v>PT</c:v>
                </c:pt>
                <c:pt idx="265">
                  <c:v>PT</c:v>
                </c:pt>
                <c:pt idx="266">
                  <c:v>PT</c:v>
                </c:pt>
                <c:pt idx="267">
                  <c:v>PT</c:v>
                </c:pt>
                <c:pt idx="268">
                  <c:v>PT</c:v>
                </c:pt>
                <c:pt idx="269">
                  <c:v>PT</c:v>
                </c:pt>
                <c:pt idx="270">
                  <c:v>PT</c:v>
                </c:pt>
                <c:pt idx="271">
                  <c:v>PT</c:v>
                </c:pt>
                <c:pt idx="272">
                  <c:v>PT</c:v>
                </c:pt>
                <c:pt idx="273">
                  <c:v>PT</c:v>
                </c:pt>
                <c:pt idx="274">
                  <c:v>PT</c:v>
                </c:pt>
                <c:pt idx="275">
                  <c:v>PT</c:v>
                </c:pt>
                <c:pt idx="276">
                  <c:v>PT</c:v>
                </c:pt>
                <c:pt idx="277">
                  <c:v>PT</c:v>
                </c:pt>
              </c:strCache>
            </c:strRef>
          </c:cat>
          <c:val>
            <c:numRef>
              <c:f>hs_export!$M$2:$M$279</c:f>
              <c:numCache>
                <c:formatCode>General</c:formatCode>
                <c:ptCount val="278"/>
                <c:pt idx="7">
                  <c:v>2.6847311706455716E-3</c:v>
                </c:pt>
                <c:pt idx="8">
                  <c:v>1.7511267837666516E-3</c:v>
                </c:pt>
                <c:pt idx="9">
                  <c:v>2.3089701597697548E-3</c:v>
                </c:pt>
                <c:pt idx="10">
                  <c:v>3.1493637277416348E-3</c:v>
                </c:pt>
                <c:pt idx="11">
                  <c:v>3.0743062953028943E-3</c:v>
                </c:pt>
                <c:pt idx="12">
                  <c:v>2.9119495077909239E-3</c:v>
                </c:pt>
                <c:pt idx="13">
                  <c:v>2.789987956963105E-3</c:v>
                </c:pt>
                <c:pt idx="14">
                  <c:v>2.8245805548695654E-3</c:v>
                </c:pt>
                <c:pt idx="15">
                  <c:v>3.8390247984560759E-3</c:v>
                </c:pt>
                <c:pt idx="16">
                  <c:v>3.2259086562424449E-3</c:v>
                </c:pt>
                <c:pt idx="17">
                  <c:v>3.3612513932084424E-3</c:v>
                </c:pt>
                <c:pt idx="18">
                  <c:v>4.1196011028141891E-3</c:v>
                </c:pt>
                <c:pt idx="19">
                  <c:v>4.3243402365006336E-3</c:v>
                </c:pt>
                <c:pt idx="20">
                  <c:v>5.9912965387770552E-3</c:v>
                </c:pt>
                <c:pt idx="21">
                  <c:v>6.6453897864756414E-3</c:v>
                </c:pt>
                <c:pt idx="22">
                  <c:v>7.1182956846581628E-3</c:v>
                </c:pt>
                <c:pt idx="23">
                  <c:v>8.1369838382935166E-3</c:v>
                </c:pt>
                <c:pt idx="24">
                  <c:v>8.9450784809310888E-3</c:v>
                </c:pt>
                <c:pt idx="25">
                  <c:v>1.0441870800740133E-2</c:v>
                </c:pt>
                <c:pt idx="35">
                  <c:v>8.8882709683700621E-5</c:v>
                </c:pt>
                <c:pt idx="36">
                  <c:v>1.001191608214884E-4</c:v>
                </c:pt>
                <c:pt idx="37">
                  <c:v>5.7303405966837509E-5</c:v>
                </c:pt>
                <c:pt idx="38">
                  <c:v>7.7540475432669423E-5</c:v>
                </c:pt>
                <c:pt idx="39">
                  <c:v>7.3942561567461143E-5</c:v>
                </c:pt>
                <c:pt idx="40">
                  <c:v>1.1744646056945984E-4</c:v>
                </c:pt>
                <c:pt idx="41">
                  <c:v>9.7825394622815659E-5</c:v>
                </c:pt>
                <c:pt idx="42">
                  <c:v>8.9306461883249016E-5</c:v>
                </c:pt>
                <c:pt idx="43">
                  <c:v>6.2539593825031538E-5</c:v>
                </c:pt>
                <c:pt idx="44">
                  <c:v>9.136870486203782E-5</c:v>
                </c:pt>
                <c:pt idx="45">
                  <c:v>9.7929221284522976E-5</c:v>
                </c:pt>
                <c:pt idx="46">
                  <c:v>9.0900185719027546E-5</c:v>
                </c:pt>
                <c:pt idx="47">
                  <c:v>8.9114478563559401E-5</c:v>
                </c:pt>
                <c:pt idx="48">
                  <c:v>1.0409600439411506E-4</c:v>
                </c:pt>
                <c:pt idx="49">
                  <c:v>7.7390043160983714E-5</c:v>
                </c:pt>
                <c:pt idx="50">
                  <c:v>9.235229779669514E-5</c:v>
                </c:pt>
                <c:pt idx="51">
                  <c:v>1.4491853662604225E-4</c:v>
                </c:pt>
                <c:pt idx="52">
                  <c:v>1.4504591920900444E-4</c:v>
                </c:pt>
                <c:pt idx="53">
                  <c:v>1.6198662559108203E-4</c:v>
                </c:pt>
                <c:pt idx="63">
                  <c:v>9.0607498546025407E-4</c:v>
                </c:pt>
                <c:pt idx="64">
                  <c:v>1.3764322010250088E-3</c:v>
                </c:pt>
                <c:pt idx="65">
                  <c:v>1.5805638278575391E-3</c:v>
                </c:pt>
                <c:pt idx="66">
                  <c:v>2.6950742037136015E-3</c:v>
                </c:pt>
                <c:pt idx="67">
                  <c:v>2.8042126143637339E-3</c:v>
                </c:pt>
                <c:pt idx="68">
                  <c:v>1.1368686305947161E-3</c:v>
                </c:pt>
                <c:pt idx="69">
                  <c:v>1.018965486914882E-3</c:v>
                </c:pt>
                <c:pt idx="70">
                  <c:v>1.0454876957852572E-3</c:v>
                </c:pt>
                <c:pt idx="71">
                  <c:v>1.2301357249744405E-3</c:v>
                </c:pt>
                <c:pt idx="72">
                  <c:v>1.30354851748612E-3</c:v>
                </c:pt>
                <c:pt idx="73">
                  <c:v>1.5071726044727741E-3</c:v>
                </c:pt>
                <c:pt idx="74">
                  <c:v>1.4717964015636838E-3</c:v>
                </c:pt>
                <c:pt idx="75">
                  <c:v>1.6433294938851665E-3</c:v>
                </c:pt>
                <c:pt idx="76">
                  <c:v>1.6798720314129345E-3</c:v>
                </c:pt>
                <c:pt idx="77">
                  <c:v>1.7986613472109269E-3</c:v>
                </c:pt>
                <c:pt idx="78">
                  <c:v>1.8805865402245327E-3</c:v>
                </c:pt>
                <c:pt idx="79">
                  <c:v>2.311186481833938E-3</c:v>
                </c:pt>
                <c:pt idx="80">
                  <c:v>2.6479241582628376E-3</c:v>
                </c:pt>
                <c:pt idx="81">
                  <c:v>2.4511962553730696E-3</c:v>
                </c:pt>
                <c:pt idx="91">
                  <c:v>2.3949596399392953E-5</c:v>
                </c:pt>
                <c:pt idx="92">
                  <c:v>3.1235358383141551E-5</c:v>
                </c:pt>
                <c:pt idx="93">
                  <c:v>2.7753628050257827E-5</c:v>
                </c:pt>
                <c:pt idx="94">
                  <c:v>6.2567396420226966E-5</c:v>
                </c:pt>
                <c:pt idx="95">
                  <c:v>2.1663755309351897E-5</c:v>
                </c:pt>
                <c:pt idx="96">
                  <c:v>1.2815932092507466E-5</c:v>
                </c:pt>
                <c:pt idx="97">
                  <c:v>7.3427895106230983E-6</c:v>
                </c:pt>
                <c:pt idx="98">
                  <c:v>1.973522770120843E-5</c:v>
                </c:pt>
                <c:pt idx="99">
                  <c:v>1.9809285104229897E-5</c:v>
                </c:pt>
                <c:pt idx="100">
                  <c:v>2.1629472318790011E-5</c:v>
                </c:pt>
                <c:pt idx="101">
                  <c:v>2.3073319441967992E-5</c:v>
                </c:pt>
                <c:pt idx="102">
                  <c:v>2.3634750211450804E-5</c:v>
                </c:pt>
                <c:pt idx="103">
                  <c:v>1.4832979872709714E-5</c:v>
                </c:pt>
                <c:pt idx="104">
                  <c:v>1.8816035866332203E-5</c:v>
                </c:pt>
                <c:pt idx="105">
                  <c:v>2.0148800664024431E-5</c:v>
                </c:pt>
                <c:pt idx="106">
                  <c:v>1.6410296530215171E-5</c:v>
                </c:pt>
                <c:pt idx="107">
                  <c:v>4.360734797806395E-5</c:v>
                </c:pt>
                <c:pt idx="108">
                  <c:v>5.4086607936526129E-5</c:v>
                </c:pt>
                <c:pt idx="109">
                  <c:v>5.0068558587344879E-5</c:v>
                </c:pt>
                <c:pt idx="119">
                  <c:v>3.2990597631009496E-4</c:v>
                </c:pt>
                <c:pt idx="120">
                  <c:v>2.6478775074788687E-4</c:v>
                </c:pt>
                <c:pt idx="121">
                  <c:v>1.9013623499769189E-4</c:v>
                </c:pt>
                <c:pt idx="122">
                  <c:v>2.1029543296450314E-4</c:v>
                </c:pt>
                <c:pt idx="123">
                  <c:v>3.8939031052440934E-4</c:v>
                </c:pt>
                <c:pt idx="124">
                  <c:v>3.3984406763625733E-4</c:v>
                </c:pt>
                <c:pt idx="125">
                  <c:v>3.3582297036234321E-4</c:v>
                </c:pt>
                <c:pt idx="126">
                  <c:v>2.6919792589229289E-4</c:v>
                </c:pt>
                <c:pt idx="127">
                  <c:v>4.2978039565709378E-4</c:v>
                </c:pt>
                <c:pt idx="128">
                  <c:v>3.7600452115129252E-4</c:v>
                </c:pt>
                <c:pt idx="129">
                  <c:v>4.4897111916640547E-4</c:v>
                </c:pt>
                <c:pt idx="130">
                  <c:v>4.333565108092408E-4</c:v>
                </c:pt>
                <c:pt idx="131">
                  <c:v>3.7680768674267672E-4</c:v>
                </c:pt>
                <c:pt idx="132">
                  <c:v>3.8354561499715466E-4</c:v>
                </c:pt>
                <c:pt idx="133">
                  <c:v>3.3640893472453005E-4</c:v>
                </c:pt>
                <c:pt idx="134">
                  <c:v>6.2565266710500381E-4</c:v>
                </c:pt>
                <c:pt idx="135">
                  <c:v>5.6679145085068966E-4</c:v>
                </c:pt>
                <c:pt idx="136">
                  <c:v>5.1905306670224638E-4</c:v>
                </c:pt>
                <c:pt idx="137">
                  <c:v>5.9791176501679765E-4</c:v>
                </c:pt>
                <c:pt idx="147">
                  <c:v>2.052031358522312E-4</c:v>
                </c:pt>
                <c:pt idx="148">
                  <c:v>1.5278293033871326E-4</c:v>
                </c:pt>
                <c:pt idx="149">
                  <c:v>1.2656022163991888E-4</c:v>
                </c:pt>
                <c:pt idx="150">
                  <c:v>1.2429474176462989E-3</c:v>
                </c:pt>
                <c:pt idx="151">
                  <c:v>1.9933827285193179E-3</c:v>
                </c:pt>
                <c:pt idx="152">
                  <c:v>2.0503531214564205E-4</c:v>
                </c:pt>
                <c:pt idx="153">
                  <c:v>1.6359878474994966E-4</c:v>
                </c:pt>
                <c:pt idx="154">
                  <c:v>3.0292255025991924E-4</c:v>
                </c:pt>
                <c:pt idx="155">
                  <c:v>2.7853542337204066E-4</c:v>
                </c:pt>
                <c:pt idx="156">
                  <c:v>4.7719057481371643E-4</c:v>
                </c:pt>
                <c:pt idx="157">
                  <c:v>2.5162405728266688E-4</c:v>
                </c:pt>
                <c:pt idx="158">
                  <c:v>2.8180775355134141E-4</c:v>
                </c:pt>
                <c:pt idx="159">
                  <c:v>2.4383381673338599E-4</c:v>
                </c:pt>
                <c:pt idx="160">
                  <c:v>3.1325267276320292E-4</c:v>
                </c:pt>
                <c:pt idx="161">
                  <c:v>2.6398901039194046E-4</c:v>
                </c:pt>
                <c:pt idx="162">
                  <c:v>2.7168438982041316E-4</c:v>
                </c:pt>
                <c:pt idx="163">
                  <c:v>4.3339898383036737E-4</c:v>
                </c:pt>
                <c:pt idx="164">
                  <c:v>3.9169076901012499E-4</c:v>
                </c:pt>
                <c:pt idx="165">
                  <c:v>2.0692439747529363E-4</c:v>
                </c:pt>
                <c:pt idx="175">
                  <c:v>9.659544994700316E-3</c:v>
                </c:pt>
                <c:pt idx="176">
                  <c:v>7.1361224112312374E-3</c:v>
                </c:pt>
                <c:pt idx="177">
                  <c:v>4.4286613312160394E-3</c:v>
                </c:pt>
                <c:pt idx="178">
                  <c:v>1.1289900463907963E-2</c:v>
                </c:pt>
                <c:pt idx="179">
                  <c:v>1.368374177879695E-2</c:v>
                </c:pt>
                <c:pt idx="180">
                  <c:v>9.1589535302782597E-3</c:v>
                </c:pt>
                <c:pt idx="181">
                  <c:v>1.0198653935230157E-2</c:v>
                </c:pt>
                <c:pt idx="182">
                  <c:v>1.179196671048164E-2</c:v>
                </c:pt>
                <c:pt idx="183">
                  <c:v>1.1629659542397213E-2</c:v>
                </c:pt>
                <c:pt idx="184">
                  <c:v>1.1060344583980338E-2</c:v>
                </c:pt>
                <c:pt idx="185">
                  <c:v>1.4977325871698473E-2</c:v>
                </c:pt>
                <c:pt idx="186">
                  <c:v>1.8641905275137705E-2</c:v>
                </c:pt>
                <c:pt idx="187">
                  <c:v>1.9454479114766672E-2</c:v>
                </c:pt>
                <c:pt idx="188">
                  <c:v>2.2361864542822952E-2</c:v>
                </c:pt>
                <c:pt idx="189">
                  <c:v>2.3887437081070738E-2</c:v>
                </c:pt>
                <c:pt idx="190">
                  <c:v>2.2130383190838602E-2</c:v>
                </c:pt>
                <c:pt idx="191">
                  <c:v>2.5784126595056273E-2</c:v>
                </c:pt>
                <c:pt idx="192">
                  <c:v>2.8387739233879952E-2</c:v>
                </c:pt>
                <c:pt idx="193">
                  <c:v>2.9600189755418619E-2</c:v>
                </c:pt>
                <c:pt idx="203">
                  <c:v>8.4234842830755295E-5</c:v>
                </c:pt>
                <c:pt idx="204">
                  <c:v>3.4140819282629255E-4</c:v>
                </c:pt>
                <c:pt idx="205">
                  <c:v>1.4833386942824736E-4</c:v>
                </c:pt>
                <c:pt idx="206">
                  <c:v>1.888659407354388E-4</c:v>
                </c:pt>
                <c:pt idx="207">
                  <c:v>1.2423631930053196E-4</c:v>
                </c:pt>
                <c:pt idx="208">
                  <c:v>1.830464510136956E-4</c:v>
                </c:pt>
                <c:pt idx="209">
                  <c:v>8.9481094027110187E-5</c:v>
                </c:pt>
                <c:pt idx="210">
                  <c:v>6.358171817124929E-5</c:v>
                </c:pt>
                <c:pt idx="211">
                  <c:v>8.3190571462173421E-5</c:v>
                </c:pt>
                <c:pt idx="212">
                  <c:v>1.3471564931458269E-4</c:v>
                </c:pt>
                <c:pt idx="213">
                  <c:v>1.5431569524713761E-4</c:v>
                </c:pt>
                <c:pt idx="214">
                  <c:v>2.2102376512689458E-4</c:v>
                </c:pt>
                <c:pt idx="215">
                  <c:v>1.2316154969269698E-4</c:v>
                </c:pt>
                <c:pt idx="216">
                  <c:v>1.892457322771108E-4</c:v>
                </c:pt>
                <c:pt idx="217">
                  <c:v>2.0641466513498377E-4</c:v>
                </c:pt>
                <c:pt idx="218">
                  <c:v>3.1648797835061429E-4</c:v>
                </c:pt>
                <c:pt idx="219">
                  <c:v>5.5229802226034244E-4</c:v>
                </c:pt>
                <c:pt idx="220">
                  <c:v>7.840191092948921E-4</c:v>
                </c:pt>
                <c:pt idx="221">
                  <c:v>4.7862068674373558E-4</c:v>
                </c:pt>
                <c:pt idx="231">
                  <c:v>3.1425586804737329E-4</c:v>
                </c:pt>
                <c:pt idx="232">
                  <c:v>2.1533754941204487E-4</c:v>
                </c:pt>
                <c:pt idx="233">
                  <c:v>3.1137927245014017E-4</c:v>
                </c:pt>
                <c:pt idx="234">
                  <c:v>1.5510679672017081E-4</c:v>
                </c:pt>
                <c:pt idx="235">
                  <c:v>2.5743470023837869E-4</c:v>
                </c:pt>
                <c:pt idx="236">
                  <c:v>1.5834716964684682E-4</c:v>
                </c:pt>
                <c:pt idx="237">
                  <c:v>3.2419066015872838E-4</c:v>
                </c:pt>
                <c:pt idx="238">
                  <c:v>6.2255824724143311E-4</c:v>
                </c:pt>
                <c:pt idx="239">
                  <c:v>6.0989653813084909E-4</c:v>
                </c:pt>
                <c:pt idx="240">
                  <c:v>5.6205881466040537E-4</c:v>
                </c:pt>
                <c:pt idx="241">
                  <c:v>6.2258025142576754E-4</c:v>
                </c:pt>
                <c:pt idx="242">
                  <c:v>7.0136368947226887E-4</c:v>
                </c:pt>
                <c:pt idx="243">
                  <c:v>7.2798511336010494E-4</c:v>
                </c:pt>
                <c:pt idx="244">
                  <c:v>6.3892398710494564E-4</c:v>
                </c:pt>
                <c:pt idx="245">
                  <c:v>6.5708435085086556E-4</c:v>
                </c:pt>
                <c:pt idx="246">
                  <c:v>6.8330823014584085E-4</c:v>
                </c:pt>
                <c:pt idx="247">
                  <c:v>9.2842486802217189E-4</c:v>
                </c:pt>
                <c:pt idx="248">
                  <c:v>1.1639858533573451E-3</c:v>
                </c:pt>
                <c:pt idx="249">
                  <c:v>1.026084393846419E-3</c:v>
                </c:pt>
                <c:pt idx="259">
                  <c:v>6.8276904945060898E-5</c:v>
                </c:pt>
                <c:pt idx="260">
                  <c:v>7.6604357600962934E-5</c:v>
                </c:pt>
                <c:pt idx="261">
                  <c:v>2.9002992776921633E-5</c:v>
                </c:pt>
                <c:pt idx="262">
                  <c:v>1.5292203222567986E-4</c:v>
                </c:pt>
                <c:pt idx="263">
                  <c:v>8.3138255903786283E-5</c:v>
                </c:pt>
                <c:pt idx="264">
                  <c:v>4.9026435622826712E-5</c:v>
                </c:pt>
                <c:pt idx="265">
                  <c:v>1.8910082640527522E-5</c:v>
                </c:pt>
                <c:pt idx="266">
                  <c:v>5.8676964637413098E-5</c:v>
                </c:pt>
                <c:pt idx="267">
                  <c:v>1.0540887005535943E-4</c:v>
                </c:pt>
                <c:pt idx="268">
                  <c:v>5.714332965579747E-5</c:v>
                </c:pt>
                <c:pt idx="269">
                  <c:v>1.7670093740142559E-5</c:v>
                </c:pt>
                <c:pt idx="270">
                  <c:v>3.0280471111683818E-5</c:v>
                </c:pt>
                <c:pt idx="271">
                  <c:v>2.3831703409816257E-5</c:v>
                </c:pt>
                <c:pt idx="272">
                  <c:v>5.6107092553068789E-5</c:v>
                </c:pt>
                <c:pt idx="273">
                  <c:v>5.1349555576953853E-5</c:v>
                </c:pt>
                <c:pt idx="274">
                  <c:v>7.2841993671142143E-5</c:v>
                </c:pt>
                <c:pt idx="275">
                  <c:v>7.8138358024695885E-5</c:v>
                </c:pt>
                <c:pt idx="276">
                  <c:v>3.1997892527176432E-5</c:v>
                </c:pt>
                <c:pt idx="277">
                  <c:v>3.0156978129125131E-5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C-4B6D-89F2-F9EB6E03B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94912"/>
        <c:axId val="1019400672"/>
      </c:lineChart>
      <c:catAx>
        <c:axId val="10193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400672"/>
        <c:crosses val="autoZero"/>
        <c:auto val="1"/>
        <c:lblAlgn val="ctr"/>
        <c:lblOffset val="100"/>
        <c:tickLblSkip val="29"/>
        <c:tickMarkSkip val="12"/>
        <c:noMultiLvlLbl val="0"/>
      </c:catAx>
      <c:valAx>
        <c:axId val="1019400672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394912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eu_export!$A$2:$A$3259</c:f>
              <c:strCache>
                <c:ptCount val="258"/>
                <c:pt idx="0">
                  <c:v>AT</c:v>
                </c:pt>
                <c:pt idx="1">
                  <c:v>AT</c:v>
                </c:pt>
                <c:pt idx="2">
                  <c:v>AT</c:v>
                </c:pt>
                <c:pt idx="3">
                  <c:v>AT</c:v>
                </c:pt>
                <c:pt idx="4">
                  <c:v>AT</c:v>
                </c:pt>
                <c:pt idx="5">
                  <c:v>AT</c:v>
                </c:pt>
                <c:pt idx="6">
                  <c:v>AT</c:v>
                </c:pt>
                <c:pt idx="7">
                  <c:v>AT</c:v>
                </c:pt>
                <c:pt idx="8">
                  <c:v>AT</c:v>
                </c:pt>
                <c:pt idx="9">
                  <c:v>AT</c:v>
                </c:pt>
                <c:pt idx="10">
                  <c:v>AT</c:v>
                </c:pt>
                <c:pt idx="11">
                  <c:v>AT</c:v>
                </c:pt>
                <c:pt idx="12">
                  <c:v>AT</c:v>
                </c:pt>
                <c:pt idx="13">
                  <c:v>AT</c:v>
                </c:pt>
                <c:pt idx="14">
                  <c:v>AT</c:v>
                </c:pt>
                <c:pt idx="15">
                  <c:v>AT</c:v>
                </c:pt>
                <c:pt idx="16">
                  <c:v>AT</c:v>
                </c:pt>
                <c:pt idx="17">
                  <c:v>AT</c:v>
                </c:pt>
                <c:pt idx="18">
                  <c:v>AT</c:v>
                </c:pt>
                <c:pt idx="19">
                  <c:v>AT</c:v>
                </c:pt>
                <c:pt idx="20">
                  <c:v>AT</c:v>
                </c:pt>
                <c:pt idx="21">
                  <c:v>AT</c:v>
                </c:pt>
                <c:pt idx="22">
                  <c:v>AT</c:v>
                </c:pt>
                <c:pt idx="23">
                  <c:v>AT</c:v>
                </c:pt>
                <c:pt idx="26">
                  <c:v>BE</c:v>
                </c:pt>
                <c:pt idx="27">
                  <c:v>BE</c:v>
                </c:pt>
                <c:pt idx="28">
                  <c:v>BE</c:v>
                </c:pt>
                <c:pt idx="29">
                  <c:v>BE</c:v>
                </c:pt>
                <c:pt idx="30">
                  <c:v>BE</c:v>
                </c:pt>
                <c:pt idx="31">
                  <c:v>BE</c:v>
                </c:pt>
                <c:pt idx="32">
                  <c:v>BE</c:v>
                </c:pt>
                <c:pt idx="33">
                  <c:v>BE</c:v>
                </c:pt>
                <c:pt idx="34">
                  <c:v>BE</c:v>
                </c:pt>
                <c:pt idx="35">
                  <c:v>BE</c:v>
                </c:pt>
                <c:pt idx="36">
                  <c:v>BE</c:v>
                </c:pt>
                <c:pt idx="37">
                  <c:v>BE</c:v>
                </c:pt>
                <c:pt idx="38">
                  <c:v>BE</c:v>
                </c:pt>
                <c:pt idx="39">
                  <c:v>BE</c:v>
                </c:pt>
                <c:pt idx="40">
                  <c:v>BE</c:v>
                </c:pt>
                <c:pt idx="41">
                  <c:v>BE</c:v>
                </c:pt>
                <c:pt idx="42">
                  <c:v>BE</c:v>
                </c:pt>
                <c:pt idx="43">
                  <c:v>BE</c:v>
                </c:pt>
                <c:pt idx="44">
                  <c:v>BE</c:v>
                </c:pt>
                <c:pt idx="45">
                  <c:v>BE</c:v>
                </c:pt>
                <c:pt idx="46">
                  <c:v>BE</c:v>
                </c:pt>
                <c:pt idx="47">
                  <c:v>BE</c:v>
                </c:pt>
                <c:pt idx="48">
                  <c:v>BE</c:v>
                </c:pt>
                <c:pt idx="49">
                  <c:v>BE</c:v>
                </c:pt>
                <c:pt idx="52">
                  <c:v>DE</c:v>
                </c:pt>
                <c:pt idx="53">
                  <c:v>DE</c:v>
                </c:pt>
                <c:pt idx="54">
                  <c:v>DE</c:v>
                </c:pt>
                <c:pt idx="55">
                  <c:v>DE</c:v>
                </c:pt>
                <c:pt idx="56">
                  <c:v>DE</c:v>
                </c:pt>
                <c:pt idx="57">
                  <c:v>DE</c:v>
                </c:pt>
                <c:pt idx="58">
                  <c:v>DE</c:v>
                </c:pt>
                <c:pt idx="59">
                  <c:v>DE</c:v>
                </c:pt>
                <c:pt idx="60">
                  <c:v>DE</c:v>
                </c:pt>
                <c:pt idx="61">
                  <c:v>DE</c:v>
                </c:pt>
                <c:pt idx="62">
                  <c:v>DE</c:v>
                </c:pt>
                <c:pt idx="63">
                  <c:v>DE</c:v>
                </c:pt>
                <c:pt idx="64">
                  <c:v>DE</c:v>
                </c:pt>
                <c:pt idx="65">
                  <c:v>DE</c:v>
                </c:pt>
                <c:pt idx="66">
                  <c:v>DE</c:v>
                </c:pt>
                <c:pt idx="67">
                  <c:v>DE</c:v>
                </c:pt>
                <c:pt idx="68">
                  <c:v>DE</c:v>
                </c:pt>
                <c:pt idx="69">
                  <c:v>DE</c:v>
                </c:pt>
                <c:pt idx="70">
                  <c:v>DE</c:v>
                </c:pt>
                <c:pt idx="71">
                  <c:v>DE</c:v>
                </c:pt>
                <c:pt idx="72">
                  <c:v>DE</c:v>
                </c:pt>
                <c:pt idx="73">
                  <c:v>DE</c:v>
                </c:pt>
                <c:pt idx="74">
                  <c:v>DE</c:v>
                </c:pt>
                <c:pt idx="75">
                  <c:v>DE</c:v>
                </c:pt>
                <c:pt idx="78">
                  <c:v>ES</c:v>
                </c:pt>
                <c:pt idx="79">
                  <c:v>ES</c:v>
                </c:pt>
                <c:pt idx="80">
                  <c:v>ES</c:v>
                </c:pt>
                <c:pt idx="81">
                  <c:v>ES</c:v>
                </c:pt>
                <c:pt idx="82">
                  <c:v>ES</c:v>
                </c:pt>
                <c:pt idx="83">
                  <c:v>ES</c:v>
                </c:pt>
                <c:pt idx="84">
                  <c:v>ES</c:v>
                </c:pt>
                <c:pt idx="85">
                  <c:v>ES</c:v>
                </c:pt>
                <c:pt idx="86">
                  <c:v>ES</c:v>
                </c:pt>
                <c:pt idx="87">
                  <c:v>ES</c:v>
                </c:pt>
                <c:pt idx="88">
                  <c:v>ES</c:v>
                </c:pt>
                <c:pt idx="89">
                  <c:v>ES</c:v>
                </c:pt>
                <c:pt idx="90">
                  <c:v>ES</c:v>
                </c:pt>
                <c:pt idx="91">
                  <c:v>ES</c:v>
                </c:pt>
                <c:pt idx="92">
                  <c:v>ES</c:v>
                </c:pt>
                <c:pt idx="93">
                  <c:v>ES</c:v>
                </c:pt>
                <c:pt idx="94">
                  <c:v>ES</c:v>
                </c:pt>
                <c:pt idx="95">
                  <c:v>ES</c:v>
                </c:pt>
                <c:pt idx="96">
                  <c:v>ES</c:v>
                </c:pt>
                <c:pt idx="97">
                  <c:v>ES</c:v>
                </c:pt>
                <c:pt idx="98">
                  <c:v>ES</c:v>
                </c:pt>
                <c:pt idx="99">
                  <c:v>ES</c:v>
                </c:pt>
                <c:pt idx="100">
                  <c:v>ES</c:v>
                </c:pt>
                <c:pt idx="101">
                  <c:v>ES</c:v>
                </c:pt>
                <c:pt idx="104">
                  <c:v>FI</c:v>
                </c:pt>
                <c:pt idx="105">
                  <c:v>FI</c:v>
                </c:pt>
                <c:pt idx="106">
                  <c:v>FI</c:v>
                </c:pt>
                <c:pt idx="107">
                  <c:v>FI</c:v>
                </c:pt>
                <c:pt idx="108">
                  <c:v>FI</c:v>
                </c:pt>
                <c:pt idx="109">
                  <c:v>FI</c:v>
                </c:pt>
                <c:pt idx="110">
                  <c:v>FI</c:v>
                </c:pt>
                <c:pt idx="111">
                  <c:v>FI</c:v>
                </c:pt>
                <c:pt idx="112">
                  <c:v>FI</c:v>
                </c:pt>
                <c:pt idx="113">
                  <c:v>FI</c:v>
                </c:pt>
                <c:pt idx="114">
                  <c:v>FI</c:v>
                </c:pt>
                <c:pt idx="115">
                  <c:v>FI</c:v>
                </c:pt>
                <c:pt idx="116">
                  <c:v>FI</c:v>
                </c:pt>
                <c:pt idx="117">
                  <c:v>FI</c:v>
                </c:pt>
                <c:pt idx="118">
                  <c:v>FI</c:v>
                </c:pt>
                <c:pt idx="119">
                  <c:v>FI</c:v>
                </c:pt>
                <c:pt idx="120">
                  <c:v>FI</c:v>
                </c:pt>
                <c:pt idx="121">
                  <c:v>FI</c:v>
                </c:pt>
                <c:pt idx="122">
                  <c:v>FI</c:v>
                </c:pt>
                <c:pt idx="123">
                  <c:v>FI</c:v>
                </c:pt>
                <c:pt idx="124">
                  <c:v>FI</c:v>
                </c:pt>
                <c:pt idx="125">
                  <c:v>FI</c:v>
                </c:pt>
                <c:pt idx="126">
                  <c:v>FI</c:v>
                </c:pt>
                <c:pt idx="127">
                  <c:v>FI</c:v>
                </c:pt>
                <c:pt idx="130">
                  <c:v>FR</c:v>
                </c:pt>
                <c:pt idx="131">
                  <c:v>FR</c:v>
                </c:pt>
                <c:pt idx="132">
                  <c:v>FR</c:v>
                </c:pt>
                <c:pt idx="133">
                  <c:v>FR</c:v>
                </c:pt>
                <c:pt idx="134">
                  <c:v>FR</c:v>
                </c:pt>
                <c:pt idx="135">
                  <c:v>FR</c:v>
                </c:pt>
                <c:pt idx="136">
                  <c:v>FR</c:v>
                </c:pt>
                <c:pt idx="137">
                  <c:v>FR</c:v>
                </c:pt>
                <c:pt idx="138">
                  <c:v>FR</c:v>
                </c:pt>
                <c:pt idx="139">
                  <c:v>FR</c:v>
                </c:pt>
                <c:pt idx="140">
                  <c:v>FR</c:v>
                </c:pt>
                <c:pt idx="141">
                  <c:v>FR</c:v>
                </c:pt>
                <c:pt idx="142">
                  <c:v>FR</c:v>
                </c:pt>
                <c:pt idx="143">
                  <c:v>FR</c:v>
                </c:pt>
                <c:pt idx="144">
                  <c:v>FR</c:v>
                </c:pt>
                <c:pt idx="145">
                  <c:v>FR</c:v>
                </c:pt>
                <c:pt idx="146">
                  <c:v>FR</c:v>
                </c:pt>
                <c:pt idx="147">
                  <c:v>FR</c:v>
                </c:pt>
                <c:pt idx="148">
                  <c:v>FR</c:v>
                </c:pt>
                <c:pt idx="149">
                  <c:v>FR</c:v>
                </c:pt>
                <c:pt idx="150">
                  <c:v>FR</c:v>
                </c:pt>
                <c:pt idx="151">
                  <c:v>FR</c:v>
                </c:pt>
                <c:pt idx="152">
                  <c:v>FR</c:v>
                </c:pt>
                <c:pt idx="153">
                  <c:v>FR</c:v>
                </c:pt>
                <c:pt idx="156">
                  <c:v>IE</c:v>
                </c:pt>
                <c:pt idx="157">
                  <c:v>IE</c:v>
                </c:pt>
                <c:pt idx="158">
                  <c:v>IE</c:v>
                </c:pt>
                <c:pt idx="159">
                  <c:v>IE</c:v>
                </c:pt>
                <c:pt idx="160">
                  <c:v>IE</c:v>
                </c:pt>
                <c:pt idx="161">
                  <c:v>IE</c:v>
                </c:pt>
                <c:pt idx="162">
                  <c:v>IE</c:v>
                </c:pt>
                <c:pt idx="163">
                  <c:v>IE</c:v>
                </c:pt>
                <c:pt idx="164">
                  <c:v>IE</c:v>
                </c:pt>
                <c:pt idx="165">
                  <c:v>IE</c:v>
                </c:pt>
                <c:pt idx="166">
                  <c:v>IE</c:v>
                </c:pt>
                <c:pt idx="167">
                  <c:v>IE</c:v>
                </c:pt>
                <c:pt idx="168">
                  <c:v>IE</c:v>
                </c:pt>
                <c:pt idx="169">
                  <c:v>IE</c:v>
                </c:pt>
                <c:pt idx="170">
                  <c:v>IE</c:v>
                </c:pt>
                <c:pt idx="171">
                  <c:v>IE</c:v>
                </c:pt>
                <c:pt idx="172">
                  <c:v>IE</c:v>
                </c:pt>
                <c:pt idx="173">
                  <c:v>IE</c:v>
                </c:pt>
                <c:pt idx="174">
                  <c:v>IE</c:v>
                </c:pt>
                <c:pt idx="175">
                  <c:v>IE</c:v>
                </c:pt>
                <c:pt idx="176">
                  <c:v>IE</c:v>
                </c:pt>
                <c:pt idx="177">
                  <c:v>IE</c:v>
                </c:pt>
                <c:pt idx="178">
                  <c:v>IE</c:v>
                </c:pt>
                <c:pt idx="179">
                  <c:v>IE</c:v>
                </c:pt>
                <c:pt idx="182">
                  <c:v>IT</c:v>
                </c:pt>
                <c:pt idx="183">
                  <c:v>IT</c:v>
                </c:pt>
                <c:pt idx="184">
                  <c:v>IT</c:v>
                </c:pt>
                <c:pt idx="185">
                  <c:v>IT</c:v>
                </c:pt>
                <c:pt idx="186">
                  <c:v>IT</c:v>
                </c:pt>
                <c:pt idx="187">
                  <c:v>IT</c:v>
                </c:pt>
                <c:pt idx="188">
                  <c:v>IT</c:v>
                </c:pt>
                <c:pt idx="189">
                  <c:v>IT</c:v>
                </c:pt>
                <c:pt idx="190">
                  <c:v>IT</c:v>
                </c:pt>
                <c:pt idx="191">
                  <c:v>IT</c:v>
                </c:pt>
                <c:pt idx="192">
                  <c:v>IT</c:v>
                </c:pt>
                <c:pt idx="193">
                  <c:v>IT</c:v>
                </c:pt>
                <c:pt idx="194">
                  <c:v>IT</c:v>
                </c:pt>
                <c:pt idx="195">
                  <c:v>IT</c:v>
                </c:pt>
                <c:pt idx="196">
                  <c:v>IT</c:v>
                </c:pt>
                <c:pt idx="197">
                  <c:v>IT</c:v>
                </c:pt>
                <c:pt idx="198">
                  <c:v>IT</c:v>
                </c:pt>
                <c:pt idx="199">
                  <c:v>IT</c:v>
                </c:pt>
                <c:pt idx="200">
                  <c:v>IT</c:v>
                </c:pt>
                <c:pt idx="201">
                  <c:v>IT</c:v>
                </c:pt>
                <c:pt idx="202">
                  <c:v>IT</c:v>
                </c:pt>
                <c:pt idx="203">
                  <c:v>IT</c:v>
                </c:pt>
                <c:pt idx="204">
                  <c:v>IT</c:v>
                </c:pt>
                <c:pt idx="205">
                  <c:v>IT</c:v>
                </c:pt>
                <c:pt idx="208">
                  <c:v>NL</c:v>
                </c:pt>
                <c:pt idx="209">
                  <c:v>NL</c:v>
                </c:pt>
                <c:pt idx="210">
                  <c:v>NL</c:v>
                </c:pt>
                <c:pt idx="211">
                  <c:v>NL</c:v>
                </c:pt>
                <c:pt idx="212">
                  <c:v>NL</c:v>
                </c:pt>
                <c:pt idx="213">
                  <c:v>NL</c:v>
                </c:pt>
                <c:pt idx="214">
                  <c:v>NL</c:v>
                </c:pt>
                <c:pt idx="215">
                  <c:v>NL</c:v>
                </c:pt>
                <c:pt idx="216">
                  <c:v>NL</c:v>
                </c:pt>
                <c:pt idx="217">
                  <c:v>NL</c:v>
                </c:pt>
                <c:pt idx="218">
                  <c:v>NL</c:v>
                </c:pt>
                <c:pt idx="219">
                  <c:v>NL</c:v>
                </c:pt>
                <c:pt idx="220">
                  <c:v>NL</c:v>
                </c:pt>
                <c:pt idx="221">
                  <c:v>NL</c:v>
                </c:pt>
                <c:pt idx="222">
                  <c:v>NL</c:v>
                </c:pt>
                <c:pt idx="223">
                  <c:v>NL</c:v>
                </c:pt>
                <c:pt idx="224">
                  <c:v>NL</c:v>
                </c:pt>
                <c:pt idx="225">
                  <c:v>NL</c:v>
                </c:pt>
                <c:pt idx="226">
                  <c:v>NL</c:v>
                </c:pt>
                <c:pt idx="227">
                  <c:v>NL</c:v>
                </c:pt>
                <c:pt idx="228">
                  <c:v>NL</c:v>
                </c:pt>
                <c:pt idx="229">
                  <c:v>NL</c:v>
                </c:pt>
                <c:pt idx="230">
                  <c:v>NL</c:v>
                </c:pt>
                <c:pt idx="231">
                  <c:v>NL</c:v>
                </c:pt>
                <c:pt idx="234">
                  <c:v>PT</c:v>
                </c:pt>
                <c:pt idx="235">
                  <c:v>PT</c:v>
                </c:pt>
                <c:pt idx="236">
                  <c:v>PT</c:v>
                </c:pt>
                <c:pt idx="237">
                  <c:v>PT</c:v>
                </c:pt>
                <c:pt idx="238">
                  <c:v>PT</c:v>
                </c:pt>
                <c:pt idx="239">
                  <c:v>PT</c:v>
                </c:pt>
                <c:pt idx="240">
                  <c:v>PT</c:v>
                </c:pt>
                <c:pt idx="241">
                  <c:v>PT</c:v>
                </c:pt>
                <c:pt idx="242">
                  <c:v>PT</c:v>
                </c:pt>
                <c:pt idx="243">
                  <c:v>PT</c:v>
                </c:pt>
                <c:pt idx="244">
                  <c:v>PT</c:v>
                </c:pt>
                <c:pt idx="245">
                  <c:v>PT</c:v>
                </c:pt>
                <c:pt idx="246">
                  <c:v>PT</c:v>
                </c:pt>
                <c:pt idx="247">
                  <c:v>PT</c:v>
                </c:pt>
                <c:pt idx="248">
                  <c:v>PT</c:v>
                </c:pt>
                <c:pt idx="249">
                  <c:v>PT</c:v>
                </c:pt>
                <c:pt idx="250">
                  <c:v>PT</c:v>
                </c:pt>
                <c:pt idx="251">
                  <c:v>PT</c:v>
                </c:pt>
                <c:pt idx="252">
                  <c:v>PT</c:v>
                </c:pt>
                <c:pt idx="253">
                  <c:v>PT</c:v>
                </c:pt>
                <c:pt idx="254">
                  <c:v>PT</c:v>
                </c:pt>
                <c:pt idx="255">
                  <c:v>PT</c:v>
                </c:pt>
                <c:pt idx="256">
                  <c:v>PT</c:v>
                </c:pt>
                <c:pt idx="257">
                  <c:v>PT</c:v>
                </c:pt>
              </c:strCache>
            </c:strRef>
          </c:cat>
          <c:val>
            <c:numRef>
              <c:f>eu_export!$L$2:$L$259</c:f>
              <c:numCache>
                <c:formatCode>General</c:formatCode>
                <c:ptCount val="258"/>
                <c:pt idx="0">
                  <c:v>5.641178806187927E-2</c:v>
                </c:pt>
                <c:pt idx="1">
                  <c:v>5.2621145607826839E-2</c:v>
                </c:pt>
                <c:pt idx="2">
                  <c:v>5.4845485379389033E-2</c:v>
                </c:pt>
                <c:pt idx="3">
                  <c:v>4.9040542913988107E-2</c:v>
                </c:pt>
                <c:pt idx="4">
                  <c:v>4.5987726604633683E-2</c:v>
                </c:pt>
                <c:pt idx="5">
                  <c:v>4.2514716228726976E-2</c:v>
                </c:pt>
                <c:pt idx="6">
                  <c:v>4.0603671470231251E-2</c:v>
                </c:pt>
                <c:pt idx="7">
                  <c:v>3.9704342868850523E-2</c:v>
                </c:pt>
                <c:pt idx="8">
                  <c:v>4.3013485009364194E-2</c:v>
                </c:pt>
                <c:pt idx="9">
                  <c:v>3.7704650966491095E-2</c:v>
                </c:pt>
                <c:pt idx="10">
                  <c:v>3.5304285807021905E-2</c:v>
                </c:pt>
                <c:pt idx="11">
                  <c:v>3.6642400463090599E-2</c:v>
                </c:pt>
                <c:pt idx="12">
                  <c:v>3.6917148116769639E-2</c:v>
                </c:pt>
                <c:pt idx="13">
                  <c:v>3.5317219879099734E-2</c:v>
                </c:pt>
                <c:pt idx="14">
                  <c:v>3.6218883462609298E-2</c:v>
                </c:pt>
                <c:pt idx="15">
                  <c:v>3.7248118298832296E-2</c:v>
                </c:pt>
                <c:pt idx="16">
                  <c:v>3.7586822765745605E-2</c:v>
                </c:pt>
                <c:pt idx="17">
                  <c:v>3.6585016271908105E-2</c:v>
                </c:pt>
                <c:pt idx="18">
                  <c:v>3.737275092920242E-2</c:v>
                </c:pt>
                <c:pt idx="19">
                  <c:v>3.7574471148699079E-2</c:v>
                </c:pt>
                <c:pt idx="20">
                  <c:v>3.6773510574137476E-2</c:v>
                </c:pt>
                <c:pt idx="21">
                  <c:v>3.8733125251873078E-2</c:v>
                </c:pt>
                <c:pt idx="22">
                  <c:v>3.9823025742012609E-2</c:v>
                </c:pt>
                <c:pt idx="23">
                  <c:v>4.2777239488698902E-2</c:v>
                </c:pt>
                <c:pt idx="26">
                  <c:v>3.0395468553643726E-2</c:v>
                </c:pt>
                <c:pt idx="27">
                  <c:v>3.1680318151522828E-2</c:v>
                </c:pt>
                <c:pt idx="28">
                  <c:v>2.9710121357762225E-2</c:v>
                </c:pt>
                <c:pt idx="29">
                  <c:v>2.7015623167986873E-2</c:v>
                </c:pt>
                <c:pt idx="30">
                  <c:v>2.3532245088856481E-2</c:v>
                </c:pt>
                <c:pt idx="31">
                  <c:v>1.5990589765872355E-2</c:v>
                </c:pt>
                <c:pt idx="32">
                  <c:v>1.6348186219280015E-2</c:v>
                </c:pt>
                <c:pt idx="33">
                  <c:v>1.5807196989456939E-2</c:v>
                </c:pt>
                <c:pt idx="34">
                  <c:v>1.5891453345779637E-2</c:v>
                </c:pt>
                <c:pt idx="35">
                  <c:v>1.6420205652812978E-2</c:v>
                </c:pt>
                <c:pt idx="36">
                  <c:v>1.5712781110438636E-2</c:v>
                </c:pt>
                <c:pt idx="37">
                  <c:v>1.3364386143619154E-2</c:v>
                </c:pt>
                <c:pt idx="38">
                  <c:v>1.2617039262970555E-2</c:v>
                </c:pt>
                <c:pt idx="39">
                  <c:v>1.3627367027186723E-2</c:v>
                </c:pt>
                <c:pt idx="40">
                  <c:v>1.2945835053476655E-2</c:v>
                </c:pt>
                <c:pt idx="41">
                  <c:v>1.312771194444845E-2</c:v>
                </c:pt>
                <c:pt idx="42">
                  <c:v>1.1783552268877614E-2</c:v>
                </c:pt>
                <c:pt idx="43">
                  <c:v>1.4770590501039193E-2</c:v>
                </c:pt>
                <c:pt idx="44">
                  <c:v>1.6518249692369896E-2</c:v>
                </c:pt>
                <c:pt idx="45">
                  <c:v>1.4738818172579913E-2</c:v>
                </c:pt>
                <c:pt idx="46">
                  <c:v>1.2822610393031779E-2</c:v>
                </c:pt>
                <c:pt idx="47">
                  <c:v>1.6064325648923555E-2</c:v>
                </c:pt>
                <c:pt idx="48">
                  <c:v>1.5743147478489372E-2</c:v>
                </c:pt>
                <c:pt idx="49">
                  <c:v>1.6073481515631413E-2</c:v>
                </c:pt>
                <c:pt idx="52">
                  <c:v>6.6387122976315896E-2</c:v>
                </c:pt>
                <c:pt idx="53">
                  <c:v>6.7929206599473838E-2</c:v>
                </c:pt>
                <c:pt idx="54">
                  <c:v>6.9852325533958107E-2</c:v>
                </c:pt>
                <c:pt idx="55">
                  <c:v>6.5498256448412798E-2</c:v>
                </c:pt>
                <c:pt idx="56">
                  <c:v>6.1691104579743389E-2</c:v>
                </c:pt>
                <c:pt idx="57">
                  <c:v>5.102566340090809E-2</c:v>
                </c:pt>
                <c:pt idx="58">
                  <c:v>4.85580146783453E-2</c:v>
                </c:pt>
                <c:pt idx="59">
                  <c:v>4.6000453695554167E-2</c:v>
                </c:pt>
                <c:pt idx="60">
                  <c:v>4.8207936116942914E-2</c:v>
                </c:pt>
                <c:pt idx="61">
                  <c:v>4.3919533518621434E-2</c:v>
                </c:pt>
                <c:pt idx="62">
                  <c:v>4.0313510612001523E-2</c:v>
                </c:pt>
                <c:pt idx="63">
                  <c:v>3.9137628591725968E-2</c:v>
                </c:pt>
                <c:pt idx="64">
                  <c:v>4.0600317459950415E-2</c:v>
                </c:pt>
                <c:pt idx="65">
                  <c:v>4.1999736870441645E-2</c:v>
                </c:pt>
                <c:pt idx="66">
                  <c:v>4.1999348604060835E-2</c:v>
                </c:pt>
                <c:pt idx="67">
                  <c:v>4.6225219098400321E-2</c:v>
                </c:pt>
                <c:pt idx="68">
                  <c:v>4.750332798169931E-2</c:v>
                </c:pt>
                <c:pt idx="69">
                  <c:v>4.6934834283909203E-2</c:v>
                </c:pt>
                <c:pt idx="70">
                  <c:v>4.7432328351654167E-2</c:v>
                </c:pt>
                <c:pt idx="71">
                  <c:v>4.797204378962399E-2</c:v>
                </c:pt>
                <c:pt idx="72">
                  <c:v>4.7288040275052366E-2</c:v>
                </c:pt>
                <c:pt idx="73">
                  <c:v>4.8185300170410651E-2</c:v>
                </c:pt>
                <c:pt idx="74">
                  <c:v>4.6804899253957227E-2</c:v>
                </c:pt>
                <c:pt idx="75">
                  <c:v>4.7824603955765606E-2</c:v>
                </c:pt>
                <c:pt idx="78">
                  <c:v>1.940574284430226E-2</c:v>
                </c:pt>
                <c:pt idx="79">
                  <c:v>2.1443083341679599E-2</c:v>
                </c:pt>
                <c:pt idx="80">
                  <c:v>2.0605876757379186E-2</c:v>
                </c:pt>
                <c:pt idx="81">
                  <c:v>1.9896251834875558E-2</c:v>
                </c:pt>
                <c:pt idx="82">
                  <c:v>1.6950081215898926E-2</c:v>
                </c:pt>
                <c:pt idx="83">
                  <c:v>1.1579513895621832E-2</c:v>
                </c:pt>
                <c:pt idx="84">
                  <c:v>1.0636615879494001E-2</c:v>
                </c:pt>
                <c:pt idx="85">
                  <c:v>1.333350383822199E-2</c:v>
                </c:pt>
                <c:pt idx="86">
                  <c:v>1.5101074223481621E-2</c:v>
                </c:pt>
                <c:pt idx="87">
                  <c:v>1.2106720345197698E-2</c:v>
                </c:pt>
                <c:pt idx="88">
                  <c:v>9.4702436105239835E-3</c:v>
                </c:pt>
                <c:pt idx="89">
                  <c:v>9.237032079861594E-3</c:v>
                </c:pt>
                <c:pt idx="90">
                  <c:v>9.0445192245197977E-3</c:v>
                </c:pt>
                <c:pt idx="91">
                  <c:v>9.0014738523625133E-3</c:v>
                </c:pt>
                <c:pt idx="92">
                  <c:v>9.5178512726158682E-3</c:v>
                </c:pt>
                <c:pt idx="93">
                  <c:v>1.0044284224410366E-2</c:v>
                </c:pt>
                <c:pt idx="94">
                  <c:v>9.8449057664761266E-3</c:v>
                </c:pt>
                <c:pt idx="95">
                  <c:v>1.0228652141509809E-2</c:v>
                </c:pt>
                <c:pt idx="96">
                  <c:v>1.0579755404415704E-2</c:v>
                </c:pt>
                <c:pt idx="97">
                  <c:v>9.8762001698324848E-3</c:v>
                </c:pt>
                <c:pt idx="98">
                  <c:v>8.8533354261146682E-3</c:v>
                </c:pt>
                <c:pt idx="99">
                  <c:v>9.673419795930626E-3</c:v>
                </c:pt>
                <c:pt idx="100">
                  <c:v>9.9649526068524234E-3</c:v>
                </c:pt>
                <c:pt idx="101">
                  <c:v>1.0390229085742516E-2</c:v>
                </c:pt>
                <c:pt idx="104">
                  <c:v>5.2238813750877924E-2</c:v>
                </c:pt>
                <c:pt idx="105">
                  <c:v>4.5335505476181912E-2</c:v>
                </c:pt>
                <c:pt idx="106">
                  <c:v>5.2948022240505543E-2</c:v>
                </c:pt>
                <c:pt idx="107">
                  <c:v>5.2244349879647579E-2</c:v>
                </c:pt>
                <c:pt idx="108">
                  <c:v>4.0667703492919011E-2</c:v>
                </c:pt>
                <c:pt idx="109">
                  <c:v>2.3998162952964967E-2</c:v>
                </c:pt>
                <c:pt idx="110">
                  <c:v>2.6330663491078685E-2</c:v>
                </c:pt>
                <c:pt idx="111">
                  <c:v>2.9373950929053132E-2</c:v>
                </c:pt>
                <c:pt idx="112">
                  <c:v>2.6760665827096901E-2</c:v>
                </c:pt>
                <c:pt idx="113">
                  <c:v>2.3837145327058034E-2</c:v>
                </c:pt>
                <c:pt idx="114">
                  <c:v>2.6209566027963521E-2</c:v>
                </c:pt>
                <c:pt idx="115">
                  <c:v>2.5596854103088925E-2</c:v>
                </c:pt>
                <c:pt idx="116">
                  <c:v>2.5805561003564698E-2</c:v>
                </c:pt>
                <c:pt idx="117">
                  <c:v>2.6206601482142714E-2</c:v>
                </c:pt>
                <c:pt idx="118">
                  <c:v>2.7842768238006889E-2</c:v>
                </c:pt>
                <c:pt idx="119">
                  <c:v>2.4940333127383526E-2</c:v>
                </c:pt>
                <c:pt idx="120">
                  <c:v>2.3613811557479696E-2</c:v>
                </c:pt>
                <c:pt idx="121">
                  <c:v>2.3754345829609558E-2</c:v>
                </c:pt>
                <c:pt idx="122">
                  <c:v>2.5024000624706624E-2</c:v>
                </c:pt>
                <c:pt idx="123">
                  <c:v>2.3794621891337322E-2</c:v>
                </c:pt>
                <c:pt idx="124">
                  <c:v>2.8633800811240378E-2</c:v>
                </c:pt>
                <c:pt idx="125">
                  <c:v>2.7410909087641024E-2</c:v>
                </c:pt>
                <c:pt idx="126">
                  <c:v>2.791437204925681E-2</c:v>
                </c:pt>
                <c:pt idx="127">
                  <c:v>2.8450018337509011E-2</c:v>
                </c:pt>
                <c:pt idx="130">
                  <c:v>5.0646480540953644E-2</c:v>
                </c:pt>
                <c:pt idx="131">
                  <c:v>4.5171157125076723E-2</c:v>
                </c:pt>
                <c:pt idx="132">
                  <c:v>4.4178885299470318E-2</c:v>
                </c:pt>
                <c:pt idx="133">
                  <c:v>4.1536353110399771E-2</c:v>
                </c:pt>
                <c:pt idx="134">
                  <c:v>4.1678028760196453E-2</c:v>
                </c:pt>
                <c:pt idx="135">
                  <c:v>3.3067468848424687E-2</c:v>
                </c:pt>
                <c:pt idx="136">
                  <c:v>3.0168559031523476E-2</c:v>
                </c:pt>
                <c:pt idx="137">
                  <c:v>2.8131344249407577E-2</c:v>
                </c:pt>
                <c:pt idx="138">
                  <c:v>3.1396977962222059E-2</c:v>
                </c:pt>
                <c:pt idx="139">
                  <c:v>3.0522270533418092E-2</c:v>
                </c:pt>
                <c:pt idx="140">
                  <c:v>2.8338649488440483E-2</c:v>
                </c:pt>
                <c:pt idx="141">
                  <c:v>2.8035811952641061E-2</c:v>
                </c:pt>
                <c:pt idx="142">
                  <c:v>2.7256638370081201E-2</c:v>
                </c:pt>
                <c:pt idx="143">
                  <c:v>2.8167995562900401E-2</c:v>
                </c:pt>
                <c:pt idx="144">
                  <c:v>2.7925449226069297E-2</c:v>
                </c:pt>
                <c:pt idx="145">
                  <c:v>2.7079786526674702E-2</c:v>
                </c:pt>
                <c:pt idx="146">
                  <c:v>2.8374886795248709E-2</c:v>
                </c:pt>
                <c:pt idx="147">
                  <c:v>2.7756110919027667E-2</c:v>
                </c:pt>
                <c:pt idx="148">
                  <c:v>2.9394540729028314E-2</c:v>
                </c:pt>
                <c:pt idx="149">
                  <c:v>2.8148184133558584E-2</c:v>
                </c:pt>
                <c:pt idx="150">
                  <c:v>3.0603041329624946E-2</c:v>
                </c:pt>
                <c:pt idx="151">
                  <c:v>2.8402205527589569E-2</c:v>
                </c:pt>
                <c:pt idx="152">
                  <c:v>2.3803878278553924E-2</c:v>
                </c:pt>
                <c:pt idx="153">
                  <c:v>2.5485776349733646E-2</c:v>
                </c:pt>
                <c:pt idx="156">
                  <c:v>0.27090245017861825</c:v>
                </c:pt>
                <c:pt idx="157">
                  <c:v>0.22274985970474503</c:v>
                </c:pt>
                <c:pt idx="158">
                  <c:v>0.20776657271822541</c:v>
                </c:pt>
                <c:pt idx="159">
                  <c:v>0.20391066439826069</c:v>
                </c:pt>
                <c:pt idx="160">
                  <c:v>0.2036807428831455</c:v>
                </c:pt>
                <c:pt idx="161">
                  <c:v>0.16685606930409311</c:v>
                </c:pt>
                <c:pt idx="162">
                  <c:v>0.13870153286527334</c:v>
                </c:pt>
                <c:pt idx="163">
                  <c:v>9.6922264504979427E-2</c:v>
                </c:pt>
                <c:pt idx="164">
                  <c:v>5.8246223933030389E-2</c:v>
                </c:pt>
                <c:pt idx="165">
                  <c:v>4.8304049806177397E-2</c:v>
                </c:pt>
                <c:pt idx="166">
                  <c:v>4.5165029599720893E-2</c:v>
                </c:pt>
                <c:pt idx="167">
                  <c:v>5.0068912883803482E-2</c:v>
                </c:pt>
                <c:pt idx="168">
                  <c:v>4.7932846377691123E-2</c:v>
                </c:pt>
                <c:pt idx="169">
                  <c:v>5.2484271401515514E-2</c:v>
                </c:pt>
                <c:pt idx="170">
                  <c:v>8.2270826343759887E-2</c:v>
                </c:pt>
                <c:pt idx="171">
                  <c:v>7.113338922331254E-2</c:v>
                </c:pt>
                <c:pt idx="172">
                  <c:v>5.9905485992574434E-2</c:v>
                </c:pt>
                <c:pt idx="173">
                  <c:v>7.9803602545533439E-2</c:v>
                </c:pt>
                <c:pt idx="174">
                  <c:v>7.8626439299614242E-2</c:v>
                </c:pt>
                <c:pt idx="175">
                  <c:v>8.6132846311785874E-2</c:v>
                </c:pt>
                <c:pt idx="176">
                  <c:v>8.2200081563397615E-2</c:v>
                </c:pt>
                <c:pt idx="177">
                  <c:v>5.2978632042376614E-2</c:v>
                </c:pt>
                <c:pt idx="178">
                  <c:v>6.0296487702048783E-2</c:v>
                </c:pt>
                <c:pt idx="179">
                  <c:v>6.3692712897033502E-2</c:v>
                </c:pt>
                <c:pt idx="182">
                  <c:v>3.7435265975033487E-2</c:v>
                </c:pt>
                <c:pt idx="183">
                  <c:v>3.554221854289058E-2</c:v>
                </c:pt>
                <c:pt idx="184">
                  <c:v>3.3685680147990761E-2</c:v>
                </c:pt>
                <c:pt idx="185">
                  <c:v>3.2269627510935282E-2</c:v>
                </c:pt>
                <c:pt idx="186">
                  <c:v>2.5945724018915851E-2</c:v>
                </c:pt>
                <c:pt idx="187">
                  <c:v>2.7248260974933002E-2</c:v>
                </c:pt>
                <c:pt idx="188">
                  <c:v>2.5446197985512141E-2</c:v>
                </c:pt>
                <c:pt idx="189">
                  <c:v>2.5034707501378827E-2</c:v>
                </c:pt>
                <c:pt idx="190">
                  <c:v>2.6000317103759982E-2</c:v>
                </c:pt>
                <c:pt idx="191">
                  <c:v>2.7935408405484159E-2</c:v>
                </c:pt>
                <c:pt idx="192">
                  <c:v>2.5580736684222494E-2</c:v>
                </c:pt>
                <c:pt idx="193">
                  <c:v>2.4603287034220874E-2</c:v>
                </c:pt>
                <c:pt idx="194">
                  <c:v>2.4098675517594193E-2</c:v>
                </c:pt>
                <c:pt idx="195">
                  <c:v>2.4636952581704938E-2</c:v>
                </c:pt>
                <c:pt idx="196">
                  <c:v>2.4765055462118463E-2</c:v>
                </c:pt>
                <c:pt idx="197">
                  <c:v>2.4288424896503989E-2</c:v>
                </c:pt>
                <c:pt idx="198">
                  <c:v>2.3977836725436772E-2</c:v>
                </c:pt>
                <c:pt idx="199">
                  <c:v>2.3570433579501386E-2</c:v>
                </c:pt>
                <c:pt idx="200">
                  <c:v>2.3233021099467135E-2</c:v>
                </c:pt>
                <c:pt idx="201">
                  <c:v>2.1756432690242959E-2</c:v>
                </c:pt>
                <c:pt idx="202">
                  <c:v>2.0788791870976875E-2</c:v>
                </c:pt>
                <c:pt idx="203">
                  <c:v>2.1362823961228145E-2</c:v>
                </c:pt>
                <c:pt idx="204">
                  <c:v>2.1614901292644741E-2</c:v>
                </c:pt>
                <c:pt idx="205">
                  <c:v>2.0790926690491453E-2</c:v>
                </c:pt>
                <c:pt idx="208">
                  <c:v>0.14662061270234752</c:v>
                </c:pt>
                <c:pt idx="209">
                  <c:v>0.14310260776169187</c:v>
                </c:pt>
                <c:pt idx="210">
                  <c:v>0.1472773114603626</c:v>
                </c:pt>
                <c:pt idx="211">
                  <c:v>0.15181765551702014</c:v>
                </c:pt>
                <c:pt idx="212">
                  <c:v>0.14025880080761555</c:v>
                </c:pt>
                <c:pt idx="213">
                  <c:v>0.11132038797727109</c:v>
                </c:pt>
                <c:pt idx="214">
                  <c:v>9.3744748187638255E-2</c:v>
                </c:pt>
                <c:pt idx="215">
                  <c:v>0.10389967707121724</c:v>
                </c:pt>
                <c:pt idx="216">
                  <c:v>0.11183160631509931</c:v>
                </c:pt>
                <c:pt idx="217">
                  <c:v>0.10470533602716073</c:v>
                </c:pt>
                <c:pt idx="218">
                  <c:v>9.6973379698018197E-2</c:v>
                </c:pt>
                <c:pt idx="219">
                  <c:v>9.1797946170775427E-2</c:v>
                </c:pt>
                <c:pt idx="220">
                  <c:v>9.5006462490321686E-2</c:v>
                </c:pt>
                <c:pt idx="221">
                  <c:v>9.4134717943458512E-2</c:v>
                </c:pt>
                <c:pt idx="222">
                  <c:v>9.8511556516935966E-2</c:v>
                </c:pt>
                <c:pt idx="223">
                  <c:v>0.10161495470699217</c:v>
                </c:pt>
                <c:pt idx="224">
                  <c:v>0.1062665679214677</c:v>
                </c:pt>
                <c:pt idx="225">
                  <c:v>0.10731887476019747</c:v>
                </c:pt>
                <c:pt idx="226">
                  <c:v>0.12238494346055091</c:v>
                </c:pt>
                <c:pt idx="227">
                  <c:v>0.11739466614363103</c:v>
                </c:pt>
                <c:pt idx="228">
                  <c:v>0.10785515768617014</c:v>
                </c:pt>
                <c:pt idx="229">
                  <c:v>0.11473572118427129</c:v>
                </c:pt>
                <c:pt idx="230">
                  <c:v>0.11416249436773429</c:v>
                </c:pt>
                <c:pt idx="231">
                  <c:v>0.11927795974229888</c:v>
                </c:pt>
                <c:pt idx="234">
                  <c:v>3.7748200394062861E-2</c:v>
                </c:pt>
                <c:pt idx="235">
                  <c:v>4.5959975488369005E-2</c:v>
                </c:pt>
                <c:pt idx="236">
                  <c:v>4.321453910827406E-2</c:v>
                </c:pt>
                <c:pt idx="237">
                  <c:v>5.0826738253596272E-2</c:v>
                </c:pt>
                <c:pt idx="238">
                  <c:v>5.6159730357467685E-2</c:v>
                </c:pt>
                <c:pt idx="239">
                  <c:v>5.1002187604360108E-2</c:v>
                </c:pt>
                <c:pt idx="240">
                  <c:v>4.4905471563198081E-2</c:v>
                </c:pt>
                <c:pt idx="241">
                  <c:v>1.4897250770096151E-2</c:v>
                </c:pt>
                <c:pt idx="242">
                  <c:v>9.9758715698235693E-3</c:v>
                </c:pt>
                <c:pt idx="243">
                  <c:v>1.0807510579891816E-2</c:v>
                </c:pt>
                <c:pt idx="244">
                  <c:v>1.1862646619568679E-2</c:v>
                </c:pt>
                <c:pt idx="245">
                  <c:v>9.5231396206427801E-3</c:v>
                </c:pt>
                <c:pt idx="246">
                  <c:v>8.1924444670501556E-3</c:v>
                </c:pt>
                <c:pt idx="247">
                  <c:v>8.031788089871315E-3</c:v>
                </c:pt>
                <c:pt idx="248">
                  <c:v>1.15358472500743E-2</c:v>
                </c:pt>
                <c:pt idx="249">
                  <c:v>1.1954829711735613E-2</c:v>
                </c:pt>
                <c:pt idx="250">
                  <c:v>1.1484270341592983E-2</c:v>
                </c:pt>
                <c:pt idx="251">
                  <c:v>1.5833838043435609E-2</c:v>
                </c:pt>
                <c:pt idx="252">
                  <c:v>1.8487047354776909E-2</c:v>
                </c:pt>
                <c:pt idx="253">
                  <c:v>1.6394097619812781E-2</c:v>
                </c:pt>
                <c:pt idx="254">
                  <c:v>2.2342300839216761E-2</c:v>
                </c:pt>
                <c:pt idx="255">
                  <c:v>1.9120823731931538E-2</c:v>
                </c:pt>
                <c:pt idx="256">
                  <c:v>1.9667617782655571E-2</c:v>
                </c:pt>
                <c:pt idx="257">
                  <c:v>1.895599846189177E-2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C-432A-AB8C-DD06F1285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94912"/>
        <c:axId val="1019400672"/>
      </c:lineChart>
      <c:catAx>
        <c:axId val="10193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400672"/>
        <c:crosses val="autoZero"/>
        <c:auto val="1"/>
        <c:lblAlgn val="ctr"/>
        <c:lblOffset val="100"/>
        <c:tickLblSkip val="28"/>
        <c:tickMarkSkip val="12"/>
        <c:noMultiLvlLbl val="0"/>
      </c:catAx>
      <c:valAx>
        <c:axId val="1019400672"/>
        <c:scaling>
          <c:orientation val="minMax"/>
          <c:max val="0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394912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eu_export!$A$2:$A$3259</c:f>
              <c:strCache>
                <c:ptCount val="258"/>
                <c:pt idx="0">
                  <c:v>AT</c:v>
                </c:pt>
                <c:pt idx="1">
                  <c:v>AT</c:v>
                </c:pt>
                <c:pt idx="2">
                  <c:v>AT</c:v>
                </c:pt>
                <c:pt idx="3">
                  <c:v>AT</c:v>
                </c:pt>
                <c:pt idx="4">
                  <c:v>AT</c:v>
                </c:pt>
                <c:pt idx="5">
                  <c:v>AT</c:v>
                </c:pt>
                <c:pt idx="6">
                  <c:v>AT</c:v>
                </c:pt>
                <c:pt idx="7">
                  <c:v>AT</c:v>
                </c:pt>
                <c:pt idx="8">
                  <c:v>AT</c:v>
                </c:pt>
                <c:pt idx="9">
                  <c:v>AT</c:v>
                </c:pt>
                <c:pt idx="10">
                  <c:v>AT</c:v>
                </c:pt>
                <c:pt idx="11">
                  <c:v>AT</c:v>
                </c:pt>
                <c:pt idx="12">
                  <c:v>AT</c:v>
                </c:pt>
                <c:pt idx="13">
                  <c:v>AT</c:v>
                </c:pt>
                <c:pt idx="14">
                  <c:v>AT</c:v>
                </c:pt>
                <c:pt idx="15">
                  <c:v>AT</c:v>
                </c:pt>
                <c:pt idx="16">
                  <c:v>AT</c:v>
                </c:pt>
                <c:pt idx="17">
                  <c:v>AT</c:v>
                </c:pt>
                <c:pt idx="18">
                  <c:v>AT</c:v>
                </c:pt>
                <c:pt idx="19">
                  <c:v>AT</c:v>
                </c:pt>
                <c:pt idx="20">
                  <c:v>AT</c:v>
                </c:pt>
                <c:pt idx="21">
                  <c:v>AT</c:v>
                </c:pt>
                <c:pt idx="22">
                  <c:v>AT</c:v>
                </c:pt>
                <c:pt idx="23">
                  <c:v>AT</c:v>
                </c:pt>
                <c:pt idx="26">
                  <c:v>BE</c:v>
                </c:pt>
                <c:pt idx="27">
                  <c:v>BE</c:v>
                </c:pt>
                <c:pt idx="28">
                  <c:v>BE</c:v>
                </c:pt>
                <c:pt idx="29">
                  <c:v>BE</c:v>
                </c:pt>
                <c:pt idx="30">
                  <c:v>BE</c:v>
                </c:pt>
                <c:pt idx="31">
                  <c:v>BE</c:v>
                </c:pt>
                <c:pt idx="32">
                  <c:v>BE</c:v>
                </c:pt>
                <c:pt idx="33">
                  <c:v>BE</c:v>
                </c:pt>
                <c:pt idx="34">
                  <c:v>BE</c:v>
                </c:pt>
                <c:pt idx="35">
                  <c:v>BE</c:v>
                </c:pt>
                <c:pt idx="36">
                  <c:v>BE</c:v>
                </c:pt>
                <c:pt idx="37">
                  <c:v>BE</c:v>
                </c:pt>
                <c:pt idx="38">
                  <c:v>BE</c:v>
                </c:pt>
                <c:pt idx="39">
                  <c:v>BE</c:v>
                </c:pt>
                <c:pt idx="40">
                  <c:v>BE</c:v>
                </c:pt>
                <c:pt idx="41">
                  <c:v>BE</c:v>
                </c:pt>
                <c:pt idx="42">
                  <c:v>BE</c:v>
                </c:pt>
                <c:pt idx="43">
                  <c:v>BE</c:v>
                </c:pt>
                <c:pt idx="44">
                  <c:v>BE</c:v>
                </c:pt>
                <c:pt idx="45">
                  <c:v>BE</c:v>
                </c:pt>
                <c:pt idx="46">
                  <c:v>BE</c:v>
                </c:pt>
                <c:pt idx="47">
                  <c:v>BE</c:v>
                </c:pt>
                <c:pt idx="48">
                  <c:v>BE</c:v>
                </c:pt>
                <c:pt idx="49">
                  <c:v>BE</c:v>
                </c:pt>
                <c:pt idx="52">
                  <c:v>DE</c:v>
                </c:pt>
                <c:pt idx="53">
                  <c:v>DE</c:v>
                </c:pt>
                <c:pt idx="54">
                  <c:v>DE</c:v>
                </c:pt>
                <c:pt idx="55">
                  <c:v>DE</c:v>
                </c:pt>
                <c:pt idx="56">
                  <c:v>DE</c:v>
                </c:pt>
                <c:pt idx="57">
                  <c:v>DE</c:v>
                </c:pt>
                <c:pt idx="58">
                  <c:v>DE</c:v>
                </c:pt>
                <c:pt idx="59">
                  <c:v>DE</c:v>
                </c:pt>
                <c:pt idx="60">
                  <c:v>DE</c:v>
                </c:pt>
                <c:pt idx="61">
                  <c:v>DE</c:v>
                </c:pt>
                <c:pt idx="62">
                  <c:v>DE</c:v>
                </c:pt>
                <c:pt idx="63">
                  <c:v>DE</c:v>
                </c:pt>
                <c:pt idx="64">
                  <c:v>DE</c:v>
                </c:pt>
                <c:pt idx="65">
                  <c:v>DE</c:v>
                </c:pt>
                <c:pt idx="66">
                  <c:v>DE</c:v>
                </c:pt>
                <c:pt idx="67">
                  <c:v>DE</c:v>
                </c:pt>
                <c:pt idx="68">
                  <c:v>DE</c:v>
                </c:pt>
                <c:pt idx="69">
                  <c:v>DE</c:v>
                </c:pt>
                <c:pt idx="70">
                  <c:v>DE</c:v>
                </c:pt>
                <c:pt idx="71">
                  <c:v>DE</c:v>
                </c:pt>
                <c:pt idx="72">
                  <c:v>DE</c:v>
                </c:pt>
                <c:pt idx="73">
                  <c:v>DE</c:v>
                </c:pt>
                <c:pt idx="74">
                  <c:v>DE</c:v>
                </c:pt>
                <c:pt idx="75">
                  <c:v>DE</c:v>
                </c:pt>
                <c:pt idx="78">
                  <c:v>ES</c:v>
                </c:pt>
                <c:pt idx="79">
                  <c:v>ES</c:v>
                </c:pt>
                <c:pt idx="80">
                  <c:v>ES</c:v>
                </c:pt>
                <c:pt idx="81">
                  <c:v>ES</c:v>
                </c:pt>
                <c:pt idx="82">
                  <c:v>ES</c:v>
                </c:pt>
                <c:pt idx="83">
                  <c:v>ES</c:v>
                </c:pt>
                <c:pt idx="84">
                  <c:v>ES</c:v>
                </c:pt>
                <c:pt idx="85">
                  <c:v>ES</c:v>
                </c:pt>
                <c:pt idx="86">
                  <c:v>ES</c:v>
                </c:pt>
                <c:pt idx="87">
                  <c:v>ES</c:v>
                </c:pt>
                <c:pt idx="88">
                  <c:v>ES</c:v>
                </c:pt>
                <c:pt idx="89">
                  <c:v>ES</c:v>
                </c:pt>
                <c:pt idx="90">
                  <c:v>ES</c:v>
                </c:pt>
                <c:pt idx="91">
                  <c:v>ES</c:v>
                </c:pt>
                <c:pt idx="92">
                  <c:v>ES</c:v>
                </c:pt>
                <c:pt idx="93">
                  <c:v>ES</c:v>
                </c:pt>
                <c:pt idx="94">
                  <c:v>ES</c:v>
                </c:pt>
                <c:pt idx="95">
                  <c:v>ES</c:v>
                </c:pt>
                <c:pt idx="96">
                  <c:v>ES</c:v>
                </c:pt>
                <c:pt idx="97">
                  <c:v>ES</c:v>
                </c:pt>
                <c:pt idx="98">
                  <c:v>ES</c:v>
                </c:pt>
                <c:pt idx="99">
                  <c:v>ES</c:v>
                </c:pt>
                <c:pt idx="100">
                  <c:v>ES</c:v>
                </c:pt>
                <c:pt idx="101">
                  <c:v>ES</c:v>
                </c:pt>
                <c:pt idx="104">
                  <c:v>FI</c:v>
                </c:pt>
                <c:pt idx="105">
                  <c:v>FI</c:v>
                </c:pt>
                <c:pt idx="106">
                  <c:v>FI</c:v>
                </c:pt>
                <c:pt idx="107">
                  <c:v>FI</c:v>
                </c:pt>
                <c:pt idx="108">
                  <c:v>FI</c:v>
                </c:pt>
                <c:pt idx="109">
                  <c:v>FI</c:v>
                </c:pt>
                <c:pt idx="110">
                  <c:v>FI</c:v>
                </c:pt>
                <c:pt idx="111">
                  <c:v>FI</c:v>
                </c:pt>
                <c:pt idx="112">
                  <c:v>FI</c:v>
                </c:pt>
                <c:pt idx="113">
                  <c:v>FI</c:v>
                </c:pt>
                <c:pt idx="114">
                  <c:v>FI</c:v>
                </c:pt>
                <c:pt idx="115">
                  <c:v>FI</c:v>
                </c:pt>
                <c:pt idx="116">
                  <c:v>FI</c:v>
                </c:pt>
                <c:pt idx="117">
                  <c:v>FI</c:v>
                </c:pt>
                <c:pt idx="118">
                  <c:v>FI</c:v>
                </c:pt>
                <c:pt idx="119">
                  <c:v>FI</c:v>
                </c:pt>
                <c:pt idx="120">
                  <c:v>FI</c:v>
                </c:pt>
                <c:pt idx="121">
                  <c:v>FI</c:v>
                </c:pt>
                <c:pt idx="122">
                  <c:v>FI</c:v>
                </c:pt>
                <c:pt idx="123">
                  <c:v>FI</c:v>
                </c:pt>
                <c:pt idx="124">
                  <c:v>FI</c:v>
                </c:pt>
                <c:pt idx="125">
                  <c:v>FI</c:v>
                </c:pt>
                <c:pt idx="126">
                  <c:v>FI</c:v>
                </c:pt>
                <c:pt idx="127">
                  <c:v>FI</c:v>
                </c:pt>
                <c:pt idx="130">
                  <c:v>FR</c:v>
                </c:pt>
                <c:pt idx="131">
                  <c:v>FR</c:v>
                </c:pt>
                <c:pt idx="132">
                  <c:v>FR</c:v>
                </c:pt>
                <c:pt idx="133">
                  <c:v>FR</c:v>
                </c:pt>
                <c:pt idx="134">
                  <c:v>FR</c:v>
                </c:pt>
                <c:pt idx="135">
                  <c:v>FR</c:v>
                </c:pt>
                <c:pt idx="136">
                  <c:v>FR</c:v>
                </c:pt>
                <c:pt idx="137">
                  <c:v>FR</c:v>
                </c:pt>
                <c:pt idx="138">
                  <c:v>FR</c:v>
                </c:pt>
                <c:pt idx="139">
                  <c:v>FR</c:v>
                </c:pt>
                <c:pt idx="140">
                  <c:v>FR</c:v>
                </c:pt>
                <c:pt idx="141">
                  <c:v>FR</c:v>
                </c:pt>
                <c:pt idx="142">
                  <c:v>FR</c:v>
                </c:pt>
                <c:pt idx="143">
                  <c:v>FR</c:v>
                </c:pt>
                <c:pt idx="144">
                  <c:v>FR</c:v>
                </c:pt>
                <c:pt idx="145">
                  <c:v>FR</c:v>
                </c:pt>
                <c:pt idx="146">
                  <c:v>FR</c:v>
                </c:pt>
                <c:pt idx="147">
                  <c:v>FR</c:v>
                </c:pt>
                <c:pt idx="148">
                  <c:v>FR</c:v>
                </c:pt>
                <c:pt idx="149">
                  <c:v>FR</c:v>
                </c:pt>
                <c:pt idx="150">
                  <c:v>FR</c:v>
                </c:pt>
                <c:pt idx="151">
                  <c:v>FR</c:v>
                </c:pt>
                <c:pt idx="152">
                  <c:v>FR</c:v>
                </c:pt>
                <c:pt idx="153">
                  <c:v>FR</c:v>
                </c:pt>
                <c:pt idx="156">
                  <c:v>IE</c:v>
                </c:pt>
                <c:pt idx="157">
                  <c:v>IE</c:v>
                </c:pt>
                <c:pt idx="158">
                  <c:v>IE</c:v>
                </c:pt>
                <c:pt idx="159">
                  <c:v>IE</c:v>
                </c:pt>
                <c:pt idx="160">
                  <c:v>IE</c:v>
                </c:pt>
                <c:pt idx="161">
                  <c:v>IE</c:v>
                </c:pt>
                <c:pt idx="162">
                  <c:v>IE</c:v>
                </c:pt>
                <c:pt idx="163">
                  <c:v>IE</c:v>
                </c:pt>
                <c:pt idx="164">
                  <c:v>IE</c:v>
                </c:pt>
                <c:pt idx="165">
                  <c:v>IE</c:v>
                </c:pt>
                <c:pt idx="166">
                  <c:v>IE</c:v>
                </c:pt>
                <c:pt idx="167">
                  <c:v>IE</c:v>
                </c:pt>
                <c:pt idx="168">
                  <c:v>IE</c:v>
                </c:pt>
                <c:pt idx="169">
                  <c:v>IE</c:v>
                </c:pt>
                <c:pt idx="170">
                  <c:v>IE</c:v>
                </c:pt>
                <c:pt idx="171">
                  <c:v>IE</c:v>
                </c:pt>
                <c:pt idx="172">
                  <c:v>IE</c:v>
                </c:pt>
                <c:pt idx="173">
                  <c:v>IE</c:v>
                </c:pt>
                <c:pt idx="174">
                  <c:v>IE</c:v>
                </c:pt>
                <c:pt idx="175">
                  <c:v>IE</c:v>
                </c:pt>
                <c:pt idx="176">
                  <c:v>IE</c:v>
                </c:pt>
                <c:pt idx="177">
                  <c:v>IE</c:v>
                </c:pt>
                <c:pt idx="178">
                  <c:v>IE</c:v>
                </c:pt>
                <c:pt idx="179">
                  <c:v>IE</c:v>
                </c:pt>
                <c:pt idx="182">
                  <c:v>IT</c:v>
                </c:pt>
                <c:pt idx="183">
                  <c:v>IT</c:v>
                </c:pt>
                <c:pt idx="184">
                  <c:v>IT</c:v>
                </c:pt>
                <c:pt idx="185">
                  <c:v>IT</c:v>
                </c:pt>
                <c:pt idx="186">
                  <c:v>IT</c:v>
                </c:pt>
                <c:pt idx="187">
                  <c:v>IT</c:v>
                </c:pt>
                <c:pt idx="188">
                  <c:v>IT</c:v>
                </c:pt>
                <c:pt idx="189">
                  <c:v>IT</c:v>
                </c:pt>
                <c:pt idx="190">
                  <c:v>IT</c:v>
                </c:pt>
                <c:pt idx="191">
                  <c:v>IT</c:v>
                </c:pt>
                <c:pt idx="192">
                  <c:v>IT</c:v>
                </c:pt>
                <c:pt idx="193">
                  <c:v>IT</c:v>
                </c:pt>
                <c:pt idx="194">
                  <c:v>IT</c:v>
                </c:pt>
                <c:pt idx="195">
                  <c:v>IT</c:v>
                </c:pt>
                <c:pt idx="196">
                  <c:v>IT</c:v>
                </c:pt>
                <c:pt idx="197">
                  <c:v>IT</c:v>
                </c:pt>
                <c:pt idx="198">
                  <c:v>IT</c:v>
                </c:pt>
                <c:pt idx="199">
                  <c:v>IT</c:v>
                </c:pt>
                <c:pt idx="200">
                  <c:v>IT</c:v>
                </c:pt>
                <c:pt idx="201">
                  <c:v>IT</c:v>
                </c:pt>
                <c:pt idx="202">
                  <c:v>IT</c:v>
                </c:pt>
                <c:pt idx="203">
                  <c:v>IT</c:v>
                </c:pt>
                <c:pt idx="204">
                  <c:v>IT</c:v>
                </c:pt>
                <c:pt idx="205">
                  <c:v>IT</c:v>
                </c:pt>
                <c:pt idx="208">
                  <c:v>NL</c:v>
                </c:pt>
                <c:pt idx="209">
                  <c:v>NL</c:v>
                </c:pt>
                <c:pt idx="210">
                  <c:v>NL</c:v>
                </c:pt>
                <c:pt idx="211">
                  <c:v>NL</c:v>
                </c:pt>
                <c:pt idx="212">
                  <c:v>NL</c:v>
                </c:pt>
                <c:pt idx="213">
                  <c:v>NL</c:v>
                </c:pt>
                <c:pt idx="214">
                  <c:v>NL</c:v>
                </c:pt>
                <c:pt idx="215">
                  <c:v>NL</c:v>
                </c:pt>
                <c:pt idx="216">
                  <c:v>NL</c:v>
                </c:pt>
                <c:pt idx="217">
                  <c:v>NL</c:v>
                </c:pt>
                <c:pt idx="218">
                  <c:v>NL</c:v>
                </c:pt>
                <c:pt idx="219">
                  <c:v>NL</c:v>
                </c:pt>
                <c:pt idx="220">
                  <c:v>NL</c:v>
                </c:pt>
                <c:pt idx="221">
                  <c:v>NL</c:v>
                </c:pt>
                <c:pt idx="222">
                  <c:v>NL</c:v>
                </c:pt>
                <c:pt idx="223">
                  <c:v>NL</c:v>
                </c:pt>
                <c:pt idx="224">
                  <c:v>NL</c:v>
                </c:pt>
                <c:pt idx="225">
                  <c:v>NL</c:v>
                </c:pt>
                <c:pt idx="226">
                  <c:v>NL</c:v>
                </c:pt>
                <c:pt idx="227">
                  <c:v>NL</c:v>
                </c:pt>
                <c:pt idx="228">
                  <c:v>NL</c:v>
                </c:pt>
                <c:pt idx="229">
                  <c:v>NL</c:v>
                </c:pt>
                <c:pt idx="230">
                  <c:v>NL</c:v>
                </c:pt>
                <c:pt idx="231">
                  <c:v>NL</c:v>
                </c:pt>
                <c:pt idx="234">
                  <c:v>PT</c:v>
                </c:pt>
                <c:pt idx="235">
                  <c:v>PT</c:v>
                </c:pt>
                <c:pt idx="236">
                  <c:v>PT</c:v>
                </c:pt>
                <c:pt idx="237">
                  <c:v>PT</c:v>
                </c:pt>
                <c:pt idx="238">
                  <c:v>PT</c:v>
                </c:pt>
                <c:pt idx="239">
                  <c:v>PT</c:v>
                </c:pt>
                <c:pt idx="240">
                  <c:v>PT</c:v>
                </c:pt>
                <c:pt idx="241">
                  <c:v>PT</c:v>
                </c:pt>
                <c:pt idx="242">
                  <c:v>PT</c:v>
                </c:pt>
                <c:pt idx="243">
                  <c:v>PT</c:v>
                </c:pt>
                <c:pt idx="244">
                  <c:v>PT</c:v>
                </c:pt>
                <c:pt idx="245">
                  <c:v>PT</c:v>
                </c:pt>
                <c:pt idx="246">
                  <c:v>PT</c:v>
                </c:pt>
                <c:pt idx="247">
                  <c:v>PT</c:v>
                </c:pt>
                <c:pt idx="248">
                  <c:v>PT</c:v>
                </c:pt>
                <c:pt idx="249">
                  <c:v>PT</c:v>
                </c:pt>
                <c:pt idx="250">
                  <c:v>PT</c:v>
                </c:pt>
                <c:pt idx="251">
                  <c:v>PT</c:v>
                </c:pt>
                <c:pt idx="252">
                  <c:v>PT</c:v>
                </c:pt>
                <c:pt idx="253">
                  <c:v>PT</c:v>
                </c:pt>
                <c:pt idx="254">
                  <c:v>PT</c:v>
                </c:pt>
                <c:pt idx="255">
                  <c:v>PT</c:v>
                </c:pt>
                <c:pt idx="256">
                  <c:v>PT</c:v>
                </c:pt>
                <c:pt idx="257">
                  <c:v>PT</c:v>
                </c:pt>
              </c:strCache>
            </c:strRef>
          </c:cat>
          <c:val>
            <c:numRef>
              <c:f>eu_export!$Z$2:$Z$259</c:f>
              <c:numCache>
                <c:formatCode>General</c:formatCode>
                <c:ptCount val="258"/>
                <c:pt idx="0">
                  <c:v>8.7186505783205023E-3</c:v>
                </c:pt>
                <c:pt idx="1">
                  <c:v>8.5488244628554935E-3</c:v>
                </c:pt>
                <c:pt idx="2">
                  <c:v>9.6118136880129212E-3</c:v>
                </c:pt>
                <c:pt idx="3">
                  <c:v>9.529266652152037E-3</c:v>
                </c:pt>
                <c:pt idx="4">
                  <c:v>9.0138372495781917E-3</c:v>
                </c:pt>
                <c:pt idx="5">
                  <c:v>1.3640715606854443E-2</c:v>
                </c:pt>
                <c:pt idx="6">
                  <c:v>1.3449225879964314E-2</c:v>
                </c:pt>
                <c:pt idx="7">
                  <c:v>1.3235364163866926E-2</c:v>
                </c:pt>
                <c:pt idx="8">
                  <c:v>1.3167925431608406E-2</c:v>
                </c:pt>
                <c:pt idx="9">
                  <c:v>1.3494158172740149E-2</c:v>
                </c:pt>
                <c:pt idx="10">
                  <c:v>1.3194919912421514E-2</c:v>
                </c:pt>
                <c:pt idx="11">
                  <c:v>1.1773308973209284E-2</c:v>
                </c:pt>
                <c:pt idx="12">
                  <c:v>1.2186604472040024E-2</c:v>
                </c:pt>
                <c:pt idx="13">
                  <c:v>1.3108735203286235E-2</c:v>
                </c:pt>
                <c:pt idx="14">
                  <c:v>1.2519310147869559E-2</c:v>
                </c:pt>
                <c:pt idx="15">
                  <c:v>1.3650120115794145E-2</c:v>
                </c:pt>
                <c:pt idx="16">
                  <c:v>1.4061985429539205E-2</c:v>
                </c:pt>
                <c:pt idx="17">
                  <c:v>1.4054042968040694E-2</c:v>
                </c:pt>
                <c:pt idx="18">
                  <c:v>1.557211789330565E-2</c:v>
                </c:pt>
                <c:pt idx="19">
                  <c:v>1.5972402412269805E-2</c:v>
                </c:pt>
                <c:pt idx="20">
                  <c:v>1.5869518828843996E-2</c:v>
                </c:pt>
                <c:pt idx="21">
                  <c:v>1.7966405986576683E-2</c:v>
                </c:pt>
                <c:pt idx="22">
                  <c:v>1.8509865548863282E-2</c:v>
                </c:pt>
                <c:pt idx="23">
                  <c:v>2.0285076939959432E-2</c:v>
                </c:pt>
                <c:pt idx="26">
                  <c:v>2.9852663274646104E-3</c:v>
                </c:pt>
                <c:pt idx="27">
                  <c:v>2.8633542410048392E-3</c:v>
                </c:pt>
                <c:pt idx="28">
                  <c:v>2.6556767453238326E-3</c:v>
                </c:pt>
                <c:pt idx="29">
                  <c:v>2.336912146454039E-3</c:v>
                </c:pt>
                <c:pt idx="30">
                  <c:v>1.7457579803223887E-3</c:v>
                </c:pt>
                <c:pt idx="31">
                  <c:v>2.6566828618110752E-3</c:v>
                </c:pt>
                <c:pt idx="32">
                  <c:v>3.1773827560180102E-3</c:v>
                </c:pt>
                <c:pt idx="33">
                  <c:v>2.9485994363750326E-3</c:v>
                </c:pt>
                <c:pt idx="34">
                  <c:v>2.9282832280493722E-3</c:v>
                </c:pt>
                <c:pt idx="35">
                  <c:v>3.1934133143500035E-3</c:v>
                </c:pt>
                <c:pt idx="36">
                  <c:v>3.4960629963736918E-3</c:v>
                </c:pt>
                <c:pt idx="37">
                  <c:v>3.6558821841646567E-3</c:v>
                </c:pt>
                <c:pt idx="38">
                  <c:v>3.8284150897778622E-3</c:v>
                </c:pt>
                <c:pt idx="39">
                  <c:v>3.5295270390896826E-3</c:v>
                </c:pt>
                <c:pt idx="40">
                  <c:v>3.6151810336600026E-3</c:v>
                </c:pt>
                <c:pt idx="41">
                  <c:v>3.7254996762727086E-3</c:v>
                </c:pt>
                <c:pt idx="42">
                  <c:v>3.5916993097003152E-3</c:v>
                </c:pt>
                <c:pt idx="43">
                  <c:v>4.0110237469229209E-3</c:v>
                </c:pt>
                <c:pt idx="44">
                  <c:v>5.0284680793810359E-3</c:v>
                </c:pt>
                <c:pt idx="45">
                  <c:v>5.0876124922115788E-3</c:v>
                </c:pt>
                <c:pt idx="46">
                  <c:v>3.2860065955329469E-3</c:v>
                </c:pt>
                <c:pt idx="47">
                  <c:v>3.3187838307934528E-3</c:v>
                </c:pt>
                <c:pt idx="48">
                  <c:v>3.4613982593798124E-3</c:v>
                </c:pt>
                <c:pt idx="49">
                  <c:v>4.0235386342927356E-3</c:v>
                </c:pt>
                <c:pt idx="52">
                  <c:v>1.2419814819519957E-2</c:v>
                </c:pt>
                <c:pt idx="53">
                  <c:v>1.100349855948643E-2</c:v>
                </c:pt>
                <c:pt idx="54">
                  <c:v>1.1224739396265703E-2</c:v>
                </c:pt>
                <c:pt idx="55">
                  <c:v>1.1507775808490821E-2</c:v>
                </c:pt>
                <c:pt idx="56">
                  <c:v>1.0122286326512735E-2</c:v>
                </c:pt>
                <c:pt idx="57">
                  <c:v>1.5162491183650232E-2</c:v>
                </c:pt>
                <c:pt idx="58">
                  <c:v>1.5410033353851549E-2</c:v>
                </c:pt>
                <c:pt idx="59">
                  <c:v>1.4612975836390119E-2</c:v>
                </c:pt>
                <c:pt idx="60">
                  <c:v>1.4963192405179064E-2</c:v>
                </c:pt>
                <c:pt idx="61">
                  <c:v>1.5281828866760981E-2</c:v>
                </c:pt>
                <c:pt idx="62">
                  <c:v>1.378137314291809E-2</c:v>
                </c:pt>
                <c:pt idx="63">
                  <c:v>1.3358615965128542E-2</c:v>
                </c:pt>
                <c:pt idx="64">
                  <c:v>1.3061986238092568E-2</c:v>
                </c:pt>
                <c:pt idx="65">
                  <c:v>1.3122349531427387E-2</c:v>
                </c:pt>
                <c:pt idx="66">
                  <c:v>1.3428611607489786E-2</c:v>
                </c:pt>
                <c:pt idx="67">
                  <c:v>1.4669217241608313E-2</c:v>
                </c:pt>
                <c:pt idx="68">
                  <c:v>1.4917710159152343E-2</c:v>
                </c:pt>
                <c:pt idx="69">
                  <c:v>1.5560046815819172E-2</c:v>
                </c:pt>
                <c:pt idx="70">
                  <c:v>1.5268181843629481E-2</c:v>
                </c:pt>
                <c:pt idx="71">
                  <c:v>1.4685326790894506E-2</c:v>
                </c:pt>
                <c:pt idx="72">
                  <c:v>1.3660173161915999E-2</c:v>
                </c:pt>
                <c:pt idx="73">
                  <c:v>1.513246000218137E-2</c:v>
                </c:pt>
                <c:pt idx="74">
                  <c:v>1.5795876357818667E-2</c:v>
                </c:pt>
                <c:pt idx="75">
                  <c:v>1.5302614339430157E-2</c:v>
                </c:pt>
                <c:pt idx="78">
                  <c:v>2.8158147653011972E-3</c:v>
                </c:pt>
                <c:pt idx="79">
                  <c:v>2.5546699590423992E-3</c:v>
                </c:pt>
                <c:pt idx="80">
                  <c:v>2.580282630312002E-3</c:v>
                </c:pt>
                <c:pt idx="81">
                  <c:v>2.5790677716490307E-3</c:v>
                </c:pt>
                <c:pt idx="82">
                  <c:v>2.1989381848712976E-3</c:v>
                </c:pt>
                <c:pt idx="83">
                  <c:v>4.2189837153447426E-3</c:v>
                </c:pt>
                <c:pt idx="84">
                  <c:v>3.722594492286721E-3</c:v>
                </c:pt>
                <c:pt idx="85">
                  <c:v>4.0777711873022293E-3</c:v>
                </c:pt>
                <c:pt idx="86">
                  <c:v>3.5096967978060097E-3</c:v>
                </c:pt>
                <c:pt idx="87">
                  <c:v>3.4614642927846173E-3</c:v>
                </c:pt>
                <c:pt idx="88">
                  <c:v>3.6793984903095308E-3</c:v>
                </c:pt>
                <c:pt idx="89">
                  <c:v>4.3064271439716304E-3</c:v>
                </c:pt>
                <c:pt idx="90">
                  <c:v>4.0347459530967501E-3</c:v>
                </c:pt>
                <c:pt idx="91">
                  <c:v>3.8452579530001874E-3</c:v>
                </c:pt>
                <c:pt idx="92">
                  <c:v>3.8091993432997936E-3</c:v>
                </c:pt>
                <c:pt idx="93">
                  <c:v>3.7861725040588064E-3</c:v>
                </c:pt>
                <c:pt idx="94">
                  <c:v>3.8464307148098941E-3</c:v>
                </c:pt>
                <c:pt idx="95">
                  <c:v>3.8669503874311072E-3</c:v>
                </c:pt>
                <c:pt idx="96">
                  <c:v>3.370205122345535E-3</c:v>
                </c:pt>
                <c:pt idx="97">
                  <c:v>3.1307121395750914E-3</c:v>
                </c:pt>
                <c:pt idx="98">
                  <c:v>2.9347607588553789E-3</c:v>
                </c:pt>
                <c:pt idx="99">
                  <c:v>3.2180494632509222E-3</c:v>
                </c:pt>
                <c:pt idx="100">
                  <c:v>3.4532802437714314E-3</c:v>
                </c:pt>
                <c:pt idx="101">
                  <c:v>3.3410726111224227E-3</c:v>
                </c:pt>
                <c:pt idx="104">
                  <c:v>8.1717593127082211E-3</c:v>
                </c:pt>
                <c:pt idx="105">
                  <c:v>6.7969672655807051E-3</c:v>
                </c:pt>
                <c:pt idx="106">
                  <c:v>6.8069406235058546E-3</c:v>
                </c:pt>
                <c:pt idx="107">
                  <c:v>6.6837327355406782E-3</c:v>
                </c:pt>
                <c:pt idx="108">
                  <c:v>4.861246272818448E-3</c:v>
                </c:pt>
                <c:pt idx="109">
                  <c:v>1.1725552170266591E-2</c:v>
                </c:pt>
                <c:pt idx="110">
                  <c:v>1.5925992325769859E-2</c:v>
                </c:pt>
                <c:pt idx="111">
                  <c:v>1.8371802952665262E-2</c:v>
                </c:pt>
                <c:pt idx="112">
                  <c:v>1.6853896935934462E-2</c:v>
                </c:pt>
                <c:pt idx="113">
                  <c:v>1.3802154801682225E-2</c:v>
                </c:pt>
                <c:pt idx="114">
                  <c:v>1.5649481539828428E-2</c:v>
                </c:pt>
                <c:pt idx="115">
                  <c:v>1.4571273800664135E-2</c:v>
                </c:pt>
                <c:pt idx="116">
                  <c:v>1.2917032156254862E-2</c:v>
                </c:pt>
                <c:pt idx="117">
                  <c:v>1.3488851500324769E-2</c:v>
                </c:pt>
                <c:pt idx="118">
                  <c:v>1.3504068104213047E-2</c:v>
                </c:pt>
                <c:pt idx="119">
                  <c:v>1.0931367280795369E-2</c:v>
                </c:pt>
                <c:pt idx="120">
                  <c:v>1.0981615578254413E-2</c:v>
                </c:pt>
                <c:pt idx="121">
                  <c:v>1.1409627477940925E-2</c:v>
                </c:pt>
                <c:pt idx="122">
                  <c:v>1.367054442358585E-2</c:v>
                </c:pt>
                <c:pt idx="123">
                  <c:v>1.1587671487517118E-2</c:v>
                </c:pt>
                <c:pt idx="124">
                  <c:v>1.2587267806003232E-2</c:v>
                </c:pt>
                <c:pt idx="125">
                  <c:v>1.3114159218554335E-2</c:v>
                </c:pt>
                <c:pt idx="126">
                  <c:v>1.6306425929272457E-2</c:v>
                </c:pt>
                <c:pt idx="127">
                  <c:v>1.5373212106239764E-2</c:v>
                </c:pt>
                <c:pt idx="130">
                  <c:v>4.0949603312642555E-3</c:v>
                </c:pt>
                <c:pt idx="131">
                  <c:v>3.6208944531542693E-3</c:v>
                </c:pt>
                <c:pt idx="132">
                  <c:v>3.7899676258530994E-3</c:v>
                </c:pt>
                <c:pt idx="133">
                  <c:v>3.9350325924999759E-3</c:v>
                </c:pt>
                <c:pt idx="134">
                  <c:v>3.2190659571796E-3</c:v>
                </c:pt>
                <c:pt idx="135">
                  <c:v>3.9987858383307073E-3</c:v>
                </c:pt>
                <c:pt idx="136">
                  <c:v>3.9753524289766681E-3</c:v>
                </c:pt>
                <c:pt idx="137">
                  <c:v>3.7826709027677188E-3</c:v>
                </c:pt>
                <c:pt idx="138">
                  <c:v>3.4455821051277641E-3</c:v>
                </c:pt>
                <c:pt idx="139">
                  <c:v>3.6948075986172652E-3</c:v>
                </c:pt>
                <c:pt idx="140">
                  <c:v>3.7658667432105587E-3</c:v>
                </c:pt>
                <c:pt idx="141">
                  <c:v>3.5490062621284296E-3</c:v>
                </c:pt>
                <c:pt idx="142">
                  <c:v>3.5531026113363928E-3</c:v>
                </c:pt>
                <c:pt idx="143">
                  <c:v>3.6119463494200242E-3</c:v>
                </c:pt>
                <c:pt idx="144">
                  <c:v>3.9200012903227478E-3</c:v>
                </c:pt>
                <c:pt idx="145">
                  <c:v>4.0883786985275406E-3</c:v>
                </c:pt>
                <c:pt idx="146">
                  <c:v>3.9700676013226755E-3</c:v>
                </c:pt>
                <c:pt idx="147">
                  <c:v>3.856428577772911E-3</c:v>
                </c:pt>
                <c:pt idx="148">
                  <c:v>3.9759653021141988E-3</c:v>
                </c:pt>
                <c:pt idx="149">
                  <c:v>3.8400385187374857E-3</c:v>
                </c:pt>
                <c:pt idx="150">
                  <c:v>4.0386071912081201E-3</c:v>
                </c:pt>
                <c:pt idx="151">
                  <c:v>3.9708355106279824E-3</c:v>
                </c:pt>
                <c:pt idx="152">
                  <c:v>4.0894400849804243E-3</c:v>
                </c:pt>
                <c:pt idx="153">
                  <c:v>4.2428691948334686E-3</c:v>
                </c:pt>
                <c:pt idx="156">
                  <c:v>1.086205910803823E-3</c:v>
                </c:pt>
                <c:pt idx="157">
                  <c:v>7.8987334668739024E-4</c:v>
                </c:pt>
                <c:pt idx="158">
                  <c:v>8.4332488152867699E-4</c:v>
                </c:pt>
                <c:pt idx="159">
                  <c:v>7.578388916423004E-4</c:v>
                </c:pt>
                <c:pt idx="160">
                  <c:v>9.5915828785055458E-4</c:v>
                </c:pt>
                <c:pt idx="161">
                  <c:v>1.4570156944493898E-3</c:v>
                </c:pt>
                <c:pt idx="162">
                  <c:v>1.0739167509583557E-3</c:v>
                </c:pt>
                <c:pt idx="163">
                  <c:v>1.0703519930922425E-3</c:v>
                </c:pt>
                <c:pt idx="164">
                  <c:v>1.1488295891657972E-3</c:v>
                </c:pt>
                <c:pt idx="165">
                  <c:v>1.6071278515481953E-3</c:v>
                </c:pt>
                <c:pt idx="166">
                  <c:v>1.3195467352797752E-3</c:v>
                </c:pt>
                <c:pt idx="167">
                  <c:v>1.6088234664580229E-3</c:v>
                </c:pt>
                <c:pt idx="168">
                  <c:v>2.1139502147876476E-3</c:v>
                </c:pt>
                <c:pt idx="169">
                  <c:v>1.9911772106934351E-3</c:v>
                </c:pt>
                <c:pt idx="170">
                  <c:v>1.7653732057067314E-3</c:v>
                </c:pt>
                <c:pt idx="171">
                  <c:v>1.8285541763101184E-3</c:v>
                </c:pt>
                <c:pt idx="172">
                  <c:v>2.2133540661463465E-3</c:v>
                </c:pt>
                <c:pt idx="173">
                  <c:v>1.7121673533791099E-3</c:v>
                </c:pt>
                <c:pt idx="174">
                  <c:v>1.4731346269261404E-3</c:v>
                </c:pt>
                <c:pt idx="175">
                  <c:v>1.5583195227185116E-3</c:v>
                </c:pt>
                <c:pt idx="176">
                  <c:v>1.476289583720401E-3</c:v>
                </c:pt>
                <c:pt idx="177">
                  <c:v>1.8761503039292488E-3</c:v>
                </c:pt>
                <c:pt idx="178">
                  <c:v>2.0338207832352366E-3</c:v>
                </c:pt>
                <c:pt idx="179">
                  <c:v>1.5509752208354155E-3</c:v>
                </c:pt>
                <c:pt idx="182">
                  <c:v>1.1585132599380998E-2</c:v>
                </c:pt>
                <c:pt idx="183">
                  <c:v>1.1270116502412818E-2</c:v>
                </c:pt>
                <c:pt idx="184">
                  <c:v>1.0980232918186696E-2</c:v>
                </c:pt>
                <c:pt idx="185">
                  <c:v>1.1749970673265987E-2</c:v>
                </c:pt>
                <c:pt idx="186">
                  <c:v>7.3226331449865716E-3</c:v>
                </c:pt>
                <c:pt idx="187">
                  <c:v>1.6734913965453405E-2</c:v>
                </c:pt>
                <c:pt idx="188">
                  <c:v>1.653204062896502E-2</c:v>
                </c:pt>
                <c:pt idx="189">
                  <c:v>1.5621847671430766E-2</c:v>
                </c:pt>
                <c:pt idx="190">
                  <c:v>1.5834402936359893E-2</c:v>
                </c:pt>
                <c:pt idx="191">
                  <c:v>1.6686059075484101E-2</c:v>
                </c:pt>
                <c:pt idx="192">
                  <c:v>1.4318507021269763E-2</c:v>
                </c:pt>
                <c:pt idx="193">
                  <c:v>1.4022954998743127E-2</c:v>
                </c:pt>
                <c:pt idx="194">
                  <c:v>1.4901991205543792E-2</c:v>
                </c:pt>
                <c:pt idx="195">
                  <c:v>1.4881409847656025E-2</c:v>
                </c:pt>
                <c:pt idx="196">
                  <c:v>1.5006616147043414E-2</c:v>
                </c:pt>
                <c:pt idx="197">
                  <c:v>1.4403868380429773E-2</c:v>
                </c:pt>
                <c:pt idx="198">
                  <c:v>1.4356141850652192E-2</c:v>
                </c:pt>
                <c:pt idx="199">
                  <c:v>1.3903217721859684E-2</c:v>
                </c:pt>
                <c:pt idx="200">
                  <c:v>1.315064142598291E-2</c:v>
                </c:pt>
                <c:pt idx="201">
                  <c:v>1.2304906104368749E-2</c:v>
                </c:pt>
                <c:pt idx="202">
                  <c:v>1.1402683428158998E-2</c:v>
                </c:pt>
                <c:pt idx="203">
                  <c:v>1.2050041895373075E-2</c:v>
                </c:pt>
                <c:pt idx="204">
                  <c:v>1.1906156316660968E-2</c:v>
                </c:pt>
                <c:pt idx="205">
                  <c:v>1.1448242546651647E-2</c:v>
                </c:pt>
                <c:pt idx="208">
                  <c:v>4.5604543149482578E-3</c:v>
                </c:pt>
                <c:pt idx="209">
                  <c:v>4.5183424801318681E-3</c:v>
                </c:pt>
                <c:pt idx="210">
                  <c:v>4.3505646400105171E-3</c:v>
                </c:pt>
                <c:pt idx="211">
                  <c:v>4.163069833834126E-3</c:v>
                </c:pt>
                <c:pt idx="212">
                  <c:v>3.1874007433566414E-3</c:v>
                </c:pt>
                <c:pt idx="213">
                  <c:v>1.4864295101443695E-2</c:v>
                </c:pt>
                <c:pt idx="214">
                  <c:v>1.2065563124418158E-2</c:v>
                </c:pt>
                <c:pt idx="215">
                  <c:v>9.4546528724576227E-3</c:v>
                </c:pt>
                <c:pt idx="216">
                  <c:v>1.5443300623205199E-2</c:v>
                </c:pt>
                <c:pt idx="217">
                  <c:v>1.7903703965349526E-2</c:v>
                </c:pt>
                <c:pt idx="218">
                  <c:v>1.2492146832110546E-2</c:v>
                </c:pt>
                <c:pt idx="219">
                  <c:v>1.3475137504732766E-2</c:v>
                </c:pt>
                <c:pt idx="220">
                  <c:v>1.5307706950784126E-2</c:v>
                </c:pt>
                <c:pt idx="221">
                  <c:v>1.5175644142501311E-2</c:v>
                </c:pt>
                <c:pt idx="222">
                  <c:v>1.5145066098524902E-2</c:v>
                </c:pt>
                <c:pt idx="223">
                  <c:v>1.8788091184701025E-2</c:v>
                </c:pt>
                <c:pt idx="224">
                  <c:v>2.2734576035532413E-2</c:v>
                </c:pt>
                <c:pt idx="225">
                  <c:v>2.3622568797765506E-2</c:v>
                </c:pt>
                <c:pt idx="226">
                  <c:v>2.641306924736125E-2</c:v>
                </c:pt>
                <c:pt idx="227">
                  <c:v>2.7578636845954199E-2</c:v>
                </c:pt>
                <c:pt idx="228">
                  <c:v>2.520117743890642E-2</c:v>
                </c:pt>
                <c:pt idx="229">
                  <c:v>2.9465996338497544E-2</c:v>
                </c:pt>
                <c:pt idx="230">
                  <c:v>3.2144586427453339E-2</c:v>
                </c:pt>
                <c:pt idx="231">
                  <c:v>3.3282749426086986E-2</c:v>
                </c:pt>
                <c:pt idx="234">
                  <c:v>2.3992172553027524E-3</c:v>
                </c:pt>
                <c:pt idx="235">
                  <c:v>2.2109150675048315E-3</c:v>
                </c:pt>
                <c:pt idx="236">
                  <c:v>2.1472148899481917E-3</c:v>
                </c:pt>
                <c:pt idx="237">
                  <c:v>2.5604278507725333E-3</c:v>
                </c:pt>
                <c:pt idx="238">
                  <c:v>2.0678614737792448E-3</c:v>
                </c:pt>
                <c:pt idx="239">
                  <c:v>3.8581483144649329E-3</c:v>
                </c:pt>
                <c:pt idx="240">
                  <c:v>3.9646405243488492E-3</c:v>
                </c:pt>
                <c:pt idx="241">
                  <c:v>3.5445965436619567E-3</c:v>
                </c:pt>
                <c:pt idx="242">
                  <c:v>3.1428849102338743E-3</c:v>
                </c:pt>
                <c:pt idx="243">
                  <c:v>3.4270366480898535E-3</c:v>
                </c:pt>
                <c:pt idx="244">
                  <c:v>3.595444005272844E-3</c:v>
                </c:pt>
                <c:pt idx="245">
                  <c:v>3.2615815638997853E-3</c:v>
                </c:pt>
                <c:pt idx="246">
                  <c:v>3.5622361340979071E-3</c:v>
                </c:pt>
                <c:pt idx="247">
                  <c:v>3.3369544556499796E-3</c:v>
                </c:pt>
                <c:pt idx="248">
                  <c:v>3.8779667200538807E-3</c:v>
                </c:pt>
                <c:pt idx="249">
                  <c:v>3.6590765389076059E-3</c:v>
                </c:pt>
                <c:pt idx="250">
                  <c:v>4.08574975361719E-3</c:v>
                </c:pt>
                <c:pt idx="251">
                  <c:v>3.8096756264579547E-3</c:v>
                </c:pt>
                <c:pt idx="252">
                  <c:v>3.8055470744129747E-3</c:v>
                </c:pt>
                <c:pt idx="253">
                  <c:v>3.0190786430604193E-3</c:v>
                </c:pt>
                <c:pt idx="254">
                  <c:v>2.7970063674406238E-3</c:v>
                </c:pt>
                <c:pt idx="255">
                  <c:v>3.1018610361149544E-3</c:v>
                </c:pt>
                <c:pt idx="256">
                  <c:v>3.095195668184861E-3</c:v>
                </c:pt>
                <c:pt idx="257">
                  <c:v>2.7775569771385077E-3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8-4F56-B4C7-F882193B6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94912"/>
        <c:axId val="1019400672"/>
      </c:lineChart>
      <c:catAx>
        <c:axId val="10193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400672"/>
        <c:crosses val="autoZero"/>
        <c:auto val="1"/>
        <c:lblAlgn val="ctr"/>
        <c:lblOffset val="100"/>
        <c:tickLblSkip val="28"/>
        <c:tickMarkSkip val="12"/>
        <c:noMultiLvlLbl val="0"/>
      </c:catAx>
      <c:valAx>
        <c:axId val="1019400672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394912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Corr_exposure_data!$AB$3</c:f>
              <c:strCache>
                <c:ptCount val="1"/>
                <c:pt idx="0">
                  <c:v>2000-26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Corr_exposure_data!$AA$4:$AA$13</c:f>
              <c:strCache>
                <c:ptCount val="10"/>
                <c:pt idx="0">
                  <c:v>AT</c:v>
                </c:pt>
                <c:pt idx="1">
                  <c:v>BE</c:v>
                </c:pt>
                <c:pt idx="2">
                  <c:v>DE</c:v>
                </c:pt>
                <c:pt idx="3">
                  <c:v>ES</c:v>
                </c:pt>
                <c:pt idx="4">
                  <c:v>FR</c:v>
                </c:pt>
                <c:pt idx="5">
                  <c:v>IT</c:v>
                </c:pt>
                <c:pt idx="6">
                  <c:v>NL</c:v>
                </c:pt>
                <c:pt idx="7">
                  <c:v>FI</c:v>
                </c:pt>
                <c:pt idx="8">
                  <c:v>IE</c:v>
                </c:pt>
                <c:pt idx="9">
                  <c:v>PT</c:v>
                </c:pt>
              </c:strCache>
            </c:strRef>
          </c:cat>
          <c:val>
            <c:numRef>
              <c:f>Corr_exposure_data!$AB$4:$AB$13</c:f>
              <c:numCache>
                <c:formatCode>0.00</c:formatCode>
                <c:ptCount val="10"/>
                <c:pt idx="0">
                  <c:v>0.64612645280494518</c:v>
                </c:pt>
                <c:pt idx="1">
                  <c:v>0.60388411490457605</c:v>
                </c:pt>
                <c:pt idx="2">
                  <c:v>0.7010314946762255</c:v>
                </c:pt>
                <c:pt idx="3">
                  <c:v>0.58075525092987967</c:v>
                </c:pt>
                <c:pt idx="4">
                  <c:v>0.6679515790292756</c:v>
                </c:pt>
                <c:pt idx="5">
                  <c:v>0.63938045859696901</c:v>
                </c:pt>
                <c:pt idx="6">
                  <c:v>0.72698071142974674</c:v>
                </c:pt>
                <c:pt idx="7">
                  <c:v>0.57037267357179189</c:v>
                </c:pt>
                <c:pt idx="8">
                  <c:v>0.63328456531058652</c:v>
                </c:pt>
                <c:pt idx="9">
                  <c:v>0.45433252306800165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2-4B75-950C-24369A2B7D17}"/>
            </c:ext>
          </c:extLst>
        </c:ser>
        <c:ser>
          <c:idx val="1"/>
          <c:order val="1"/>
          <c:tx>
            <c:strRef>
              <c:f>Corr_exposure_data!$AC$3</c:f>
              <c:strCache>
                <c:ptCount val="1"/>
                <c:pt idx="0">
                  <c:v>2020-26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Corr_exposure_data!$AA$4:$AA$13</c:f>
              <c:strCache>
                <c:ptCount val="10"/>
                <c:pt idx="0">
                  <c:v>AT</c:v>
                </c:pt>
                <c:pt idx="1">
                  <c:v>BE</c:v>
                </c:pt>
                <c:pt idx="2">
                  <c:v>DE</c:v>
                </c:pt>
                <c:pt idx="3">
                  <c:v>ES</c:v>
                </c:pt>
                <c:pt idx="4">
                  <c:v>FR</c:v>
                </c:pt>
                <c:pt idx="5">
                  <c:v>IT</c:v>
                </c:pt>
                <c:pt idx="6">
                  <c:v>NL</c:v>
                </c:pt>
                <c:pt idx="7">
                  <c:v>FI</c:v>
                </c:pt>
                <c:pt idx="8">
                  <c:v>IE</c:v>
                </c:pt>
                <c:pt idx="9">
                  <c:v>PT</c:v>
                </c:pt>
              </c:strCache>
            </c:strRef>
          </c:cat>
          <c:val>
            <c:numRef>
              <c:f>Corr_exposure_data!$AC$4:$AC$13</c:f>
              <c:numCache>
                <c:formatCode>0.00</c:formatCode>
                <c:ptCount val="10"/>
                <c:pt idx="0">
                  <c:v>0.62054625643437888</c:v>
                </c:pt>
                <c:pt idx="1">
                  <c:v>0.59272125464094505</c:v>
                </c:pt>
                <c:pt idx="2">
                  <c:v>0.67335462029791171</c:v>
                </c:pt>
                <c:pt idx="3">
                  <c:v>0.57843776685538395</c:v>
                </c:pt>
                <c:pt idx="4">
                  <c:v>0.66675647008638406</c:v>
                </c:pt>
                <c:pt idx="5">
                  <c:v>0.69053640090348223</c:v>
                </c:pt>
                <c:pt idx="6">
                  <c:v>0.81952708707409438</c:v>
                </c:pt>
                <c:pt idx="7">
                  <c:v>0.5865708812884457</c:v>
                </c:pt>
                <c:pt idx="8">
                  <c:v>0.72076768278638115</c:v>
                </c:pt>
                <c:pt idx="9">
                  <c:v>0.39684417032587227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2-4B75-950C-24369A2B7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204095"/>
        <c:axId val="1653775983"/>
      </c:barChart>
      <c:catAx>
        <c:axId val="190820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53775983"/>
        <c:crosses val="autoZero"/>
        <c:auto val="1"/>
        <c:lblAlgn val="ctr"/>
        <c:lblOffset val="100"/>
        <c:noMultiLvlLbl val="0"/>
      </c:catAx>
      <c:valAx>
        <c:axId val="165377598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082040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index_sox!$C$1</c:f>
              <c:strCache>
                <c:ptCount val="1"/>
                <c:pt idx="0">
                  <c:v>Semiconductor index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index_sox!$L$30:$L$107</c:f>
              <c:strCache>
                <c:ptCount val="78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  <c:pt idx="71">
                  <c:v>2024Q4</c:v>
                </c:pt>
                <c:pt idx="72">
                  <c:v>2025Q1</c:v>
                </c:pt>
                <c:pt idx="73">
                  <c:v>2025Q2</c:v>
                </c:pt>
                <c:pt idx="74">
                  <c:v>2025Q3</c:v>
                </c:pt>
                <c:pt idx="75">
                  <c:v>2025Q4</c:v>
                </c:pt>
                <c:pt idx="76">
                  <c:v>2026Q1</c:v>
                </c:pt>
                <c:pt idx="77">
                  <c:v>2026Q2</c:v>
                </c:pt>
              </c:strCache>
            </c:strRef>
          </c:cat>
          <c:val>
            <c:numRef>
              <c:f>index_sox!$P$30:$P$107</c:f>
              <c:numCache>
                <c:formatCode>General</c:formatCode>
                <c:ptCount val="78"/>
                <c:pt idx="0">
                  <c:v>89.453441743701674</c:v>
                </c:pt>
                <c:pt idx="1">
                  <c:v>91.524849514072713</c:v>
                </c:pt>
                <c:pt idx="2">
                  <c:v>95.160413597029319</c:v>
                </c:pt>
                <c:pt idx="3">
                  <c:v>80.459529513282206</c:v>
                </c:pt>
                <c:pt idx="4">
                  <c:v>80.827116674862239</c:v>
                </c:pt>
                <c:pt idx="5">
                  <c:v>91.477794607545221</c:v>
                </c:pt>
                <c:pt idx="6">
                  <c:v>86.178130793667677</c:v>
                </c:pt>
                <c:pt idx="7">
                  <c:v>77.477806008295289</c:v>
                </c:pt>
                <c:pt idx="8">
                  <c:v>94.088273733880129</c:v>
                </c:pt>
                <c:pt idx="9">
                  <c:v>91.925024121163347</c:v>
                </c:pt>
                <c:pt idx="10">
                  <c:v>96.597408510857917</c:v>
                </c:pt>
                <c:pt idx="11">
                  <c:v>102.22046806232652</c:v>
                </c:pt>
                <c:pt idx="12">
                  <c:v>100</c:v>
                </c:pt>
                <c:pt idx="13">
                  <c:v>98.195494597654374</c:v>
                </c:pt>
                <c:pt idx="14">
                  <c:v>96.684667448676635</c:v>
                </c:pt>
                <c:pt idx="15">
                  <c:v>106.88958650881004</c:v>
                </c:pt>
                <c:pt idx="16">
                  <c:v>113.97941139927556</c:v>
                </c:pt>
                <c:pt idx="17">
                  <c:v>108.13185316241918</c:v>
                </c:pt>
                <c:pt idx="18">
                  <c:v>107.709470986428</c:v>
                </c:pt>
                <c:pt idx="19">
                  <c:v>107.15567538715848</c:v>
                </c:pt>
                <c:pt idx="20">
                  <c:v>119.77424775322841</c:v>
                </c:pt>
                <c:pt idx="21">
                  <c:v>110.34447253780193</c:v>
                </c:pt>
                <c:pt idx="22">
                  <c:v>102.37579811581206</c:v>
                </c:pt>
                <c:pt idx="23">
                  <c:v>99.102954715248842</c:v>
                </c:pt>
                <c:pt idx="24">
                  <c:v>106.92280154214457</c:v>
                </c:pt>
                <c:pt idx="25">
                  <c:v>118.2275024845802</c:v>
                </c:pt>
                <c:pt idx="26">
                  <c:v>113.72988141560234</c:v>
                </c:pt>
                <c:pt idx="27">
                  <c:v>117.65405989139248</c:v>
                </c:pt>
                <c:pt idx="28">
                  <c:v>126.25409259980979</c:v>
                </c:pt>
                <c:pt idx="29">
                  <c:v>133.81665776948131</c:v>
                </c:pt>
                <c:pt idx="30">
                  <c:v>133.87547974291758</c:v>
                </c:pt>
                <c:pt idx="31">
                  <c:v>144.89181385339629</c:v>
                </c:pt>
                <c:pt idx="32">
                  <c:v>125.92594584265176</c:v>
                </c:pt>
                <c:pt idx="33">
                  <c:v>128.38804641697848</c:v>
                </c:pt>
                <c:pt idx="34">
                  <c:v>124.67513085430497</c:v>
                </c:pt>
                <c:pt idx="35">
                  <c:v>129.80257826973934</c:v>
                </c:pt>
                <c:pt idx="36">
                  <c:v>144.25869212997264</c:v>
                </c:pt>
                <c:pt idx="37">
                  <c:v>150.8315091051773</c:v>
                </c:pt>
                <c:pt idx="38">
                  <c:v>175.28902548570366</c:v>
                </c:pt>
                <c:pt idx="39">
                  <c:v>180.42236188263118</c:v>
                </c:pt>
                <c:pt idx="40">
                  <c:v>190.89192323021069</c:v>
                </c:pt>
                <c:pt idx="41">
                  <c:v>196.24055290111951</c:v>
                </c:pt>
                <c:pt idx="42">
                  <c:v>217.15488773206135</c:v>
                </c:pt>
                <c:pt idx="43">
                  <c:v>231.61519743499022</c:v>
                </c:pt>
                <c:pt idx="44">
                  <c:v>257.76250926423518</c:v>
                </c:pt>
                <c:pt idx="45">
                  <c:v>248.73777463646843</c:v>
                </c:pt>
                <c:pt idx="46">
                  <c:v>256.58556319775664</c:v>
                </c:pt>
                <c:pt idx="47">
                  <c:v>247.14884397702562</c:v>
                </c:pt>
                <c:pt idx="48">
                  <c:v>264.81328688717883</c:v>
                </c:pt>
                <c:pt idx="49">
                  <c:v>272.69580632119767</c:v>
                </c:pt>
                <c:pt idx="50">
                  <c:v>285.21169738204975</c:v>
                </c:pt>
                <c:pt idx="51">
                  <c:v>319.71342072749411</c:v>
                </c:pt>
                <c:pt idx="52">
                  <c:v>339.51919928048892</c:v>
                </c:pt>
                <c:pt idx="53">
                  <c:v>398.55927496155039</c:v>
                </c:pt>
                <c:pt idx="54">
                  <c:v>447.07437913720696</c:v>
                </c:pt>
                <c:pt idx="55">
                  <c:v>502.43200476206329</c:v>
                </c:pt>
                <c:pt idx="56">
                  <c:v>523.27084292189329</c:v>
                </c:pt>
                <c:pt idx="57">
                  <c:v>531.42347896701312</c:v>
                </c:pt>
                <c:pt idx="58">
                  <c:v>515.3262031865371</c:v>
                </c:pt>
                <c:pt idx="59">
                  <c:v>580.86298722325921</c:v>
                </c:pt>
                <c:pt idx="60">
                  <c:v>541.10949281599733</c:v>
                </c:pt>
                <c:pt idx="61">
                  <c:v>451.59038128552942</c:v>
                </c:pt>
                <c:pt idx="62">
                  <c:v>427.83513173572294</c:v>
                </c:pt>
                <c:pt idx="63">
                  <c:v>428.70169635605055</c:v>
                </c:pt>
                <c:pt idx="64">
                  <c:v>507.63734562500235</c:v>
                </c:pt>
                <c:pt idx="65">
                  <c:v>572.00655822677118</c:v>
                </c:pt>
                <c:pt idx="66">
                  <c:v>548.73331160399005</c:v>
                </c:pt>
                <c:pt idx="67">
                  <c:v>627.04815397158097</c:v>
                </c:pt>
                <c:pt idx="68">
                  <c:v>688.2858662213539</c:v>
                </c:pt>
                <c:pt idx="69">
                  <c:v>769.72949010148579</c:v>
                </c:pt>
                <c:pt idx="70">
                  <c:v>711.68254151168264</c:v>
                </c:pt>
                <c:pt idx="71">
                  <c:v>709.59415202511093</c:v>
                </c:pt>
                <c:pt idx="72">
                  <c:v>575.36652366099861</c:v>
                </c:pt>
                <c:pt idx="73">
                  <c:v>737.01633011987258</c:v>
                </c:pt>
                <c:pt idx="74">
                  <c:v>820.92224189257865</c:v>
                </c:pt>
                <c:pt idx="75">
                  <c:v>859.56907362208119</c:v>
                </c:pt>
                <c:pt idx="76">
                  <c:v>936.08454876090445</c:v>
                </c:pt>
                <c:pt idx="77">
                  <c:v>1550.3994884340455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8-4CB7-B9C2-C95F0441A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424479"/>
        <c:axId val="2022764431"/>
      </c:lineChart>
      <c:lineChart>
        <c:grouping val="standard"/>
        <c:varyColors val="0"/>
        <c:ser>
          <c:idx val="1"/>
          <c:order val="1"/>
          <c:tx>
            <c:strRef>
              <c:f>index_sox!$F$1</c:f>
              <c:strCache>
                <c:ptCount val="1"/>
                <c:pt idx="0">
                  <c:v>Oil price (RH-axis)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index_sox!$L$30:$L$107</c:f>
              <c:strCache>
                <c:ptCount val="78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  <c:pt idx="71">
                  <c:v>2024Q4</c:v>
                </c:pt>
                <c:pt idx="72">
                  <c:v>2025Q1</c:v>
                </c:pt>
                <c:pt idx="73">
                  <c:v>2025Q2</c:v>
                </c:pt>
                <c:pt idx="74">
                  <c:v>2025Q3</c:v>
                </c:pt>
                <c:pt idx="75">
                  <c:v>2025Q4</c:v>
                </c:pt>
                <c:pt idx="76">
                  <c:v>2026Q1</c:v>
                </c:pt>
                <c:pt idx="77">
                  <c:v>2026Q2</c:v>
                </c:pt>
              </c:strCache>
            </c:strRef>
          </c:cat>
          <c:val>
            <c:numRef>
              <c:f>index_sox!$H$30:$H$107</c:f>
              <c:numCache>
                <c:formatCode>General</c:formatCode>
                <c:ptCount val="78"/>
                <c:pt idx="0">
                  <c:v>75.686992933786968</c:v>
                </c:pt>
                <c:pt idx="1">
                  <c:v>89.753991101805809</c:v>
                </c:pt>
                <c:pt idx="2">
                  <c:v>97.81470819157289</c:v>
                </c:pt>
                <c:pt idx="3">
                  <c:v>115.53258309343104</c:v>
                </c:pt>
                <c:pt idx="4">
                  <c:v>126.74692488877257</c:v>
                </c:pt>
                <c:pt idx="5">
                  <c:v>158.59722585710549</c:v>
                </c:pt>
                <c:pt idx="6">
                  <c:v>150.07851347814707</c:v>
                </c:pt>
                <c:pt idx="7">
                  <c:v>72.009945040565299</c:v>
                </c:pt>
                <c:pt idx="8">
                  <c:v>58.257000785134785</c:v>
                </c:pt>
                <c:pt idx="9">
                  <c:v>77.04789322166971</c:v>
                </c:pt>
                <c:pt idx="10">
                  <c:v>89.16514001570269</c:v>
                </c:pt>
                <c:pt idx="11">
                  <c:v>97.579167757131628</c:v>
                </c:pt>
                <c:pt idx="12">
                  <c:v>100</c:v>
                </c:pt>
                <c:pt idx="13">
                  <c:v>102.70871499607432</c:v>
                </c:pt>
                <c:pt idx="14">
                  <c:v>100.5234231876472</c:v>
                </c:pt>
                <c:pt idx="15">
                  <c:v>113.2426066474745</c:v>
                </c:pt>
                <c:pt idx="16">
                  <c:v>137.98743784349648</c:v>
                </c:pt>
                <c:pt idx="17">
                  <c:v>153.11436796650091</c:v>
                </c:pt>
                <c:pt idx="18">
                  <c:v>148.18110442292593</c:v>
                </c:pt>
                <c:pt idx="19">
                  <c:v>143.18241298089504</c:v>
                </c:pt>
                <c:pt idx="20">
                  <c:v>155.33891651400157</c:v>
                </c:pt>
                <c:pt idx="21">
                  <c:v>140.99712117246796</c:v>
                </c:pt>
                <c:pt idx="22">
                  <c:v>143.45721015440984</c:v>
                </c:pt>
                <c:pt idx="23">
                  <c:v>144.13766029835122</c:v>
                </c:pt>
                <c:pt idx="24">
                  <c:v>147.1342580476315</c:v>
                </c:pt>
                <c:pt idx="25">
                  <c:v>134.20570531274535</c:v>
                </c:pt>
                <c:pt idx="26">
                  <c:v>144.24234493588065</c:v>
                </c:pt>
                <c:pt idx="27">
                  <c:v>142.93378696676263</c:v>
                </c:pt>
                <c:pt idx="28">
                  <c:v>141.50745878042397</c:v>
                </c:pt>
                <c:pt idx="29">
                  <c:v>143.53572363255691</c:v>
                </c:pt>
                <c:pt idx="30">
                  <c:v>133.34205705312746</c:v>
                </c:pt>
                <c:pt idx="31">
                  <c:v>100.01308557969119</c:v>
                </c:pt>
                <c:pt idx="32">
                  <c:v>70.635959172991363</c:v>
                </c:pt>
                <c:pt idx="33">
                  <c:v>80.672598796126664</c:v>
                </c:pt>
                <c:pt idx="34">
                  <c:v>66.003663962313524</c:v>
                </c:pt>
                <c:pt idx="35">
                  <c:v>57.000785134781474</c:v>
                </c:pt>
                <c:pt idx="36">
                  <c:v>44.281601674954203</c:v>
                </c:pt>
                <c:pt idx="37">
                  <c:v>59.630986652708714</c:v>
                </c:pt>
                <c:pt idx="38">
                  <c:v>59.931954985605863</c:v>
                </c:pt>
                <c:pt idx="39">
                  <c:v>64.184768385239465</c:v>
                </c:pt>
                <c:pt idx="40">
                  <c:v>70.125621565035331</c:v>
                </c:pt>
                <c:pt idx="41">
                  <c:v>64.839047369798479</c:v>
                </c:pt>
                <c:pt idx="42">
                  <c:v>68.175870191049455</c:v>
                </c:pt>
                <c:pt idx="43">
                  <c:v>80.34545930384715</c:v>
                </c:pt>
                <c:pt idx="44">
                  <c:v>87.490185815231612</c:v>
                </c:pt>
                <c:pt idx="45">
                  <c:v>97.526825438366913</c:v>
                </c:pt>
                <c:pt idx="46">
                  <c:v>98.233446741690642</c:v>
                </c:pt>
                <c:pt idx="47">
                  <c:v>89.976445956555878</c:v>
                </c:pt>
                <c:pt idx="48">
                  <c:v>82.57000785134781</c:v>
                </c:pt>
                <c:pt idx="49">
                  <c:v>90.342842187908929</c:v>
                </c:pt>
                <c:pt idx="50">
                  <c:v>81.065166186862086</c:v>
                </c:pt>
                <c:pt idx="51">
                  <c:v>82.792462706097879</c:v>
                </c:pt>
                <c:pt idx="52">
                  <c:v>65.78120910756347</c:v>
                </c:pt>
                <c:pt idx="53">
                  <c:v>38.864171682805548</c:v>
                </c:pt>
                <c:pt idx="54">
                  <c:v>56.150222454854749</c:v>
                </c:pt>
                <c:pt idx="55">
                  <c:v>57.995289191311173</c:v>
                </c:pt>
                <c:pt idx="56">
                  <c:v>79.874378434964669</c:v>
                </c:pt>
                <c:pt idx="57">
                  <c:v>90.264328709761841</c:v>
                </c:pt>
                <c:pt idx="58">
                  <c:v>96.192096309866542</c:v>
                </c:pt>
                <c:pt idx="59">
                  <c:v>104.17429992148652</c:v>
                </c:pt>
                <c:pt idx="60">
                  <c:v>131.99424234493588</c:v>
                </c:pt>
                <c:pt idx="61">
                  <c:v>148.96623920439674</c:v>
                </c:pt>
                <c:pt idx="62">
                  <c:v>131.78487306987699</c:v>
                </c:pt>
                <c:pt idx="63">
                  <c:v>116.09526302015179</c:v>
                </c:pt>
                <c:pt idx="64">
                  <c:v>106.08479455639883</c:v>
                </c:pt>
                <c:pt idx="65">
                  <c:v>102.05443601151529</c:v>
                </c:pt>
                <c:pt idx="66">
                  <c:v>113.38654802407748</c:v>
                </c:pt>
                <c:pt idx="67">
                  <c:v>109.93195498560586</c:v>
                </c:pt>
                <c:pt idx="68">
                  <c:v>108.5056267992672</c:v>
                </c:pt>
                <c:pt idx="69">
                  <c:v>110.80868882491495</c:v>
                </c:pt>
                <c:pt idx="70">
                  <c:v>104.69772310913375</c:v>
                </c:pt>
                <c:pt idx="71">
                  <c:v>97.696937974352267</c:v>
                </c:pt>
                <c:pt idx="72">
                  <c:v>99.280293116985092</c:v>
                </c:pt>
                <c:pt idx="73">
                  <c:v>89.073540957864424</c:v>
                </c:pt>
                <c:pt idx="74">
                  <c:v>90.32975660821775</c:v>
                </c:pt>
                <c:pt idx="75">
                  <c:v>83.289714734362732</c:v>
                </c:pt>
                <c:pt idx="76">
                  <c:v>105.62679926720753</c:v>
                </c:pt>
                <c:pt idx="77">
                  <c:v>134.29730437058362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8-4CB7-B9C2-C95F0441A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60704"/>
        <c:axId val="246392528"/>
      </c:lineChart>
      <c:catAx>
        <c:axId val="19714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22764431"/>
        <c:crosses val="autoZero"/>
        <c:auto val="1"/>
        <c:lblAlgn val="ctr"/>
        <c:lblOffset val="100"/>
        <c:tickLblSkip val="12"/>
        <c:noMultiLvlLbl val="0"/>
      </c:catAx>
      <c:valAx>
        <c:axId val="202276443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71424479"/>
        <c:crosses val="autoZero"/>
        <c:crossBetween val="between"/>
        <c:majorUnit val="250"/>
      </c:valAx>
      <c:valAx>
        <c:axId val="246392528"/>
        <c:scaling>
          <c:orientation val="minMax"/>
          <c:min val="2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7860704"/>
        <c:crosses val="max"/>
        <c:crossBetween val="between"/>
        <c:majorUnit val="40"/>
      </c:valAx>
      <c:catAx>
        <c:axId val="127860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6392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7458442694663"/>
          <c:y val="5.4236293379994166E-2"/>
          <c:w val="0.81541032370953626"/>
          <c:h val="0.69846310877806939"/>
        </c:manualLayout>
      </c:layout>
      <c:lineChart>
        <c:grouping val="standard"/>
        <c:varyColors val="0"/>
        <c:ser>
          <c:idx val="0"/>
          <c:order val="0"/>
          <c:tx>
            <c:strRef>
              <c:f>index_sox!$C$1</c:f>
              <c:strCache>
                <c:ptCount val="1"/>
                <c:pt idx="0">
                  <c:v>Semiconductor index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index_sox!$L$30:$L$107</c:f>
              <c:strCache>
                <c:ptCount val="78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  <c:pt idx="71">
                  <c:v>2024Q4</c:v>
                </c:pt>
                <c:pt idx="72">
                  <c:v>2025Q1</c:v>
                </c:pt>
                <c:pt idx="73">
                  <c:v>2025Q2</c:v>
                </c:pt>
                <c:pt idx="74">
                  <c:v>2025Q3</c:v>
                </c:pt>
                <c:pt idx="75">
                  <c:v>2025Q4</c:v>
                </c:pt>
                <c:pt idx="76">
                  <c:v>2026Q1</c:v>
                </c:pt>
                <c:pt idx="77">
                  <c:v>2026Q2</c:v>
                </c:pt>
              </c:strCache>
            </c:strRef>
          </c:cat>
          <c:val>
            <c:numRef>
              <c:f>index_sox!$D$30:$D$107</c:f>
              <c:numCache>
                <c:formatCode>General</c:formatCode>
                <c:ptCount val="78"/>
                <c:pt idx="0">
                  <c:v>-7.0645368515680929E-2</c:v>
                </c:pt>
                <c:pt idx="1">
                  <c:v>0.12624921595280281</c:v>
                </c:pt>
                <c:pt idx="2">
                  <c:v>9.5150207487911587E-2</c:v>
                </c:pt>
                <c:pt idx="3">
                  <c:v>-0.13504969189570204</c:v>
                </c:pt>
                <c:pt idx="4">
                  <c:v>-0.30279529081261725</c:v>
                </c:pt>
                <c:pt idx="5">
                  <c:v>-0.30835351986033022</c:v>
                </c:pt>
                <c:pt idx="6">
                  <c:v>-0.4882986170104191</c:v>
                </c:pt>
                <c:pt idx="7">
                  <c:v>-0.65397744880624398</c:v>
                </c:pt>
                <c:pt idx="8">
                  <c:v>-0.39843917443734167</c:v>
                </c:pt>
                <c:pt idx="9">
                  <c:v>-0.33584768705859513</c:v>
                </c:pt>
                <c:pt idx="10">
                  <c:v>5.9640777641745579E-2</c:v>
                </c:pt>
                <c:pt idx="11">
                  <c:v>0.52846617076554381</c:v>
                </c:pt>
                <c:pt idx="12">
                  <c:v>0.46216151740212119</c:v>
                </c:pt>
                <c:pt idx="13">
                  <c:v>0.23331393014599833</c:v>
                </c:pt>
                <c:pt idx="14">
                  <c:v>6.9629054035449833E-2</c:v>
                </c:pt>
                <c:pt idx="15">
                  <c:v>0.13473241931339341</c:v>
                </c:pt>
                <c:pt idx="16">
                  <c:v>0.1765670882973005</c:v>
                </c:pt>
                <c:pt idx="17">
                  <c:v>0.21097232054174153</c:v>
                </c:pt>
                <c:pt idx="18">
                  <c:v>-3.0290335353679865E-2</c:v>
                </c:pt>
                <c:pt idx="19">
                  <c:v>-0.12222451145898638</c:v>
                </c:pt>
                <c:pt idx="20">
                  <c:v>2.9224632406732454E-3</c:v>
                </c:pt>
                <c:pt idx="21">
                  <c:v>-6.2573099951973354E-2</c:v>
                </c:pt>
                <c:pt idx="22">
                  <c:v>0.12065817339566287</c:v>
                </c:pt>
                <c:pt idx="23">
                  <c:v>5.2920637779510393E-2</c:v>
                </c:pt>
                <c:pt idx="24">
                  <c:v>-4.0404757621352871E-3</c:v>
                </c:pt>
                <c:pt idx="25">
                  <c:v>0.19543303555014369</c:v>
                </c:pt>
                <c:pt idx="26">
                  <c:v>0.25045441424195136</c:v>
                </c:pt>
                <c:pt idx="27">
                  <c:v>0.33152409082254142</c:v>
                </c:pt>
                <c:pt idx="28">
                  <c:v>0.29542690628675938</c:v>
                </c:pt>
                <c:pt idx="29">
                  <c:v>0.3057018210130531</c:v>
                </c:pt>
                <c:pt idx="30">
                  <c:v>0.26299251267162838</c:v>
                </c:pt>
                <c:pt idx="31">
                  <c:v>0.24982216383007216</c:v>
                </c:pt>
                <c:pt idx="32">
                  <c:v>0.17002045166809854</c:v>
                </c:pt>
                <c:pt idx="33">
                  <c:v>6.7798085513190998E-2</c:v>
                </c:pt>
                <c:pt idx="34">
                  <c:v>-5.7621018123987788E-2</c:v>
                </c:pt>
                <c:pt idx="35">
                  <c:v>-3.4646357977490716E-2</c:v>
                </c:pt>
                <c:pt idx="36">
                  <c:v>-2.7093426761140904E-2</c:v>
                </c:pt>
                <c:pt idx="37">
                  <c:v>1.6222370168563316E-2</c:v>
                </c:pt>
                <c:pt idx="38">
                  <c:v>0.32668069761147134</c:v>
                </c:pt>
                <c:pt idx="39">
                  <c:v>0.31205922230847261</c:v>
                </c:pt>
                <c:pt idx="40">
                  <c:v>0.40158201296943563</c:v>
                </c:pt>
                <c:pt idx="41">
                  <c:v>0.40296083986942133</c:v>
                </c:pt>
                <c:pt idx="42">
                  <c:v>0.33809509372344593</c:v>
                </c:pt>
                <c:pt idx="43">
                  <c:v>0.32377799428845577</c:v>
                </c:pt>
                <c:pt idx="44">
                  <c:v>0.27301601692433319</c:v>
                </c:pt>
                <c:pt idx="45">
                  <c:v>0.23853304688354626</c:v>
                </c:pt>
                <c:pt idx="46">
                  <c:v>0.15393851978765838</c:v>
                </c:pt>
                <c:pt idx="47">
                  <c:v>-8.1333060982632155E-2</c:v>
                </c:pt>
                <c:pt idx="48">
                  <c:v>4.8908396129859533E-2</c:v>
                </c:pt>
                <c:pt idx="49">
                  <c:v>0.10487628002730442</c:v>
                </c:pt>
                <c:pt idx="50">
                  <c:v>0.13145588301813493</c:v>
                </c:pt>
                <c:pt idx="51">
                  <c:v>0.47073265261393438</c:v>
                </c:pt>
                <c:pt idx="52">
                  <c:v>7.9240333505629756E-2</c:v>
                </c:pt>
                <c:pt idx="53">
                  <c:v>0.31364173877616786</c:v>
                </c:pt>
                <c:pt idx="54">
                  <c:v>0.36442929637418242</c:v>
                </c:pt>
                <c:pt idx="55">
                  <c:v>0.41303077153821466</c:v>
                </c:pt>
                <c:pt idx="56">
                  <c:v>0.7269147838912362</c:v>
                </c:pt>
                <c:pt idx="57">
                  <c:v>0.51619381730814062</c:v>
                </c:pt>
                <c:pt idx="58">
                  <c:v>0.37282764669752844</c:v>
                </c:pt>
                <c:pt idx="59">
                  <c:v>0.34473448699182008</c:v>
                </c:pt>
                <c:pt idx="60">
                  <c:v>9.285360922710062E-2</c:v>
                </c:pt>
                <c:pt idx="61">
                  <c:v>-0.26901804162756449</c:v>
                </c:pt>
                <c:pt idx="62">
                  <c:v>-0.34532325052766932</c:v>
                </c:pt>
                <c:pt idx="63">
                  <c:v>-0.44369247879640383</c:v>
                </c:pt>
                <c:pt idx="64">
                  <c:v>-5.952028456682612E-2</c:v>
                </c:pt>
                <c:pt idx="65">
                  <c:v>0.36248377726806957</c:v>
                </c:pt>
                <c:pt idx="66">
                  <c:v>0.39799230934915553</c:v>
                </c:pt>
                <c:pt idx="67">
                  <c:v>0.50017398859085382</c:v>
                </c:pt>
                <c:pt idx="68">
                  <c:v>0.41754950867908569</c:v>
                </c:pt>
                <c:pt idx="69">
                  <c:v>0.39866653290465059</c:v>
                </c:pt>
                <c:pt idx="70">
                  <c:v>0.4096541810610006</c:v>
                </c:pt>
                <c:pt idx="71">
                  <c:v>0.1761888917399741</c:v>
                </c:pt>
                <c:pt idx="72">
                  <c:v>-0.1385833316841385</c:v>
                </c:pt>
                <c:pt idx="73">
                  <c:v>1.348266598671799E-2</c:v>
                </c:pt>
                <c:pt idx="74">
                  <c:v>0.20810678316573394</c:v>
                </c:pt>
                <c:pt idx="75">
                  <c:v>0.35230001385254184</c:v>
                </c:pt>
                <c:pt idx="76">
                  <c:v>0.57487986896192034</c:v>
                </c:pt>
                <c:pt idx="77">
                  <c:v>0.9049263882788896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F-43B9-B884-F16B5B349C8A}"/>
            </c:ext>
          </c:extLst>
        </c:ser>
        <c:ser>
          <c:idx val="1"/>
          <c:order val="1"/>
          <c:tx>
            <c:strRef>
              <c:f>index_sox!$F$1</c:f>
              <c:strCache>
                <c:ptCount val="1"/>
                <c:pt idx="0">
                  <c:v>Oil price (RH-axis)</c:v>
                </c:pt>
              </c:strCache>
            </c:strRef>
          </c:tx>
          <c:spPr>
            <a:ln w="1270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index_sox!$L$30:$L$107</c:f>
              <c:strCache>
                <c:ptCount val="78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  <c:pt idx="71">
                  <c:v>2024Q4</c:v>
                </c:pt>
                <c:pt idx="72">
                  <c:v>2025Q1</c:v>
                </c:pt>
                <c:pt idx="73">
                  <c:v>2025Q2</c:v>
                </c:pt>
                <c:pt idx="74">
                  <c:v>2025Q3</c:v>
                </c:pt>
                <c:pt idx="75">
                  <c:v>2025Q4</c:v>
                </c:pt>
                <c:pt idx="76">
                  <c:v>2026Q1</c:v>
                </c:pt>
                <c:pt idx="77">
                  <c:v>2026Q2</c:v>
                </c:pt>
              </c:strCache>
            </c:strRef>
          </c:cat>
          <c:val>
            <c:numRef>
              <c:f>index_sox!$G$30:$G$107</c:f>
              <c:numCache>
                <c:formatCode>General</c:formatCode>
                <c:ptCount val="78"/>
                <c:pt idx="0">
                  <c:v>-6.6060961222379255E-2</c:v>
                </c:pt>
                <c:pt idx="1">
                  <c:v>-1.3036105815006138E-2</c:v>
                </c:pt>
                <c:pt idx="2">
                  <c:v>6.9518571037876953E-2</c:v>
                </c:pt>
                <c:pt idx="3">
                  <c:v>0.39381055511218133</c:v>
                </c:pt>
                <c:pt idx="4">
                  <c:v>0.51558605912457356</c:v>
                </c:pt>
                <c:pt idx="5">
                  <c:v>0.56929532212398382</c:v>
                </c:pt>
                <c:pt idx="6">
                  <c:v>0.42808362410563472</c:v>
                </c:pt>
                <c:pt idx="7">
                  <c:v>-0.47274835984182317</c:v>
                </c:pt>
                <c:pt idx="8">
                  <c:v>-0.77732811056773876</c:v>
                </c:pt>
                <c:pt idx="9">
                  <c:v>-0.72194059921459264</c:v>
                </c:pt>
                <c:pt idx="10">
                  <c:v>-0.52066842414361059</c:v>
                </c:pt>
                <c:pt idx="11">
                  <c:v>0.30385979048403566</c:v>
                </c:pt>
                <c:pt idx="12">
                  <c:v>0.54030591561140984</c:v>
                </c:pt>
                <c:pt idx="13">
                  <c:v>0.28746975371810102</c:v>
                </c:pt>
                <c:pt idx="14">
                  <c:v>0.11990061068493851</c:v>
                </c:pt>
                <c:pt idx="15">
                  <c:v>0.14886845324103515</c:v>
                </c:pt>
                <c:pt idx="16">
                  <c:v>0.32199246490602995</c:v>
                </c:pt>
                <c:pt idx="17">
                  <c:v>0.39928817309214448</c:v>
                </c:pt>
                <c:pt idx="18">
                  <c:v>0.38804443732593974</c:v>
                </c:pt>
                <c:pt idx="19">
                  <c:v>0.23458695383894135</c:v>
                </c:pt>
                <c:pt idx="20">
                  <c:v>0.11844663714065895</c:v>
                </c:pt>
                <c:pt idx="21">
                  <c:v>-8.244567224700905E-2</c:v>
                </c:pt>
                <c:pt idx="22">
                  <c:v>-3.2398400557250184E-2</c:v>
                </c:pt>
                <c:pt idx="23">
                  <c:v>6.6493846126727263E-3</c:v>
                </c:pt>
                <c:pt idx="24">
                  <c:v>-5.4263798027111676E-2</c:v>
                </c:pt>
                <c:pt idx="25">
                  <c:v>-4.9365735811497835E-2</c:v>
                </c:pt>
                <c:pt idx="26">
                  <c:v>5.4580322887760602E-3</c:v>
                </c:pt>
                <c:pt idx="27">
                  <c:v>-8.3873223929007423E-3</c:v>
                </c:pt>
                <c:pt idx="28">
                  <c:v>-3.8993062084472285E-2</c:v>
                </c:pt>
                <c:pt idx="29">
                  <c:v>6.7210212250882861E-2</c:v>
                </c:pt>
                <c:pt idx="30">
                  <c:v>-7.8577151746545226E-2</c:v>
                </c:pt>
                <c:pt idx="31">
                  <c:v>-0.35708046160065887</c:v>
                </c:pt>
                <c:pt idx="32">
                  <c:v>-0.69481307636400036</c:v>
                </c:pt>
                <c:pt idx="33">
                  <c:v>-0.57618497581288963</c:v>
                </c:pt>
                <c:pt idx="34">
                  <c:v>-0.70320742913196055</c:v>
                </c:pt>
                <c:pt idx="35">
                  <c:v>-0.56223599119003298</c:v>
                </c:pt>
                <c:pt idx="36">
                  <c:v>-0.46697007285183556</c:v>
                </c:pt>
                <c:pt idx="37">
                  <c:v>-0.30222362433456151</c:v>
                </c:pt>
                <c:pt idx="38">
                  <c:v>-9.6500419976579543E-2</c:v>
                </c:pt>
                <c:pt idx="39">
                  <c:v>0.11870088794661227</c:v>
                </c:pt>
                <c:pt idx="40">
                  <c:v>0.45971894876873609</c:v>
                </c:pt>
                <c:pt idx="41">
                  <c:v>8.3732655500205588E-2</c:v>
                </c:pt>
                <c:pt idx="42">
                  <c:v>0.12888085763918244</c:v>
                </c:pt>
                <c:pt idx="43">
                  <c:v>0.22456964914172417</c:v>
                </c:pt>
                <c:pt idx="44">
                  <c:v>0.22123839748519369</c:v>
                </c:pt>
                <c:pt idx="45">
                  <c:v>0.4082194681176059</c:v>
                </c:pt>
                <c:pt idx="46">
                  <c:v>0.3652560628255892</c:v>
                </c:pt>
                <c:pt idx="47">
                  <c:v>0.11321234536155256</c:v>
                </c:pt>
                <c:pt idx="48">
                  <c:v>-5.7880111444784887E-2</c:v>
                </c:pt>
                <c:pt idx="49">
                  <c:v>-7.6515682118429851E-2</c:v>
                </c:pt>
                <c:pt idx="50">
                  <c:v>-0.19209340350975879</c:v>
                </c:pt>
                <c:pt idx="51">
                  <c:v>-8.3210897355855629E-2</c:v>
                </c:pt>
                <c:pt idx="52">
                  <c:v>-0.22731229184268376</c:v>
                </c:pt>
                <c:pt idx="53">
                  <c:v>-0.84353900096651913</c:v>
                </c:pt>
                <c:pt idx="54">
                  <c:v>-0.36722270907171861</c:v>
                </c:pt>
                <c:pt idx="55">
                  <c:v>-0.35597524071976494</c:v>
                </c:pt>
                <c:pt idx="56">
                  <c:v>0.19412090927171732</c:v>
                </c:pt>
                <c:pt idx="57">
                  <c:v>0.84266956170004104</c:v>
                </c:pt>
                <c:pt idx="58">
                  <c:v>0.53831655238256282</c:v>
                </c:pt>
                <c:pt idx="59">
                  <c:v>0.58570367066145845</c:v>
                </c:pt>
                <c:pt idx="60">
                  <c:v>0.50230317209054309</c:v>
                </c:pt>
                <c:pt idx="61">
                  <c:v>0.50097734627290169</c:v>
                </c:pt>
                <c:pt idx="62">
                  <c:v>0.31482364827405718</c:v>
                </c:pt>
                <c:pt idx="63">
                  <c:v>0.108345629941625</c:v>
                </c:pt>
                <c:pt idx="64">
                  <c:v>-0.21851958006712913</c:v>
                </c:pt>
                <c:pt idx="65">
                  <c:v>-0.3782133404391903</c:v>
                </c:pt>
                <c:pt idx="66">
                  <c:v>-0.15036808349843778</c:v>
                </c:pt>
                <c:pt idx="67">
                  <c:v>-5.4549503665356269E-2</c:v>
                </c:pt>
                <c:pt idx="68">
                  <c:v>2.2563308567963958E-2</c:v>
                </c:pt>
                <c:pt idx="69">
                  <c:v>8.2298832924258214E-2</c:v>
                </c:pt>
                <c:pt idx="70">
                  <c:v>-7.9725389299582616E-2</c:v>
                </c:pt>
                <c:pt idx="71">
                  <c:v>-0.117991365890318</c:v>
                </c:pt>
                <c:pt idx="72">
                  <c:v>-8.8854938217595603E-2</c:v>
                </c:pt>
                <c:pt idx="73">
                  <c:v>-0.21834285880680415</c:v>
                </c:pt>
                <c:pt idx="74">
                  <c:v>-0.14761043414664865</c:v>
                </c:pt>
                <c:pt idx="75">
                  <c:v>-0.15954514848302193</c:v>
                </c:pt>
                <c:pt idx="76">
                  <c:v>6.1965026695370184E-2</c:v>
                </c:pt>
                <c:pt idx="77">
                  <c:v>0.41059370019776242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2F-43B9-B884-F16B5B349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424479"/>
        <c:axId val="2022764431"/>
      </c:lineChart>
      <c:catAx>
        <c:axId val="19714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22764431"/>
        <c:crosses val="autoZero"/>
        <c:auto val="1"/>
        <c:lblAlgn val="ctr"/>
        <c:lblOffset val="100"/>
        <c:tickLblSkip val="12"/>
        <c:noMultiLvlLbl val="0"/>
      </c:catAx>
      <c:valAx>
        <c:axId val="202276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71424479"/>
        <c:crossesAt val="1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7458442694663"/>
          <c:y val="5.4236293379994166E-2"/>
          <c:w val="0.81541032370953626"/>
          <c:h val="0.6706853310002916"/>
        </c:manualLayout>
      </c:layout>
      <c:lineChart>
        <c:grouping val="standard"/>
        <c:varyColors val="0"/>
        <c:ser>
          <c:idx val="0"/>
          <c:order val="0"/>
          <c:tx>
            <c:strRef>
              <c:f>index_sox!$Q$1</c:f>
              <c:strCache>
                <c:ptCount val="1"/>
                <c:pt idx="0">
                  <c:v>Geopolitical risk (GPR index)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index_sox!$L$30:$L$107</c:f>
              <c:strCache>
                <c:ptCount val="78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  <c:pt idx="71">
                  <c:v>2024Q4</c:v>
                </c:pt>
                <c:pt idx="72">
                  <c:v>2025Q1</c:v>
                </c:pt>
                <c:pt idx="73">
                  <c:v>2025Q2</c:v>
                </c:pt>
                <c:pt idx="74">
                  <c:v>2025Q3</c:v>
                </c:pt>
                <c:pt idx="75">
                  <c:v>2025Q4</c:v>
                </c:pt>
                <c:pt idx="76">
                  <c:v>2026Q1</c:v>
                </c:pt>
                <c:pt idx="77">
                  <c:v>2026Q2</c:v>
                </c:pt>
              </c:strCache>
            </c:strRef>
          </c:cat>
          <c:val>
            <c:numRef>
              <c:f>index_sox!$Q$30:$Q$107</c:f>
              <c:numCache>
                <c:formatCode>General</c:formatCode>
                <c:ptCount val="78"/>
                <c:pt idx="0">
                  <c:v>-6.1635146139549235E-3</c:v>
                </c:pt>
                <c:pt idx="1">
                  <c:v>-3.5343293104938667E-2</c:v>
                </c:pt>
                <c:pt idx="2">
                  <c:v>-0.31135356690810134</c:v>
                </c:pt>
                <c:pt idx="3">
                  <c:v>-2.171922966637041E-2</c:v>
                </c:pt>
                <c:pt idx="4">
                  <c:v>-0.1596994275578254</c:v>
                </c:pt>
                <c:pt idx="5">
                  <c:v>-0.14108847217652798</c:v>
                </c:pt>
                <c:pt idx="6">
                  <c:v>-8.3274506540168325E-2</c:v>
                </c:pt>
                <c:pt idx="7">
                  <c:v>-0.19465047143893521</c:v>
                </c:pt>
                <c:pt idx="8">
                  <c:v>-6.1996960138827717E-2</c:v>
                </c:pt>
                <c:pt idx="9">
                  <c:v>0.10019271934534046</c:v>
                </c:pt>
                <c:pt idx="10">
                  <c:v>-6.6569216025228251E-2</c:v>
                </c:pt>
                <c:pt idx="11">
                  <c:v>0.11991981267842355</c:v>
                </c:pt>
                <c:pt idx="12">
                  <c:v>8.8878084296784898E-2</c:v>
                </c:pt>
                <c:pt idx="13">
                  <c:v>6.6716301896883046E-2</c:v>
                </c:pt>
                <c:pt idx="14">
                  <c:v>-7.5296877238846704E-2</c:v>
                </c:pt>
                <c:pt idx="15">
                  <c:v>-2.9510032764655136E-2</c:v>
                </c:pt>
                <c:pt idx="16">
                  <c:v>0.21759381344887085</c:v>
                </c:pt>
                <c:pt idx="17">
                  <c:v>2.3717836651707458E-2</c:v>
                </c:pt>
                <c:pt idx="18">
                  <c:v>7.3594204395208251E-2</c:v>
                </c:pt>
                <c:pt idx="19">
                  <c:v>-5.1975204464241642E-2</c:v>
                </c:pt>
                <c:pt idx="20">
                  <c:v>-0.16073454018076028</c:v>
                </c:pt>
                <c:pt idx="21">
                  <c:v>-0.10801086785617642</c:v>
                </c:pt>
                <c:pt idx="22">
                  <c:v>-9.3559088583161198E-2</c:v>
                </c:pt>
                <c:pt idx="23">
                  <c:v>-2.8813794367373191E-2</c:v>
                </c:pt>
                <c:pt idx="24">
                  <c:v>-4.9898736711960545E-2</c:v>
                </c:pt>
                <c:pt idx="25">
                  <c:v>3.8104090827523862E-2</c:v>
                </c:pt>
                <c:pt idx="26">
                  <c:v>0.1564034284723137</c:v>
                </c:pt>
                <c:pt idx="27">
                  <c:v>-7.3150769097984458E-2</c:v>
                </c:pt>
                <c:pt idx="28">
                  <c:v>7.2330638888912446E-2</c:v>
                </c:pt>
                <c:pt idx="29">
                  <c:v>5.0714181962624671E-2</c:v>
                </c:pt>
                <c:pt idx="30">
                  <c:v>0.42700640727965489</c:v>
                </c:pt>
                <c:pt idx="31">
                  <c:v>0.14092912062860652</c:v>
                </c:pt>
                <c:pt idx="32">
                  <c:v>0.20711553230418378</c:v>
                </c:pt>
                <c:pt idx="33">
                  <c:v>-4.0980916218727792E-2</c:v>
                </c:pt>
                <c:pt idx="34">
                  <c:v>-0.34506375980396875</c:v>
                </c:pt>
                <c:pt idx="35">
                  <c:v>0.42884734034651295</c:v>
                </c:pt>
                <c:pt idx="36">
                  <c:v>1.0716319531819174E-2</c:v>
                </c:pt>
                <c:pt idx="37">
                  <c:v>-2.411705701398148E-3</c:v>
                </c:pt>
                <c:pt idx="38">
                  <c:v>9.856829620980978E-2</c:v>
                </c:pt>
                <c:pt idx="39">
                  <c:v>-0.36685837276331679</c:v>
                </c:pt>
                <c:pt idx="40">
                  <c:v>-4.8294141262203105E-2</c:v>
                </c:pt>
                <c:pt idx="41">
                  <c:v>0.27968603479537801</c:v>
                </c:pt>
                <c:pt idx="42">
                  <c:v>0.11567974464199171</c:v>
                </c:pt>
                <c:pt idx="43">
                  <c:v>-1.5145356355824369E-2</c:v>
                </c:pt>
                <c:pt idx="44">
                  <c:v>-0.16161289897937348</c:v>
                </c:pt>
                <c:pt idx="45">
                  <c:v>1.1599441611245709E-2</c:v>
                </c:pt>
                <c:pt idx="46">
                  <c:v>-0.18089548123235843</c:v>
                </c:pt>
                <c:pt idx="47">
                  <c:v>-1.4134084297982241E-2</c:v>
                </c:pt>
                <c:pt idx="48">
                  <c:v>-8.6954323899863795E-3</c:v>
                </c:pt>
                <c:pt idx="49">
                  <c:v>-0.18835309628830288</c:v>
                </c:pt>
                <c:pt idx="50">
                  <c:v>-3.599786770678115E-2</c:v>
                </c:pt>
                <c:pt idx="51">
                  <c:v>-7.0220831558633456E-2</c:v>
                </c:pt>
                <c:pt idx="52">
                  <c:v>0.10450599296913499</c:v>
                </c:pt>
                <c:pt idx="53">
                  <c:v>-0.33513735533112765</c:v>
                </c:pt>
                <c:pt idx="54">
                  <c:v>-0.30242582704480458</c:v>
                </c:pt>
                <c:pt idx="55">
                  <c:v>-0.15390910659550805</c:v>
                </c:pt>
                <c:pt idx="56">
                  <c:v>-0.2520230392816396</c:v>
                </c:pt>
                <c:pt idx="57">
                  <c:v>0.19975064574216894</c:v>
                </c:pt>
                <c:pt idx="58">
                  <c:v>7.3913419238630595E-2</c:v>
                </c:pt>
                <c:pt idx="59">
                  <c:v>0.25376669062545076</c:v>
                </c:pt>
                <c:pt idx="60">
                  <c:v>1.0748624974817407</c:v>
                </c:pt>
                <c:pt idx="61">
                  <c:v>0.5976780382161424</c:v>
                </c:pt>
                <c:pt idx="62">
                  <c:v>0.5134957912878555</c:v>
                </c:pt>
                <c:pt idx="63">
                  <c:v>0.31449179771657931</c:v>
                </c:pt>
                <c:pt idx="64">
                  <c:v>-0.71188250345766502</c:v>
                </c:pt>
                <c:pt idx="65">
                  <c:v>-0.35381624934233002</c:v>
                </c:pt>
                <c:pt idx="66">
                  <c:v>-0.2179086391875904</c:v>
                </c:pt>
                <c:pt idx="67">
                  <c:v>0.29191032501893766</c:v>
                </c:pt>
                <c:pt idx="68">
                  <c:v>0.2861606965399357</c:v>
                </c:pt>
                <c:pt idx="69">
                  <c:v>0.22389010049727265</c:v>
                </c:pt>
                <c:pt idx="70">
                  <c:v>0.16882866646679595</c:v>
                </c:pt>
                <c:pt idx="71">
                  <c:v>-0.21196770816418642</c:v>
                </c:pt>
                <c:pt idx="72">
                  <c:v>-3.2486134045512927E-2</c:v>
                </c:pt>
                <c:pt idx="73">
                  <c:v>0.26493241529138434</c:v>
                </c:pt>
                <c:pt idx="74">
                  <c:v>9.3802199143834031E-2</c:v>
                </c:pt>
                <c:pt idx="75">
                  <c:v>-3.0441785002001787E-2</c:v>
                </c:pt>
                <c:pt idx="76">
                  <c:v>0.37286644740994923</c:v>
                </c:pt>
                <c:pt idx="77">
                  <c:v>0.17661953844871192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5-433A-B287-4F3E300CAB72}"/>
            </c:ext>
          </c:extLst>
        </c:ser>
        <c:ser>
          <c:idx val="1"/>
          <c:order val="1"/>
          <c:tx>
            <c:strRef>
              <c:f>index_sox!$C$1</c:f>
              <c:strCache>
                <c:ptCount val="1"/>
                <c:pt idx="0">
                  <c:v>Semiconductor index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index_sox!$L$30:$L$107</c:f>
              <c:strCache>
                <c:ptCount val="78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  <c:pt idx="71">
                  <c:v>2024Q4</c:v>
                </c:pt>
                <c:pt idx="72">
                  <c:v>2025Q1</c:v>
                </c:pt>
                <c:pt idx="73">
                  <c:v>2025Q2</c:v>
                </c:pt>
                <c:pt idx="74">
                  <c:v>2025Q3</c:v>
                </c:pt>
                <c:pt idx="75">
                  <c:v>2025Q4</c:v>
                </c:pt>
                <c:pt idx="76">
                  <c:v>2026Q1</c:v>
                </c:pt>
                <c:pt idx="77">
                  <c:v>2026Q2</c:v>
                </c:pt>
              </c:strCache>
            </c:strRef>
          </c:cat>
          <c:val>
            <c:numRef>
              <c:f>index_sox!$D$30:$D$107</c:f>
              <c:numCache>
                <c:formatCode>General</c:formatCode>
                <c:ptCount val="78"/>
                <c:pt idx="0">
                  <c:v>-7.0645368515680929E-2</c:v>
                </c:pt>
                <c:pt idx="1">
                  <c:v>0.12624921595280281</c:v>
                </c:pt>
                <c:pt idx="2">
                  <c:v>9.5150207487911587E-2</c:v>
                </c:pt>
                <c:pt idx="3">
                  <c:v>-0.13504969189570204</c:v>
                </c:pt>
                <c:pt idx="4">
                  <c:v>-0.30279529081261725</c:v>
                </c:pt>
                <c:pt idx="5">
                  <c:v>-0.30835351986033022</c:v>
                </c:pt>
                <c:pt idx="6">
                  <c:v>-0.4882986170104191</c:v>
                </c:pt>
                <c:pt idx="7">
                  <c:v>-0.65397744880624398</c:v>
                </c:pt>
                <c:pt idx="8">
                  <c:v>-0.39843917443734167</c:v>
                </c:pt>
                <c:pt idx="9">
                  <c:v>-0.33584768705859513</c:v>
                </c:pt>
                <c:pt idx="10">
                  <c:v>5.9640777641745579E-2</c:v>
                </c:pt>
                <c:pt idx="11">
                  <c:v>0.52846617076554381</c:v>
                </c:pt>
                <c:pt idx="12">
                  <c:v>0.46216151740212119</c:v>
                </c:pt>
                <c:pt idx="13">
                  <c:v>0.23331393014599833</c:v>
                </c:pt>
                <c:pt idx="14">
                  <c:v>6.9629054035449833E-2</c:v>
                </c:pt>
                <c:pt idx="15">
                  <c:v>0.13473241931339341</c:v>
                </c:pt>
                <c:pt idx="16">
                  <c:v>0.1765670882973005</c:v>
                </c:pt>
                <c:pt idx="17">
                  <c:v>0.21097232054174153</c:v>
                </c:pt>
                <c:pt idx="18">
                  <c:v>-3.0290335353679865E-2</c:v>
                </c:pt>
                <c:pt idx="19">
                  <c:v>-0.12222451145898638</c:v>
                </c:pt>
                <c:pt idx="20">
                  <c:v>2.9224632406732454E-3</c:v>
                </c:pt>
                <c:pt idx="21">
                  <c:v>-6.2573099951973354E-2</c:v>
                </c:pt>
                <c:pt idx="22">
                  <c:v>0.12065817339566287</c:v>
                </c:pt>
                <c:pt idx="23">
                  <c:v>5.2920637779510393E-2</c:v>
                </c:pt>
                <c:pt idx="24">
                  <c:v>-4.0404757621352871E-3</c:v>
                </c:pt>
                <c:pt idx="25">
                  <c:v>0.19543303555014369</c:v>
                </c:pt>
                <c:pt idx="26">
                  <c:v>0.25045441424195136</c:v>
                </c:pt>
                <c:pt idx="27">
                  <c:v>0.33152409082254142</c:v>
                </c:pt>
                <c:pt idx="28">
                  <c:v>0.29542690628675938</c:v>
                </c:pt>
                <c:pt idx="29">
                  <c:v>0.3057018210130531</c:v>
                </c:pt>
                <c:pt idx="30">
                  <c:v>0.26299251267162838</c:v>
                </c:pt>
                <c:pt idx="31">
                  <c:v>0.24982216383007216</c:v>
                </c:pt>
                <c:pt idx="32">
                  <c:v>0.17002045166809854</c:v>
                </c:pt>
                <c:pt idx="33">
                  <c:v>6.7798085513190998E-2</c:v>
                </c:pt>
                <c:pt idx="34">
                  <c:v>-5.7621018123987788E-2</c:v>
                </c:pt>
                <c:pt idx="35">
                  <c:v>-3.4646357977490716E-2</c:v>
                </c:pt>
                <c:pt idx="36">
                  <c:v>-2.7093426761140904E-2</c:v>
                </c:pt>
                <c:pt idx="37">
                  <c:v>1.6222370168563316E-2</c:v>
                </c:pt>
                <c:pt idx="38">
                  <c:v>0.32668069761147134</c:v>
                </c:pt>
                <c:pt idx="39">
                  <c:v>0.31205922230847261</c:v>
                </c:pt>
                <c:pt idx="40">
                  <c:v>0.40158201296943563</c:v>
                </c:pt>
                <c:pt idx="41">
                  <c:v>0.40296083986942133</c:v>
                </c:pt>
                <c:pt idx="42">
                  <c:v>0.33809509372344593</c:v>
                </c:pt>
                <c:pt idx="43">
                  <c:v>0.32377799428845577</c:v>
                </c:pt>
                <c:pt idx="44">
                  <c:v>0.27301601692433319</c:v>
                </c:pt>
                <c:pt idx="45">
                  <c:v>0.23853304688354626</c:v>
                </c:pt>
                <c:pt idx="46">
                  <c:v>0.15393851978765838</c:v>
                </c:pt>
                <c:pt idx="47">
                  <c:v>-8.1333060982632155E-2</c:v>
                </c:pt>
                <c:pt idx="48">
                  <c:v>4.8908396129859533E-2</c:v>
                </c:pt>
                <c:pt idx="49">
                  <c:v>0.10487628002730442</c:v>
                </c:pt>
                <c:pt idx="50">
                  <c:v>0.13145588301813493</c:v>
                </c:pt>
                <c:pt idx="51">
                  <c:v>0.47073265261393438</c:v>
                </c:pt>
                <c:pt idx="52">
                  <c:v>7.9240333505629756E-2</c:v>
                </c:pt>
                <c:pt idx="53">
                  <c:v>0.31364173877616786</c:v>
                </c:pt>
                <c:pt idx="54">
                  <c:v>0.36442929637418242</c:v>
                </c:pt>
                <c:pt idx="55">
                  <c:v>0.41303077153821466</c:v>
                </c:pt>
                <c:pt idx="56">
                  <c:v>0.7269147838912362</c:v>
                </c:pt>
                <c:pt idx="57">
                  <c:v>0.51619381730814062</c:v>
                </c:pt>
                <c:pt idx="58">
                  <c:v>0.37282764669752844</c:v>
                </c:pt>
                <c:pt idx="59">
                  <c:v>0.34473448699182008</c:v>
                </c:pt>
                <c:pt idx="60">
                  <c:v>9.285360922710062E-2</c:v>
                </c:pt>
                <c:pt idx="61">
                  <c:v>-0.26901804162756449</c:v>
                </c:pt>
                <c:pt idx="62">
                  <c:v>-0.34532325052766932</c:v>
                </c:pt>
                <c:pt idx="63">
                  <c:v>-0.44369247879640383</c:v>
                </c:pt>
                <c:pt idx="64">
                  <c:v>-5.952028456682612E-2</c:v>
                </c:pt>
                <c:pt idx="65">
                  <c:v>0.36248377726806957</c:v>
                </c:pt>
                <c:pt idx="66">
                  <c:v>0.39799230934915553</c:v>
                </c:pt>
                <c:pt idx="67">
                  <c:v>0.50017398859085382</c:v>
                </c:pt>
                <c:pt idx="68">
                  <c:v>0.41754950867908569</c:v>
                </c:pt>
                <c:pt idx="69">
                  <c:v>0.39866653290465059</c:v>
                </c:pt>
                <c:pt idx="70">
                  <c:v>0.4096541810610006</c:v>
                </c:pt>
                <c:pt idx="71">
                  <c:v>0.1761888917399741</c:v>
                </c:pt>
                <c:pt idx="72">
                  <c:v>-0.1385833316841385</c:v>
                </c:pt>
                <c:pt idx="73">
                  <c:v>1.348266598671799E-2</c:v>
                </c:pt>
                <c:pt idx="74">
                  <c:v>0.20810678316573394</c:v>
                </c:pt>
                <c:pt idx="75">
                  <c:v>0.35230001385254184</c:v>
                </c:pt>
                <c:pt idx="76">
                  <c:v>0.57487986896192034</c:v>
                </c:pt>
                <c:pt idx="77">
                  <c:v>0.9049263882788896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95-433A-B287-4F3E300CA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424479"/>
        <c:axId val="2022764431"/>
      </c:lineChart>
      <c:catAx>
        <c:axId val="19714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22764431"/>
        <c:crosses val="autoZero"/>
        <c:auto val="1"/>
        <c:lblAlgn val="ctr"/>
        <c:lblOffset val="100"/>
        <c:tickLblSkip val="12"/>
        <c:noMultiLvlLbl val="0"/>
      </c:catAx>
      <c:valAx>
        <c:axId val="2022764431"/>
        <c:scaling>
          <c:orientation val="minMax"/>
          <c:max val="1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71424479"/>
        <c:crossesAt val="1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417614464858561"/>
          <c:w val="0.99341907261592299"/>
          <c:h val="0.13582385535141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7458442694663"/>
          <c:y val="5.4236293379994166E-2"/>
          <c:w val="0.77962860892388453"/>
          <c:h val="0.6706853310002916"/>
        </c:manualLayout>
      </c:layout>
      <c:lineChart>
        <c:grouping val="standard"/>
        <c:varyColors val="0"/>
        <c:ser>
          <c:idx val="1"/>
          <c:order val="1"/>
          <c:tx>
            <c:strRef>
              <c:f>index_sox!$C$1</c:f>
              <c:strCache>
                <c:ptCount val="1"/>
                <c:pt idx="0">
                  <c:v>Semiconductor index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index_sox!$L$30:$L$107</c:f>
              <c:strCache>
                <c:ptCount val="78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  <c:pt idx="71">
                  <c:v>2024Q4</c:v>
                </c:pt>
                <c:pt idx="72">
                  <c:v>2025Q1</c:v>
                </c:pt>
                <c:pt idx="73">
                  <c:v>2025Q2</c:v>
                </c:pt>
                <c:pt idx="74">
                  <c:v>2025Q3</c:v>
                </c:pt>
                <c:pt idx="75">
                  <c:v>2025Q4</c:v>
                </c:pt>
                <c:pt idx="76">
                  <c:v>2026Q1</c:v>
                </c:pt>
                <c:pt idx="77">
                  <c:v>2026Q2</c:v>
                </c:pt>
              </c:strCache>
            </c:strRef>
          </c:cat>
          <c:val>
            <c:numRef>
              <c:f>index_sox!$D$30:$D$107</c:f>
              <c:numCache>
                <c:formatCode>General</c:formatCode>
                <c:ptCount val="78"/>
                <c:pt idx="0">
                  <c:v>-7.0645368515680929E-2</c:v>
                </c:pt>
                <c:pt idx="1">
                  <c:v>0.12624921595280281</c:v>
                </c:pt>
                <c:pt idx="2">
                  <c:v>9.5150207487911587E-2</c:v>
                </c:pt>
                <c:pt idx="3">
                  <c:v>-0.13504969189570204</c:v>
                </c:pt>
                <c:pt idx="4">
                  <c:v>-0.30279529081261725</c:v>
                </c:pt>
                <c:pt idx="5">
                  <c:v>-0.30835351986033022</c:v>
                </c:pt>
                <c:pt idx="6">
                  <c:v>-0.4882986170104191</c:v>
                </c:pt>
                <c:pt idx="7">
                  <c:v>-0.65397744880624398</c:v>
                </c:pt>
                <c:pt idx="8">
                  <c:v>-0.39843917443734167</c:v>
                </c:pt>
                <c:pt idx="9">
                  <c:v>-0.33584768705859513</c:v>
                </c:pt>
                <c:pt idx="10">
                  <c:v>5.9640777641745579E-2</c:v>
                </c:pt>
                <c:pt idx="11">
                  <c:v>0.52846617076554381</c:v>
                </c:pt>
                <c:pt idx="12">
                  <c:v>0.46216151740212119</c:v>
                </c:pt>
                <c:pt idx="13">
                  <c:v>0.23331393014599833</c:v>
                </c:pt>
                <c:pt idx="14">
                  <c:v>6.9629054035449833E-2</c:v>
                </c:pt>
                <c:pt idx="15">
                  <c:v>0.13473241931339341</c:v>
                </c:pt>
                <c:pt idx="16">
                  <c:v>0.1765670882973005</c:v>
                </c:pt>
                <c:pt idx="17">
                  <c:v>0.21097232054174153</c:v>
                </c:pt>
                <c:pt idx="18">
                  <c:v>-3.0290335353679865E-2</c:v>
                </c:pt>
                <c:pt idx="19">
                  <c:v>-0.12222451145898638</c:v>
                </c:pt>
                <c:pt idx="20">
                  <c:v>2.9224632406732454E-3</c:v>
                </c:pt>
                <c:pt idx="21">
                  <c:v>-6.2573099951973354E-2</c:v>
                </c:pt>
                <c:pt idx="22">
                  <c:v>0.12065817339566287</c:v>
                </c:pt>
                <c:pt idx="23">
                  <c:v>5.2920637779510393E-2</c:v>
                </c:pt>
                <c:pt idx="24">
                  <c:v>-4.0404757621352871E-3</c:v>
                </c:pt>
                <c:pt idx="25">
                  <c:v>0.19543303555014369</c:v>
                </c:pt>
                <c:pt idx="26">
                  <c:v>0.25045441424195136</c:v>
                </c:pt>
                <c:pt idx="27">
                  <c:v>0.33152409082254142</c:v>
                </c:pt>
                <c:pt idx="28">
                  <c:v>0.29542690628675938</c:v>
                </c:pt>
                <c:pt idx="29">
                  <c:v>0.3057018210130531</c:v>
                </c:pt>
                <c:pt idx="30">
                  <c:v>0.26299251267162838</c:v>
                </c:pt>
                <c:pt idx="31">
                  <c:v>0.24982216383007216</c:v>
                </c:pt>
                <c:pt idx="32">
                  <c:v>0.17002045166809854</c:v>
                </c:pt>
                <c:pt idx="33">
                  <c:v>6.7798085513190998E-2</c:v>
                </c:pt>
                <c:pt idx="34">
                  <c:v>-5.7621018123987788E-2</c:v>
                </c:pt>
                <c:pt idx="35">
                  <c:v>-3.4646357977490716E-2</c:v>
                </c:pt>
                <c:pt idx="36">
                  <c:v>-2.7093426761140904E-2</c:v>
                </c:pt>
                <c:pt idx="37">
                  <c:v>1.6222370168563316E-2</c:v>
                </c:pt>
                <c:pt idx="38">
                  <c:v>0.32668069761147134</c:v>
                </c:pt>
                <c:pt idx="39">
                  <c:v>0.31205922230847261</c:v>
                </c:pt>
                <c:pt idx="40">
                  <c:v>0.40158201296943563</c:v>
                </c:pt>
                <c:pt idx="41">
                  <c:v>0.40296083986942133</c:v>
                </c:pt>
                <c:pt idx="42">
                  <c:v>0.33809509372344593</c:v>
                </c:pt>
                <c:pt idx="43">
                  <c:v>0.32377799428845577</c:v>
                </c:pt>
                <c:pt idx="44">
                  <c:v>0.27301601692433319</c:v>
                </c:pt>
                <c:pt idx="45">
                  <c:v>0.23853304688354626</c:v>
                </c:pt>
                <c:pt idx="46">
                  <c:v>0.15393851978765838</c:v>
                </c:pt>
                <c:pt idx="47">
                  <c:v>-8.1333060982632155E-2</c:v>
                </c:pt>
                <c:pt idx="48">
                  <c:v>4.8908396129859533E-2</c:v>
                </c:pt>
                <c:pt idx="49">
                  <c:v>0.10487628002730442</c:v>
                </c:pt>
                <c:pt idx="50">
                  <c:v>0.13145588301813493</c:v>
                </c:pt>
                <c:pt idx="51">
                  <c:v>0.47073265261393438</c:v>
                </c:pt>
                <c:pt idx="52">
                  <c:v>7.9240333505629756E-2</c:v>
                </c:pt>
                <c:pt idx="53">
                  <c:v>0.31364173877616786</c:v>
                </c:pt>
                <c:pt idx="54">
                  <c:v>0.36442929637418242</c:v>
                </c:pt>
                <c:pt idx="55">
                  <c:v>0.41303077153821466</c:v>
                </c:pt>
                <c:pt idx="56">
                  <c:v>0.7269147838912362</c:v>
                </c:pt>
                <c:pt idx="57">
                  <c:v>0.51619381730814062</c:v>
                </c:pt>
                <c:pt idx="58">
                  <c:v>0.37282764669752844</c:v>
                </c:pt>
                <c:pt idx="59">
                  <c:v>0.34473448699182008</c:v>
                </c:pt>
                <c:pt idx="60">
                  <c:v>9.285360922710062E-2</c:v>
                </c:pt>
                <c:pt idx="61">
                  <c:v>-0.26901804162756449</c:v>
                </c:pt>
                <c:pt idx="62">
                  <c:v>-0.34532325052766932</c:v>
                </c:pt>
                <c:pt idx="63">
                  <c:v>-0.44369247879640383</c:v>
                </c:pt>
                <c:pt idx="64">
                  <c:v>-5.952028456682612E-2</c:v>
                </c:pt>
                <c:pt idx="65">
                  <c:v>0.36248377726806957</c:v>
                </c:pt>
                <c:pt idx="66">
                  <c:v>0.39799230934915553</c:v>
                </c:pt>
                <c:pt idx="67">
                  <c:v>0.50017398859085382</c:v>
                </c:pt>
                <c:pt idx="68">
                  <c:v>0.41754950867908569</c:v>
                </c:pt>
                <c:pt idx="69">
                  <c:v>0.39866653290465059</c:v>
                </c:pt>
                <c:pt idx="70">
                  <c:v>0.4096541810610006</c:v>
                </c:pt>
                <c:pt idx="71">
                  <c:v>0.1761888917399741</c:v>
                </c:pt>
                <c:pt idx="72">
                  <c:v>-0.1385833316841385</c:v>
                </c:pt>
                <c:pt idx="73">
                  <c:v>1.348266598671799E-2</c:v>
                </c:pt>
                <c:pt idx="74">
                  <c:v>0.20810678316573394</c:v>
                </c:pt>
                <c:pt idx="75">
                  <c:v>0.35230001385254184</c:v>
                </c:pt>
                <c:pt idx="76">
                  <c:v>0.57487986896192034</c:v>
                </c:pt>
                <c:pt idx="77">
                  <c:v>0.9049263882788896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04-46C5-952F-3BA658D06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424479"/>
        <c:axId val="2022764431"/>
      </c:lineChart>
      <c:lineChart>
        <c:grouping val="standard"/>
        <c:varyColors val="0"/>
        <c:ser>
          <c:idx val="0"/>
          <c:order val="0"/>
          <c:tx>
            <c:strRef>
              <c:f>index_sox!$Y$1</c:f>
              <c:strCache>
                <c:ptCount val="1"/>
                <c:pt idx="0">
                  <c:v>Econ policy uncertainty (EPU)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index_sox!$L$30:$L$107</c:f>
              <c:strCache>
                <c:ptCount val="78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  <c:pt idx="71">
                  <c:v>2024Q4</c:v>
                </c:pt>
                <c:pt idx="72">
                  <c:v>2025Q1</c:v>
                </c:pt>
                <c:pt idx="73">
                  <c:v>2025Q2</c:v>
                </c:pt>
                <c:pt idx="74">
                  <c:v>2025Q3</c:v>
                </c:pt>
                <c:pt idx="75">
                  <c:v>2025Q4</c:v>
                </c:pt>
                <c:pt idx="76">
                  <c:v>2026Q1</c:v>
                </c:pt>
                <c:pt idx="77">
                  <c:v>2026Q2</c:v>
                </c:pt>
              </c:strCache>
            </c:strRef>
          </c:cat>
          <c:val>
            <c:numRef>
              <c:f>index_sox!$AF$30:$AF$107</c:f>
              <c:numCache>
                <c:formatCode>General</c:formatCode>
                <c:ptCount val="78"/>
                <c:pt idx="0">
                  <c:v>0.14514834489266981</c:v>
                </c:pt>
                <c:pt idx="1">
                  <c:v>0.807172552245909</c:v>
                </c:pt>
                <c:pt idx="2">
                  <c:v>0.61228754968693977</c:v>
                </c:pt>
                <c:pt idx="3">
                  <c:v>0.42490594404031512</c:v>
                </c:pt>
                <c:pt idx="4">
                  <c:v>-1.3615753653184015E-2</c:v>
                </c:pt>
                <c:pt idx="5">
                  <c:v>-2.4155570501372736E-2</c:v>
                </c:pt>
                <c:pt idx="6">
                  <c:v>-0.44252040504602519</c:v>
                </c:pt>
                <c:pt idx="7">
                  <c:v>-4.4176978498661867E-2</c:v>
                </c:pt>
                <c:pt idx="8">
                  <c:v>0.50317672996326124</c:v>
                </c:pt>
                <c:pt idx="9">
                  <c:v>5.1538366066832708E-2</c:v>
                </c:pt>
                <c:pt idx="10">
                  <c:v>3.2157809955887018E-2</c:v>
                </c:pt>
                <c:pt idx="11">
                  <c:v>0.35824655386980275</c:v>
                </c:pt>
                <c:pt idx="12">
                  <c:v>-0.10041672820873693</c:v>
                </c:pt>
                <c:pt idx="13">
                  <c:v>0.12271152524985318</c:v>
                </c:pt>
                <c:pt idx="14">
                  <c:v>0.30360386213847512</c:v>
                </c:pt>
                <c:pt idx="15">
                  <c:v>-0.24042711216179136</c:v>
                </c:pt>
                <c:pt idx="16">
                  <c:v>-0.38613026804932105</c:v>
                </c:pt>
                <c:pt idx="17">
                  <c:v>-0.41801637181916895</c:v>
                </c:pt>
                <c:pt idx="18">
                  <c:v>2.8793644347608449E-2</c:v>
                </c:pt>
                <c:pt idx="19">
                  <c:v>0.26570616316145923</c:v>
                </c:pt>
                <c:pt idx="20">
                  <c:v>0.32967398982430751</c:v>
                </c:pt>
                <c:pt idx="21">
                  <c:v>0.95859211594282101</c:v>
                </c:pt>
                <c:pt idx="22">
                  <c:v>0.24894213215990746</c:v>
                </c:pt>
                <c:pt idx="23">
                  <c:v>0.69001189755871195</c:v>
                </c:pt>
                <c:pt idx="24">
                  <c:v>0.52835619942470302</c:v>
                </c:pt>
                <c:pt idx="25">
                  <c:v>-0.95909503964006326</c:v>
                </c:pt>
                <c:pt idx="26">
                  <c:v>-0.49581810931786485</c:v>
                </c:pt>
                <c:pt idx="27">
                  <c:v>-0.73985058782851532</c:v>
                </c:pt>
                <c:pt idx="28">
                  <c:v>-0.48082000510016165</c:v>
                </c:pt>
                <c:pt idx="29">
                  <c:v>0.35286790616093633</c:v>
                </c:pt>
                <c:pt idx="30">
                  <c:v>-0.10614037135125187</c:v>
                </c:pt>
                <c:pt idx="31">
                  <c:v>-6.9409508829417987E-2</c:v>
                </c:pt>
                <c:pt idx="32">
                  <c:v>0.42348651410685356</c:v>
                </c:pt>
                <c:pt idx="33">
                  <c:v>0.23317427540322022</c:v>
                </c:pt>
                <c:pt idx="34">
                  <c:v>0.40376006825065147</c:v>
                </c:pt>
                <c:pt idx="35">
                  <c:v>7.0808593789266183E-2</c:v>
                </c:pt>
                <c:pt idx="36">
                  <c:v>-0.26788570989979199</c:v>
                </c:pt>
                <c:pt idx="37">
                  <c:v>-0.31471777763099773</c:v>
                </c:pt>
                <c:pt idx="38">
                  <c:v>0.34946557783034571</c:v>
                </c:pt>
                <c:pt idx="39">
                  <c:v>0.54797571788710364</c:v>
                </c:pt>
                <c:pt idx="40">
                  <c:v>0.27029280843433767</c:v>
                </c:pt>
                <c:pt idx="41">
                  <c:v>-0.11425483141407966</c:v>
                </c:pt>
                <c:pt idx="42">
                  <c:v>-0.61452028805858561</c:v>
                </c:pt>
                <c:pt idx="43">
                  <c:v>-0.12044553867701602</c:v>
                </c:pt>
                <c:pt idx="44">
                  <c:v>-0.78649867187923839</c:v>
                </c:pt>
                <c:pt idx="45">
                  <c:v>0.44043978970574926</c:v>
                </c:pt>
                <c:pt idx="46">
                  <c:v>0.56453692492781826</c:v>
                </c:pt>
                <c:pt idx="47">
                  <c:v>-7.1274647217672182E-2</c:v>
                </c:pt>
                <c:pt idx="48">
                  <c:v>0.98802298596565663</c:v>
                </c:pt>
                <c:pt idx="49">
                  <c:v>0.45636183059037805</c:v>
                </c:pt>
                <c:pt idx="50">
                  <c:v>0.13318642759725385</c:v>
                </c:pt>
                <c:pt idx="51">
                  <c:v>0.68993058300592303</c:v>
                </c:pt>
                <c:pt idx="52">
                  <c:v>0.41998473854455121</c:v>
                </c:pt>
                <c:pt idx="53">
                  <c:v>-0.33669261683156648</c:v>
                </c:pt>
                <c:pt idx="54">
                  <c:v>-0.1763549371816211</c:v>
                </c:pt>
                <c:pt idx="55">
                  <c:v>-0.8594578345798336</c:v>
                </c:pt>
                <c:pt idx="56">
                  <c:v>-1.54411471041543</c:v>
                </c:pt>
                <c:pt idx="57">
                  <c:v>-0.46993010449509676</c:v>
                </c:pt>
                <c:pt idx="58">
                  <c:v>-0.2456524603789294</c:v>
                </c:pt>
                <c:pt idx="59">
                  <c:v>-0.11965034514980566</c:v>
                </c:pt>
                <c:pt idx="60">
                  <c:v>0.79985503980616457</c:v>
                </c:pt>
                <c:pt idx="61">
                  <c:v>0.48466722885429725</c:v>
                </c:pt>
                <c:pt idx="62">
                  <c:v>0.13041638896195451</c:v>
                </c:pt>
                <c:pt idx="63">
                  <c:v>0.29134519214685461</c:v>
                </c:pt>
                <c:pt idx="64">
                  <c:v>-2.0800282666932901E-3</c:v>
                </c:pt>
                <c:pt idx="65">
                  <c:v>4.5264999700627584E-2</c:v>
                </c:pt>
                <c:pt idx="66">
                  <c:v>-0.31377174297590038</c:v>
                </c:pt>
                <c:pt idx="67">
                  <c:v>-0.46441926626207497</c:v>
                </c:pt>
                <c:pt idx="68">
                  <c:v>-0.4980988966599984</c:v>
                </c:pt>
                <c:pt idx="69">
                  <c:v>-0.70986531293946697</c:v>
                </c:pt>
                <c:pt idx="70">
                  <c:v>7.3103494226218757E-2</c:v>
                </c:pt>
                <c:pt idx="71">
                  <c:v>0.4594947877769382</c:v>
                </c:pt>
                <c:pt idx="72">
                  <c:v>1.0989648225688704</c:v>
                </c:pt>
                <c:pt idx="73">
                  <c:v>1.6680277565708348</c:v>
                </c:pt>
                <c:pt idx="74">
                  <c:v>1.7133410183582622</c:v>
                </c:pt>
                <c:pt idx="75">
                  <c:v>1.281082992323336</c:v>
                </c:pt>
                <c:pt idx="76">
                  <c:v>0.53092192422779405</c:v>
                </c:pt>
                <c:pt idx="77">
                  <c:v>-2.6784164756023188E-2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04-46C5-952F-3BA658D06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510479"/>
        <c:axId val="2071234447"/>
      </c:lineChart>
      <c:catAx>
        <c:axId val="19714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22764431"/>
        <c:crosses val="autoZero"/>
        <c:auto val="1"/>
        <c:lblAlgn val="ctr"/>
        <c:lblOffset val="100"/>
        <c:tickLblSkip val="12"/>
        <c:noMultiLvlLbl val="0"/>
      </c:catAx>
      <c:valAx>
        <c:axId val="2022764431"/>
        <c:scaling>
          <c:orientation val="minMax"/>
          <c:max val="1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71424479"/>
        <c:crossesAt val="1"/>
        <c:crossBetween val="between"/>
        <c:majorUnit val="0.4"/>
      </c:valAx>
      <c:valAx>
        <c:axId val="2071234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57510479"/>
        <c:crosses val="max"/>
        <c:crossBetween val="between"/>
      </c:valAx>
      <c:catAx>
        <c:axId val="1357510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1234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417614464858561"/>
          <c:w val="0.99341907261592299"/>
          <c:h val="0.13582385535141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7458442694663"/>
          <c:y val="5.4236293379994166E-2"/>
          <c:w val="0.77962860892388453"/>
          <c:h val="0.6706853310002916"/>
        </c:manualLayout>
      </c:layout>
      <c:lineChart>
        <c:grouping val="standard"/>
        <c:varyColors val="0"/>
        <c:ser>
          <c:idx val="1"/>
          <c:order val="1"/>
          <c:tx>
            <c:strRef>
              <c:f>index_sox!$C$1</c:f>
              <c:strCache>
                <c:ptCount val="1"/>
                <c:pt idx="0">
                  <c:v>Semiconductor index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index_sox!$L$30:$L$107</c:f>
              <c:strCache>
                <c:ptCount val="78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  <c:pt idx="71">
                  <c:v>2024Q4</c:v>
                </c:pt>
                <c:pt idx="72">
                  <c:v>2025Q1</c:v>
                </c:pt>
                <c:pt idx="73">
                  <c:v>2025Q2</c:v>
                </c:pt>
                <c:pt idx="74">
                  <c:v>2025Q3</c:v>
                </c:pt>
                <c:pt idx="75">
                  <c:v>2025Q4</c:v>
                </c:pt>
                <c:pt idx="76">
                  <c:v>2026Q1</c:v>
                </c:pt>
                <c:pt idx="77">
                  <c:v>2026Q2</c:v>
                </c:pt>
              </c:strCache>
            </c:strRef>
          </c:cat>
          <c:val>
            <c:numRef>
              <c:f>index_sox!$D$30:$D$107</c:f>
              <c:numCache>
                <c:formatCode>General</c:formatCode>
                <c:ptCount val="78"/>
                <c:pt idx="0">
                  <c:v>-7.0645368515680929E-2</c:v>
                </c:pt>
                <c:pt idx="1">
                  <c:v>0.12624921595280281</c:v>
                </c:pt>
                <c:pt idx="2">
                  <c:v>9.5150207487911587E-2</c:v>
                </c:pt>
                <c:pt idx="3">
                  <c:v>-0.13504969189570204</c:v>
                </c:pt>
                <c:pt idx="4">
                  <c:v>-0.30279529081261725</c:v>
                </c:pt>
                <c:pt idx="5">
                  <c:v>-0.30835351986033022</c:v>
                </c:pt>
                <c:pt idx="6">
                  <c:v>-0.4882986170104191</c:v>
                </c:pt>
                <c:pt idx="7">
                  <c:v>-0.65397744880624398</c:v>
                </c:pt>
                <c:pt idx="8">
                  <c:v>-0.39843917443734167</c:v>
                </c:pt>
                <c:pt idx="9">
                  <c:v>-0.33584768705859513</c:v>
                </c:pt>
                <c:pt idx="10">
                  <c:v>5.9640777641745579E-2</c:v>
                </c:pt>
                <c:pt idx="11">
                  <c:v>0.52846617076554381</c:v>
                </c:pt>
                <c:pt idx="12">
                  <c:v>0.46216151740212119</c:v>
                </c:pt>
                <c:pt idx="13">
                  <c:v>0.23331393014599833</c:v>
                </c:pt>
                <c:pt idx="14">
                  <c:v>6.9629054035449833E-2</c:v>
                </c:pt>
                <c:pt idx="15">
                  <c:v>0.13473241931339341</c:v>
                </c:pt>
                <c:pt idx="16">
                  <c:v>0.1765670882973005</c:v>
                </c:pt>
                <c:pt idx="17">
                  <c:v>0.21097232054174153</c:v>
                </c:pt>
                <c:pt idx="18">
                  <c:v>-3.0290335353679865E-2</c:v>
                </c:pt>
                <c:pt idx="19">
                  <c:v>-0.12222451145898638</c:v>
                </c:pt>
                <c:pt idx="20">
                  <c:v>2.9224632406732454E-3</c:v>
                </c:pt>
                <c:pt idx="21">
                  <c:v>-6.2573099951973354E-2</c:v>
                </c:pt>
                <c:pt idx="22">
                  <c:v>0.12065817339566287</c:v>
                </c:pt>
                <c:pt idx="23">
                  <c:v>5.2920637779510393E-2</c:v>
                </c:pt>
                <c:pt idx="24">
                  <c:v>-4.0404757621352871E-3</c:v>
                </c:pt>
                <c:pt idx="25">
                  <c:v>0.19543303555014369</c:v>
                </c:pt>
                <c:pt idx="26">
                  <c:v>0.25045441424195136</c:v>
                </c:pt>
                <c:pt idx="27">
                  <c:v>0.33152409082254142</c:v>
                </c:pt>
                <c:pt idx="28">
                  <c:v>0.29542690628675938</c:v>
                </c:pt>
                <c:pt idx="29">
                  <c:v>0.3057018210130531</c:v>
                </c:pt>
                <c:pt idx="30">
                  <c:v>0.26299251267162838</c:v>
                </c:pt>
                <c:pt idx="31">
                  <c:v>0.24982216383007216</c:v>
                </c:pt>
                <c:pt idx="32">
                  <c:v>0.17002045166809854</c:v>
                </c:pt>
                <c:pt idx="33">
                  <c:v>6.7798085513190998E-2</c:v>
                </c:pt>
                <c:pt idx="34">
                  <c:v>-5.7621018123987788E-2</c:v>
                </c:pt>
                <c:pt idx="35">
                  <c:v>-3.4646357977490716E-2</c:v>
                </c:pt>
                <c:pt idx="36">
                  <c:v>-2.7093426761140904E-2</c:v>
                </c:pt>
                <c:pt idx="37">
                  <c:v>1.6222370168563316E-2</c:v>
                </c:pt>
                <c:pt idx="38">
                  <c:v>0.32668069761147134</c:v>
                </c:pt>
                <c:pt idx="39">
                  <c:v>0.31205922230847261</c:v>
                </c:pt>
                <c:pt idx="40">
                  <c:v>0.40158201296943563</c:v>
                </c:pt>
                <c:pt idx="41">
                  <c:v>0.40296083986942133</c:v>
                </c:pt>
                <c:pt idx="42">
                  <c:v>0.33809509372344593</c:v>
                </c:pt>
                <c:pt idx="43">
                  <c:v>0.32377799428845577</c:v>
                </c:pt>
                <c:pt idx="44">
                  <c:v>0.27301601692433319</c:v>
                </c:pt>
                <c:pt idx="45">
                  <c:v>0.23853304688354626</c:v>
                </c:pt>
                <c:pt idx="46">
                  <c:v>0.15393851978765838</c:v>
                </c:pt>
                <c:pt idx="47">
                  <c:v>-8.1333060982632155E-2</c:v>
                </c:pt>
                <c:pt idx="48">
                  <c:v>4.8908396129859533E-2</c:v>
                </c:pt>
                <c:pt idx="49">
                  <c:v>0.10487628002730442</c:v>
                </c:pt>
                <c:pt idx="50">
                  <c:v>0.13145588301813493</c:v>
                </c:pt>
                <c:pt idx="51">
                  <c:v>0.47073265261393438</c:v>
                </c:pt>
                <c:pt idx="52">
                  <c:v>7.9240333505629756E-2</c:v>
                </c:pt>
                <c:pt idx="53">
                  <c:v>0.31364173877616786</c:v>
                </c:pt>
                <c:pt idx="54">
                  <c:v>0.36442929637418242</c:v>
                </c:pt>
                <c:pt idx="55">
                  <c:v>0.41303077153821466</c:v>
                </c:pt>
                <c:pt idx="56">
                  <c:v>0.7269147838912362</c:v>
                </c:pt>
                <c:pt idx="57">
                  <c:v>0.51619381730814062</c:v>
                </c:pt>
                <c:pt idx="58">
                  <c:v>0.37282764669752844</c:v>
                </c:pt>
                <c:pt idx="59">
                  <c:v>0.34473448699182008</c:v>
                </c:pt>
                <c:pt idx="60">
                  <c:v>9.285360922710062E-2</c:v>
                </c:pt>
                <c:pt idx="61">
                  <c:v>-0.26901804162756449</c:v>
                </c:pt>
                <c:pt idx="62">
                  <c:v>-0.34532325052766932</c:v>
                </c:pt>
                <c:pt idx="63">
                  <c:v>-0.44369247879640383</c:v>
                </c:pt>
                <c:pt idx="64">
                  <c:v>-5.952028456682612E-2</c:v>
                </c:pt>
                <c:pt idx="65">
                  <c:v>0.36248377726806957</c:v>
                </c:pt>
                <c:pt idx="66">
                  <c:v>0.39799230934915553</c:v>
                </c:pt>
                <c:pt idx="67">
                  <c:v>0.50017398859085382</c:v>
                </c:pt>
                <c:pt idx="68">
                  <c:v>0.41754950867908569</c:v>
                </c:pt>
                <c:pt idx="69">
                  <c:v>0.39866653290465059</c:v>
                </c:pt>
                <c:pt idx="70">
                  <c:v>0.4096541810610006</c:v>
                </c:pt>
                <c:pt idx="71">
                  <c:v>0.1761888917399741</c:v>
                </c:pt>
                <c:pt idx="72">
                  <c:v>-0.1385833316841385</c:v>
                </c:pt>
                <c:pt idx="73">
                  <c:v>1.348266598671799E-2</c:v>
                </c:pt>
                <c:pt idx="74">
                  <c:v>0.20810678316573394</c:v>
                </c:pt>
                <c:pt idx="75">
                  <c:v>0.35230001385254184</c:v>
                </c:pt>
                <c:pt idx="76">
                  <c:v>0.57487986896192034</c:v>
                </c:pt>
                <c:pt idx="77">
                  <c:v>0.9049263882788896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95-4BC7-824B-19F9CB8F4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424479"/>
        <c:axId val="2022764431"/>
      </c:lineChart>
      <c:lineChart>
        <c:grouping val="standard"/>
        <c:varyColors val="0"/>
        <c:ser>
          <c:idx val="0"/>
          <c:order val="0"/>
          <c:tx>
            <c:strRef>
              <c:f>index_sox!$AL$1</c:f>
              <c:strCache>
                <c:ptCount val="1"/>
                <c:pt idx="0">
                  <c:v>Global uncertainty (rh axis)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index_sox!$L$30:$L$107</c:f>
              <c:strCache>
                <c:ptCount val="78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  <c:pt idx="71">
                  <c:v>2024Q4</c:v>
                </c:pt>
                <c:pt idx="72">
                  <c:v>2025Q1</c:v>
                </c:pt>
                <c:pt idx="73">
                  <c:v>2025Q2</c:v>
                </c:pt>
                <c:pt idx="74">
                  <c:v>2025Q3</c:v>
                </c:pt>
                <c:pt idx="75">
                  <c:v>2025Q4</c:v>
                </c:pt>
                <c:pt idx="76">
                  <c:v>2026Q1</c:v>
                </c:pt>
                <c:pt idx="77">
                  <c:v>2026Q2</c:v>
                </c:pt>
              </c:strCache>
            </c:strRef>
          </c:cat>
          <c:val>
            <c:numRef>
              <c:f>index_sox!$AL$30:$AL$107</c:f>
              <c:numCache>
                <c:formatCode>General</c:formatCode>
                <c:ptCount val="78"/>
                <c:pt idx="0">
                  <c:v>-1.2687289727626301</c:v>
                </c:pt>
                <c:pt idx="1">
                  <c:v>-1.27456082316618</c:v>
                </c:pt>
                <c:pt idx="2">
                  <c:v>-0.64849900759021295</c:v>
                </c:pt>
                <c:pt idx="3" formatCode="#,##0.00">
                  <c:v>-0.56488450648826205</c:v>
                </c:pt>
                <c:pt idx="4" formatCode="#,##0.00">
                  <c:v>-0.31160186069143297</c:v>
                </c:pt>
                <c:pt idx="5" formatCode="#,##0.00">
                  <c:v>-0.85427463774559598</c:v>
                </c:pt>
                <c:pt idx="6" formatCode="#,##0.00">
                  <c:v>-0.26893607687391602</c:v>
                </c:pt>
                <c:pt idx="7" formatCode="#,##0.00">
                  <c:v>1.7377063337552401</c:v>
                </c:pt>
                <c:pt idx="8" formatCode="#,##0.00">
                  <c:v>0.80920448484472596</c:v>
                </c:pt>
                <c:pt idx="9" formatCode="#,##0.00">
                  <c:v>4.9969597834283203E-2</c:v>
                </c:pt>
                <c:pt idx="10" formatCode="#,##0.00">
                  <c:v>-0.39729425291579201</c:v>
                </c:pt>
                <c:pt idx="11" formatCode="#,##0.00">
                  <c:v>-0.49861643843222297</c:v>
                </c:pt>
                <c:pt idx="12" formatCode="#,##0.00">
                  <c:v>-0.62766155778055899</c:v>
                </c:pt>
                <c:pt idx="13" formatCode="#,##0.00">
                  <c:v>-7.0049875957110097E-2</c:v>
                </c:pt>
                <c:pt idx="14" formatCode="#,##0.00">
                  <c:v>-0.32955825245954501</c:v>
                </c:pt>
                <c:pt idx="15" formatCode="#,##0.00">
                  <c:v>-0.51966730178342202</c:v>
                </c:pt>
                <c:pt idx="16" formatCode="#,##0.00">
                  <c:v>-0.48549818683019602</c:v>
                </c:pt>
                <c:pt idx="17" formatCode="#,##0.00">
                  <c:v>-0.65258308303378298</c:v>
                </c:pt>
                <c:pt idx="18" formatCode="#,##0.00">
                  <c:v>0.44518903282426397</c:v>
                </c:pt>
                <c:pt idx="19" formatCode="#,##0.00">
                  <c:v>0.330269788157877</c:v>
                </c:pt>
                <c:pt idx="20" formatCode="#,##0.00">
                  <c:v>-0.48362864485593998</c:v>
                </c:pt>
                <c:pt idx="21" formatCode="#,##0.00">
                  <c:v>-0.32000885576400301</c:v>
                </c:pt>
                <c:pt idx="22" formatCode="#,##0.00">
                  <c:v>-0.73773876929349602</c:v>
                </c:pt>
                <c:pt idx="23" formatCode="#,##0.00">
                  <c:v>-0.51768921323952199</c:v>
                </c:pt>
                <c:pt idx="24" formatCode="#,##0.00">
                  <c:v>-0.77039852669292797</c:v>
                </c:pt>
                <c:pt idx="25" formatCode="#,##0.00">
                  <c:v>-0.79650350417243199</c:v>
                </c:pt>
                <c:pt idx="26" formatCode="#,##0.00">
                  <c:v>-0.81318122652094604</c:v>
                </c:pt>
                <c:pt idx="27" formatCode="#,##0.00">
                  <c:v>-0.93229746519611301</c:v>
                </c:pt>
                <c:pt idx="28" formatCode="#,##0.00">
                  <c:v>-0.86970114628290995</c:v>
                </c:pt>
                <c:pt idx="29" formatCode="#,##0.00">
                  <c:v>-0.99547985788916404</c:v>
                </c:pt>
                <c:pt idx="30" formatCode="#,##0.00">
                  <c:v>-0.45305893207544201</c:v>
                </c:pt>
                <c:pt idx="31" formatCode="#,##0.00">
                  <c:v>-0.82456924337422299</c:v>
                </c:pt>
                <c:pt idx="32" formatCode="#,##0.00">
                  <c:v>-0.47803105325262901</c:v>
                </c:pt>
                <c:pt idx="33" formatCode="#,##0.00">
                  <c:v>-0.94910569855003502</c:v>
                </c:pt>
                <c:pt idx="34" formatCode="#,##0.00">
                  <c:v>-0.391701939095495</c:v>
                </c:pt>
                <c:pt idx="35" formatCode="#,##0.00">
                  <c:v>-0.26007234314710798</c:v>
                </c:pt>
                <c:pt idx="36" formatCode="#,##0.00">
                  <c:v>-2.89832279430348E-2</c:v>
                </c:pt>
                <c:pt idx="37" formatCode="#,##0.00">
                  <c:v>-0.45082899229110202</c:v>
                </c:pt>
                <c:pt idx="38" formatCode="#,##0.00">
                  <c:v>-0.41669607693741201</c:v>
                </c:pt>
                <c:pt idx="39" formatCode="#,##0.00">
                  <c:v>-0.40260725541348102</c:v>
                </c:pt>
                <c:pt idx="40" formatCode="#,##0.00">
                  <c:v>-5.7018310946887897E-2</c:v>
                </c:pt>
                <c:pt idx="41" formatCode="#,##0.00">
                  <c:v>-0.352866937982726</c:v>
                </c:pt>
                <c:pt idx="42" formatCode="#,##0.00">
                  <c:v>-0.41474432482484502</c:v>
                </c:pt>
                <c:pt idx="43" formatCode="#,##0.00">
                  <c:v>-0.82046789333800296</c:v>
                </c:pt>
                <c:pt idx="44" formatCode="#,##0.00">
                  <c:v>-0.36789637010221599</c:v>
                </c:pt>
                <c:pt idx="45" formatCode="#,##0.00">
                  <c:v>-0.10425001718478399</c:v>
                </c:pt>
                <c:pt idx="46" formatCode="#,##0.00">
                  <c:v>-0.24375299389893801</c:v>
                </c:pt>
                <c:pt idx="47" formatCode="#,##0.00">
                  <c:v>0.26268200007893</c:v>
                </c:pt>
                <c:pt idx="48" formatCode="#,##0.00">
                  <c:v>-2.7041979167532499E-2</c:v>
                </c:pt>
                <c:pt idx="49" formatCode="#,##0.00">
                  <c:v>0.18695900789388001</c:v>
                </c:pt>
                <c:pt idx="50" formatCode="#,##0.00">
                  <c:v>0.30789062195329298</c:v>
                </c:pt>
                <c:pt idx="51" formatCode="#,##0.00">
                  <c:v>-0.197496817518413</c:v>
                </c:pt>
                <c:pt idx="52" formatCode="#,##0.00">
                  <c:v>0.98847171637166298</c:v>
                </c:pt>
                <c:pt idx="53" formatCode="#,##0.00">
                  <c:v>1.6212986334964801</c:v>
                </c:pt>
                <c:pt idx="54" formatCode="#,##0.00">
                  <c:v>0.83770659619548704</c:v>
                </c:pt>
                <c:pt idx="55" formatCode="#,##0.00">
                  <c:v>1.03765410777402</c:v>
                </c:pt>
                <c:pt idx="56" formatCode="#,##0.00">
                  <c:v>0.23887579091678901</c:v>
                </c:pt>
                <c:pt idx="57" formatCode="#,##0.00">
                  <c:v>-0.26267590591470202</c:v>
                </c:pt>
                <c:pt idx="58" formatCode="#,##0.00">
                  <c:v>-0.20569999659905799</c:v>
                </c:pt>
                <c:pt idx="59" formatCode="#,##0.00">
                  <c:v>0.181592583432969</c:v>
                </c:pt>
                <c:pt idx="60" formatCode="#,##0.00">
                  <c:v>2.1362625032214302</c:v>
                </c:pt>
                <c:pt idx="61" formatCode="#,##0.00">
                  <c:v>1.64150693421324</c:v>
                </c:pt>
                <c:pt idx="62" formatCode="#,##0.00">
                  <c:v>1.14328332759622</c:v>
                </c:pt>
                <c:pt idx="63" formatCode="#,##0.00">
                  <c:v>1.20087378101925</c:v>
                </c:pt>
                <c:pt idx="64" formatCode="#,##0.00">
                  <c:v>0.71022148255387196</c:v>
                </c:pt>
                <c:pt idx="65" formatCode="#,##0.00">
                  <c:v>0.27543462831682303</c:v>
                </c:pt>
                <c:pt idx="66" formatCode="#,##0.00">
                  <c:v>-0.15163217415411401</c:v>
                </c:pt>
                <c:pt idx="67" formatCode="#,##0.00">
                  <c:v>0.73195566631651798</c:v>
                </c:pt>
                <c:pt idx="68" formatCode="#,##0.00">
                  <c:v>0.34395817598755601</c:v>
                </c:pt>
                <c:pt idx="69">
                  <c:v>8.7765788432024594E-2</c:v>
                </c:pt>
                <c:pt idx="70">
                  <c:v>0.30425528579961297</c:v>
                </c:pt>
                <c:pt idx="71">
                  <c:v>0.90945592778423401</c:v>
                </c:pt>
                <c:pt idx="72">
                  <c:v>1.7668732672898</c:v>
                </c:pt>
                <c:pt idx="73">
                  <c:v>3.3448629645629699</c:v>
                </c:pt>
                <c:pt idx="74">
                  <c:v>1.3828512536058</c:v>
                </c:pt>
                <c:pt idx="75">
                  <c:v>1.5588754266220699</c:v>
                </c:pt>
                <c:pt idx="76">
                  <c:v>2.7832597596106701</c:v>
                </c:pt>
                <c:pt idx="77">
                  <c:v>2.2025838320800402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95-4BC7-824B-19F9CB8F4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510479"/>
        <c:axId val="2071234447"/>
      </c:lineChart>
      <c:catAx>
        <c:axId val="19714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22764431"/>
        <c:crosses val="autoZero"/>
        <c:auto val="1"/>
        <c:lblAlgn val="ctr"/>
        <c:lblOffset val="100"/>
        <c:tickLblSkip val="12"/>
        <c:noMultiLvlLbl val="0"/>
      </c:catAx>
      <c:valAx>
        <c:axId val="2022764431"/>
        <c:scaling>
          <c:orientation val="minMax"/>
          <c:max val="1"/>
          <c:min val="-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71424479"/>
        <c:crossesAt val="1"/>
        <c:crossBetween val="between"/>
        <c:majorUnit val="0.4"/>
      </c:valAx>
      <c:valAx>
        <c:axId val="2071234447"/>
        <c:scaling>
          <c:orientation val="minMax"/>
          <c:max val="4"/>
          <c:min val="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57510479"/>
        <c:crosses val="max"/>
        <c:crossBetween val="between"/>
        <c:majorUnit val="2"/>
      </c:valAx>
      <c:catAx>
        <c:axId val="1357510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1234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417614464858561"/>
          <c:w val="0.99341907261592299"/>
          <c:h val="0.13582385535141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7458442694663"/>
          <c:y val="5.4236293379994166E-2"/>
          <c:w val="0.77962860892388453"/>
          <c:h val="0.6706853310002916"/>
        </c:manualLayout>
      </c:layout>
      <c:lineChart>
        <c:grouping val="standard"/>
        <c:varyColors val="0"/>
        <c:ser>
          <c:idx val="1"/>
          <c:order val="1"/>
          <c:tx>
            <c:strRef>
              <c:f>index_sox!$C$1</c:f>
              <c:strCache>
                <c:ptCount val="1"/>
                <c:pt idx="0">
                  <c:v>Semiconductor index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index_sox!$L$66:$L$108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index_sox!$D$66:$D$108</c:f>
              <c:numCache>
                <c:formatCode>General</c:formatCode>
                <c:ptCount val="43"/>
                <c:pt idx="0">
                  <c:v>-2.7093426761140904E-2</c:v>
                </c:pt>
                <c:pt idx="1">
                  <c:v>1.6222370168563316E-2</c:v>
                </c:pt>
                <c:pt idx="2">
                  <c:v>0.32668069761147134</c:v>
                </c:pt>
                <c:pt idx="3">
                  <c:v>0.31205922230847261</c:v>
                </c:pt>
                <c:pt idx="4">
                  <c:v>0.40158201296943563</c:v>
                </c:pt>
                <c:pt idx="5">
                  <c:v>0.40296083986942133</c:v>
                </c:pt>
                <c:pt idx="6">
                  <c:v>0.33809509372344593</c:v>
                </c:pt>
                <c:pt idx="7">
                  <c:v>0.32377799428845577</c:v>
                </c:pt>
                <c:pt idx="8">
                  <c:v>0.27301601692433319</c:v>
                </c:pt>
                <c:pt idx="9">
                  <c:v>0.23853304688354626</c:v>
                </c:pt>
                <c:pt idx="10">
                  <c:v>0.15393851978765838</c:v>
                </c:pt>
                <c:pt idx="11">
                  <c:v>-8.1333060982632155E-2</c:v>
                </c:pt>
                <c:pt idx="12">
                  <c:v>4.8908396129859533E-2</c:v>
                </c:pt>
                <c:pt idx="13">
                  <c:v>0.10487628002730442</c:v>
                </c:pt>
                <c:pt idx="14">
                  <c:v>0.13145588301813493</c:v>
                </c:pt>
                <c:pt idx="15">
                  <c:v>0.47073265261393438</c:v>
                </c:pt>
                <c:pt idx="16">
                  <c:v>7.9240333505629756E-2</c:v>
                </c:pt>
                <c:pt idx="17">
                  <c:v>0.31364173877616786</c:v>
                </c:pt>
                <c:pt idx="18">
                  <c:v>0.36442929637418242</c:v>
                </c:pt>
                <c:pt idx="19">
                  <c:v>0.41303077153821466</c:v>
                </c:pt>
                <c:pt idx="20">
                  <c:v>0.7269147838912362</c:v>
                </c:pt>
                <c:pt idx="21">
                  <c:v>0.51619381730814062</c:v>
                </c:pt>
                <c:pt idx="22">
                  <c:v>0.37282764669752844</c:v>
                </c:pt>
                <c:pt idx="23">
                  <c:v>0.34473448699182008</c:v>
                </c:pt>
                <c:pt idx="24">
                  <c:v>9.285360922710062E-2</c:v>
                </c:pt>
                <c:pt idx="25">
                  <c:v>-0.26901804162756449</c:v>
                </c:pt>
                <c:pt idx="26">
                  <c:v>-0.34532325052766932</c:v>
                </c:pt>
                <c:pt idx="27">
                  <c:v>-0.44369247879640383</c:v>
                </c:pt>
                <c:pt idx="28">
                  <c:v>-5.952028456682612E-2</c:v>
                </c:pt>
                <c:pt idx="29">
                  <c:v>0.36248377726806957</c:v>
                </c:pt>
                <c:pt idx="30">
                  <c:v>0.39799230934915553</c:v>
                </c:pt>
                <c:pt idx="31">
                  <c:v>0.50017398859085382</c:v>
                </c:pt>
                <c:pt idx="32">
                  <c:v>0.41754950867908569</c:v>
                </c:pt>
                <c:pt idx="33">
                  <c:v>0.39866653290465059</c:v>
                </c:pt>
                <c:pt idx="34">
                  <c:v>0.4096541810610006</c:v>
                </c:pt>
                <c:pt idx="35">
                  <c:v>0.1761888917399741</c:v>
                </c:pt>
                <c:pt idx="36">
                  <c:v>-0.1385833316841385</c:v>
                </c:pt>
                <c:pt idx="37">
                  <c:v>1.348266598671799E-2</c:v>
                </c:pt>
                <c:pt idx="38">
                  <c:v>0.20810678316573394</c:v>
                </c:pt>
                <c:pt idx="39">
                  <c:v>0.35230001385254184</c:v>
                </c:pt>
                <c:pt idx="40">
                  <c:v>0.57487986896192034</c:v>
                </c:pt>
                <c:pt idx="41">
                  <c:v>0.9049263882788896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EF-4663-86BB-08BEDC66B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424479"/>
        <c:axId val="2022764431"/>
      </c:lineChart>
      <c:lineChart>
        <c:grouping val="standard"/>
        <c:varyColors val="0"/>
        <c:ser>
          <c:idx val="0"/>
          <c:order val="0"/>
          <c:tx>
            <c:strRef>
              <c:f>index_sox!$AL$1</c:f>
              <c:strCache>
                <c:ptCount val="1"/>
                <c:pt idx="0">
                  <c:v>Global uncertainty (rh axis)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index_sox!$L$66:$L$108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index_sox!$AL$66:$AL$108</c:f>
              <c:numCache>
                <c:formatCode>#,##0.00</c:formatCode>
                <c:ptCount val="43"/>
                <c:pt idx="0">
                  <c:v>-2.89832279430348E-2</c:v>
                </c:pt>
                <c:pt idx="1">
                  <c:v>-0.45082899229110202</c:v>
                </c:pt>
                <c:pt idx="2">
                  <c:v>-0.41669607693741201</c:v>
                </c:pt>
                <c:pt idx="3">
                  <c:v>-0.40260725541348102</c:v>
                </c:pt>
                <c:pt idx="4">
                  <c:v>-5.7018310946887897E-2</c:v>
                </c:pt>
                <c:pt idx="5">
                  <c:v>-0.352866937982726</c:v>
                </c:pt>
                <c:pt idx="6">
                  <c:v>-0.41474432482484502</c:v>
                </c:pt>
                <c:pt idx="7">
                  <c:v>-0.82046789333800296</c:v>
                </c:pt>
                <c:pt idx="8">
                  <c:v>-0.36789637010221599</c:v>
                </c:pt>
                <c:pt idx="9">
                  <c:v>-0.10425001718478399</c:v>
                </c:pt>
                <c:pt idx="10">
                  <c:v>-0.24375299389893801</c:v>
                </c:pt>
                <c:pt idx="11">
                  <c:v>0.26268200007893</c:v>
                </c:pt>
                <c:pt idx="12">
                  <c:v>-2.7041979167532499E-2</c:v>
                </c:pt>
                <c:pt idx="13">
                  <c:v>0.18695900789388001</c:v>
                </c:pt>
                <c:pt idx="14">
                  <c:v>0.30789062195329298</c:v>
                </c:pt>
                <c:pt idx="15">
                  <c:v>-0.197496817518413</c:v>
                </c:pt>
                <c:pt idx="16">
                  <c:v>0.98847171637166298</c:v>
                </c:pt>
                <c:pt idx="17">
                  <c:v>1.6212986334964801</c:v>
                </c:pt>
                <c:pt idx="18">
                  <c:v>0.83770659619548704</c:v>
                </c:pt>
                <c:pt idx="19">
                  <c:v>1.03765410777402</c:v>
                </c:pt>
                <c:pt idx="20">
                  <c:v>0.23887579091678901</c:v>
                </c:pt>
                <c:pt idx="21">
                  <c:v>-0.26267590591470202</c:v>
                </c:pt>
                <c:pt idx="22">
                  <c:v>-0.20569999659905799</c:v>
                </c:pt>
                <c:pt idx="23">
                  <c:v>0.181592583432969</c:v>
                </c:pt>
                <c:pt idx="24">
                  <c:v>2.1362625032214302</c:v>
                </c:pt>
                <c:pt idx="25">
                  <c:v>1.64150693421324</c:v>
                </c:pt>
                <c:pt idx="26">
                  <c:v>1.14328332759622</c:v>
                </c:pt>
                <c:pt idx="27">
                  <c:v>1.20087378101925</c:v>
                </c:pt>
                <c:pt idx="28">
                  <c:v>0.71022148255387196</c:v>
                </c:pt>
                <c:pt idx="29">
                  <c:v>0.27543462831682303</c:v>
                </c:pt>
                <c:pt idx="30">
                  <c:v>-0.15163217415411401</c:v>
                </c:pt>
                <c:pt idx="31">
                  <c:v>0.73195566631651798</c:v>
                </c:pt>
                <c:pt idx="32">
                  <c:v>0.34395817598755601</c:v>
                </c:pt>
                <c:pt idx="33" formatCode="General">
                  <c:v>8.7765788432024594E-2</c:v>
                </c:pt>
                <c:pt idx="34" formatCode="General">
                  <c:v>0.30425528579961297</c:v>
                </c:pt>
                <c:pt idx="35" formatCode="General">
                  <c:v>0.90945592778423401</c:v>
                </c:pt>
                <c:pt idx="36" formatCode="General">
                  <c:v>1.7668732672898</c:v>
                </c:pt>
                <c:pt idx="37" formatCode="General">
                  <c:v>3.3448629645629699</c:v>
                </c:pt>
                <c:pt idx="38" formatCode="General">
                  <c:v>1.3828512536058</c:v>
                </c:pt>
                <c:pt idx="39" formatCode="General">
                  <c:v>1.5588754266220699</c:v>
                </c:pt>
                <c:pt idx="40" formatCode="General">
                  <c:v>2.7832597596106701</c:v>
                </c:pt>
                <c:pt idx="41" formatCode="General">
                  <c:v>2.2025838320800402</c:v>
                </c:pt>
                <c:pt idx="42" formatCode="General">
                  <c:v>0.76386029204533001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EF-4663-86BB-08BEDC66B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510479"/>
        <c:axId val="2071234447"/>
      </c:lineChart>
      <c:catAx>
        <c:axId val="19714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22764431"/>
        <c:crosses val="autoZero"/>
        <c:auto val="1"/>
        <c:lblAlgn val="ctr"/>
        <c:lblOffset val="100"/>
        <c:tickLblSkip val="12"/>
        <c:tickMarkSkip val="1"/>
        <c:noMultiLvlLbl val="0"/>
      </c:catAx>
      <c:valAx>
        <c:axId val="2022764431"/>
        <c:scaling>
          <c:orientation val="minMax"/>
          <c:max val="1"/>
          <c:min val="-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71424479"/>
        <c:crossesAt val="1"/>
        <c:crossBetween val="between"/>
        <c:majorUnit val="0.4"/>
      </c:valAx>
      <c:valAx>
        <c:axId val="2071234447"/>
        <c:scaling>
          <c:orientation val="minMax"/>
          <c:max val="4"/>
          <c:min val="-1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57510479"/>
        <c:crosses val="max"/>
        <c:crossBetween val="between"/>
        <c:majorUnit val="2"/>
      </c:valAx>
      <c:catAx>
        <c:axId val="1357510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1234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417614464858561"/>
          <c:w val="0.99341907261592299"/>
          <c:h val="0.13582385535141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7458442694663"/>
          <c:y val="5.4236293379994166E-2"/>
          <c:w val="0.77962860892388453"/>
          <c:h val="0.6706853310002916"/>
        </c:manualLayout>
      </c:layout>
      <c:lineChart>
        <c:grouping val="standard"/>
        <c:varyColors val="0"/>
        <c:ser>
          <c:idx val="1"/>
          <c:order val="1"/>
          <c:tx>
            <c:strRef>
              <c:f>index_sox!$P$1</c:f>
              <c:strCache>
                <c:ptCount val="1"/>
                <c:pt idx="0">
                  <c:v>SOX / STOXX Europe 600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index_sox!$L$66:$L$108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index_sox!$P$66:$P$107</c:f>
              <c:numCache>
                <c:formatCode>General</c:formatCode>
                <c:ptCount val="42"/>
                <c:pt idx="0">
                  <c:v>144.25869212997264</c:v>
                </c:pt>
                <c:pt idx="1">
                  <c:v>150.8315091051773</c:v>
                </c:pt>
                <c:pt idx="2">
                  <c:v>175.28902548570366</c:v>
                </c:pt>
                <c:pt idx="3">
                  <c:v>180.42236188263118</c:v>
                </c:pt>
                <c:pt idx="4">
                  <c:v>190.89192323021069</c:v>
                </c:pt>
                <c:pt idx="5">
                  <c:v>196.24055290111951</c:v>
                </c:pt>
                <c:pt idx="6">
                  <c:v>217.15488773206135</c:v>
                </c:pt>
                <c:pt idx="7">
                  <c:v>231.61519743499022</c:v>
                </c:pt>
                <c:pt idx="8">
                  <c:v>257.76250926423518</c:v>
                </c:pt>
                <c:pt idx="9">
                  <c:v>248.73777463646843</c:v>
                </c:pt>
                <c:pt idx="10">
                  <c:v>256.58556319775664</c:v>
                </c:pt>
                <c:pt idx="11">
                  <c:v>247.14884397702562</c:v>
                </c:pt>
                <c:pt idx="12">
                  <c:v>264.81328688717883</c:v>
                </c:pt>
                <c:pt idx="13">
                  <c:v>272.69580632119767</c:v>
                </c:pt>
                <c:pt idx="14">
                  <c:v>285.21169738204975</c:v>
                </c:pt>
                <c:pt idx="15">
                  <c:v>319.71342072749411</c:v>
                </c:pt>
                <c:pt idx="16">
                  <c:v>339.51919928048892</c:v>
                </c:pt>
                <c:pt idx="17">
                  <c:v>398.55927496155039</c:v>
                </c:pt>
                <c:pt idx="18">
                  <c:v>447.07437913720696</c:v>
                </c:pt>
                <c:pt idx="19">
                  <c:v>502.43200476206329</c:v>
                </c:pt>
                <c:pt idx="20">
                  <c:v>523.27084292189329</c:v>
                </c:pt>
                <c:pt idx="21">
                  <c:v>531.42347896701312</c:v>
                </c:pt>
                <c:pt idx="22">
                  <c:v>515.3262031865371</c:v>
                </c:pt>
                <c:pt idx="23">
                  <c:v>580.86298722325921</c:v>
                </c:pt>
                <c:pt idx="24">
                  <c:v>541.10949281599733</c:v>
                </c:pt>
                <c:pt idx="25">
                  <c:v>451.59038128552942</c:v>
                </c:pt>
                <c:pt idx="26">
                  <c:v>427.83513173572294</c:v>
                </c:pt>
                <c:pt idx="27">
                  <c:v>428.70169635605055</c:v>
                </c:pt>
                <c:pt idx="28">
                  <c:v>507.63734562500235</c:v>
                </c:pt>
                <c:pt idx="29">
                  <c:v>572.00655822677118</c:v>
                </c:pt>
                <c:pt idx="30">
                  <c:v>548.73331160399005</c:v>
                </c:pt>
                <c:pt idx="31">
                  <c:v>627.04815397158097</c:v>
                </c:pt>
                <c:pt idx="32">
                  <c:v>688.2858662213539</c:v>
                </c:pt>
                <c:pt idx="33">
                  <c:v>769.72949010148579</c:v>
                </c:pt>
                <c:pt idx="34">
                  <c:v>711.68254151168264</c:v>
                </c:pt>
                <c:pt idx="35">
                  <c:v>709.59415202511093</c:v>
                </c:pt>
                <c:pt idx="36">
                  <c:v>575.36652366099861</c:v>
                </c:pt>
                <c:pt idx="37">
                  <c:v>737.01633011987258</c:v>
                </c:pt>
                <c:pt idx="38">
                  <c:v>820.92224189257865</c:v>
                </c:pt>
                <c:pt idx="39">
                  <c:v>859.56907362208119</c:v>
                </c:pt>
                <c:pt idx="40">
                  <c:v>936.08454876090445</c:v>
                </c:pt>
                <c:pt idx="41">
                  <c:v>1550.3994884340455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63-412E-A69E-50FA2C4A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424479"/>
        <c:axId val="2022764431"/>
      </c:lineChart>
      <c:lineChart>
        <c:grouping val="standard"/>
        <c:varyColors val="0"/>
        <c:ser>
          <c:idx val="0"/>
          <c:order val="0"/>
          <c:tx>
            <c:strRef>
              <c:f>index_sox!$AL$1</c:f>
              <c:strCache>
                <c:ptCount val="1"/>
                <c:pt idx="0">
                  <c:v>Global uncertainty (rh axis)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index_sox!$L$66:$L$108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index_sox!$AL$66:$AL$108</c:f>
              <c:numCache>
                <c:formatCode>#,##0.00</c:formatCode>
                <c:ptCount val="43"/>
                <c:pt idx="0">
                  <c:v>-2.89832279430348E-2</c:v>
                </c:pt>
                <c:pt idx="1">
                  <c:v>-0.45082899229110202</c:v>
                </c:pt>
                <c:pt idx="2">
                  <c:v>-0.41669607693741201</c:v>
                </c:pt>
                <c:pt idx="3">
                  <c:v>-0.40260725541348102</c:v>
                </c:pt>
                <c:pt idx="4">
                  <c:v>-5.7018310946887897E-2</c:v>
                </c:pt>
                <c:pt idx="5">
                  <c:v>-0.352866937982726</c:v>
                </c:pt>
                <c:pt idx="6">
                  <c:v>-0.41474432482484502</c:v>
                </c:pt>
                <c:pt idx="7">
                  <c:v>-0.82046789333800296</c:v>
                </c:pt>
                <c:pt idx="8">
                  <c:v>-0.36789637010221599</c:v>
                </c:pt>
                <c:pt idx="9">
                  <c:v>-0.10425001718478399</c:v>
                </c:pt>
                <c:pt idx="10">
                  <c:v>-0.24375299389893801</c:v>
                </c:pt>
                <c:pt idx="11">
                  <c:v>0.26268200007893</c:v>
                </c:pt>
                <c:pt idx="12">
                  <c:v>-2.7041979167532499E-2</c:v>
                </c:pt>
                <c:pt idx="13">
                  <c:v>0.18695900789388001</c:v>
                </c:pt>
                <c:pt idx="14">
                  <c:v>0.30789062195329298</c:v>
                </c:pt>
                <c:pt idx="15">
                  <c:v>-0.197496817518413</c:v>
                </c:pt>
                <c:pt idx="16">
                  <c:v>0.98847171637166298</c:v>
                </c:pt>
                <c:pt idx="17">
                  <c:v>1.6212986334964801</c:v>
                </c:pt>
                <c:pt idx="18">
                  <c:v>0.83770659619548704</c:v>
                </c:pt>
                <c:pt idx="19">
                  <c:v>1.03765410777402</c:v>
                </c:pt>
                <c:pt idx="20">
                  <c:v>0.23887579091678901</c:v>
                </c:pt>
                <c:pt idx="21">
                  <c:v>-0.26267590591470202</c:v>
                </c:pt>
                <c:pt idx="22">
                  <c:v>-0.20569999659905799</c:v>
                </c:pt>
                <c:pt idx="23">
                  <c:v>0.181592583432969</c:v>
                </c:pt>
                <c:pt idx="24">
                  <c:v>2.1362625032214302</c:v>
                </c:pt>
                <c:pt idx="25">
                  <c:v>1.64150693421324</c:v>
                </c:pt>
                <c:pt idx="26">
                  <c:v>1.14328332759622</c:v>
                </c:pt>
                <c:pt idx="27">
                  <c:v>1.20087378101925</c:v>
                </c:pt>
                <c:pt idx="28">
                  <c:v>0.71022148255387196</c:v>
                </c:pt>
                <c:pt idx="29">
                  <c:v>0.27543462831682303</c:v>
                </c:pt>
                <c:pt idx="30">
                  <c:v>-0.15163217415411401</c:v>
                </c:pt>
                <c:pt idx="31">
                  <c:v>0.73195566631651798</c:v>
                </c:pt>
                <c:pt idx="32">
                  <c:v>0.34395817598755601</c:v>
                </c:pt>
                <c:pt idx="33" formatCode="General">
                  <c:v>8.7765788432024594E-2</c:v>
                </c:pt>
                <c:pt idx="34" formatCode="General">
                  <c:v>0.30425528579961297</c:v>
                </c:pt>
                <c:pt idx="35" formatCode="General">
                  <c:v>0.90945592778423401</c:v>
                </c:pt>
                <c:pt idx="36" formatCode="General">
                  <c:v>1.7668732672898</c:v>
                </c:pt>
                <c:pt idx="37" formatCode="General">
                  <c:v>3.3448629645629699</c:v>
                </c:pt>
                <c:pt idx="38" formatCode="General">
                  <c:v>1.3828512536058</c:v>
                </c:pt>
                <c:pt idx="39" formatCode="General">
                  <c:v>1.5588754266220699</c:v>
                </c:pt>
                <c:pt idx="40" formatCode="General">
                  <c:v>2.7832597596106701</c:v>
                </c:pt>
                <c:pt idx="41" formatCode="General">
                  <c:v>2.2025838320800402</c:v>
                </c:pt>
                <c:pt idx="42" formatCode="General">
                  <c:v>0.76386029204533001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3-412E-A69E-50FA2C4A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510479"/>
        <c:axId val="2071234447"/>
      </c:lineChart>
      <c:catAx>
        <c:axId val="19714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22764431"/>
        <c:crosses val="autoZero"/>
        <c:auto val="1"/>
        <c:lblAlgn val="ctr"/>
        <c:lblOffset val="100"/>
        <c:tickLblSkip val="12"/>
        <c:tickMarkSkip val="1"/>
        <c:noMultiLvlLbl val="0"/>
      </c:catAx>
      <c:valAx>
        <c:axId val="2022764431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71424479"/>
        <c:crossesAt val="1"/>
        <c:crossBetween val="between"/>
        <c:majorUnit val="500"/>
      </c:valAx>
      <c:valAx>
        <c:axId val="2071234447"/>
        <c:scaling>
          <c:orientation val="minMax"/>
          <c:max val="4"/>
          <c:min val="-1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57510479"/>
        <c:crosses val="max"/>
        <c:crossBetween val="between"/>
        <c:majorUnit val="2"/>
      </c:valAx>
      <c:catAx>
        <c:axId val="1357510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1234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417614464858561"/>
          <c:w val="0.99341907261592299"/>
          <c:h val="0.13582385535141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7458442694663"/>
          <c:y val="5.4236293379994166E-2"/>
          <c:w val="0.77962860892388453"/>
          <c:h val="0.6706853310002916"/>
        </c:manualLayout>
      </c:layout>
      <c:lineChart>
        <c:grouping val="standard"/>
        <c:varyColors val="0"/>
        <c:ser>
          <c:idx val="0"/>
          <c:order val="0"/>
          <c:tx>
            <c:strRef>
              <c:f>index_sox!$M$1</c:f>
              <c:strCache>
                <c:ptCount val="1"/>
                <c:pt idx="0">
                  <c:v>STOXX Europe 600</c:v>
                </c:pt>
              </c:strCache>
            </c:strRef>
          </c:tx>
          <c:spPr>
            <a:ln w="127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index_sox!$L$66:$L$108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index_sox!$N$66:$N$108</c:f>
              <c:numCache>
                <c:formatCode>General</c:formatCode>
                <c:ptCount val="43"/>
                <c:pt idx="0">
                  <c:v>-0.16300758497195655</c:v>
                </c:pt>
                <c:pt idx="1">
                  <c:v>-0.14488371941871403</c:v>
                </c:pt>
                <c:pt idx="2">
                  <c:v>-1.404408717225536E-2</c:v>
                </c:pt>
                <c:pt idx="3">
                  <c:v>-1.7226667382837846E-2</c:v>
                </c:pt>
                <c:pt idx="4">
                  <c:v>0.12148275300982458</c:v>
                </c:pt>
                <c:pt idx="5">
                  <c:v>0.13978300251746401</c:v>
                </c:pt>
                <c:pt idx="6">
                  <c:v>0.12392041222262051</c:v>
                </c:pt>
                <c:pt idx="7">
                  <c:v>7.4001188587660138E-2</c:v>
                </c:pt>
                <c:pt idx="8">
                  <c:v>-2.7315216410451981E-2</c:v>
                </c:pt>
                <c:pt idx="9">
                  <c:v>1.4750366630593703E-3</c:v>
                </c:pt>
                <c:pt idx="10">
                  <c:v>-1.291280163667885E-2</c:v>
                </c:pt>
                <c:pt idx="11">
                  <c:v>-0.14624646044218803</c:v>
                </c:pt>
                <c:pt idx="12">
                  <c:v>2.1922050526805847E-2</c:v>
                </c:pt>
                <c:pt idx="13">
                  <c:v>1.2918596294983153E-2</c:v>
                </c:pt>
                <c:pt idx="14">
                  <c:v>2.5686369359333661E-2</c:v>
                </c:pt>
                <c:pt idx="15">
                  <c:v>0.21329838062799311</c:v>
                </c:pt>
                <c:pt idx="16">
                  <c:v>-0.16926516365992317</c:v>
                </c:pt>
                <c:pt idx="17">
                  <c:v>-6.5857582217818234E-2</c:v>
                </c:pt>
                <c:pt idx="18">
                  <c:v>-8.5063978314535049E-2</c:v>
                </c:pt>
                <c:pt idx="19">
                  <c:v>-3.9004511019373744E-2</c:v>
                </c:pt>
                <c:pt idx="20">
                  <c:v>0.29434608681221341</c:v>
                </c:pt>
                <c:pt idx="21">
                  <c:v>0.22849083409829962</c:v>
                </c:pt>
                <c:pt idx="22">
                  <c:v>0.23075251935524044</c:v>
                </c:pt>
                <c:pt idx="23">
                  <c:v>0.19967989715668644</c:v>
                </c:pt>
                <c:pt idx="24">
                  <c:v>5.9331155295265781E-2</c:v>
                </c:pt>
                <c:pt idx="25">
                  <c:v>-0.10623435890863941</c:v>
                </c:pt>
                <c:pt idx="26">
                  <c:v>-0.15926106127990725</c:v>
                </c:pt>
                <c:pt idx="27">
                  <c:v>-0.13993890266326137</c:v>
                </c:pt>
                <c:pt idx="28">
                  <c:v>4.3340574048214009E-3</c:v>
                </c:pt>
                <c:pt idx="29">
                  <c:v>0.12610885338066691</c:v>
                </c:pt>
                <c:pt idx="30">
                  <c:v>0.14911767222369132</c:v>
                </c:pt>
                <c:pt idx="31">
                  <c:v>0.11991198088744248</c:v>
                </c:pt>
                <c:pt idx="32">
                  <c:v>0.11311255988976754</c:v>
                </c:pt>
                <c:pt idx="33">
                  <c:v>0.10177784808328205</c:v>
                </c:pt>
                <c:pt idx="34">
                  <c:v>0.14963479001271818</c:v>
                </c:pt>
                <c:pt idx="35">
                  <c:v>5.2519040282398954E-2</c:v>
                </c:pt>
                <c:pt idx="36">
                  <c:v>4.0613653002867345E-2</c:v>
                </c:pt>
                <c:pt idx="37">
                  <c:v>5.6911758052219596E-2</c:v>
                </c:pt>
                <c:pt idx="38">
                  <c:v>6.5310332976831198E-2</c:v>
                </c:pt>
                <c:pt idx="39">
                  <c:v>0.16056201710385398</c:v>
                </c:pt>
                <c:pt idx="40">
                  <c:v>8.8181336868551341E-2</c:v>
                </c:pt>
                <c:pt idx="41">
                  <c:v>0.16126852660119795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2-41DA-BE44-45A28F963022}"/>
            </c:ext>
          </c:extLst>
        </c:ser>
        <c:ser>
          <c:idx val="1"/>
          <c:order val="1"/>
          <c:tx>
            <c:strRef>
              <c:f>index_sox!$C$1</c:f>
              <c:strCache>
                <c:ptCount val="1"/>
                <c:pt idx="0">
                  <c:v>Semiconductor index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index_sox!$L$66:$L$108</c:f>
              <c:strCache>
                <c:ptCount val="42"/>
                <c:pt idx="0">
                  <c:v>2016Q1</c:v>
                </c:pt>
                <c:pt idx="1">
                  <c:v>2016Q2</c:v>
                </c:pt>
                <c:pt idx="2">
                  <c:v>2016Q3</c:v>
                </c:pt>
                <c:pt idx="3">
                  <c:v>2016Q4</c:v>
                </c:pt>
                <c:pt idx="4">
                  <c:v>2017Q1</c:v>
                </c:pt>
                <c:pt idx="5">
                  <c:v>2017Q2</c:v>
                </c:pt>
                <c:pt idx="6">
                  <c:v>2017Q3</c:v>
                </c:pt>
                <c:pt idx="7">
                  <c:v>2017Q4</c:v>
                </c:pt>
                <c:pt idx="8">
                  <c:v>2018Q1</c:v>
                </c:pt>
                <c:pt idx="9">
                  <c:v>2018Q2</c:v>
                </c:pt>
                <c:pt idx="10">
                  <c:v>2018Q3</c:v>
                </c:pt>
                <c:pt idx="11">
                  <c:v>2018Q4</c:v>
                </c:pt>
                <c:pt idx="12">
                  <c:v>2019Q1</c:v>
                </c:pt>
                <c:pt idx="13">
                  <c:v>2019Q2</c:v>
                </c:pt>
                <c:pt idx="14">
                  <c:v>2019Q3</c:v>
                </c:pt>
                <c:pt idx="15">
                  <c:v>2019Q4</c:v>
                </c:pt>
                <c:pt idx="16">
                  <c:v>2020Q1</c:v>
                </c:pt>
                <c:pt idx="17">
                  <c:v>2020Q2</c:v>
                </c:pt>
                <c:pt idx="18">
                  <c:v>2020Q3</c:v>
                </c:pt>
                <c:pt idx="19">
                  <c:v>2020Q4</c:v>
                </c:pt>
                <c:pt idx="20">
                  <c:v>2021Q1</c:v>
                </c:pt>
                <c:pt idx="21">
                  <c:v>2021Q2</c:v>
                </c:pt>
                <c:pt idx="22">
                  <c:v>2021Q3</c:v>
                </c:pt>
                <c:pt idx="23">
                  <c:v>2021Q4</c:v>
                </c:pt>
                <c:pt idx="24">
                  <c:v>2022Q1</c:v>
                </c:pt>
                <c:pt idx="25">
                  <c:v>2022Q2</c:v>
                </c:pt>
                <c:pt idx="26">
                  <c:v>2022Q3</c:v>
                </c:pt>
                <c:pt idx="27">
                  <c:v>2022Q4</c:v>
                </c:pt>
                <c:pt idx="28">
                  <c:v>2023Q1</c:v>
                </c:pt>
                <c:pt idx="29">
                  <c:v>2023Q2</c:v>
                </c:pt>
                <c:pt idx="30">
                  <c:v>2023Q3</c:v>
                </c:pt>
                <c:pt idx="31">
                  <c:v>2023Q4</c:v>
                </c:pt>
                <c:pt idx="32">
                  <c:v>2024Q1</c:v>
                </c:pt>
                <c:pt idx="33">
                  <c:v>2024Q2</c:v>
                </c:pt>
                <c:pt idx="34">
                  <c:v>2024Q3</c:v>
                </c:pt>
                <c:pt idx="35">
                  <c:v>2024Q4</c:v>
                </c:pt>
                <c:pt idx="36">
                  <c:v>2025Q1</c:v>
                </c:pt>
                <c:pt idx="37">
                  <c:v>2025Q2</c:v>
                </c:pt>
                <c:pt idx="38">
                  <c:v>2025Q3</c:v>
                </c:pt>
                <c:pt idx="39">
                  <c:v>2025Q4</c:v>
                </c:pt>
                <c:pt idx="40">
                  <c:v>2026Q1</c:v>
                </c:pt>
                <c:pt idx="41">
                  <c:v>2026Q2</c:v>
                </c:pt>
              </c:strCache>
            </c:strRef>
          </c:cat>
          <c:val>
            <c:numRef>
              <c:f>index_sox!$D$66:$D$108</c:f>
              <c:numCache>
                <c:formatCode>General</c:formatCode>
                <c:ptCount val="43"/>
                <c:pt idx="0">
                  <c:v>-2.7093426761140904E-2</c:v>
                </c:pt>
                <c:pt idx="1">
                  <c:v>1.6222370168563316E-2</c:v>
                </c:pt>
                <c:pt idx="2">
                  <c:v>0.32668069761147134</c:v>
                </c:pt>
                <c:pt idx="3">
                  <c:v>0.31205922230847261</c:v>
                </c:pt>
                <c:pt idx="4">
                  <c:v>0.40158201296943563</c:v>
                </c:pt>
                <c:pt idx="5">
                  <c:v>0.40296083986942133</c:v>
                </c:pt>
                <c:pt idx="6">
                  <c:v>0.33809509372344593</c:v>
                </c:pt>
                <c:pt idx="7">
                  <c:v>0.32377799428845577</c:v>
                </c:pt>
                <c:pt idx="8">
                  <c:v>0.27301601692433319</c:v>
                </c:pt>
                <c:pt idx="9">
                  <c:v>0.23853304688354626</c:v>
                </c:pt>
                <c:pt idx="10">
                  <c:v>0.15393851978765838</c:v>
                </c:pt>
                <c:pt idx="11">
                  <c:v>-8.1333060982632155E-2</c:v>
                </c:pt>
                <c:pt idx="12">
                  <c:v>4.8908396129859533E-2</c:v>
                </c:pt>
                <c:pt idx="13">
                  <c:v>0.10487628002730442</c:v>
                </c:pt>
                <c:pt idx="14">
                  <c:v>0.13145588301813493</c:v>
                </c:pt>
                <c:pt idx="15">
                  <c:v>0.47073265261393438</c:v>
                </c:pt>
                <c:pt idx="16">
                  <c:v>7.9240333505629756E-2</c:v>
                </c:pt>
                <c:pt idx="17">
                  <c:v>0.31364173877616786</c:v>
                </c:pt>
                <c:pt idx="18">
                  <c:v>0.36442929637418242</c:v>
                </c:pt>
                <c:pt idx="19">
                  <c:v>0.41303077153821466</c:v>
                </c:pt>
                <c:pt idx="20">
                  <c:v>0.7269147838912362</c:v>
                </c:pt>
                <c:pt idx="21">
                  <c:v>0.51619381730814062</c:v>
                </c:pt>
                <c:pt idx="22">
                  <c:v>0.37282764669752844</c:v>
                </c:pt>
                <c:pt idx="23">
                  <c:v>0.34473448699182008</c:v>
                </c:pt>
                <c:pt idx="24">
                  <c:v>9.285360922710062E-2</c:v>
                </c:pt>
                <c:pt idx="25">
                  <c:v>-0.26901804162756449</c:v>
                </c:pt>
                <c:pt idx="26">
                  <c:v>-0.34532325052766932</c:v>
                </c:pt>
                <c:pt idx="27">
                  <c:v>-0.44369247879640383</c:v>
                </c:pt>
                <c:pt idx="28">
                  <c:v>-5.952028456682612E-2</c:v>
                </c:pt>
                <c:pt idx="29">
                  <c:v>0.36248377726806957</c:v>
                </c:pt>
                <c:pt idx="30">
                  <c:v>0.39799230934915553</c:v>
                </c:pt>
                <c:pt idx="31">
                  <c:v>0.50017398859085382</c:v>
                </c:pt>
                <c:pt idx="32">
                  <c:v>0.41754950867908569</c:v>
                </c:pt>
                <c:pt idx="33">
                  <c:v>0.39866653290465059</c:v>
                </c:pt>
                <c:pt idx="34">
                  <c:v>0.4096541810610006</c:v>
                </c:pt>
                <c:pt idx="35">
                  <c:v>0.1761888917399741</c:v>
                </c:pt>
                <c:pt idx="36">
                  <c:v>-0.1385833316841385</c:v>
                </c:pt>
                <c:pt idx="37">
                  <c:v>1.348266598671799E-2</c:v>
                </c:pt>
                <c:pt idx="38">
                  <c:v>0.20810678316573394</c:v>
                </c:pt>
                <c:pt idx="39">
                  <c:v>0.35230001385254184</c:v>
                </c:pt>
                <c:pt idx="40">
                  <c:v>0.57487986896192034</c:v>
                </c:pt>
                <c:pt idx="41">
                  <c:v>0.9049263882788896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D2-41DA-BE44-45A28F963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424479"/>
        <c:axId val="2022764431"/>
      </c:lineChart>
      <c:catAx>
        <c:axId val="19714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22764431"/>
        <c:crosses val="autoZero"/>
        <c:auto val="1"/>
        <c:lblAlgn val="ctr"/>
        <c:lblOffset val="100"/>
        <c:tickLblSkip val="12"/>
        <c:tickMarkSkip val="1"/>
        <c:noMultiLvlLbl val="0"/>
      </c:catAx>
      <c:valAx>
        <c:axId val="2022764431"/>
        <c:scaling>
          <c:orientation val="minMax"/>
          <c:max val="0.7500000000000001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71424479"/>
        <c:crossesAt val="1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417614464858561"/>
          <c:w val="0.99341907261592299"/>
          <c:h val="0.13582385535141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2</xdr:row>
      <xdr:rowOff>38100</xdr:rowOff>
    </xdr:from>
    <xdr:to>
      <xdr:col>16</xdr:col>
      <xdr:colOff>469900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10C8E-1D27-436E-AF19-8CA46B5D6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120650</xdr:colOff>
      <xdr:row>2</xdr:row>
      <xdr:rowOff>31750</xdr:rowOff>
    </xdr:from>
    <xdr:to>
      <xdr:col>22</xdr:col>
      <xdr:colOff>158750</xdr:colOff>
      <xdr:row>17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0A4BFA-C910-4945-95F7-C9A3ABE35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0</xdr:row>
      <xdr:rowOff>127000</xdr:rowOff>
    </xdr:from>
    <xdr:to>
      <xdr:col>12</xdr:col>
      <xdr:colOff>69850</xdr:colOff>
      <xdr:row>15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7AC60-2800-F1C2-B31E-9E2ACBE23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165100</xdr:colOff>
      <xdr:row>0</xdr:row>
      <xdr:rowOff>57150</xdr:rowOff>
    </xdr:from>
    <xdr:to>
      <xdr:col>18</xdr:col>
      <xdr:colOff>307975</xdr:colOff>
      <xdr:row>15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ED27B9-6520-429B-BCB9-9971C85BF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1</xdr:row>
      <xdr:rowOff>107950</xdr:rowOff>
    </xdr:from>
    <xdr:to>
      <xdr:col>19</xdr:col>
      <xdr:colOff>254000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74DD2-9E63-4C63-A2EE-7911AF071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425450</xdr:colOff>
      <xdr:row>1</xdr:row>
      <xdr:rowOff>107950</xdr:rowOff>
    </xdr:from>
    <xdr:to>
      <xdr:col>26</xdr:col>
      <xdr:colOff>19050</xdr:colOff>
      <xdr:row>14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59A963-5FC6-43F7-8595-378B561B5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18</xdr:col>
      <xdr:colOff>406400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2F252-AA41-4E52-8828-5D212D8C3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501650</xdr:colOff>
      <xdr:row>2</xdr:row>
      <xdr:rowOff>25400</xdr:rowOff>
    </xdr:from>
    <xdr:to>
      <xdr:col>24</xdr:col>
      <xdr:colOff>298450</xdr:colOff>
      <xdr:row>14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242F76-B2D5-48E9-B0D3-41C7A66ED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282575</xdr:colOff>
      <xdr:row>1</xdr:row>
      <xdr:rowOff>12699</xdr:rowOff>
    </xdr:from>
    <xdr:to>
      <xdr:col>35</xdr:col>
      <xdr:colOff>260350</xdr:colOff>
      <xdr:row>15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E1A5E-F69D-4FDA-B4B5-4BB70D856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187325</xdr:colOff>
      <xdr:row>109</xdr:row>
      <xdr:rowOff>44450</xdr:rowOff>
    </xdr:from>
    <xdr:to>
      <xdr:col>8</xdr:col>
      <xdr:colOff>492125</xdr:colOff>
      <xdr:row>124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40A61-295F-4C60-B993-2D054A87E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109</xdr:row>
      <xdr:rowOff>88900</xdr:rowOff>
    </xdr:from>
    <xdr:to>
      <xdr:col>16</xdr:col>
      <xdr:colOff>304800</xdr:colOff>
      <xdr:row>124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EBF7CB-F308-4053-BA1B-8701146DC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374650</xdr:colOff>
      <xdr:row>108</xdr:row>
      <xdr:rowOff>158750</xdr:rowOff>
    </xdr:from>
    <xdr:to>
      <xdr:col>24</xdr:col>
      <xdr:colOff>69850</xdr:colOff>
      <xdr:row>123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9E16BE-A43F-411D-81EB-1A3F3A97F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120650</xdr:colOff>
      <xdr:row>108</xdr:row>
      <xdr:rowOff>107950</xdr:rowOff>
    </xdr:from>
    <xdr:to>
      <xdr:col>31</xdr:col>
      <xdr:colOff>425450</xdr:colOff>
      <xdr:row>123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D1B84A-E9D7-49E3-8F63-B83FCBD34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400050</xdr:colOff>
      <xdr:row>109</xdr:row>
      <xdr:rowOff>6350</xdr:rowOff>
    </xdr:from>
    <xdr:to>
      <xdr:col>40</xdr:col>
      <xdr:colOff>95250</xdr:colOff>
      <xdr:row>123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34CF5D-EE06-4EAA-901C-B84DEDA7F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273050</xdr:colOff>
      <xdr:row>108</xdr:row>
      <xdr:rowOff>171450</xdr:rowOff>
    </xdr:from>
    <xdr:to>
      <xdr:col>47</xdr:col>
      <xdr:colOff>577850</xdr:colOff>
      <xdr:row>123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B1E909-5EA5-400C-B40A-F6D7A8324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95250</xdr:colOff>
      <xdr:row>108</xdr:row>
      <xdr:rowOff>50800</xdr:rowOff>
    </xdr:from>
    <xdr:to>
      <xdr:col>55</xdr:col>
      <xdr:colOff>400050</xdr:colOff>
      <xdr:row>123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4DAEAF-6FB1-4E63-9823-0106174E4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55</xdr:col>
      <xdr:colOff>482600</xdr:colOff>
      <xdr:row>108</xdr:row>
      <xdr:rowOff>12700</xdr:rowOff>
    </xdr:from>
    <xdr:to>
      <xdr:col>63</xdr:col>
      <xdr:colOff>177800</xdr:colOff>
      <xdr:row>122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05070BF-EAC6-4B32-8359-AF4005FBC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nbnl-my.sharepoint.com/personal/w_a_van_den_end_dnb_nl/Documents/Projecten_nw/AI/Data/ai_data.xlsx" TargetMode="External"/><Relationship Id="rId1" Type="http://schemas.openxmlformats.org/officeDocument/2006/relationships/externalLinkPath" Target="ai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dp"/>
      <sheetName val="ict_inv"/>
      <sheetName val="ai_patent"/>
      <sheetName val="ai_inv"/>
      <sheetName val="index_nat"/>
      <sheetName val="index_sox"/>
      <sheetName val="index_msci"/>
      <sheetName val="index_stoxx600"/>
      <sheetName val="hs_export"/>
      <sheetName val="eur_export"/>
      <sheetName val="wui"/>
      <sheetName val="gpr"/>
      <sheetName val="epu"/>
      <sheetName val="tpu"/>
      <sheetName val="gscpi"/>
      <sheetName val="com"/>
      <sheetName val="trade_openness"/>
      <sheetName val="population_growth"/>
      <sheetName val="productivity_growth"/>
      <sheetName val="gdp_per_capita"/>
      <sheetName val="infl"/>
      <sheetName val="support"/>
    </sheetNames>
    <sheetDataSet>
      <sheetData sheetId="0">
        <row r="65">
          <cell r="C65">
            <v>78075.5</v>
          </cell>
        </row>
        <row r="66">
          <cell r="C66">
            <v>78966.8</v>
          </cell>
        </row>
        <row r="67">
          <cell r="C67">
            <v>78924.899999999994</v>
          </cell>
        </row>
        <row r="68">
          <cell r="C68">
            <v>79357.899999999994</v>
          </cell>
        </row>
        <row r="69">
          <cell r="C69">
            <v>79838.600000000006</v>
          </cell>
        </row>
        <row r="70">
          <cell r="C70">
            <v>80620.399999999994</v>
          </cell>
        </row>
        <row r="71">
          <cell r="C71">
            <v>80884.100000000006</v>
          </cell>
        </row>
        <row r="72">
          <cell r="C72">
            <v>81396.600000000006</v>
          </cell>
        </row>
        <row r="73">
          <cell r="C73">
            <v>81785.399999999994</v>
          </cell>
        </row>
        <row r="74">
          <cell r="C74">
            <v>82247.399999999994</v>
          </cell>
        </row>
        <row r="75">
          <cell r="C75">
            <v>82912.899999999994</v>
          </cell>
        </row>
        <row r="76">
          <cell r="C76">
            <v>83250.600000000006</v>
          </cell>
        </row>
        <row r="77">
          <cell r="C77">
            <v>84036.800000000003</v>
          </cell>
        </row>
        <row r="78">
          <cell r="C78">
            <v>84991.4</v>
          </cell>
        </row>
        <row r="79">
          <cell r="C79">
            <v>84464.8</v>
          </cell>
        </row>
        <row r="80">
          <cell r="C80">
            <v>84592.3</v>
          </cell>
        </row>
        <row r="81">
          <cell r="C81">
            <v>84050.8</v>
          </cell>
        </row>
        <row r="82">
          <cell r="C82">
            <v>83125.100000000006</v>
          </cell>
        </row>
        <row r="83">
          <cell r="C83">
            <v>72641.7</v>
          </cell>
        </row>
        <row r="84">
          <cell r="C84">
            <v>80981.7</v>
          </cell>
        </row>
        <row r="85">
          <cell r="C85">
            <v>79788.3</v>
          </cell>
        </row>
        <row r="86">
          <cell r="C86">
            <v>79021.899999999994</v>
          </cell>
        </row>
        <row r="87">
          <cell r="C87">
            <v>82655</v>
          </cell>
        </row>
        <row r="88">
          <cell r="C88">
            <v>85235.4</v>
          </cell>
        </row>
        <row r="89">
          <cell r="C89">
            <v>85470.8</v>
          </cell>
        </row>
        <row r="90">
          <cell r="C90">
            <v>85748.4</v>
          </cell>
        </row>
        <row r="91">
          <cell r="C91">
            <v>88244.800000000003</v>
          </cell>
        </row>
        <row r="92">
          <cell r="C92">
            <v>88232.2</v>
          </cell>
        </row>
        <row r="93">
          <cell r="C93">
            <v>88213.8</v>
          </cell>
        </row>
        <row r="94">
          <cell r="C94">
            <v>88142.7</v>
          </cell>
        </row>
        <row r="95">
          <cell r="C95">
            <v>87078.5</v>
          </cell>
        </row>
        <row r="96">
          <cell r="C96">
            <v>86631.6</v>
          </cell>
        </row>
        <row r="97">
          <cell r="C97">
            <v>86222.5</v>
          </cell>
        </row>
        <row r="98">
          <cell r="C98">
            <v>86331.4</v>
          </cell>
        </row>
        <row r="99">
          <cell r="C99">
            <v>86218.1</v>
          </cell>
        </row>
        <row r="100">
          <cell r="C100">
            <v>86130.6</v>
          </cell>
        </row>
        <row r="101">
          <cell r="C101">
            <v>86505.7</v>
          </cell>
        </row>
        <row r="102">
          <cell r="C102">
            <v>86838.8</v>
          </cell>
        </row>
        <row r="103">
          <cell r="C103">
            <v>86997.4</v>
          </cell>
        </row>
        <row r="104">
          <cell r="C104">
            <v>87237.7</v>
          </cell>
        </row>
        <row r="105">
          <cell r="C105">
            <v>87415.2</v>
          </cell>
        </row>
        <row r="106">
          <cell r="C106">
            <v>87509.7</v>
          </cell>
        </row>
        <row r="107">
          <cell r="C107">
            <v>87383.8</v>
          </cell>
        </row>
        <row r="108">
          <cell r="C108">
            <v>75873.3</v>
          </cell>
        </row>
        <row r="109">
          <cell r="C109">
            <v>76406.600000000006</v>
          </cell>
        </row>
        <row r="110">
          <cell r="C110">
            <v>76789.7</v>
          </cell>
        </row>
        <row r="111">
          <cell r="C111">
            <v>77540.399999999994</v>
          </cell>
        </row>
        <row r="112">
          <cell r="C112">
            <v>77570.8</v>
          </cell>
        </row>
        <row r="113">
          <cell r="C113">
            <v>77575.3</v>
          </cell>
        </row>
        <row r="114">
          <cell r="C114">
            <v>77456.899999999994</v>
          </cell>
        </row>
        <row r="115">
          <cell r="C115">
            <v>77378.7</v>
          </cell>
        </row>
        <row r="116">
          <cell r="C116">
            <v>78027.199999999997</v>
          </cell>
        </row>
        <row r="117">
          <cell r="C117">
            <v>78683.399999999994</v>
          </cell>
        </row>
        <row r="118">
          <cell r="C118">
            <v>79133.7</v>
          </cell>
        </row>
        <row r="119">
          <cell r="C119">
            <v>79428.3</v>
          </cell>
        </row>
        <row r="120">
          <cell r="C120">
            <v>79202.5</v>
          </cell>
        </row>
        <row r="121">
          <cell r="C121">
            <v>79359.7</v>
          </cell>
        </row>
        <row r="122">
          <cell r="C122">
            <v>79714.600000000006</v>
          </cell>
        </row>
        <row r="123">
          <cell r="C123">
            <v>80268.3</v>
          </cell>
        </row>
        <row r="124">
          <cell r="C124">
            <v>81454.899999999994</v>
          </cell>
        </row>
        <row r="125">
          <cell r="C125">
            <v>82225.8</v>
          </cell>
        </row>
        <row r="126">
          <cell r="C126">
            <v>82973.7</v>
          </cell>
        </row>
        <row r="127">
          <cell r="C127">
            <v>83266.600000000006</v>
          </cell>
        </row>
        <row r="128">
          <cell r="C128">
            <v>83686</v>
          </cell>
        </row>
        <row r="129">
          <cell r="C129">
            <v>84174.1</v>
          </cell>
        </row>
        <row r="130">
          <cell r="C130">
            <v>84537.4</v>
          </cell>
        </row>
        <row r="131">
          <cell r="C131">
            <v>85183.4</v>
          </cell>
        </row>
        <row r="132">
          <cell r="C132">
            <v>85688.8</v>
          </cell>
        </row>
        <row r="133">
          <cell r="C133">
            <v>85981.4</v>
          </cell>
        </row>
        <row r="134">
          <cell r="C134">
            <v>86771.5</v>
          </cell>
        </row>
        <row r="135">
          <cell r="C135">
            <v>87755.3</v>
          </cell>
        </row>
        <row r="136">
          <cell r="C136">
            <v>88982.8</v>
          </cell>
        </row>
        <row r="137">
          <cell r="C137">
            <v>89376.8</v>
          </cell>
        </row>
        <row r="138">
          <cell r="C138">
            <v>90101.3</v>
          </cell>
        </row>
        <row r="139">
          <cell r="C139">
            <v>90465.600000000006</v>
          </cell>
        </row>
        <row r="140">
          <cell r="C140">
            <v>90838.8</v>
          </cell>
        </row>
        <row r="141">
          <cell r="C141">
            <v>90882.8</v>
          </cell>
        </row>
        <row r="142">
          <cell r="C142">
            <v>90385.5</v>
          </cell>
        </row>
        <row r="143">
          <cell r="C143">
            <v>88423.5</v>
          </cell>
        </row>
        <row r="144">
          <cell r="C144">
            <v>87541.4</v>
          </cell>
        </row>
        <row r="145">
          <cell r="C145">
            <v>87678.8</v>
          </cell>
        </row>
        <row r="146">
          <cell r="C146">
            <v>88900.3</v>
          </cell>
        </row>
        <row r="147">
          <cell r="C147">
            <v>89536.7</v>
          </cell>
        </row>
        <row r="148">
          <cell r="C148">
            <v>89884.1</v>
          </cell>
        </row>
        <row r="149">
          <cell r="C149">
            <v>90704.5</v>
          </cell>
        </row>
        <row r="150">
          <cell r="C150">
            <v>91064</v>
          </cell>
        </row>
        <row r="151">
          <cell r="C151">
            <v>91589.8</v>
          </cell>
        </row>
        <row r="152">
          <cell r="C152">
            <v>92218.7</v>
          </cell>
        </row>
        <row r="153">
          <cell r="C153">
            <v>92451.6</v>
          </cell>
        </row>
        <row r="154">
          <cell r="C154">
            <v>92715.9</v>
          </cell>
        </row>
        <row r="155">
          <cell r="C155">
            <v>92871</v>
          </cell>
        </row>
        <row r="156">
          <cell r="C156">
            <v>92861.7</v>
          </cell>
        </row>
        <row r="157">
          <cell r="C157">
            <v>92662.9</v>
          </cell>
        </row>
        <row r="158">
          <cell r="C158">
            <v>92821.7</v>
          </cell>
        </row>
        <row r="159">
          <cell r="C159">
            <v>92710</v>
          </cell>
        </row>
        <row r="160">
          <cell r="C160">
            <v>92343.5</v>
          </cell>
        </row>
        <row r="161">
          <cell r="C161">
            <v>92949</v>
          </cell>
        </row>
        <row r="162">
          <cell r="C162">
            <v>93322.3</v>
          </cell>
        </row>
        <row r="163">
          <cell r="C163">
            <v>93575.1</v>
          </cell>
        </row>
        <row r="164">
          <cell r="C164">
            <v>94115.3</v>
          </cell>
        </row>
        <row r="165">
          <cell r="C165">
            <v>94333</v>
          </cell>
        </row>
        <row r="166">
          <cell r="C166">
            <v>94965.1</v>
          </cell>
        </row>
        <row r="167">
          <cell r="C167">
            <v>95347.5</v>
          </cell>
        </row>
        <row r="168">
          <cell r="C168">
            <v>95602.6</v>
          </cell>
        </row>
        <row r="169">
          <cell r="C169">
            <v>96047.1</v>
          </cell>
        </row>
        <row r="170">
          <cell r="C170">
            <v>96178.4</v>
          </cell>
        </row>
        <row r="171">
          <cell r="C171">
            <v>96516.5</v>
          </cell>
        </row>
        <row r="172">
          <cell r="C172">
            <v>96626.4</v>
          </cell>
        </row>
        <row r="173">
          <cell r="C173">
            <v>97197.7</v>
          </cell>
        </row>
        <row r="174">
          <cell r="C174">
            <v>97374.6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8">
          <cell r="B38">
            <v>11074.92</v>
          </cell>
        </row>
        <row r="39">
          <cell r="B39">
            <v>13018.25</v>
          </cell>
        </row>
        <row r="40">
          <cell r="B40">
            <v>5777.7690000000002</v>
          </cell>
        </row>
        <row r="41">
          <cell r="B41">
            <v>7862.549</v>
          </cell>
        </row>
        <row r="42">
          <cell r="B42">
            <v>5832.3329999999996</v>
          </cell>
        </row>
        <row r="43">
          <cell r="B43">
            <v>5569.9409999999998</v>
          </cell>
        </row>
        <row r="44">
          <cell r="B44">
            <v>13816.67</v>
          </cell>
        </row>
        <row r="45">
          <cell r="B45">
            <v>11881.05</v>
          </cell>
        </row>
        <row r="46">
          <cell r="B46">
            <v>22324.51</v>
          </cell>
        </row>
        <row r="47">
          <cell r="B47">
            <v>13179.21</v>
          </cell>
        </row>
        <row r="48">
          <cell r="B48">
            <v>25155.95</v>
          </cell>
        </row>
        <row r="49">
          <cell r="B49">
            <v>23448.18</v>
          </cell>
        </row>
        <row r="50">
          <cell r="B50">
            <v>22597.360000000001</v>
          </cell>
        </row>
        <row r="51">
          <cell r="B51">
            <v>17938.45</v>
          </cell>
        </row>
        <row r="52">
          <cell r="B52">
            <v>14136.45</v>
          </cell>
        </row>
        <row r="53">
          <cell r="B53">
            <v>27832.880000000001</v>
          </cell>
        </row>
        <row r="54">
          <cell r="B54">
            <v>25718.62</v>
          </cell>
        </row>
        <row r="55">
          <cell r="B55">
            <v>34454.82</v>
          </cell>
        </row>
        <row r="56">
          <cell r="B56">
            <v>23886.34</v>
          </cell>
        </row>
        <row r="57">
          <cell r="B57">
            <v>12058.21</v>
          </cell>
        </row>
        <row r="58">
          <cell r="B58">
            <v>16122.31</v>
          </cell>
        </row>
        <row r="59">
          <cell r="B59">
            <v>9975.3389999999999</v>
          </cell>
        </row>
        <row r="60">
          <cell r="B60">
            <v>14397.81</v>
          </cell>
        </row>
        <row r="61">
          <cell r="B61">
            <v>13202.73</v>
          </cell>
        </row>
        <row r="62">
          <cell r="B62">
            <v>11537.9</v>
          </cell>
        </row>
        <row r="63">
          <cell r="B63">
            <v>11866.98</v>
          </cell>
        </row>
        <row r="64">
          <cell r="B64">
            <v>20193.73</v>
          </cell>
        </row>
        <row r="65">
          <cell r="B65">
            <v>12165.63</v>
          </cell>
        </row>
        <row r="66">
          <cell r="B66">
            <v>11552.83</v>
          </cell>
        </row>
        <row r="67">
          <cell r="B67">
            <v>8235.1579999999994</v>
          </cell>
        </row>
        <row r="68">
          <cell r="B68">
            <v>11854.69</v>
          </cell>
        </row>
        <row r="69">
          <cell r="B69">
            <v>9051.4310000000005</v>
          </cell>
        </row>
        <row r="70">
          <cell r="B70">
            <v>13357.51</v>
          </cell>
        </row>
        <row r="71">
          <cell r="B71">
            <v>18459.61</v>
          </cell>
        </row>
        <row r="72">
          <cell r="B72">
            <v>21867.71</v>
          </cell>
        </row>
        <row r="73">
          <cell r="B73">
            <v>13843.68</v>
          </cell>
        </row>
        <row r="74">
          <cell r="B74">
            <v>13176.87</v>
          </cell>
        </row>
        <row r="75">
          <cell r="B75">
            <v>18019.05</v>
          </cell>
        </row>
        <row r="76">
          <cell r="B76">
            <v>14048.15</v>
          </cell>
        </row>
        <row r="77">
          <cell r="B77">
            <v>13245.42</v>
          </cell>
        </row>
        <row r="78">
          <cell r="B78">
            <v>21794.11</v>
          </cell>
        </row>
        <row r="79">
          <cell r="B79">
            <v>18972.07</v>
          </cell>
        </row>
        <row r="80">
          <cell r="B80">
            <v>14507.25</v>
          </cell>
        </row>
        <row r="81">
          <cell r="B81">
            <v>18951.79</v>
          </cell>
        </row>
        <row r="82">
          <cell r="B82">
            <v>19711.91</v>
          </cell>
        </row>
        <row r="83">
          <cell r="B83">
            <v>21449.03</v>
          </cell>
        </row>
        <row r="84">
          <cell r="B84">
            <v>19653.439999999999</v>
          </cell>
        </row>
        <row r="85">
          <cell r="B85">
            <v>14901.64</v>
          </cell>
        </row>
        <row r="86">
          <cell r="B86">
            <v>13397.83</v>
          </cell>
        </row>
        <row r="87">
          <cell r="B87">
            <v>14121</v>
          </cell>
        </row>
        <row r="88">
          <cell r="B88">
            <v>20227.560000000001</v>
          </cell>
        </row>
        <row r="89">
          <cell r="B89">
            <v>19436.98</v>
          </cell>
        </row>
        <row r="90">
          <cell r="B90">
            <v>18629.88</v>
          </cell>
        </row>
        <row r="91">
          <cell r="B91">
            <v>36827.879999999997</v>
          </cell>
        </row>
        <row r="92">
          <cell r="B92">
            <v>25945.24</v>
          </cell>
        </row>
        <row r="93">
          <cell r="B93">
            <v>38752.269999999997</v>
          </cell>
        </row>
        <row r="94">
          <cell r="B94">
            <v>31598.92</v>
          </cell>
        </row>
        <row r="95">
          <cell r="B95">
            <v>14113.9</v>
          </cell>
        </row>
        <row r="96">
          <cell r="B96">
            <v>15802.53</v>
          </cell>
        </row>
        <row r="97">
          <cell r="B97">
            <v>18492.009999999998</v>
          </cell>
        </row>
        <row r="98">
          <cell r="B98">
            <v>19536.86</v>
          </cell>
        </row>
        <row r="99">
          <cell r="B99">
            <v>20086.099999999999</v>
          </cell>
        </row>
        <row r="100">
          <cell r="B100">
            <v>14211.19</v>
          </cell>
        </row>
        <row r="101">
          <cell r="B101">
            <v>17252.02</v>
          </cell>
        </row>
        <row r="102">
          <cell r="B102">
            <v>29838.2</v>
          </cell>
        </row>
        <row r="103">
          <cell r="B103">
            <v>25360.74</v>
          </cell>
        </row>
        <row r="104">
          <cell r="B104">
            <v>21280.47</v>
          </cell>
        </row>
        <row r="105">
          <cell r="B105">
            <v>18517.900000000001</v>
          </cell>
        </row>
        <row r="106">
          <cell r="B106">
            <v>22826.080000000002</v>
          </cell>
        </row>
        <row r="107">
          <cell r="B107">
            <v>18513.21</v>
          </cell>
        </row>
        <row r="108">
          <cell r="B108">
            <v>30182.29</v>
          </cell>
        </row>
        <row r="109">
          <cell r="B109">
            <v>32031.3</v>
          </cell>
        </row>
        <row r="110">
          <cell r="B110">
            <v>29910.11</v>
          </cell>
        </row>
        <row r="111">
          <cell r="B111">
            <v>16514.349999999999</v>
          </cell>
        </row>
        <row r="112">
          <cell r="B112">
            <v>16325.61</v>
          </cell>
        </row>
        <row r="113">
          <cell r="B113">
            <v>28396.560000000001</v>
          </cell>
        </row>
        <row r="114">
          <cell r="B114">
            <v>13622.16</v>
          </cell>
        </row>
        <row r="115">
          <cell r="B115">
            <v>25653.23</v>
          </cell>
        </row>
        <row r="116">
          <cell r="B116">
            <v>28710.76</v>
          </cell>
        </row>
        <row r="117">
          <cell r="B117">
            <v>26443.05</v>
          </cell>
        </row>
        <row r="118">
          <cell r="B118">
            <v>36588.019999999997</v>
          </cell>
        </row>
        <row r="119">
          <cell r="B119">
            <v>40489.040000000001</v>
          </cell>
        </row>
        <row r="120">
          <cell r="B120">
            <v>32800.980000000003</v>
          </cell>
        </row>
        <row r="121">
          <cell r="B121">
            <v>52716.26</v>
          </cell>
        </row>
        <row r="122">
          <cell r="B122">
            <v>55684.71</v>
          </cell>
        </row>
        <row r="123">
          <cell r="B123">
            <v>28914.37</v>
          </cell>
        </row>
        <row r="124">
          <cell r="B124">
            <v>27497.73</v>
          </cell>
        </row>
        <row r="125">
          <cell r="B125">
            <v>22319.62</v>
          </cell>
        </row>
        <row r="126">
          <cell r="B126">
            <v>11888.73</v>
          </cell>
        </row>
        <row r="127">
          <cell r="B127">
            <v>18072.810000000001</v>
          </cell>
        </row>
        <row r="128">
          <cell r="B128">
            <v>21508.560000000001</v>
          </cell>
        </row>
        <row r="129">
          <cell r="B129">
            <v>19802.650000000001</v>
          </cell>
        </row>
        <row r="130">
          <cell r="B130">
            <v>26455.02</v>
          </cell>
        </row>
        <row r="131">
          <cell r="B131">
            <v>29343.64</v>
          </cell>
        </row>
        <row r="132">
          <cell r="B132">
            <v>24504.76</v>
          </cell>
        </row>
        <row r="133">
          <cell r="B133">
            <v>26500.43</v>
          </cell>
        </row>
        <row r="134">
          <cell r="B134">
            <v>26400.05</v>
          </cell>
        </row>
        <row r="135">
          <cell r="B135">
            <v>30702.400000000001</v>
          </cell>
        </row>
        <row r="136">
          <cell r="B136">
            <v>17905.28</v>
          </cell>
        </row>
        <row r="137">
          <cell r="B137">
            <v>16655.52</v>
          </cell>
        </row>
        <row r="138">
          <cell r="B138">
            <v>16042.91</v>
          </cell>
        </row>
        <row r="139">
          <cell r="B139">
            <v>15096.69</v>
          </cell>
        </row>
        <row r="140">
          <cell r="B140">
            <v>19263.25</v>
          </cell>
        </row>
        <row r="141">
          <cell r="B141">
            <v>26370.25</v>
          </cell>
        </row>
        <row r="142">
          <cell r="B142">
            <v>48145.7</v>
          </cell>
        </row>
        <row r="143">
          <cell r="B143">
            <v>80038.14</v>
          </cell>
        </row>
        <row r="144">
          <cell r="B144">
            <v>106862.2</v>
          </cell>
        </row>
        <row r="145">
          <cell r="B145">
            <v>94947.06</v>
          </cell>
        </row>
        <row r="146">
          <cell r="B146">
            <v>81871.73</v>
          </cell>
        </row>
        <row r="147">
          <cell r="B147">
            <v>77922.84</v>
          </cell>
        </row>
      </sheetData>
      <sheetData sheetId="11">
        <row r="398">
          <cell r="B398">
            <v>68.566961924235031</v>
          </cell>
        </row>
        <row r="399">
          <cell r="B399">
            <v>90.349896748860672</v>
          </cell>
        </row>
        <row r="400">
          <cell r="B400">
            <v>64.861008961995438</v>
          </cell>
        </row>
        <row r="401">
          <cell r="B401">
            <v>72.134096781412765</v>
          </cell>
        </row>
        <row r="402">
          <cell r="B402">
            <v>59.367172241210938</v>
          </cell>
        </row>
        <row r="403">
          <cell r="B403">
            <v>64.294479370117188</v>
          </cell>
        </row>
        <row r="404">
          <cell r="B404">
            <v>50.362092336018883</v>
          </cell>
        </row>
        <row r="405">
          <cell r="B405">
            <v>55.637396494547517</v>
          </cell>
        </row>
        <row r="406">
          <cell r="B406">
            <v>54.565406799316413</v>
          </cell>
        </row>
        <row r="407">
          <cell r="B407">
            <v>61.00331242879232</v>
          </cell>
        </row>
        <row r="408">
          <cell r="B408">
            <v>207.9428545633952</v>
          </cell>
        </row>
        <row r="409">
          <cell r="B409">
            <v>351.80511983235681</v>
          </cell>
        </row>
        <row r="410">
          <cell r="B410">
            <v>156.8797607421875</v>
          </cell>
        </row>
        <row r="411">
          <cell r="B411">
            <v>156.7164306640625</v>
          </cell>
        </row>
        <row r="412">
          <cell r="B412">
            <v>141.5820643107096</v>
          </cell>
        </row>
        <row r="413">
          <cell r="B413">
            <v>168.99041239420569</v>
          </cell>
        </row>
        <row r="414">
          <cell r="B414">
            <v>268.25223795572919</v>
          </cell>
        </row>
        <row r="415">
          <cell r="B415">
            <v>187.888926188151</v>
          </cell>
        </row>
        <row r="416">
          <cell r="B416">
            <v>130.44203948974609</v>
          </cell>
        </row>
        <row r="417">
          <cell r="B417">
            <v>118.6230494181315</v>
          </cell>
        </row>
        <row r="418">
          <cell r="B418">
            <v>122.35854593912759</v>
          </cell>
        </row>
        <row r="419">
          <cell r="B419">
            <v>135.98549906412759</v>
          </cell>
        </row>
        <row r="420">
          <cell r="B420">
            <v>141.752431233724</v>
          </cell>
        </row>
        <row r="421">
          <cell r="B421">
            <v>117.48846944173179</v>
          </cell>
        </row>
        <row r="422">
          <cell r="B422">
            <v>100.0920130411784</v>
          </cell>
        </row>
        <row r="423">
          <cell r="B423">
            <v>88.787473042805985</v>
          </cell>
        </row>
        <row r="424">
          <cell r="B424">
            <v>128.645746866862</v>
          </cell>
        </row>
        <row r="425">
          <cell r="B425">
            <v>88.630724589029953</v>
          </cell>
        </row>
        <row r="426">
          <cell r="B426">
            <v>94.38861083984375</v>
          </cell>
        </row>
        <row r="427">
          <cell r="B427">
            <v>92.265782674153641</v>
          </cell>
        </row>
        <row r="428">
          <cell r="B428">
            <v>131.98006693522129</v>
          </cell>
        </row>
        <row r="429">
          <cell r="B429">
            <v>97.506927490234375</v>
          </cell>
        </row>
        <row r="430">
          <cell r="B430">
            <v>93.808634440104171</v>
          </cell>
        </row>
        <row r="431">
          <cell r="B431">
            <v>89.061759948730469</v>
          </cell>
        </row>
        <row r="432">
          <cell r="B432">
            <v>96.669441223144531</v>
          </cell>
        </row>
        <row r="433">
          <cell r="B433">
            <v>95.411984761555985</v>
          </cell>
        </row>
        <row r="434">
          <cell r="B434">
            <v>79.962476094563797</v>
          </cell>
        </row>
        <row r="435">
          <cell r="B435">
            <v>77.342343648274735</v>
          </cell>
        </row>
        <row r="436">
          <cell r="B436">
            <v>88.945411682128906</v>
          </cell>
        </row>
        <row r="437">
          <cell r="B437">
            <v>78.53573354085286</v>
          </cell>
        </row>
        <row r="438">
          <cell r="B438">
            <v>75.155591328938797</v>
          </cell>
        </row>
        <row r="439">
          <cell r="B439">
            <v>85.492983500162765</v>
          </cell>
        </row>
        <row r="440">
          <cell r="B440">
            <v>83.2171630859375</v>
          </cell>
        </row>
        <row r="441">
          <cell r="B441">
            <v>88.541692097981766</v>
          </cell>
        </row>
        <row r="442">
          <cell r="B442">
            <v>82.141108194986984</v>
          </cell>
        </row>
        <row r="443">
          <cell r="B443">
            <v>91.39132944742839</v>
          </cell>
        </row>
        <row r="444">
          <cell r="B444">
            <v>77.181264241536454</v>
          </cell>
        </row>
        <row r="445">
          <cell r="B445">
            <v>85.967000325520829</v>
          </cell>
        </row>
        <row r="446">
          <cell r="B446">
            <v>102.10813649495439</v>
          </cell>
        </row>
        <row r="447">
          <cell r="B447">
            <v>93.584843953450516</v>
          </cell>
        </row>
        <row r="448">
          <cell r="B448">
            <v>83.075592041015625</v>
          </cell>
        </row>
        <row r="449">
          <cell r="B449">
            <v>81.612978617350265</v>
          </cell>
        </row>
        <row r="450">
          <cell r="B450">
            <v>86.946924845377609</v>
          </cell>
        </row>
        <row r="451">
          <cell r="B451">
            <v>84.003425598144531</v>
          </cell>
        </row>
        <row r="452">
          <cell r="B452">
            <v>75.655629475911454</v>
          </cell>
        </row>
        <row r="453">
          <cell r="B453">
            <v>79.29495493570964</v>
          </cell>
        </row>
        <row r="454">
          <cell r="B454">
            <v>82.714848836263016</v>
          </cell>
        </row>
        <row r="455">
          <cell r="B455">
            <v>87.266064961751297</v>
          </cell>
        </row>
        <row r="456">
          <cell r="B456">
            <v>88.463963826497391</v>
          </cell>
        </row>
        <row r="457">
          <cell r="B457">
            <v>73.701543172200516</v>
          </cell>
        </row>
        <row r="458">
          <cell r="B458">
            <v>88.919349670410156</v>
          </cell>
        </row>
        <row r="459">
          <cell r="B459">
            <v>91.805834452311203</v>
          </cell>
        </row>
        <row r="460">
          <cell r="B460">
            <v>135.58539835611981</v>
          </cell>
        </row>
        <row r="461">
          <cell r="B461">
            <v>84.855758666992188</v>
          </cell>
        </row>
        <row r="462">
          <cell r="B462">
            <v>109.3818868001302</v>
          </cell>
        </row>
        <row r="463">
          <cell r="B463">
            <v>88.11959584554036</v>
          </cell>
        </row>
        <row r="464">
          <cell r="B464">
            <v>96.01821645100911</v>
          </cell>
        </row>
        <row r="465">
          <cell r="B465">
            <v>130.29488118489579</v>
          </cell>
        </row>
        <row r="466">
          <cell r="B466">
            <v>110.56036122639971</v>
          </cell>
        </row>
        <row r="467">
          <cell r="B467">
            <v>87.907333374023438</v>
          </cell>
        </row>
        <row r="468">
          <cell r="B468">
            <v>105.9647216796875</v>
          </cell>
        </row>
        <row r="469">
          <cell r="B469">
            <v>90.282335917154953</v>
          </cell>
        </row>
        <row r="470">
          <cell r="B470">
            <v>105.3478240966797</v>
          </cell>
        </row>
        <row r="471">
          <cell r="B471">
            <v>116.27630106608071</v>
          </cell>
        </row>
        <row r="472">
          <cell r="B472">
            <v>118.959841410319</v>
          </cell>
        </row>
        <row r="473">
          <cell r="B473">
            <v>88.925280253092453</v>
          </cell>
        </row>
        <row r="474">
          <cell r="B474">
            <v>89.626818339029953</v>
          </cell>
        </row>
        <row r="475">
          <cell r="B475">
            <v>117.6328938802083</v>
          </cell>
        </row>
        <row r="476">
          <cell r="B476">
            <v>99.274673461914063</v>
          </cell>
        </row>
        <row r="477">
          <cell r="B477">
            <v>87.677243550618485</v>
          </cell>
        </row>
        <row r="478">
          <cell r="B478">
            <v>88.850852966308594</v>
          </cell>
        </row>
        <row r="479">
          <cell r="B479">
            <v>97.437934875488281</v>
          </cell>
        </row>
        <row r="480">
          <cell r="B480">
            <v>95.76455434163411</v>
          </cell>
        </row>
        <row r="481">
          <cell r="B481">
            <v>81.731669108072921</v>
          </cell>
        </row>
        <row r="482">
          <cell r="B482">
            <v>98.638844807942704</v>
          </cell>
        </row>
        <row r="483">
          <cell r="B483">
            <v>69.691492716471359</v>
          </cell>
        </row>
        <row r="484">
          <cell r="B484">
            <v>70.772237141927079</v>
          </cell>
        </row>
        <row r="485">
          <cell r="B485">
            <v>70.072642008463546</v>
          </cell>
        </row>
        <row r="486">
          <cell r="B486">
            <v>76.664756774902344</v>
          </cell>
        </row>
        <row r="487">
          <cell r="B487">
            <v>85.10015869140625</v>
          </cell>
        </row>
        <row r="488">
          <cell r="B488">
            <v>76.201428731282547</v>
          </cell>
        </row>
        <row r="489">
          <cell r="B489">
            <v>90.314600626627609</v>
          </cell>
        </row>
        <row r="490">
          <cell r="B490">
            <v>224.5963083902995</v>
          </cell>
        </row>
        <row r="491">
          <cell r="B491">
            <v>154.70296732584629</v>
          </cell>
        </row>
        <row r="492">
          <cell r="B492">
            <v>127.3419520060221</v>
          </cell>
        </row>
        <row r="493">
          <cell r="B493">
            <v>123.69154612223311</v>
          </cell>
        </row>
        <row r="494">
          <cell r="B494">
            <v>110.2137985229492</v>
          </cell>
        </row>
        <row r="495">
          <cell r="B495">
            <v>108.6020940144857</v>
          </cell>
        </row>
        <row r="496">
          <cell r="B496">
            <v>102.40825907389321</v>
          </cell>
        </row>
        <row r="497">
          <cell r="B497">
            <v>165.62086995442709</v>
          </cell>
        </row>
        <row r="498">
          <cell r="B498">
            <v>146.72833251953119</v>
          </cell>
        </row>
        <row r="499">
          <cell r="B499">
            <v>135.8540013631185</v>
          </cell>
        </row>
        <row r="500">
          <cell r="B500">
            <v>121.2429072062175</v>
          </cell>
        </row>
        <row r="501">
          <cell r="B501">
            <v>133.98576354980469</v>
          </cell>
        </row>
        <row r="502">
          <cell r="B502">
            <v>142.03828938802079</v>
          </cell>
        </row>
        <row r="503">
          <cell r="B503">
            <v>177.06434631347659</v>
          </cell>
        </row>
        <row r="504">
          <cell r="B504">
            <v>133.16623433430991</v>
          </cell>
        </row>
        <row r="505">
          <cell r="B505">
            <v>129.96845499674481</v>
          </cell>
        </row>
        <row r="506">
          <cell r="B506">
            <v>206.2240320841471</v>
          </cell>
        </row>
        <row r="507">
          <cell r="B507">
            <v>211.26911417643231</v>
          </cell>
        </row>
      </sheetData>
      <sheetData sheetId="12">
        <row r="10">
          <cell r="B10">
            <v>81.105263301355663</v>
          </cell>
        </row>
        <row r="11">
          <cell r="B11">
            <v>69.228680777614628</v>
          </cell>
        </row>
        <row r="12">
          <cell r="B12">
            <v>69.895539695565091</v>
          </cell>
        </row>
        <row r="13">
          <cell r="B13">
            <v>66.469897524714796</v>
          </cell>
        </row>
        <row r="14">
          <cell r="B14">
            <v>64.106317121067335</v>
          </cell>
        </row>
        <row r="15">
          <cell r="B15">
            <v>81.198543449335205</v>
          </cell>
        </row>
        <row r="16">
          <cell r="B16">
            <v>61.534194469135848</v>
          </cell>
        </row>
        <row r="17">
          <cell r="B17">
            <v>92.8587074566653</v>
          </cell>
        </row>
        <row r="18">
          <cell r="B18">
            <v>103.26662262135309</v>
          </cell>
        </row>
        <row r="19">
          <cell r="B19">
            <v>88.346916282551732</v>
          </cell>
        </row>
        <row r="20">
          <cell r="B20">
            <v>119.9396951926586</v>
          </cell>
        </row>
        <row r="21">
          <cell r="B21">
            <v>135.41868607849781</v>
          </cell>
        </row>
        <row r="22">
          <cell r="B22">
            <v>90.324591991364159</v>
          </cell>
        </row>
        <row r="23">
          <cell r="B23">
            <v>85.265191242541817</v>
          </cell>
        </row>
        <row r="24">
          <cell r="B24">
            <v>110.5877539065054</v>
          </cell>
        </row>
        <row r="25">
          <cell r="B25">
            <v>120.6554636871669</v>
          </cell>
        </row>
        <row r="26">
          <cell r="B26">
            <v>148.7571092404151</v>
          </cell>
        </row>
        <row r="27">
          <cell r="B27">
            <v>111.0419110846148</v>
          </cell>
        </row>
        <row r="28">
          <cell r="B28">
            <v>77.543434539841485</v>
          </cell>
        </row>
        <row r="29">
          <cell r="B29">
            <v>75.119736430879684</v>
          </cell>
        </row>
        <row r="30">
          <cell r="B30">
            <v>74.883498672566887</v>
          </cell>
        </row>
        <row r="31">
          <cell r="B31">
            <v>81.682788273895412</v>
          </cell>
        </row>
        <row r="32">
          <cell r="B32">
            <v>73.571653121734869</v>
          </cell>
        </row>
        <row r="33">
          <cell r="B33">
            <v>79.973321793713183</v>
          </cell>
        </row>
        <row r="34">
          <cell r="B34">
            <v>55.803327774623661</v>
          </cell>
        </row>
        <row r="35">
          <cell r="B35">
            <v>70.359872767616935</v>
          </cell>
        </row>
        <row r="36">
          <cell r="B36">
            <v>72.838150428920571</v>
          </cell>
        </row>
        <row r="37">
          <cell r="B37">
            <v>64.682880423979171</v>
          </cell>
        </row>
        <row r="38">
          <cell r="B38">
            <v>62.683858688596302</v>
          </cell>
        </row>
        <row r="39">
          <cell r="B39">
            <v>69.454368291654873</v>
          </cell>
        </row>
        <row r="40">
          <cell r="B40">
            <v>62.703468850826283</v>
          </cell>
        </row>
        <row r="41">
          <cell r="B41">
            <v>58.291947599729063</v>
          </cell>
        </row>
        <row r="42">
          <cell r="B42">
            <v>60.809854656346118</v>
          </cell>
        </row>
        <row r="43">
          <cell r="B43">
            <v>58.488725152430483</v>
          </cell>
        </row>
        <row r="44">
          <cell r="B44">
            <v>75.073808287281437</v>
          </cell>
        </row>
        <row r="45">
          <cell r="B45">
            <v>86.064157070070095</v>
          </cell>
        </row>
        <row r="46">
          <cell r="B46">
            <v>116.7904718311798</v>
          </cell>
        </row>
        <row r="47">
          <cell r="B47">
            <v>85.406733690649688</v>
          </cell>
        </row>
        <row r="48">
          <cell r="B48">
            <v>115.869770557587</v>
          </cell>
        </row>
        <row r="49">
          <cell r="B49">
            <v>165.01911912247689</v>
          </cell>
        </row>
        <row r="50">
          <cell r="B50">
            <v>141.36425785392919</v>
          </cell>
        </row>
        <row r="51">
          <cell r="B51">
            <v>106.9666368308787</v>
          </cell>
        </row>
        <row r="52">
          <cell r="B52">
            <v>104.29150944238469</v>
          </cell>
        </row>
        <row r="53">
          <cell r="B53">
            <v>99.326516977009149</v>
          </cell>
        </row>
        <row r="54">
          <cell r="B54">
            <v>114.5501999542093</v>
          </cell>
        </row>
        <row r="55">
          <cell r="B55">
            <v>130.2199430447983</v>
          </cell>
        </row>
        <row r="56">
          <cell r="B56">
            <v>133.9502030814939</v>
          </cell>
        </row>
        <row r="57">
          <cell r="B57">
            <v>129.7080329418892</v>
          </cell>
        </row>
        <row r="58">
          <cell r="B58">
            <v>112.9399577926616</v>
          </cell>
        </row>
        <row r="59">
          <cell r="B59">
            <v>111.5290192777025</v>
          </cell>
        </row>
        <row r="60">
          <cell r="B60">
            <v>186.53910970418829</v>
          </cell>
        </row>
        <row r="61">
          <cell r="B61">
            <v>177.46230636862779</v>
          </cell>
        </row>
        <row r="62">
          <cell r="B62">
            <v>141.44996560516969</v>
          </cell>
        </row>
        <row r="63">
          <cell r="B63">
            <v>155.8456155583923</v>
          </cell>
        </row>
        <row r="64">
          <cell r="B64">
            <v>139.21928234878521</v>
          </cell>
        </row>
        <row r="65">
          <cell r="B65">
            <v>160.3640925802147</v>
          </cell>
        </row>
        <row r="66">
          <cell r="B66">
            <v>143.05882104622131</v>
          </cell>
        </row>
        <row r="67">
          <cell r="B67">
            <v>122.1702321603758</v>
          </cell>
        </row>
        <row r="68">
          <cell r="B68">
            <v>120.9544106792153</v>
          </cell>
        </row>
        <row r="69">
          <cell r="B69">
            <v>129.69378400360361</v>
          </cell>
        </row>
        <row r="70">
          <cell r="B70">
            <v>108.6704130894782</v>
          </cell>
        </row>
        <row r="71">
          <cell r="B71">
            <v>101.3414508242533</v>
          </cell>
        </row>
        <row r="72">
          <cell r="B72">
            <v>102.7981620738864</v>
          </cell>
        </row>
        <row r="73">
          <cell r="B73">
            <v>112.61522656499869</v>
          </cell>
        </row>
        <row r="74">
          <cell r="B74">
            <v>116.959642235309</v>
          </cell>
        </row>
        <row r="75">
          <cell r="B75">
            <v>106.76352287919561</v>
          </cell>
        </row>
        <row r="76">
          <cell r="B76">
            <v>130.75410814161111</v>
          </cell>
        </row>
        <row r="77">
          <cell r="B77">
            <v>109.5044581141063</v>
          </cell>
        </row>
        <row r="78">
          <cell r="B78">
            <v>148.4943540089206</v>
          </cell>
        </row>
        <row r="79">
          <cell r="B79">
            <v>163.84393584158411</v>
          </cell>
        </row>
        <row r="80">
          <cell r="B80">
            <v>156.35943518537599</v>
          </cell>
        </row>
        <row r="81">
          <cell r="B81">
            <v>178.37338312655399</v>
          </cell>
        </row>
        <row r="82">
          <cell r="B82">
            <v>221.5816616890414</v>
          </cell>
        </row>
        <row r="83">
          <cell r="B83">
            <v>162.09726397956399</v>
          </cell>
        </row>
        <row r="84">
          <cell r="B84">
            <v>152.60127662724341</v>
          </cell>
        </row>
        <row r="85">
          <cell r="B85">
            <v>149.35020813572771</v>
          </cell>
        </row>
        <row r="86">
          <cell r="B86">
            <v>159.83260770639779</v>
          </cell>
        </row>
        <row r="87">
          <cell r="B87">
            <v>165.61246006885909</v>
          </cell>
        </row>
        <row r="88">
          <cell r="B88">
            <v>195.70846586136969</v>
          </cell>
        </row>
        <row r="89">
          <cell r="B89">
            <v>225.05196123725821</v>
          </cell>
        </row>
        <row r="90">
          <cell r="B90">
            <v>217.37760540357729</v>
          </cell>
        </row>
        <row r="91">
          <cell r="B91">
            <v>242.33480810712749</v>
          </cell>
        </row>
        <row r="92">
          <cell r="B92">
            <v>256.97490294215049</v>
          </cell>
        </row>
        <row r="93">
          <cell r="B93">
            <v>224.09019606643469</v>
          </cell>
        </row>
        <row r="94">
          <cell r="B94">
            <v>233.4868138830102</v>
          </cell>
        </row>
        <row r="95">
          <cell r="B95">
            <v>347.45210953290439</v>
          </cell>
        </row>
        <row r="96">
          <cell r="B96">
            <v>300.25668065235232</v>
          </cell>
        </row>
        <row r="97">
          <cell r="B97">
            <v>331.34844305284048</v>
          </cell>
        </row>
        <row r="98">
          <cell r="B98">
            <v>224.15423411619571</v>
          </cell>
        </row>
        <row r="99">
          <cell r="B99">
            <v>177.74404373192269</v>
          </cell>
        </row>
        <row r="100">
          <cell r="B100">
            <v>198.47605043474371</v>
          </cell>
        </row>
        <row r="101">
          <cell r="B101">
            <v>222.6284258482076</v>
          </cell>
        </row>
        <row r="102">
          <cell r="B102">
            <v>229.49556115450019</v>
          </cell>
        </row>
        <row r="103">
          <cell r="B103">
            <v>261.06208935860661</v>
          </cell>
        </row>
        <row r="104">
          <cell r="B104">
            <v>256.37975500857249</v>
          </cell>
        </row>
        <row r="105">
          <cell r="B105">
            <v>268.55666012731518</v>
          </cell>
        </row>
        <row r="106">
          <cell r="B106">
            <v>254.69558027745489</v>
          </cell>
        </row>
        <row r="107">
          <cell r="B107">
            <v>226.8248106632102</v>
          </cell>
        </row>
        <row r="108">
          <cell r="B108">
            <v>186.8500982680483</v>
          </cell>
        </row>
        <row r="109">
          <cell r="B109">
            <v>204.58539299335379</v>
          </cell>
        </row>
        <row r="110">
          <cell r="B110">
            <v>192.52985944460221</v>
          </cell>
        </row>
        <row r="111">
          <cell r="B111">
            <v>173.73450077803341</v>
          </cell>
        </row>
        <row r="112">
          <cell r="B112">
            <v>204.4476159419695</v>
          </cell>
        </row>
        <row r="113">
          <cell r="B113">
            <v>268.13628580985272</v>
          </cell>
        </row>
        <row r="114">
          <cell r="B114">
            <v>368.23861148931633</v>
          </cell>
        </row>
        <row r="115">
          <cell r="B115">
            <v>497.22608974113467</v>
          </cell>
        </row>
        <row r="116">
          <cell r="B116">
            <v>348.33866558764907</v>
          </cell>
        </row>
        <row r="117">
          <cell r="B117">
            <v>364.99996319034381</v>
          </cell>
        </row>
        <row r="118">
          <cell r="B118">
            <v>390.79673037120227</v>
          </cell>
        </row>
        <row r="119">
          <cell r="B119">
            <v>315.57953326216369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A1:W263"/>
  <sheetViews>
    <sheetView tabSelected="1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J13" sqref="J13"/>
    </sheetView>
  </sheetViews>
  <sheetFormatPr defaultRowHeight="14.5" x14ac:dyDescent="0.35"/>
  <cols>
    <col min="18" max="18" width="30" bestFit="1" customWidth="1"/>
    <col min="23" max="23" width="2.08984375" customWidth="1"/>
  </cols>
  <sheetData>
    <row r="1" spans="1:23" x14ac:dyDescent="0.35">
      <c r="A1" t="s">
        <v>0</v>
      </c>
      <c r="B1" t="s">
        <v>116</v>
      </c>
      <c r="C1" s="3" t="s">
        <v>117</v>
      </c>
      <c r="D1" t="s">
        <v>118</v>
      </c>
      <c r="E1" s="3" t="s">
        <v>171</v>
      </c>
      <c r="F1" s="3" t="s">
        <v>172</v>
      </c>
      <c r="G1" t="s">
        <v>173</v>
      </c>
      <c r="H1" t="s">
        <v>119</v>
      </c>
      <c r="I1" t="s">
        <v>120</v>
      </c>
      <c r="S1" t="s">
        <v>179</v>
      </c>
    </row>
    <row r="2" spans="1:23" x14ac:dyDescent="0.35">
      <c r="A2" t="s">
        <v>3</v>
      </c>
      <c r="B2">
        <v>2000</v>
      </c>
      <c r="K2" s="4"/>
      <c r="L2" s="5" t="s">
        <v>181</v>
      </c>
      <c r="M2" s="4"/>
      <c r="N2" s="4"/>
      <c r="O2" s="4"/>
      <c r="P2" s="4"/>
      <c r="Q2" s="4"/>
      <c r="R2" s="4" t="s">
        <v>180</v>
      </c>
      <c r="S2" s="4"/>
      <c r="T2" s="4"/>
      <c r="U2" s="4"/>
      <c r="V2" s="4"/>
      <c r="W2" s="4"/>
    </row>
    <row r="3" spans="1:23" x14ac:dyDescent="0.35">
      <c r="A3" t="s">
        <v>3</v>
      </c>
      <c r="B3">
        <v>2001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35">
      <c r="A4" t="s">
        <v>3</v>
      </c>
      <c r="B4">
        <v>2002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t="s">
        <v>3</v>
      </c>
      <c r="B5">
        <v>2003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35">
      <c r="A6" t="s">
        <v>3</v>
      </c>
      <c r="B6">
        <v>2004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35">
      <c r="A7" t="s">
        <v>3</v>
      </c>
      <c r="B7">
        <v>2005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35">
      <c r="A8" t="s">
        <v>3</v>
      </c>
      <c r="B8">
        <v>2006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35">
      <c r="A9" t="s">
        <v>3</v>
      </c>
      <c r="B9">
        <v>2007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35">
      <c r="A10" t="s">
        <v>3</v>
      </c>
      <c r="B10">
        <v>2008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35">
      <c r="A11" t="s">
        <v>3</v>
      </c>
      <c r="B11">
        <v>2009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35">
      <c r="A12" t="s">
        <v>3</v>
      </c>
      <c r="B12">
        <v>2010</v>
      </c>
      <c r="C12">
        <v>3694.8</v>
      </c>
      <c r="D12">
        <v>4787.2</v>
      </c>
      <c r="E12">
        <v>49.8</v>
      </c>
      <c r="F12">
        <v>1441.8</v>
      </c>
      <c r="G12">
        <v>1005.3</v>
      </c>
      <c r="H12">
        <v>64282.9</v>
      </c>
      <c r="I12">
        <f t="shared" ref="I12:I26" si="0">(C12+D12+E12+F12-G12)/H12</f>
        <v>0.13951299645784493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35">
      <c r="A13" t="s">
        <v>3</v>
      </c>
      <c r="B13">
        <v>2011</v>
      </c>
      <c r="C13">
        <v>3792.1</v>
      </c>
      <c r="D13">
        <v>5830.1</v>
      </c>
      <c r="E13">
        <v>74.7</v>
      </c>
      <c r="F13">
        <v>1586.9</v>
      </c>
      <c r="G13">
        <v>1017.2</v>
      </c>
      <c r="H13">
        <v>69976.600000000006</v>
      </c>
      <c r="I13">
        <f t="shared" si="0"/>
        <v>0.1467147589337007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35">
      <c r="A14" t="s">
        <v>3</v>
      </c>
      <c r="B14">
        <v>2012</v>
      </c>
      <c r="C14">
        <v>4009.6</v>
      </c>
      <c r="D14">
        <v>5532.3</v>
      </c>
      <c r="E14">
        <v>209.4</v>
      </c>
      <c r="F14">
        <v>1714.2</v>
      </c>
      <c r="G14">
        <v>1100.5999999999999</v>
      </c>
      <c r="H14">
        <v>72666</v>
      </c>
      <c r="I14">
        <f t="shared" si="0"/>
        <v>0.14263754713345994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35">
      <c r="A15" t="s">
        <v>3</v>
      </c>
      <c r="B15">
        <v>2013</v>
      </c>
      <c r="C15">
        <v>3704.1</v>
      </c>
      <c r="D15">
        <v>6392.3</v>
      </c>
      <c r="E15">
        <v>321.89999999999998</v>
      </c>
      <c r="F15">
        <v>1788.1</v>
      </c>
      <c r="G15">
        <v>1140</v>
      </c>
      <c r="H15">
        <v>74876.600000000006</v>
      </c>
      <c r="I15">
        <f t="shared" si="0"/>
        <v>0.14779517232352962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35">
      <c r="A16" t="s">
        <v>3</v>
      </c>
      <c r="B16">
        <v>2014</v>
      </c>
      <c r="C16">
        <v>3469.2</v>
      </c>
      <c r="D16">
        <v>6483.8</v>
      </c>
      <c r="E16">
        <v>246.7</v>
      </c>
      <c r="F16">
        <v>1892.6</v>
      </c>
      <c r="G16">
        <v>1259.2</v>
      </c>
      <c r="H16">
        <v>75817.8</v>
      </c>
      <c r="I16">
        <f t="shared" si="0"/>
        <v>0.14288333346522847</v>
      </c>
      <c r="R16" s="4"/>
      <c r="S16" s="4"/>
      <c r="T16" s="4"/>
      <c r="U16" s="4"/>
      <c r="V16" s="4"/>
      <c r="W16" s="4"/>
    </row>
    <row r="17" spans="1:23" x14ac:dyDescent="0.35">
      <c r="A17" t="s">
        <v>3</v>
      </c>
      <c r="B17">
        <v>2015</v>
      </c>
      <c r="C17">
        <v>4212.3999999999996</v>
      </c>
      <c r="D17">
        <v>6942.7</v>
      </c>
      <c r="E17">
        <v>362.2</v>
      </c>
      <c r="F17">
        <v>1747.1</v>
      </c>
      <c r="G17">
        <v>1111.8</v>
      </c>
      <c r="H17">
        <v>78323.3</v>
      </c>
      <c r="I17">
        <f t="shared" si="0"/>
        <v>0.15515944808249907</v>
      </c>
      <c r="K17" t="s">
        <v>159</v>
      </c>
      <c r="L17" t="s">
        <v>117</v>
      </c>
      <c r="M17" t="s">
        <v>158</v>
      </c>
      <c r="R17" s="4"/>
      <c r="S17" s="4"/>
      <c r="T17" s="4"/>
      <c r="U17" s="4"/>
      <c r="V17" s="4"/>
      <c r="W17" s="4"/>
    </row>
    <row r="18" spans="1:23" x14ac:dyDescent="0.35">
      <c r="A18" t="s">
        <v>3</v>
      </c>
      <c r="B18">
        <v>2016</v>
      </c>
      <c r="C18">
        <v>4258</v>
      </c>
      <c r="D18">
        <v>7631.2</v>
      </c>
      <c r="E18">
        <v>344.1</v>
      </c>
      <c r="F18">
        <v>1883.3</v>
      </c>
      <c r="G18">
        <v>1221.2</v>
      </c>
      <c r="H18">
        <v>82948</v>
      </c>
      <c r="I18">
        <f t="shared" si="0"/>
        <v>0.15546366398225395</v>
      </c>
      <c r="K18" t="s">
        <v>159</v>
      </c>
      <c r="L18" t="s">
        <v>118</v>
      </c>
      <c r="M18" t="s">
        <v>160</v>
      </c>
    </row>
    <row r="19" spans="1:23" x14ac:dyDescent="0.35">
      <c r="A19" t="s">
        <v>3</v>
      </c>
      <c r="B19">
        <v>2017</v>
      </c>
      <c r="C19">
        <v>4446.8999999999996</v>
      </c>
      <c r="D19">
        <v>7745.9</v>
      </c>
      <c r="E19">
        <v>379.7</v>
      </c>
      <c r="F19">
        <v>2009.9</v>
      </c>
      <c r="G19">
        <v>1321</v>
      </c>
      <c r="H19">
        <v>87584.9</v>
      </c>
      <c r="I19">
        <f t="shared" si="0"/>
        <v>0.1514119442963342</v>
      </c>
      <c r="K19" t="s">
        <v>174</v>
      </c>
      <c r="L19" t="s">
        <v>171</v>
      </c>
      <c r="M19" t="s">
        <v>175</v>
      </c>
    </row>
    <row r="20" spans="1:23" x14ac:dyDescent="0.35">
      <c r="A20" t="s">
        <v>3</v>
      </c>
      <c r="B20">
        <v>2018</v>
      </c>
      <c r="C20">
        <v>4773.3</v>
      </c>
      <c r="D20">
        <v>8954</v>
      </c>
      <c r="E20">
        <v>370.1</v>
      </c>
      <c r="F20">
        <v>2246.4</v>
      </c>
      <c r="G20">
        <v>1462.5</v>
      </c>
      <c r="H20">
        <v>93178</v>
      </c>
      <c r="I20">
        <f t="shared" si="0"/>
        <v>0.15970830024254651</v>
      </c>
      <c r="K20" t="s">
        <v>174</v>
      </c>
      <c r="L20" t="s">
        <v>172</v>
      </c>
      <c r="M20" t="s">
        <v>176</v>
      </c>
    </row>
    <row r="21" spans="1:23" x14ac:dyDescent="0.35">
      <c r="A21" t="s">
        <v>3</v>
      </c>
      <c r="B21">
        <v>2019</v>
      </c>
      <c r="C21">
        <v>5047.7</v>
      </c>
      <c r="D21">
        <v>10752.8</v>
      </c>
      <c r="E21">
        <v>148.30000000000001</v>
      </c>
      <c r="F21">
        <v>2671.2</v>
      </c>
      <c r="G21">
        <v>1861.9</v>
      </c>
      <c r="H21">
        <v>99243.7</v>
      </c>
      <c r="I21">
        <f t="shared" si="0"/>
        <v>0.16885807361071786</v>
      </c>
      <c r="K21" t="s">
        <v>174</v>
      </c>
      <c r="L21" t="s">
        <v>173</v>
      </c>
      <c r="M21" t="s">
        <v>177</v>
      </c>
    </row>
    <row r="22" spans="1:23" x14ac:dyDescent="0.35">
      <c r="A22" t="s">
        <v>3</v>
      </c>
      <c r="B22">
        <v>2020</v>
      </c>
      <c r="C22">
        <v>4442.6000000000004</v>
      </c>
      <c r="D22">
        <v>10807.8</v>
      </c>
      <c r="E22">
        <v>377.9</v>
      </c>
      <c r="F22">
        <v>2504.1</v>
      </c>
      <c r="G22">
        <v>1809.1</v>
      </c>
      <c r="H22">
        <v>95590.1</v>
      </c>
      <c r="I22">
        <f t="shared" si="0"/>
        <v>0.17076349956742379</v>
      </c>
      <c r="K22" t="s">
        <v>159</v>
      </c>
      <c r="L22" t="s">
        <v>119</v>
      </c>
      <c r="M22" t="s">
        <v>178</v>
      </c>
    </row>
    <row r="23" spans="1:23" x14ac:dyDescent="0.35">
      <c r="A23" t="s">
        <v>3</v>
      </c>
      <c r="B23">
        <v>2021</v>
      </c>
      <c r="C23">
        <v>4405.6000000000004</v>
      </c>
      <c r="D23">
        <v>10899.8</v>
      </c>
      <c r="E23">
        <v>179.2</v>
      </c>
      <c r="F23">
        <v>2373</v>
      </c>
      <c r="G23">
        <v>1467.5</v>
      </c>
      <c r="H23">
        <v>105070.39999999999</v>
      </c>
      <c r="I23">
        <f t="shared" si="0"/>
        <v>0.15599160182125507</v>
      </c>
    </row>
    <row r="24" spans="1:23" x14ac:dyDescent="0.35">
      <c r="A24" t="s">
        <v>3</v>
      </c>
      <c r="B24">
        <v>2022</v>
      </c>
      <c r="C24">
        <v>4390</v>
      </c>
      <c r="D24">
        <v>12117.4</v>
      </c>
      <c r="E24">
        <v>207.3</v>
      </c>
      <c r="F24">
        <v>2703.5</v>
      </c>
      <c r="G24">
        <v>1739.2</v>
      </c>
      <c r="H24">
        <v>113301.5</v>
      </c>
      <c r="I24">
        <f t="shared" si="0"/>
        <v>0.15603500394963879</v>
      </c>
    </row>
    <row r="25" spans="1:23" x14ac:dyDescent="0.35">
      <c r="A25" t="s">
        <v>3</v>
      </c>
      <c r="B25">
        <v>2023</v>
      </c>
      <c r="C25">
        <v>4875.2</v>
      </c>
      <c r="D25">
        <v>13626.7</v>
      </c>
      <c r="E25">
        <v>236.9</v>
      </c>
      <c r="F25">
        <v>2989</v>
      </c>
      <c r="G25">
        <v>1990.8</v>
      </c>
      <c r="H25">
        <v>117966.39999999999</v>
      </c>
      <c r="I25">
        <f t="shared" si="0"/>
        <v>0.1673103527784183</v>
      </c>
    </row>
    <row r="26" spans="1:23" x14ac:dyDescent="0.35">
      <c r="A26" t="s">
        <v>3</v>
      </c>
      <c r="B26">
        <v>2024</v>
      </c>
      <c r="C26">
        <v>4563.7</v>
      </c>
      <c r="D26">
        <v>14572.8</v>
      </c>
      <c r="E26">
        <v>239.2</v>
      </c>
      <c r="F26">
        <v>3076.4</v>
      </c>
      <c r="G26">
        <v>2095.4</v>
      </c>
      <c r="H26">
        <v>116347.3</v>
      </c>
      <c r="I26">
        <f t="shared" si="0"/>
        <v>0.17496495406425419</v>
      </c>
    </row>
    <row r="28" spans="1:23" x14ac:dyDescent="0.35">
      <c r="A28" t="s">
        <v>110</v>
      </c>
      <c r="B28">
        <v>2000</v>
      </c>
    </row>
    <row r="29" spans="1:23" x14ac:dyDescent="0.35">
      <c r="A29" t="s">
        <v>110</v>
      </c>
      <c r="B29">
        <v>2001</v>
      </c>
    </row>
    <row r="30" spans="1:23" x14ac:dyDescent="0.35">
      <c r="A30" t="s">
        <v>110</v>
      </c>
      <c r="B30">
        <v>2002</v>
      </c>
    </row>
    <row r="31" spans="1:23" x14ac:dyDescent="0.35">
      <c r="A31" t="s">
        <v>110</v>
      </c>
      <c r="B31">
        <v>2003</v>
      </c>
    </row>
    <row r="32" spans="1:23" x14ac:dyDescent="0.35">
      <c r="A32" t="s">
        <v>110</v>
      </c>
      <c r="B32">
        <v>2004</v>
      </c>
    </row>
    <row r="33" spans="1:9" x14ac:dyDescent="0.35">
      <c r="A33" t="s">
        <v>110</v>
      </c>
      <c r="B33">
        <v>2005</v>
      </c>
    </row>
    <row r="34" spans="1:9" x14ac:dyDescent="0.35">
      <c r="A34" t="s">
        <v>110</v>
      </c>
      <c r="B34">
        <v>2006</v>
      </c>
    </row>
    <row r="35" spans="1:9" x14ac:dyDescent="0.35">
      <c r="A35" t="s">
        <v>110</v>
      </c>
      <c r="B35">
        <v>2007</v>
      </c>
    </row>
    <row r="36" spans="1:9" x14ac:dyDescent="0.35">
      <c r="A36" t="s">
        <v>110</v>
      </c>
      <c r="B36">
        <v>2008</v>
      </c>
    </row>
    <row r="37" spans="1:9" x14ac:dyDescent="0.35">
      <c r="A37" t="s">
        <v>110</v>
      </c>
      <c r="B37">
        <v>2009</v>
      </c>
    </row>
    <row r="38" spans="1:9" x14ac:dyDescent="0.35">
      <c r="A38" t="s">
        <v>110</v>
      </c>
      <c r="B38">
        <v>2010</v>
      </c>
      <c r="C38">
        <v>4748.3999999999996</v>
      </c>
      <c r="D38">
        <v>5261.3</v>
      </c>
      <c r="E38">
        <v>211.6</v>
      </c>
      <c r="F38">
        <v>1865.6</v>
      </c>
      <c r="G38">
        <v>1033.5999999999999</v>
      </c>
      <c r="H38">
        <v>79689</v>
      </c>
      <c r="I38">
        <f t="shared" ref="I38:I52" si="1">(C38+D38+E38+F38-G38)/H38</f>
        <v>0.13870546750492541</v>
      </c>
    </row>
    <row r="39" spans="1:9" x14ac:dyDescent="0.35">
      <c r="A39" t="s">
        <v>110</v>
      </c>
      <c r="B39">
        <v>2011</v>
      </c>
      <c r="C39">
        <v>4766.7</v>
      </c>
      <c r="D39">
        <v>5622.1</v>
      </c>
      <c r="E39">
        <v>238</v>
      </c>
      <c r="F39">
        <v>2011</v>
      </c>
      <c r="G39">
        <v>1082.5</v>
      </c>
      <c r="H39">
        <v>86316.1</v>
      </c>
      <c r="I39">
        <f t="shared" si="1"/>
        <v>0.13387189643647013</v>
      </c>
    </row>
    <row r="40" spans="1:9" x14ac:dyDescent="0.35">
      <c r="A40" t="s">
        <v>110</v>
      </c>
      <c r="B40">
        <v>2012</v>
      </c>
      <c r="C40">
        <v>4853</v>
      </c>
      <c r="D40">
        <v>5737.3</v>
      </c>
      <c r="E40">
        <v>240.3</v>
      </c>
      <c r="F40">
        <v>2121.1</v>
      </c>
      <c r="G40">
        <v>1046.8</v>
      </c>
      <c r="H40">
        <v>88540.800000000003</v>
      </c>
      <c r="I40">
        <f t="shared" si="1"/>
        <v>0.1344566572698688</v>
      </c>
    </row>
    <row r="41" spans="1:9" x14ac:dyDescent="0.35">
      <c r="A41" t="s">
        <v>110</v>
      </c>
      <c r="B41">
        <v>2013</v>
      </c>
      <c r="C41">
        <v>5038.3999999999996</v>
      </c>
      <c r="D41">
        <v>5831.3</v>
      </c>
      <c r="E41">
        <v>251.7</v>
      </c>
      <c r="F41">
        <v>2198.8000000000002</v>
      </c>
      <c r="G41">
        <v>1022.2</v>
      </c>
      <c r="H41">
        <v>87430.6</v>
      </c>
      <c r="I41">
        <f t="shared" si="1"/>
        <v>0.14066013500993929</v>
      </c>
    </row>
    <row r="42" spans="1:9" x14ac:dyDescent="0.35">
      <c r="A42" t="s">
        <v>110</v>
      </c>
      <c r="B42">
        <v>2014</v>
      </c>
      <c r="C42">
        <v>5447.3</v>
      </c>
      <c r="D42">
        <v>5983.7</v>
      </c>
      <c r="E42">
        <v>264.60000000000002</v>
      </c>
      <c r="F42">
        <v>2216.9</v>
      </c>
      <c r="G42">
        <v>1135.8</v>
      </c>
      <c r="H42">
        <v>92496.2</v>
      </c>
      <c r="I42">
        <f t="shared" si="1"/>
        <v>0.13813216110499676</v>
      </c>
    </row>
    <row r="43" spans="1:9" x14ac:dyDescent="0.35">
      <c r="A43" t="s">
        <v>110</v>
      </c>
      <c r="B43">
        <v>2015</v>
      </c>
      <c r="C43">
        <v>5224.8999999999996</v>
      </c>
      <c r="D43">
        <v>6120.7</v>
      </c>
      <c r="E43">
        <v>185.3</v>
      </c>
      <c r="F43">
        <v>2315</v>
      </c>
      <c r="G43">
        <v>1120.5</v>
      </c>
      <c r="H43">
        <v>96205.3</v>
      </c>
      <c r="I43">
        <f t="shared" si="1"/>
        <v>0.13227337787003415</v>
      </c>
    </row>
    <row r="44" spans="1:9" x14ac:dyDescent="0.35">
      <c r="A44" t="s">
        <v>110</v>
      </c>
      <c r="B44">
        <v>2016</v>
      </c>
      <c r="C44">
        <v>5388.3</v>
      </c>
      <c r="D44">
        <v>6324.3</v>
      </c>
      <c r="E44">
        <v>190.1</v>
      </c>
      <c r="F44">
        <v>2590.4</v>
      </c>
      <c r="G44">
        <v>1130.2</v>
      </c>
      <c r="H44">
        <v>100774.7</v>
      </c>
      <c r="I44">
        <f t="shared" si="1"/>
        <v>0.13260173436388301</v>
      </c>
    </row>
    <row r="45" spans="1:9" x14ac:dyDescent="0.35">
      <c r="A45" t="s">
        <v>110</v>
      </c>
      <c r="B45">
        <v>2017</v>
      </c>
      <c r="C45">
        <v>5664.1</v>
      </c>
      <c r="D45">
        <v>7016.5</v>
      </c>
      <c r="E45">
        <v>209.5</v>
      </c>
      <c r="F45">
        <v>2810.8</v>
      </c>
      <c r="G45">
        <v>1184.5</v>
      </c>
      <c r="H45">
        <v>104219.1</v>
      </c>
      <c r="I45">
        <f t="shared" si="1"/>
        <v>0.1392873283304116</v>
      </c>
    </row>
    <row r="46" spans="1:9" x14ac:dyDescent="0.35">
      <c r="A46" t="s">
        <v>110</v>
      </c>
      <c r="B46">
        <v>2018</v>
      </c>
      <c r="C46">
        <v>5967.4</v>
      </c>
      <c r="D46">
        <v>7445.4</v>
      </c>
      <c r="E46">
        <v>342.3</v>
      </c>
      <c r="F46">
        <v>2658.9</v>
      </c>
      <c r="G46">
        <v>1172</v>
      </c>
      <c r="H46">
        <v>109244.1</v>
      </c>
      <c r="I46">
        <f t="shared" si="1"/>
        <v>0.13952240899050841</v>
      </c>
    </row>
    <row r="47" spans="1:9" x14ac:dyDescent="0.35">
      <c r="A47" t="s">
        <v>110</v>
      </c>
      <c r="B47">
        <v>2019</v>
      </c>
      <c r="C47">
        <v>6243.9</v>
      </c>
      <c r="D47">
        <v>8023.8</v>
      </c>
      <c r="E47">
        <v>348</v>
      </c>
      <c r="F47">
        <v>3044.6</v>
      </c>
      <c r="G47">
        <v>1234.7</v>
      </c>
      <c r="H47">
        <v>116175.3</v>
      </c>
      <c r="I47">
        <f t="shared" si="1"/>
        <v>0.14138633599396772</v>
      </c>
    </row>
    <row r="48" spans="1:9" x14ac:dyDescent="0.35">
      <c r="A48" t="s">
        <v>110</v>
      </c>
      <c r="B48">
        <v>2020</v>
      </c>
      <c r="C48">
        <v>5782.6</v>
      </c>
      <c r="D48">
        <v>8426</v>
      </c>
      <c r="E48">
        <v>344.7</v>
      </c>
      <c r="F48">
        <v>2852.1</v>
      </c>
      <c r="G48">
        <v>1298</v>
      </c>
      <c r="H48">
        <v>111457.3</v>
      </c>
      <c r="I48">
        <f t="shared" si="1"/>
        <v>0.14451633046915727</v>
      </c>
    </row>
    <row r="49" spans="1:9" x14ac:dyDescent="0.35">
      <c r="A49" t="s">
        <v>110</v>
      </c>
      <c r="B49">
        <v>2021</v>
      </c>
      <c r="C49">
        <v>5993.6</v>
      </c>
      <c r="D49">
        <v>9366.2999999999993</v>
      </c>
      <c r="E49">
        <v>411.6</v>
      </c>
      <c r="F49">
        <v>3506.1</v>
      </c>
      <c r="G49">
        <v>1562.1</v>
      </c>
      <c r="H49">
        <v>121028.2</v>
      </c>
      <c r="I49">
        <f t="shared" si="1"/>
        <v>0.14637497707145938</v>
      </c>
    </row>
    <row r="50" spans="1:9" x14ac:dyDescent="0.35">
      <c r="A50" t="s">
        <v>110</v>
      </c>
      <c r="B50">
        <v>2022</v>
      </c>
      <c r="C50">
        <v>6634.8</v>
      </c>
      <c r="D50">
        <v>10496</v>
      </c>
      <c r="E50">
        <v>507.1</v>
      </c>
      <c r="F50">
        <v>4076.9</v>
      </c>
      <c r="G50">
        <v>1823.9</v>
      </c>
      <c r="H50">
        <v>134341.6</v>
      </c>
      <c r="I50">
        <f t="shared" si="1"/>
        <v>0.14806210436677839</v>
      </c>
    </row>
    <row r="51" spans="1:9" x14ac:dyDescent="0.35">
      <c r="A51" t="s">
        <v>110</v>
      </c>
      <c r="B51">
        <v>2023</v>
      </c>
      <c r="C51">
        <v>7207.2</v>
      </c>
      <c r="D51">
        <v>11207.9</v>
      </c>
      <c r="E51">
        <v>555</v>
      </c>
      <c r="F51">
        <v>4422.6000000000004</v>
      </c>
      <c r="G51">
        <v>2007.7</v>
      </c>
      <c r="H51">
        <v>145570.9</v>
      </c>
      <c r="I51">
        <f t="shared" si="1"/>
        <v>0.14690436069296814</v>
      </c>
    </row>
    <row r="52" spans="1:9" x14ac:dyDescent="0.35">
      <c r="A52" t="s">
        <v>110</v>
      </c>
      <c r="B52">
        <v>2024</v>
      </c>
      <c r="C52">
        <v>9131.1</v>
      </c>
      <c r="D52">
        <v>12273</v>
      </c>
      <c r="E52">
        <v>865.1</v>
      </c>
      <c r="F52">
        <v>4613</v>
      </c>
      <c r="G52">
        <v>2148.6999999999998</v>
      </c>
      <c r="H52">
        <v>150401.5</v>
      </c>
      <c r="I52">
        <f t="shared" si="1"/>
        <v>0.16444982264139651</v>
      </c>
    </row>
    <row r="54" spans="1:9" x14ac:dyDescent="0.35">
      <c r="A54" t="s">
        <v>111</v>
      </c>
      <c r="B54">
        <v>2000</v>
      </c>
    </row>
    <row r="55" spans="1:9" x14ac:dyDescent="0.35">
      <c r="A55" t="s">
        <v>111</v>
      </c>
      <c r="B55">
        <v>2001</v>
      </c>
    </row>
    <row r="56" spans="1:9" x14ac:dyDescent="0.35">
      <c r="A56" t="s">
        <v>111</v>
      </c>
      <c r="B56">
        <v>2002</v>
      </c>
    </row>
    <row r="57" spans="1:9" x14ac:dyDescent="0.35">
      <c r="A57" t="s">
        <v>111</v>
      </c>
      <c r="B57">
        <v>2003</v>
      </c>
    </row>
    <row r="58" spans="1:9" x14ac:dyDescent="0.35">
      <c r="A58" t="s">
        <v>111</v>
      </c>
      <c r="B58">
        <v>2004</v>
      </c>
    </row>
    <row r="59" spans="1:9" x14ac:dyDescent="0.35">
      <c r="A59" t="s">
        <v>111</v>
      </c>
      <c r="B59">
        <v>2005</v>
      </c>
    </row>
    <row r="60" spans="1:9" x14ac:dyDescent="0.35">
      <c r="A60" t="s">
        <v>111</v>
      </c>
      <c r="B60">
        <v>2006</v>
      </c>
    </row>
    <row r="61" spans="1:9" x14ac:dyDescent="0.35">
      <c r="A61" t="s">
        <v>111</v>
      </c>
      <c r="B61">
        <v>2007</v>
      </c>
    </row>
    <row r="62" spans="1:9" x14ac:dyDescent="0.35">
      <c r="A62" t="s">
        <v>111</v>
      </c>
      <c r="B62">
        <v>2008</v>
      </c>
    </row>
    <row r="63" spans="1:9" x14ac:dyDescent="0.35">
      <c r="A63" t="s">
        <v>111</v>
      </c>
      <c r="B63">
        <v>2009</v>
      </c>
    </row>
    <row r="64" spans="1:9" x14ac:dyDescent="0.35">
      <c r="A64" t="s">
        <v>111</v>
      </c>
      <c r="B64">
        <v>2010</v>
      </c>
      <c r="C64">
        <v>20635</v>
      </c>
      <c r="D64">
        <v>17999</v>
      </c>
      <c r="E64">
        <v>750</v>
      </c>
      <c r="F64">
        <v>10029</v>
      </c>
      <c r="G64">
        <v>4215</v>
      </c>
      <c r="H64">
        <v>501768</v>
      </c>
      <c r="I64">
        <f t="shared" ref="I64:I78" si="2">(C64+D64+E64+F64-G64)/H64</f>
        <v>9.0077486009470506E-2</v>
      </c>
    </row>
    <row r="65" spans="1:9" x14ac:dyDescent="0.35">
      <c r="A65" t="s">
        <v>111</v>
      </c>
      <c r="B65">
        <v>2011</v>
      </c>
      <c r="C65">
        <v>19547</v>
      </c>
      <c r="D65">
        <v>20929</v>
      </c>
      <c r="E65">
        <v>478</v>
      </c>
      <c r="F65">
        <v>13402</v>
      </c>
      <c r="G65">
        <v>7097</v>
      </c>
      <c r="H65">
        <v>549605</v>
      </c>
      <c r="I65">
        <f t="shared" si="2"/>
        <v>8.5987208995551345E-2</v>
      </c>
    </row>
    <row r="66" spans="1:9" x14ac:dyDescent="0.35">
      <c r="A66" t="s">
        <v>111</v>
      </c>
      <c r="B66">
        <v>2012</v>
      </c>
      <c r="C66">
        <v>18916</v>
      </c>
      <c r="D66">
        <v>18572</v>
      </c>
      <c r="E66">
        <v>496</v>
      </c>
      <c r="F66">
        <v>11219</v>
      </c>
      <c r="G66">
        <v>4658</v>
      </c>
      <c r="H66">
        <v>558913</v>
      </c>
      <c r="I66">
        <f t="shared" si="2"/>
        <v>7.9699344978556588E-2</v>
      </c>
    </row>
    <row r="67" spans="1:9" x14ac:dyDescent="0.35">
      <c r="A67" t="s">
        <v>111</v>
      </c>
      <c r="B67">
        <v>2013</v>
      </c>
      <c r="C67">
        <v>17285</v>
      </c>
      <c r="D67">
        <v>19679</v>
      </c>
      <c r="E67">
        <v>493</v>
      </c>
      <c r="F67">
        <v>12591</v>
      </c>
      <c r="G67">
        <v>5450</v>
      </c>
      <c r="H67">
        <v>561175</v>
      </c>
      <c r="I67">
        <f t="shared" si="2"/>
        <v>7.9472535305386019E-2</v>
      </c>
    </row>
    <row r="68" spans="1:9" x14ac:dyDescent="0.35">
      <c r="A68" t="s">
        <v>111</v>
      </c>
      <c r="B68">
        <v>2014</v>
      </c>
      <c r="C68">
        <v>18872</v>
      </c>
      <c r="D68">
        <v>20952</v>
      </c>
      <c r="E68">
        <v>585</v>
      </c>
      <c r="F68">
        <v>12567</v>
      </c>
      <c r="G68">
        <v>5542</v>
      </c>
      <c r="H68">
        <v>590405</v>
      </c>
      <c r="I68">
        <f t="shared" si="2"/>
        <v>8.0341460522861424E-2</v>
      </c>
    </row>
    <row r="69" spans="1:9" x14ac:dyDescent="0.35">
      <c r="A69" t="s">
        <v>111</v>
      </c>
      <c r="B69">
        <v>2015</v>
      </c>
      <c r="C69">
        <v>20453</v>
      </c>
      <c r="D69">
        <v>23846</v>
      </c>
      <c r="E69">
        <v>674</v>
      </c>
      <c r="F69">
        <v>14699</v>
      </c>
      <c r="G69">
        <v>7964</v>
      </c>
      <c r="H69">
        <v>609619</v>
      </c>
      <c r="I69">
        <f t="shared" si="2"/>
        <v>8.4820190971738083E-2</v>
      </c>
    </row>
    <row r="70" spans="1:9" x14ac:dyDescent="0.35">
      <c r="A70" t="s">
        <v>111</v>
      </c>
      <c r="B70">
        <v>2016</v>
      </c>
      <c r="C70">
        <v>21121</v>
      </c>
      <c r="D70">
        <v>23651</v>
      </c>
      <c r="E70">
        <v>833</v>
      </c>
      <c r="F70">
        <v>14843</v>
      </c>
      <c r="G70">
        <v>6877</v>
      </c>
      <c r="H70">
        <v>640443</v>
      </c>
      <c r="I70">
        <f t="shared" si="2"/>
        <v>8.3646788238765979E-2</v>
      </c>
    </row>
    <row r="71" spans="1:9" x14ac:dyDescent="0.35">
      <c r="A71" t="s">
        <v>111</v>
      </c>
      <c r="B71">
        <v>2017</v>
      </c>
      <c r="C71">
        <v>22460</v>
      </c>
      <c r="D71">
        <v>24790</v>
      </c>
      <c r="E71">
        <v>1039</v>
      </c>
      <c r="F71">
        <v>12999</v>
      </c>
      <c r="G71">
        <v>6700</v>
      </c>
      <c r="H71">
        <v>671086</v>
      </c>
      <c r="I71">
        <f t="shared" si="2"/>
        <v>8.1342778719866005E-2</v>
      </c>
    </row>
    <row r="72" spans="1:9" x14ac:dyDescent="0.35">
      <c r="A72" t="s">
        <v>111</v>
      </c>
      <c r="B72">
        <v>2018</v>
      </c>
      <c r="C72">
        <v>23337</v>
      </c>
      <c r="D72">
        <v>26302</v>
      </c>
      <c r="E72">
        <v>1125</v>
      </c>
      <c r="F72">
        <v>14541</v>
      </c>
      <c r="G72">
        <v>6885</v>
      </c>
      <c r="H72">
        <v>714880</v>
      </c>
      <c r="I72">
        <f t="shared" si="2"/>
        <v>8.1720008952551479E-2</v>
      </c>
    </row>
    <row r="73" spans="1:9" x14ac:dyDescent="0.35">
      <c r="A73" t="s">
        <v>111</v>
      </c>
      <c r="B73">
        <v>2019</v>
      </c>
      <c r="C73">
        <v>23280</v>
      </c>
      <c r="D73">
        <v>28754</v>
      </c>
      <c r="E73">
        <v>1245</v>
      </c>
      <c r="F73">
        <v>18117</v>
      </c>
      <c r="G73">
        <v>9402</v>
      </c>
      <c r="H73">
        <v>748216</v>
      </c>
      <c r="I73">
        <f t="shared" si="2"/>
        <v>8.2855752884193876E-2</v>
      </c>
    </row>
    <row r="74" spans="1:9" x14ac:dyDescent="0.35">
      <c r="A74" t="s">
        <v>111</v>
      </c>
      <c r="B74">
        <v>2020</v>
      </c>
      <c r="C74">
        <v>24080</v>
      </c>
      <c r="D74">
        <v>26417</v>
      </c>
      <c r="E74">
        <v>1728</v>
      </c>
      <c r="F74">
        <v>16154</v>
      </c>
      <c r="G74">
        <v>8124</v>
      </c>
      <c r="H74">
        <v>736476</v>
      </c>
      <c r="I74">
        <f t="shared" si="2"/>
        <v>8.1815293370048725E-2</v>
      </c>
    </row>
    <row r="75" spans="1:9" x14ac:dyDescent="0.35">
      <c r="A75" t="s">
        <v>111</v>
      </c>
      <c r="B75">
        <v>2021</v>
      </c>
      <c r="C75">
        <v>25376</v>
      </c>
      <c r="D75">
        <v>28180</v>
      </c>
      <c r="E75">
        <v>1907</v>
      </c>
      <c r="F75">
        <v>17990</v>
      </c>
      <c r="G75">
        <v>8148</v>
      </c>
      <c r="H75">
        <v>779975</v>
      </c>
      <c r="I75">
        <f t="shared" si="2"/>
        <v>8.3727042533414536E-2</v>
      </c>
    </row>
    <row r="76" spans="1:9" x14ac:dyDescent="0.35">
      <c r="A76" t="s">
        <v>111</v>
      </c>
      <c r="B76">
        <v>2022</v>
      </c>
      <c r="C76">
        <v>27238</v>
      </c>
      <c r="D76">
        <v>32990</v>
      </c>
      <c r="E76">
        <v>1912</v>
      </c>
      <c r="F76">
        <v>21211</v>
      </c>
      <c r="G76">
        <v>10512</v>
      </c>
      <c r="H76">
        <v>861750</v>
      </c>
      <c r="I76">
        <f t="shared" si="2"/>
        <v>8.4524514070205975E-2</v>
      </c>
    </row>
    <row r="77" spans="1:9" x14ac:dyDescent="0.35">
      <c r="A77" t="s">
        <v>111</v>
      </c>
      <c r="B77">
        <v>2023</v>
      </c>
      <c r="C77">
        <v>25951</v>
      </c>
      <c r="D77">
        <v>32973</v>
      </c>
      <c r="E77">
        <v>1456</v>
      </c>
      <c r="F77">
        <v>21089</v>
      </c>
      <c r="G77">
        <v>8929</v>
      </c>
      <c r="H77">
        <v>894143</v>
      </c>
      <c r="I77">
        <f t="shared" si="2"/>
        <v>8.1127962753161406E-2</v>
      </c>
    </row>
    <row r="78" spans="1:9" x14ac:dyDescent="0.35">
      <c r="A78" t="s">
        <v>111</v>
      </c>
      <c r="B78">
        <v>2024</v>
      </c>
      <c r="C78">
        <v>27729</v>
      </c>
      <c r="D78">
        <v>35187</v>
      </c>
      <c r="E78">
        <v>1451</v>
      </c>
      <c r="F78">
        <v>22242</v>
      </c>
      <c r="G78">
        <v>9625</v>
      </c>
      <c r="H78">
        <v>885721</v>
      </c>
      <c r="I78">
        <f t="shared" si="2"/>
        <v>8.6916760469719023E-2</v>
      </c>
    </row>
    <row r="80" spans="1:9" x14ac:dyDescent="0.35">
      <c r="A80" t="s">
        <v>112</v>
      </c>
      <c r="B80">
        <v>2000</v>
      </c>
    </row>
    <row r="81" spans="1:9" x14ac:dyDescent="0.35">
      <c r="A81" t="s">
        <v>112</v>
      </c>
      <c r="B81">
        <v>2001</v>
      </c>
    </row>
    <row r="82" spans="1:9" x14ac:dyDescent="0.35">
      <c r="A82" t="s">
        <v>112</v>
      </c>
      <c r="B82">
        <v>2002</v>
      </c>
    </row>
    <row r="83" spans="1:9" x14ac:dyDescent="0.35">
      <c r="A83" t="s">
        <v>112</v>
      </c>
      <c r="B83">
        <v>2003</v>
      </c>
    </row>
    <row r="84" spans="1:9" x14ac:dyDescent="0.35">
      <c r="A84" t="s">
        <v>112</v>
      </c>
      <c r="B84">
        <v>2004</v>
      </c>
    </row>
    <row r="85" spans="1:9" x14ac:dyDescent="0.35">
      <c r="A85" t="s">
        <v>112</v>
      </c>
      <c r="B85">
        <v>2005</v>
      </c>
    </row>
    <row r="86" spans="1:9" x14ac:dyDescent="0.35">
      <c r="A86" t="s">
        <v>112</v>
      </c>
      <c r="B86">
        <v>2006</v>
      </c>
    </row>
    <row r="87" spans="1:9" x14ac:dyDescent="0.35">
      <c r="A87" t="s">
        <v>112</v>
      </c>
      <c r="B87">
        <v>2007</v>
      </c>
    </row>
    <row r="88" spans="1:9" x14ac:dyDescent="0.35">
      <c r="A88" t="s">
        <v>112</v>
      </c>
      <c r="B88">
        <v>2008</v>
      </c>
    </row>
    <row r="89" spans="1:9" x14ac:dyDescent="0.35">
      <c r="A89" t="s">
        <v>112</v>
      </c>
      <c r="B89">
        <v>2009</v>
      </c>
    </row>
    <row r="90" spans="1:9" x14ac:dyDescent="0.35">
      <c r="A90" t="s">
        <v>112</v>
      </c>
      <c r="B90">
        <v>2010</v>
      </c>
      <c r="C90">
        <v>7685</v>
      </c>
      <c r="D90">
        <v>14177</v>
      </c>
      <c r="E90">
        <v>1987</v>
      </c>
      <c r="F90">
        <v>5813</v>
      </c>
      <c r="G90">
        <v>4351</v>
      </c>
      <c r="H90">
        <v>235617</v>
      </c>
      <c r="I90">
        <f t="shared" ref="I90:I104" si="3">(C90+D90+E90+F90-G90)/H90</f>
        <v>0.1074243369536154</v>
      </c>
    </row>
    <row r="91" spans="1:9" x14ac:dyDescent="0.35">
      <c r="A91" t="s">
        <v>112</v>
      </c>
      <c r="B91">
        <v>2011</v>
      </c>
      <c r="C91">
        <v>7099</v>
      </c>
      <c r="D91">
        <v>15022</v>
      </c>
      <c r="E91">
        <v>2373</v>
      </c>
      <c r="F91">
        <v>6151</v>
      </c>
      <c r="G91">
        <v>4543</v>
      </c>
      <c r="H91">
        <v>215309</v>
      </c>
      <c r="I91">
        <f t="shared" si="3"/>
        <v>0.12123041767877794</v>
      </c>
    </row>
    <row r="92" spans="1:9" x14ac:dyDescent="0.35">
      <c r="A92" t="s">
        <v>112</v>
      </c>
      <c r="B92">
        <v>2012</v>
      </c>
      <c r="C92">
        <v>6880</v>
      </c>
      <c r="D92">
        <v>16398</v>
      </c>
      <c r="E92">
        <v>2131</v>
      </c>
      <c r="F92">
        <v>6498</v>
      </c>
      <c r="G92">
        <v>5065</v>
      </c>
      <c r="H92">
        <v>193835</v>
      </c>
      <c r="I92">
        <f t="shared" si="3"/>
        <v>0.13847860293548636</v>
      </c>
    </row>
    <row r="93" spans="1:9" x14ac:dyDescent="0.35">
      <c r="A93" t="s">
        <v>112</v>
      </c>
      <c r="B93">
        <v>2013</v>
      </c>
      <c r="C93">
        <v>6868</v>
      </c>
      <c r="D93">
        <v>16599</v>
      </c>
      <c r="E93">
        <v>226</v>
      </c>
      <c r="F93">
        <v>6467</v>
      </c>
      <c r="G93">
        <v>4950</v>
      </c>
      <c r="H93">
        <v>180498</v>
      </c>
      <c r="I93">
        <f t="shared" si="3"/>
        <v>0.13966913760817296</v>
      </c>
    </row>
    <row r="94" spans="1:9" x14ac:dyDescent="0.35">
      <c r="A94" t="s">
        <v>112</v>
      </c>
      <c r="B94">
        <v>2014</v>
      </c>
      <c r="C94">
        <v>7371</v>
      </c>
      <c r="D94">
        <v>17622</v>
      </c>
      <c r="E94">
        <v>622</v>
      </c>
      <c r="F94">
        <v>6147</v>
      </c>
      <c r="G94">
        <v>4529</v>
      </c>
      <c r="H94">
        <v>187322</v>
      </c>
      <c r="I94">
        <f t="shared" si="3"/>
        <v>0.14538068139353627</v>
      </c>
    </row>
    <row r="95" spans="1:9" x14ac:dyDescent="0.35">
      <c r="A95" t="s">
        <v>112</v>
      </c>
      <c r="B95">
        <v>2015</v>
      </c>
      <c r="C95">
        <v>7972</v>
      </c>
      <c r="D95">
        <v>19210</v>
      </c>
      <c r="E95">
        <v>2720</v>
      </c>
      <c r="F95">
        <v>8623</v>
      </c>
      <c r="G95">
        <v>7233</v>
      </c>
      <c r="H95">
        <v>198930</v>
      </c>
      <c r="I95">
        <f t="shared" si="3"/>
        <v>0.15730156336399739</v>
      </c>
    </row>
    <row r="96" spans="1:9" x14ac:dyDescent="0.35">
      <c r="A96" t="s">
        <v>112</v>
      </c>
      <c r="B96">
        <v>2016</v>
      </c>
      <c r="C96">
        <v>8177</v>
      </c>
      <c r="D96">
        <v>20886</v>
      </c>
      <c r="E96">
        <v>1145</v>
      </c>
      <c r="F96">
        <v>8511</v>
      </c>
      <c r="G96">
        <v>6422</v>
      </c>
      <c r="H96">
        <v>204287</v>
      </c>
      <c r="I96">
        <f t="shared" si="3"/>
        <v>0.15809620778610484</v>
      </c>
    </row>
    <row r="97" spans="1:9" x14ac:dyDescent="0.35">
      <c r="A97" t="s">
        <v>112</v>
      </c>
      <c r="B97">
        <v>2017</v>
      </c>
      <c r="C97">
        <v>8889</v>
      </c>
      <c r="D97">
        <v>21386</v>
      </c>
      <c r="E97">
        <v>1043</v>
      </c>
      <c r="F97">
        <v>7361</v>
      </c>
      <c r="G97">
        <v>5451</v>
      </c>
      <c r="H97">
        <v>221207</v>
      </c>
      <c r="I97">
        <f t="shared" si="3"/>
        <v>0.15021224463963617</v>
      </c>
    </row>
    <row r="98" spans="1:9" x14ac:dyDescent="0.35">
      <c r="A98" t="s">
        <v>112</v>
      </c>
      <c r="B98">
        <v>2018</v>
      </c>
      <c r="C98">
        <v>10567</v>
      </c>
      <c r="D98">
        <v>21436</v>
      </c>
      <c r="E98">
        <v>1014</v>
      </c>
      <c r="F98">
        <v>6771</v>
      </c>
      <c r="G98">
        <v>4500</v>
      </c>
      <c r="H98">
        <v>238502</v>
      </c>
      <c r="I98">
        <f t="shared" si="3"/>
        <v>0.1479568305506872</v>
      </c>
    </row>
    <row r="99" spans="1:9" x14ac:dyDescent="0.35">
      <c r="A99" t="s">
        <v>112</v>
      </c>
      <c r="B99">
        <v>2019</v>
      </c>
      <c r="C99">
        <v>10241</v>
      </c>
      <c r="D99">
        <v>22185</v>
      </c>
      <c r="E99">
        <v>1202</v>
      </c>
      <c r="F99">
        <v>7598</v>
      </c>
      <c r="G99">
        <v>5512</v>
      </c>
      <c r="H99">
        <v>254566</v>
      </c>
      <c r="I99">
        <f t="shared" si="3"/>
        <v>0.14029367629612752</v>
      </c>
    </row>
    <row r="100" spans="1:9" x14ac:dyDescent="0.35">
      <c r="A100" t="s">
        <v>112</v>
      </c>
      <c r="B100">
        <v>2020</v>
      </c>
      <c r="C100">
        <v>9319</v>
      </c>
      <c r="D100">
        <v>21405</v>
      </c>
      <c r="E100">
        <v>955</v>
      </c>
      <c r="F100">
        <v>7838</v>
      </c>
      <c r="G100">
        <v>5915</v>
      </c>
      <c r="H100">
        <v>232798</v>
      </c>
      <c r="I100">
        <f t="shared" si="3"/>
        <v>0.14433972800453612</v>
      </c>
    </row>
    <row r="101" spans="1:9" x14ac:dyDescent="0.35">
      <c r="A101" t="s">
        <v>112</v>
      </c>
      <c r="B101">
        <v>2021</v>
      </c>
      <c r="C101">
        <v>9814</v>
      </c>
      <c r="D101">
        <v>23687</v>
      </c>
      <c r="E101">
        <v>1759</v>
      </c>
      <c r="F101">
        <v>8553</v>
      </c>
      <c r="G101">
        <v>5774</v>
      </c>
      <c r="H101">
        <v>249560</v>
      </c>
      <c r="I101">
        <f t="shared" si="3"/>
        <v>0.15242426670940856</v>
      </c>
    </row>
    <row r="102" spans="1:9" x14ac:dyDescent="0.35">
      <c r="A102" t="s">
        <v>112</v>
      </c>
      <c r="B102">
        <v>2022</v>
      </c>
      <c r="C102">
        <v>10476</v>
      </c>
      <c r="D102">
        <v>26096</v>
      </c>
      <c r="E102">
        <v>1212</v>
      </c>
      <c r="F102">
        <v>10206</v>
      </c>
      <c r="G102">
        <v>7371</v>
      </c>
      <c r="H102">
        <v>281890</v>
      </c>
      <c r="I102">
        <f t="shared" si="3"/>
        <v>0.14409521444535103</v>
      </c>
    </row>
    <row r="103" spans="1:9" x14ac:dyDescent="0.35">
      <c r="A103" t="s">
        <v>112</v>
      </c>
      <c r="B103">
        <v>2023</v>
      </c>
      <c r="C103">
        <v>10493</v>
      </c>
      <c r="D103">
        <v>31417</v>
      </c>
      <c r="E103">
        <v>1039</v>
      </c>
      <c r="F103">
        <v>15344</v>
      </c>
      <c r="G103">
        <v>12396</v>
      </c>
      <c r="H103">
        <v>306529</v>
      </c>
      <c r="I103">
        <f t="shared" si="3"/>
        <v>0.14973134678937391</v>
      </c>
    </row>
    <row r="104" spans="1:9" x14ac:dyDescent="0.35">
      <c r="A104" t="s">
        <v>112</v>
      </c>
      <c r="B104">
        <v>2024</v>
      </c>
      <c r="C104">
        <v>10861</v>
      </c>
      <c r="D104">
        <v>33128</v>
      </c>
      <c r="E104">
        <v>1114</v>
      </c>
      <c r="F104">
        <v>16572</v>
      </c>
      <c r="G104">
        <v>13295</v>
      </c>
      <c r="H104">
        <v>323455</v>
      </c>
      <c r="I104">
        <f t="shared" si="3"/>
        <v>0.14957258351238967</v>
      </c>
    </row>
    <row r="106" spans="1:9" x14ac:dyDescent="0.35">
      <c r="A106" t="s">
        <v>113</v>
      </c>
      <c r="B106">
        <v>2000</v>
      </c>
    </row>
    <row r="107" spans="1:9" x14ac:dyDescent="0.35">
      <c r="A107" t="s">
        <v>113</v>
      </c>
      <c r="B107">
        <v>2001</v>
      </c>
    </row>
    <row r="108" spans="1:9" x14ac:dyDescent="0.35">
      <c r="A108" t="s">
        <v>113</v>
      </c>
      <c r="B108">
        <v>2002</v>
      </c>
    </row>
    <row r="109" spans="1:9" x14ac:dyDescent="0.35">
      <c r="A109" t="s">
        <v>113</v>
      </c>
      <c r="B109">
        <v>2003</v>
      </c>
    </row>
    <row r="110" spans="1:9" x14ac:dyDescent="0.35">
      <c r="A110" t="s">
        <v>113</v>
      </c>
      <c r="B110">
        <v>2004</v>
      </c>
    </row>
    <row r="111" spans="1:9" x14ac:dyDescent="0.35">
      <c r="A111" t="s">
        <v>113</v>
      </c>
      <c r="B111">
        <v>2005</v>
      </c>
    </row>
    <row r="112" spans="1:9" x14ac:dyDescent="0.35">
      <c r="A112" t="s">
        <v>113</v>
      </c>
      <c r="B112">
        <v>2006</v>
      </c>
    </row>
    <row r="113" spans="1:9" x14ac:dyDescent="0.35">
      <c r="A113" t="s">
        <v>113</v>
      </c>
      <c r="B113">
        <v>2007</v>
      </c>
    </row>
    <row r="114" spans="1:9" x14ac:dyDescent="0.35">
      <c r="A114" t="s">
        <v>113</v>
      </c>
      <c r="B114">
        <v>2008</v>
      </c>
    </row>
    <row r="115" spans="1:9" x14ac:dyDescent="0.35">
      <c r="A115" t="s">
        <v>113</v>
      </c>
      <c r="B115">
        <v>2009</v>
      </c>
    </row>
    <row r="116" spans="1:9" x14ac:dyDescent="0.35">
      <c r="A116" t="s">
        <v>113</v>
      </c>
      <c r="B116">
        <v>2010</v>
      </c>
      <c r="C116">
        <v>6820.6</v>
      </c>
      <c r="D116">
        <v>36075.800000000003</v>
      </c>
      <c r="E116">
        <v>3325.3</v>
      </c>
      <c r="F116">
        <v>12144</v>
      </c>
      <c r="G116">
        <v>6694.6</v>
      </c>
      <c r="H116">
        <v>428800.2</v>
      </c>
      <c r="I116">
        <f t="shared" ref="I116:I131" si="4">(C116+D116+E116+F116-G116)/H116</f>
        <v>0.12050157625859317</v>
      </c>
    </row>
    <row r="117" spans="1:9" x14ac:dyDescent="0.35">
      <c r="A117" t="s">
        <v>113</v>
      </c>
      <c r="B117">
        <v>2011</v>
      </c>
      <c r="C117">
        <v>6919.8</v>
      </c>
      <c r="D117">
        <v>37738.199999999997</v>
      </c>
      <c r="E117">
        <v>2976.6</v>
      </c>
      <c r="F117">
        <v>12810.9</v>
      </c>
      <c r="G117">
        <v>7027</v>
      </c>
      <c r="H117">
        <v>447470.1</v>
      </c>
      <c r="I117">
        <f t="shared" si="4"/>
        <v>0.11937892610031375</v>
      </c>
    </row>
    <row r="118" spans="1:9" x14ac:dyDescent="0.35">
      <c r="A118" t="s">
        <v>113</v>
      </c>
      <c r="B118">
        <v>2012</v>
      </c>
      <c r="C118">
        <v>7415.2</v>
      </c>
      <c r="D118">
        <v>39876.400000000001</v>
      </c>
      <c r="E118">
        <v>3448.5</v>
      </c>
      <c r="F118">
        <v>13373.4</v>
      </c>
      <c r="G118">
        <v>7539.3</v>
      </c>
      <c r="H118">
        <v>452237.8</v>
      </c>
      <c r="I118">
        <f t="shared" si="4"/>
        <v>0.12509834427816516</v>
      </c>
    </row>
    <row r="119" spans="1:9" x14ac:dyDescent="0.35">
      <c r="A119" t="s">
        <v>113</v>
      </c>
      <c r="B119">
        <v>2013</v>
      </c>
      <c r="C119">
        <v>6848.1</v>
      </c>
      <c r="D119">
        <v>40877.199999999997</v>
      </c>
      <c r="E119">
        <v>3528.7</v>
      </c>
      <c r="F119">
        <v>13686</v>
      </c>
      <c r="G119">
        <v>7780.5</v>
      </c>
      <c r="H119">
        <v>450989.6</v>
      </c>
      <c r="I119">
        <f t="shared" si="4"/>
        <v>0.12674239051188763</v>
      </c>
    </row>
    <row r="120" spans="1:9" x14ac:dyDescent="0.35">
      <c r="A120" t="s">
        <v>113</v>
      </c>
      <c r="B120">
        <v>2014</v>
      </c>
      <c r="C120">
        <v>7208.7</v>
      </c>
      <c r="D120">
        <v>42897.1</v>
      </c>
      <c r="E120">
        <v>3057.9</v>
      </c>
      <c r="F120">
        <v>14386.5</v>
      </c>
      <c r="G120">
        <v>8178.6</v>
      </c>
      <c r="H120">
        <v>451387.7</v>
      </c>
      <c r="I120">
        <f t="shared" si="4"/>
        <v>0.13153127566391373</v>
      </c>
    </row>
    <row r="121" spans="1:9" x14ac:dyDescent="0.35">
      <c r="A121" t="s">
        <v>113</v>
      </c>
      <c r="B121">
        <v>2015</v>
      </c>
      <c r="C121">
        <v>8323.1</v>
      </c>
      <c r="D121">
        <v>44804.1</v>
      </c>
      <c r="E121">
        <v>2980.8</v>
      </c>
      <c r="F121">
        <v>14685.1</v>
      </c>
      <c r="G121">
        <v>8492.1</v>
      </c>
      <c r="H121">
        <v>452605.3</v>
      </c>
      <c r="I121">
        <f t="shared" si="4"/>
        <v>0.13764973587361881</v>
      </c>
    </row>
    <row r="122" spans="1:9" x14ac:dyDescent="0.35">
      <c r="A122" t="s">
        <v>113</v>
      </c>
      <c r="B122">
        <v>2016</v>
      </c>
      <c r="C122">
        <v>8293.7999999999993</v>
      </c>
      <c r="D122">
        <v>47584.5</v>
      </c>
      <c r="E122">
        <v>3349.5</v>
      </c>
      <c r="F122">
        <v>15707.1</v>
      </c>
      <c r="G122">
        <v>9032.9</v>
      </c>
      <c r="H122">
        <v>466924.7</v>
      </c>
      <c r="I122">
        <f t="shared" si="4"/>
        <v>0.14114053079650749</v>
      </c>
    </row>
    <row r="123" spans="1:9" x14ac:dyDescent="0.35">
      <c r="A123" t="s">
        <v>113</v>
      </c>
      <c r="B123">
        <v>2017</v>
      </c>
      <c r="C123">
        <v>9428.6</v>
      </c>
      <c r="D123">
        <v>52420.4</v>
      </c>
      <c r="E123">
        <v>3631.8</v>
      </c>
      <c r="F123">
        <v>16485.099999999999</v>
      </c>
      <c r="G123">
        <v>9949</v>
      </c>
      <c r="H123">
        <v>490887.9</v>
      </c>
      <c r="I123">
        <f t="shared" si="4"/>
        <v>0.14670742546312507</v>
      </c>
    </row>
    <row r="124" spans="1:9" x14ac:dyDescent="0.35">
      <c r="A124" t="s">
        <v>113</v>
      </c>
      <c r="B124">
        <v>2018</v>
      </c>
      <c r="C124">
        <v>9284.9</v>
      </c>
      <c r="D124">
        <v>57848.1</v>
      </c>
      <c r="E124">
        <v>4290.8999999999996</v>
      </c>
      <c r="F124">
        <v>17838.8</v>
      </c>
      <c r="G124">
        <v>11109.2</v>
      </c>
      <c r="H124">
        <v>515244.79999999999</v>
      </c>
      <c r="I124">
        <f t="shared" si="4"/>
        <v>0.15168226831207224</v>
      </c>
    </row>
    <row r="125" spans="1:9" x14ac:dyDescent="0.35">
      <c r="A125" t="s">
        <v>113</v>
      </c>
      <c r="B125">
        <v>2019</v>
      </c>
      <c r="C125">
        <v>9905.1</v>
      </c>
      <c r="D125">
        <v>63311.3</v>
      </c>
      <c r="E125">
        <v>3898.7</v>
      </c>
      <c r="F125">
        <v>19039</v>
      </c>
      <c r="G125">
        <v>12302.3</v>
      </c>
      <c r="H125">
        <v>545205.80000000005</v>
      </c>
      <c r="I125">
        <f t="shared" si="4"/>
        <v>0.15379843721398415</v>
      </c>
    </row>
    <row r="126" spans="1:9" x14ac:dyDescent="0.35">
      <c r="A126" t="s">
        <v>113</v>
      </c>
      <c r="B126">
        <v>2020</v>
      </c>
      <c r="C126">
        <v>10184.4</v>
      </c>
      <c r="D126">
        <v>65860</v>
      </c>
      <c r="E126">
        <v>3852.1</v>
      </c>
      <c r="F126">
        <v>19676.3</v>
      </c>
      <c r="G126">
        <v>13297.4</v>
      </c>
      <c r="H126">
        <v>520133.8</v>
      </c>
      <c r="I126">
        <f t="shared" si="4"/>
        <v>0.16587155074328955</v>
      </c>
    </row>
    <row r="127" spans="1:9" x14ac:dyDescent="0.35">
      <c r="A127" t="s">
        <v>113</v>
      </c>
      <c r="B127">
        <v>2021</v>
      </c>
      <c r="C127">
        <v>11502</v>
      </c>
      <c r="D127">
        <v>71860.899999999994</v>
      </c>
      <c r="E127">
        <v>4969.7</v>
      </c>
      <c r="F127">
        <v>21950.5</v>
      </c>
      <c r="G127">
        <v>14825.2</v>
      </c>
      <c r="H127">
        <v>588983.4</v>
      </c>
      <c r="I127">
        <f t="shared" si="4"/>
        <v>0.16207230967799771</v>
      </c>
    </row>
    <row r="128" spans="1:9" x14ac:dyDescent="0.35">
      <c r="A128" t="s">
        <v>113</v>
      </c>
      <c r="B128">
        <v>2022</v>
      </c>
      <c r="C128">
        <v>12029.5</v>
      </c>
      <c r="D128">
        <v>80625.8</v>
      </c>
      <c r="E128">
        <v>5030</v>
      </c>
      <c r="F128">
        <v>23789.9</v>
      </c>
      <c r="G128">
        <v>16370.4</v>
      </c>
      <c r="H128">
        <v>623311.69999999995</v>
      </c>
      <c r="I128">
        <f t="shared" si="4"/>
        <v>0.1686231784194008</v>
      </c>
    </row>
    <row r="129" spans="1:9" x14ac:dyDescent="0.35">
      <c r="A129" t="s">
        <v>113</v>
      </c>
      <c r="B129">
        <v>2023</v>
      </c>
      <c r="C129">
        <v>12904.4</v>
      </c>
      <c r="D129">
        <v>86880.2</v>
      </c>
      <c r="E129">
        <v>4233.3999999999996</v>
      </c>
      <c r="F129">
        <v>25998.6</v>
      </c>
      <c r="G129">
        <v>17880.400000000001</v>
      </c>
      <c r="H129">
        <v>651948</v>
      </c>
      <c r="I129">
        <f t="shared" si="4"/>
        <v>0.17200175474117566</v>
      </c>
    </row>
    <row r="130" spans="1:9" x14ac:dyDescent="0.35">
      <c r="A130" t="s">
        <v>113</v>
      </c>
      <c r="B130">
        <v>2024</v>
      </c>
      <c r="C130">
        <v>13000.8</v>
      </c>
      <c r="D130">
        <v>92985.4</v>
      </c>
      <c r="E130">
        <v>2713.6</v>
      </c>
      <c r="F130">
        <v>27837.8</v>
      </c>
      <c r="G130">
        <v>19515.8</v>
      </c>
      <c r="H130">
        <v>652743.9</v>
      </c>
      <c r="I130">
        <f t="shared" si="4"/>
        <v>0.17927674237936195</v>
      </c>
    </row>
    <row r="131" spans="1:9" x14ac:dyDescent="0.35">
      <c r="A131" t="s">
        <v>113</v>
      </c>
      <c r="B131">
        <v>2025</v>
      </c>
      <c r="C131">
        <v>13311.3</v>
      </c>
      <c r="D131">
        <v>97013.8</v>
      </c>
      <c r="E131">
        <v>2636.1</v>
      </c>
      <c r="F131">
        <v>29020.9</v>
      </c>
      <c r="G131">
        <v>20445.8</v>
      </c>
      <c r="H131">
        <v>663584.6</v>
      </c>
      <c r="I131">
        <f t="shared" si="4"/>
        <v>0.18315117620270271</v>
      </c>
    </row>
    <row r="133" spans="1:9" x14ac:dyDescent="0.35">
      <c r="A133" t="s">
        <v>114</v>
      </c>
      <c r="B133">
        <v>2000</v>
      </c>
    </row>
    <row r="134" spans="1:9" x14ac:dyDescent="0.35">
      <c r="A134" t="s">
        <v>114</v>
      </c>
      <c r="B134">
        <v>2001</v>
      </c>
    </row>
    <row r="135" spans="1:9" x14ac:dyDescent="0.35">
      <c r="A135" t="s">
        <v>114</v>
      </c>
      <c r="B135">
        <v>2002</v>
      </c>
    </row>
    <row r="136" spans="1:9" x14ac:dyDescent="0.35">
      <c r="A136" t="s">
        <v>114</v>
      </c>
      <c r="B136">
        <v>2003</v>
      </c>
    </row>
    <row r="137" spans="1:9" x14ac:dyDescent="0.35">
      <c r="A137" t="s">
        <v>114</v>
      </c>
      <c r="B137">
        <v>2004</v>
      </c>
    </row>
    <row r="138" spans="1:9" x14ac:dyDescent="0.35">
      <c r="A138" t="s">
        <v>114</v>
      </c>
      <c r="B138">
        <v>2005</v>
      </c>
    </row>
    <row r="139" spans="1:9" x14ac:dyDescent="0.35">
      <c r="A139" t="s">
        <v>114</v>
      </c>
      <c r="B139">
        <v>2006</v>
      </c>
    </row>
    <row r="140" spans="1:9" x14ac:dyDescent="0.35">
      <c r="A140" t="s">
        <v>114</v>
      </c>
      <c r="B140">
        <v>2007</v>
      </c>
    </row>
    <row r="141" spans="1:9" x14ac:dyDescent="0.35">
      <c r="A141" t="s">
        <v>114</v>
      </c>
      <c r="B141">
        <v>2008</v>
      </c>
    </row>
    <row r="142" spans="1:9" x14ac:dyDescent="0.35">
      <c r="A142" t="s">
        <v>114</v>
      </c>
      <c r="B142">
        <v>2009</v>
      </c>
    </row>
    <row r="143" spans="1:9" x14ac:dyDescent="0.35">
      <c r="A143" t="s">
        <v>114</v>
      </c>
      <c r="B143">
        <v>2010</v>
      </c>
      <c r="C143">
        <v>13344.3</v>
      </c>
      <c r="D143">
        <v>19721.900000000001</v>
      </c>
      <c r="E143">
        <v>1988.3</v>
      </c>
      <c r="F143">
        <v>7568.8</v>
      </c>
      <c r="G143">
        <v>4839.5</v>
      </c>
      <c r="H143">
        <v>327450.40000000002</v>
      </c>
      <c r="I143">
        <f t="shared" ref="I143:I158" si="5">(C143+D143+E143+F143-G143)/H143</f>
        <v>0.1153878572144056</v>
      </c>
    </row>
    <row r="144" spans="1:9" x14ac:dyDescent="0.35">
      <c r="A144" t="s">
        <v>114</v>
      </c>
      <c r="B144">
        <v>2011</v>
      </c>
      <c r="C144">
        <v>13490.8</v>
      </c>
      <c r="D144">
        <v>19015.5</v>
      </c>
      <c r="E144">
        <v>2136.4</v>
      </c>
      <c r="F144">
        <v>7303.5</v>
      </c>
      <c r="G144">
        <v>4703.5</v>
      </c>
      <c r="H144">
        <v>329961.7</v>
      </c>
      <c r="I144">
        <f t="shared" si="5"/>
        <v>0.11286976640016097</v>
      </c>
    </row>
    <row r="145" spans="1:19" x14ac:dyDescent="0.35">
      <c r="A145" t="s">
        <v>114</v>
      </c>
      <c r="B145">
        <v>2012</v>
      </c>
      <c r="C145">
        <v>13053.9</v>
      </c>
      <c r="D145">
        <v>20104.5</v>
      </c>
      <c r="E145">
        <v>1964.6</v>
      </c>
      <c r="F145">
        <v>8473</v>
      </c>
      <c r="G145">
        <v>5946.1</v>
      </c>
      <c r="H145">
        <v>301798.7</v>
      </c>
      <c r="I145">
        <f t="shared" si="5"/>
        <v>0.12475169707490456</v>
      </c>
    </row>
    <row r="146" spans="1:19" x14ac:dyDescent="0.35">
      <c r="A146" t="s">
        <v>114</v>
      </c>
      <c r="B146">
        <v>2013</v>
      </c>
      <c r="C146">
        <v>12281.2</v>
      </c>
      <c r="D146">
        <v>20913</v>
      </c>
      <c r="E146">
        <v>1418.9</v>
      </c>
      <c r="F146">
        <v>8567.7000000000007</v>
      </c>
      <c r="G146">
        <v>6151.9</v>
      </c>
      <c r="H146">
        <v>280671</v>
      </c>
      <c r="I146">
        <f t="shared" si="5"/>
        <v>0.13192991082085431</v>
      </c>
    </row>
    <row r="147" spans="1:19" x14ac:dyDescent="0.35">
      <c r="A147" t="s">
        <v>114</v>
      </c>
      <c r="B147">
        <v>2014</v>
      </c>
      <c r="C147">
        <v>12138.2</v>
      </c>
      <c r="D147">
        <v>22853.200000000001</v>
      </c>
      <c r="E147">
        <v>2256.5</v>
      </c>
      <c r="F147">
        <v>8568.4</v>
      </c>
      <c r="G147">
        <v>6487.5</v>
      </c>
      <c r="H147">
        <v>275476.2</v>
      </c>
      <c r="I147">
        <f t="shared" si="5"/>
        <v>0.14276659834860508</v>
      </c>
    </row>
    <row r="148" spans="1:19" x14ac:dyDescent="0.35">
      <c r="A148" t="s">
        <v>114</v>
      </c>
      <c r="B148">
        <v>2015</v>
      </c>
      <c r="C148">
        <v>13565.8</v>
      </c>
      <c r="D148">
        <v>23990.2</v>
      </c>
      <c r="E148">
        <v>2190.6</v>
      </c>
      <c r="F148">
        <v>10367.200000000001</v>
      </c>
      <c r="G148">
        <v>7933.1</v>
      </c>
      <c r="H148">
        <v>284103.09999999998</v>
      </c>
      <c r="I148">
        <f t="shared" si="5"/>
        <v>0.14846969286853964</v>
      </c>
    </row>
    <row r="149" spans="1:19" x14ac:dyDescent="0.35">
      <c r="A149" t="s">
        <v>114</v>
      </c>
      <c r="B149">
        <v>2016</v>
      </c>
      <c r="C149">
        <v>13668.1</v>
      </c>
      <c r="D149">
        <v>25006.3</v>
      </c>
      <c r="E149">
        <v>2980.3</v>
      </c>
      <c r="F149">
        <v>10395.9</v>
      </c>
      <c r="G149">
        <v>7786.3</v>
      </c>
      <c r="H149">
        <v>294828.79999999999</v>
      </c>
      <c r="I149">
        <f t="shared" si="5"/>
        <v>0.15013560412008597</v>
      </c>
    </row>
    <row r="150" spans="1:19" x14ac:dyDescent="0.35">
      <c r="A150" t="s">
        <v>114</v>
      </c>
      <c r="B150">
        <v>2017</v>
      </c>
      <c r="C150">
        <v>14868.3</v>
      </c>
      <c r="D150">
        <v>24893</v>
      </c>
      <c r="E150">
        <v>3462.2</v>
      </c>
      <c r="F150">
        <v>9743.7999999999993</v>
      </c>
      <c r="G150">
        <v>7122.7</v>
      </c>
      <c r="H150">
        <v>306672.5</v>
      </c>
      <c r="I150">
        <f t="shared" si="5"/>
        <v>0.14949041730184481</v>
      </c>
    </row>
    <row r="151" spans="1:19" x14ac:dyDescent="0.35">
      <c r="A151" t="s">
        <v>114</v>
      </c>
      <c r="B151">
        <v>2018</v>
      </c>
      <c r="C151">
        <v>14703.4</v>
      </c>
      <c r="D151">
        <v>25684.799999999999</v>
      </c>
      <c r="E151">
        <v>3409.3</v>
      </c>
      <c r="F151">
        <v>9069.7999999999993</v>
      </c>
      <c r="G151">
        <v>6253.3</v>
      </c>
      <c r="H151">
        <v>319499.8</v>
      </c>
      <c r="I151">
        <f t="shared" si="5"/>
        <v>0.14589680494322688</v>
      </c>
    </row>
    <row r="152" spans="1:19" x14ac:dyDescent="0.35">
      <c r="A152" t="s">
        <v>114</v>
      </c>
      <c r="B152">
        <v>2019</v>
      </c>
      <c r="C152">
        <v>15092</v>
      </c>
      <c r="D152">
        <v>26136.3</v>
      </c>
      <c r="E152">
        <v>4088.3</v>
      </c>
      <c r="F152">
        <v>8680.9</v>
      </c>
      <c r="G152">
        <v>5791.6</v>
      </c>
      <c r="H152">
        <v>327062.5</v>
      </c>
      <c r="I152">
        <f t="shared" si="5"/>
        <v>0.14739048347028474</v>
      </c>
    </row>
    <row r="153" spans="1:19" x14ac:dyDescent="0.35">
      <c r="A153" t="s">
        <v>114</v>
      </c>
      <c r="B153">
        <v>2020</v>
      </c>
      <c r="C153">
        <v>14314.5</v>
      </c>
      <c r="D153">
        <v>26695.4</v>
      </c>
      <c r="E153">
        <v>3580.3</v>
      </c>
      <c r="F153">
        <v>10416.200000000001</v>
      </c>
      <c r="G153">
        <v>7664</v>
      </c>
      <c r="H153">
        <v>303972.5</v>
      </c>
      <c r="I153">
        <f t="shared" si="5"/>
        <v>0.15574566778244744</v>
      </c>
    </row>
    <row r="154" spans="1:19" x14ac:dyDescent="0.35">
      <c r="A154" t="s">
        <v>114</v>
      </c>
      <c r="B154">
        <v>2021</v>
      </c>
      <c r="C154">
        <v>15291.6</v>
      </c>
      <c r="D154">
        <v>28303.5</v>
      </c>
      <c r="E154">
        <v>2634.9</v>
      </c>
      <c r="F154">
        <v>9741.2000000000007</v>
      </c>
      <c r="G154">
        <v>7040.2</v>
      </c>
      <c r="H154">
        <v>382698.4</v>
      </c>
      <c r="I154">
        <f t="shared" si="5"/>
        <v>0.12785786405169186</v>
      </c>
    </row>
    <row r="155" spans="1:19" x14ac:dyDescent="0.35">
      <c r="A155" t="s">
        <v>114</v>
      </c>
      <c r="B155">
        <v>2022</v>
      </c>
      <c r="C155">
        <v>15976.3</v>
      </c>
      <c r="D155">
        <v>30594.1</v>
      </c>
      <c r="E155">
        <v>3552.9</v>
      </c>
      <c r="F155">
        <v>10827.7</v>
      </c>
      <c r="G155">
        <v>7726.4</v>
      </c>
      <c r="H155">
        <v>435095</v>
      </c>
      <c r="I155">
        <f t="shared" si="5"/>
        <v>0.12232868683850653</v>
      </c>
    </row>
    <row r="156" spans="1:19" x14ac:dyDescent="0.35">
      <c r="A156" t="s">
        <v>114</v>
      </c>
      <c r="B156">
        <v>2023</v>
      </c>
      <c r="C156">
        <v>16433.2</v>
      </c>
      <c r="D156">
        <v>29966</v>
      </c>
      <c r="E156">
        <v>2411.9</v>
      </c>
      <c r="F156">
        <v>9742.2000000000007</v>
      </c>
      <c r="G156">
        <v>6568.3</v>
      </c>
      <c r="H156">
        <v>485410.2</v>
      </c>
      <c r="I156">
        <f t="shared" si="5"/>
        <v>0.10709498893925179</v>
      </c>
    </row>
    <row r="157" spans="1:19" x14ac:dyDescent="0.35">
      <c r="A157" t="s">
        <v>114</v>
      </c>
      <c r="B157">
        <v>2024</v>
      </c>
      <c r="C157">
        <v>16549.400000000001</v>
      </c>
      <c r="D157">
        <v>32223.1</v>
      </c>
      <c r="E157">
        <v>3870.8</v>
      </c>
      <c r="F157">
        <v>10368.200000000001</v>
      </c>
      <c r="G157">
        <v>7020.8</v>
      </c>
      <c r="H157">
        <v>473721.8</v>
      </c>
      <c r="I157">
        <f t="shared" si="5"/>
        <v>0.1181932096010781</v>
      </c>
    </row>
    <row r="158" spans="1:19" x14ac:dyDescent="0.35">
      <c r="A158" t="s">
        <v>114</v>
      </c>
      <c r="B158">
        <v>2025</v>
      </c>
      <c r="C158">
        <v>17031.900000000001</v>
      </c>
      <c r="D158">
        <v>33444.6</v>
      </c>
      <c r="E158">
        <v>4233.6000000000004</v>
      </c>
      <c r="F158">
        <v>10625.2</v>
      </c>
      <c r="G158">
        <v>7121.4</v>
      </c>
      <c r="H158">
        <v>493039</v>
      </c>
      <c r="I158">
        <f t="shared" si="5"/>
        <v>0.11807159271376098</v>
      </c>
    </row>
    <row r="160" spans="1:19" x14ac:dyDescent="0.35">
      <c r="A160" t="s">
        <v>115</v>
      </c>
      <c r="B160">
        <v>2000</v>
      </c>
      <c r="S160">
        <f>D160-G160</f>
        <v>0</v>
      </c>
    </row>
    <row r="161" spans="1:19" x14ac:dyDescent="0.35">
      <c r="A161" t="s">
        <v>115</v>
      </c>
      <c r="B161">
        <v>2001</v>
      </c>
      <c r="S161">
        <f t="shared" ref="S161:S184" si="6">D161-G161</f>
        <v>0</v>
      </c>
    </row>
    <row r="162" spans="1:19" x14ac:dyDescent="0.35">
      <c r="A162" t="s">
        <v>115</v>
      </c>
      <c r="B162">
        <v>2002</v>
      </c>
      <c r="S162">
        <f t="shared" si="6"/>
        <v>0</v>
      </c>
    </row>
    <row r="163" spans="1:19" x14ac:dyDescent="0.35">
      <c r="A163" t="s">
        <v>115</v>
      </c>
      <c r="B163">
        <v>2003</v>
      </c>
      <c r="S163">
        <f t="shared" si="6"/>
        <v>0</v>
      </c>
    </row>
    <row r="164" spans="1:19" x14ac:dyDescent="0.35">
      <c r="A164" t="s">
        <v>115</v>
      </c>
      <c r="B164">
        <v>2004</v>
      </c>
      <c r="S164">
        <f t="shared" si="6"/>
        <v>0</v>
      </c>
    </row>
    <row r="165" spans="1:19" x14ac:dyDescent="0.35">
      <c r="A165" t="s">
        <v>115</v>
      </c>
      <c r="B165">
        <v>2005</v>
      </c>
      <c r="S165">
        <f t="shared" si="6"/>
        <v>0</v>
      </c>
    </row>
    <row r="166" spans="1:19" x14ac:dyDescent="0.35">
      <c r="A166" t="s">
        <v>115</v>
      </c>
      <c r="B166">
        <v>2006</v>
      </c>
      <c r="S166">
        <f t="shared" si="6"/>
        <v>0</v>
      </c>
    </row>
    <row r="167" spans="1:19" x14ac:dyDescent="0.35">
      <c r="A167" t="s">
        <v>115</v>
      </c>
      <c r="B167">
        <v>2007</v>
      </c>
      <c r="S167">
        <f t="shared" si="6"/>
        <v>0</v>
      </c>
    </row>
    <row r="168" spans="1:19" x14ac:dyDescent="0.35">
      <c r="A168" t="s">
        <v>115</v>
      </c>
      <c r="B168">
        <v>2008</v>
      </c>
      <c r="S168">
        <f t="shared" si="6"/>
        <v>0</v>
      </c>
    </row>
    <row r="169" spans="1:19" x14ac:dyDescent="0.35">
      <c r="A169" t="s">
        <v>115</v>
      </c>
      <c r="B169">
        <v>2009</v>
      </c>
      <c r="S169">
        <f t="shared" si="6"/>
        <v>0</v>
      </c>
    </row>
    <row r="170" spans="1:19" x14ac:dyDescent="0.35">
      <c r="A170" t="s">
        <v>115</v>
      </c>
      <c r="B170">
        <v>2010</v>
      </c>
      <c r="C170">
        <v>4806</v>
      </c>
      <c r="D170">
        <v>15779</v>
      </c>
      <c r="E170">
        <v>1023</v>
      </c>
      <c r="F170">
        <v>2329</v>
      </c>
      <c r="G170">
        <v>1735</v>
      </c>
      <c r="H170">
        <v>125004</v>
      </c>
      <c r="I170">
        <f t="shared" ref="I170:I183" si="7">(C170+D170+E170+F170-G170)/H170</f>
        <v>0.17761031646987296</v>
      </c>
      <c r="S170">
        <f t="shared" si="6"/>
        <v>14044</v>
      </c>
    </row>
    <row r="171" spans="1:19" x14ac:dyDescent="0.35">
      <c r="A171" t="s">
        <v>115</v>
      </c>
      <c r="B171">
        <v>2011</v>
      </c>
      <c r="C171">
        <v>5270</v>
      </c>
      <c r="D171">
        <v>15387</v>
      </c>
      <c r="E171">
        <v>1109</v>
      </c>
      <c r="F171">
        <v>2310</v>
      </c>
      <c r="G171">
        <v>1639</v>
      </c>
      <c r="H171">
        <v>130753</v>
      </c>
      <c r="I171">
        <f t="shared" si="7"/>
        <v>0.1715983572078652</v>
      </c>
      <c r="S171">
        <f t="shared" si="6"/>
        <v>13748</v>
      </c>
    </row>
    <row r="172" spans="1:19" x14ac:dyDescent="0.35">
      <c r="A172" t="s">
        <v>115</v>
      </c>
      <c r="B172">
        <v>2012</v>
      </c>
      <c r="C172">
        <v>5278</v>
      </c>
      <c r="D172">
        <v>15482</v>
      </c>
      <c r="E172">
        <v>1363</v>
      </c>
      <c r="F172">
        <v>2351</v>
      </c>
      <c r="G172">
        <v>1629</v>
      </c>
      <c r="H172">
        <v>122368</v>
      </c>
      <c r="I172">
        <f t="shared" si="7"/>
        <v>0.18669096495815898</v>
      </c>
      <c r="S172">
        <f t="shared" si="6"/>
        <v>13853</v>
      </c>
    </row>
    <row r="173" spans="1:19" x14ac:dyDescent="0.35">
      <c r="A173" t="s">
        <v>115</v>
      </c>
      <c r="B173">
        <v>2013</v>
      </c>
      <c r="C173">
        <v>5256</v>
      </c>
      <c r="D173">
        <v>17538</v>
      </c>
      <c r="E173">
        <v>1758</v>
      </c>
      <c r="F173">
        <v>2370</v>
      </c>
      <c r="G173">
        <v>1575</v>
      </c>
      <c r="H173">
        <v>121128</v>
      </c>
      <c r="I173">
        <f t="shared" si="7"/>
        <v>0.20925797503467405</v>
      </c>
      <c r="S173">
        <f t="shared" si="6"/>
        <v>15963</v>
      </c>
    </row>
    <row r="174" spans="1:19" x14ac:dyDescent="0.35">
      <c r="A174" t="s">
        <v>115</v>
      </c>
      <c r="B174">
        <v>2014</v>
      </c>
      <c r="C174">
        <v>5253</v>
      </c>
      <c r="D174">
        <v>16193</v>
      </c>
      <c r="E174">
        <v>1772</v>
      </c>
      <c r="F174">
        <v>2583</v>
      </c>
      <c r="G174">
        <v>1725</v>
      </c>
      <c r="H174">
        <v>118012</v>
      </c>
      <c r="I174">
        <f t="shared" si="7"/>
        <v>0.20401315120496222</v>
      </c>
      <c r="S174">
        <f t="shared" si="6"/>
        <v>14468</v>
      </c>
    </row>
    <row r="175" spans="1:19" x14ac:dyDescent="0.35">
      <c r="A175" t="s">
        <v>115</v>
      </c>
      <c r="B175">
        <v>2015</v>
      </c>
      <c r="C175">
        <v>5247</v>
      </c>
      <c r="D175">
        <v>22764</v>
      </c>
      <c r="E175">
        <v>1465</v>
      </c>
      <c r="F175">
        <v>2943</v>
      </c>
      <c r="G175">
        <v>1949</v>
      </c>
      <c r="H175">
        <v>152468</v>
      </c>
      <c r="I175">
        <f t="shared" si="7"/>
        <v>0.19984521342183278</v>
      </c>
      <c r="S175">
        <f t="shared" si="6"/>
        <v>20815</v>
      </c>
    </row>
    <row r="176" spans="1:19" x14ac:dyDescent="0.35">
      <c r="A176" t="s">
        <v>115</v>
      </c>
      <c r="B176">
        <v>2016</v>
      </c>
      <c r="C176">
        <v>5019</v>
      </c>
      <c r="D176">
        <v>18271</v>
      </c>
      <c r="E176">
        <v>2114</v>
      </c>
      <c r="F176">
        <v>3069</v>
      </c>
      <c r="G176">
        <v>1988</v>
      </c>
      <c r="H176">
        <v>138952</v>
      </c>
      <c r="I176">
        <f t="shared" si="7"/>
        <v>0.19060538891127871</v>
      </c>
      <c r="S176">
        <f t="shared" si="6"/>
        <v>16283</v>
      </c>
    </row>
    <row r="177" spans="1:19" x14ac:dyDescent="0.35">
      <c r="A177" t="s">
        <v>115</v>
      </c>
      <c r="B177">
        <v>2017</v>
      </c>
      <c r="C177">
        <v>5159</v>
      </c>
      <c r="D177">
        <v>18567</v>
      </c>
      <c r="E177">
        <v>1893</v>
      </c>
      <c r="F177">
        <v>3287</v>
      </c>
      <c r="G177">
        <v>1952</v>
      </c>
      <c r="H177">
        <v>148357</v>
      </c>
      <c r="I177">
        <f t="shared" si="7"/>
        <v>0.18168337186651118</v>
      </c>
      <c r="S177">
        <f t="shared" si="6"/>
        <v>16615</v>
      </c>
    </row>
    <row r="178" spans="1:19" x14ac:dyDescent="0.35">
      <c r="A178" t="s">
        <v>115</v>
      </c>
      <c r="B178">
        <v>2018</v>
      </c>
      <c r="C178">
        <v>5339</v>
      </c>
      <c r="D178">
        <v>18997</v>
      </c>
      <c r="E178">
        <v>1670</v>
      </c>
      <c r="F178">
        <v>3332</v>
      </c>
      <c r="G178">
        <v>1967</v>
      </c>
      <c r="H178">
        <v>157069</v>
      </c>
      <c r="I178">
        <f t="shared" si="7"/>
        <v>0.17426099357607167</v>
      </c>
      <c r="S178">
        <f t="shared" si="6"/>
        <v>17030</v>
      </c>
    </row>
    <row r="179" spans="1:19" x14ac:dyDescent="0.35">
      <c r="A179" t="s">
        <v>115</v>
      </c>
      <c r="B179">
        <v>2019</v>
      </c>
      <c r="C179">
        <v>6464</v>
      </c>
      <c r="D179">
        <v>19749</v>
      </c>
      <c r="E179">
        <v>2299</v>
      </c>
      <c r="F179">
        <v>3552</v>
      </c>
      <c r="G179">
        <v>2028</v>
      </c>
      <c r="H179">
        <v>173484</v>
      </c>
      <c r="I179">
        <f t="shared" si="7"/>
        <v>0.17313412187867469</v>
      </c>
      <c r="S179">
        <f t="shared" si="6"/>
        <v>17721</v>
      </c>
    </row>
    <row r="180" spans="1:19" x14ac:dyDescent="0.35">
      <c r="A180" t="s">
        <v>115</v>
      </c>
      <c r="B180">
        <v>2020</v>
      </c>
      <c r="C180">
        <v>6747</v>
      </c>
      <c r="D180">
        <v>19869</v>
      </c>
      <c r="E180">
        <v>3223</v>
      </c>
      <c r="F180">
        <v>3482</v>
      </c>
      <c r="G180">
        <v>1997</v>
      </c>
      <c r="H180">
        <v>173694</v>
      </c>
      <c r="I180">
        <f t="shared" si="7"/>
        <v>0.18034013840432025</v>
      </c>
      <c r="S180">
        <f t="shared" si="6"/>
        <v>17872</v>
      </c>
    </row>
    <row r="181" spans="1:19" x14ac:dyDescent="0.35">
      <c r="A181" t="s">
        <v>115</v>
      </c>
      <c r="B181">
        <v>2021</v>
      </c>
      <c r="C181">
        <v>6745</v>
      </c>
      <c r="D181">
        <v>20361</v>
      </c>
      <c r="E181">
        <v>2797</v>
      </c>
      <c r="F181">
        <v>3560</v>
      </c>
      <c r="G181">
        <v>1999</v>
      </c>
      <c r="H181">
        <v>184425</v>
      </c>
      <c r="I181">
        <f t="shared" si="7"/>
        <v>0.17060593737291582</v>
      </c>
      <c r="S181">
        <f t="shared" si="6"/>
        <v>18362</v>
      </c>
    </row>
    <row r="182" spans="1:19" x14ac:dyDescent="0.35">
      <c r="A182" t="s">
        <v>115</v>
      </c>
      <c r="B182">
        <v>2022</v>
      </c>
      <c r="C182">
        <v>7787</v>
      </c>
      <c r="D182">
        <v>22352</v>
      </c>
      <c r="E182">
        <v>3173</v>
      </c>
      <c r="F182">
        <v>3806</v>
      </c>
      <c r="G182">
        <v>2049</v>
      </c>
      <c r="H182">
        <v>203422</v>
      </c>
      <c r="I182">
        <f t="shared" si="7"/>
        <v>0.1723953161408304</v>
      </c>
      <c r="S182">
        <f t="shared" si="6"/>
        <v>20303</v>
      </c>
    </row>
    <row r="183" spans="1:19" x14ac:dyDescent="0.35">
      <c r="A183" t="s">
        <v>115</v>
      </c>
      <c r="B183">
        <v>2023</v>
      </c>
      <c r="C183">
        <v>7873</v>
      </c>
      <c r="D183">
        <v>23874</v>
      </c>
      <c r="E183">
        <v>2444</v>
      </c>
      <c r="F183">
        <v>4012</v>
      </c>
      <c r="G183">
        <v>2189</v>
      </c>
      <c r="H183">
        <v>213665</v>
      </c>
      <c r="I183">
        <f t="shared" si="7"/>
        <v>0.16855357686097394</v>
      </c>
      <c r="S183">
        <f t="shared" si="6"/>
        <v>21685</v>
      </c>
    </row>
    <row r="184" spans="1:19" x14ac:dyDescent="0.35">
      <c r="A184" t="s">
        <v>115</v>
      </c>
      <c r="B184">
        <v>2024</v>
      </c>
      <c r="C184">
        <v>8359</v>
      </c>
      <c r="D184">
        <v>24651</v>
      </c>
      <c r="E184">
        <v>2491</v>
      </c>
      <c r="F184">
        <v>4258</v>
      </c>
      <c r="G184">
        <v>2285</v>
      </c>
      <c r="H184">
        <v>222797</v>
      </c>
      <c r="I184">
        <f>(C184+D184+E184+F184-G184)/H184</f>
        <v>0.16819795598684004</v>
      </c>
      <c r="S184">
        <f t="shared" si="6"/>
        <v>22366</v>
      </c>
    </row>
    <row r="186" spans="1:19" x14ac:dyDescent="0.35">
      <c r="A186" t="s">
        <v>155</v>
      </c>
      <c r="B186">
        <v>2000</v>
      </c>
    </row>
    <row r="187" spans="1:19" x14ac:dyDescent="0.35">
      <c r="A187" t="s">
        <v>155</v>
      </c>
      <c r="B187">
        <v>2001</v>
      </c>
    </row>
    <row r="188" spans="1:19" x14ac:dyDescent="0.35">
      <c r="A188" t="s">
        <v>155</v>
      </c>
      <c r="B188">
        <v>2002</v>
      </c>
    </row>
    <row r="189" spans="1:19" x14ac:dyDescent="0.35">
      <c r="A189" t="s">
        <v>155</v>
      </c>
      <c r="B189">
        <v>2003</v>
      </c>
    </row>
    <row r="190" spans="1:19" x14ac:dyDescent="0.35">
      <c r="A190" t="s">
        <v>155</v>
      </c>
      <c r="B190">
        <v>2004</v>
      </c>
    </row>
    <row r="191" spans="1:19" x14ac:dyDescent="0.35">
      <c r="A191" t="s">
        <v>155</v>
      </c>
      <c r="B191">
        <v>2005</v>
      </c>
    </row>
    <row r="192" spans="1:19" x14ac:dyDescent="0.35">
      <c r="A192" t="s">
        <v>155</v>
      </c>
      <c r="B192">
        <v>2006</v>
      </c>
    </row>
    <row r="193" spans="1:9" x14ac:dyDescent="0.35">
      <c r="A193" t="s">
        <v>155</v>
      </c>
      <c r="B193">
        <v>2007</v>
      </c>
    </row>
    <row r="194" spans="1:9" x14ac:dyDescent="0.35">
      <c r="A194" t="s">
        <v>155</v>
      </c>
      <c r="B194">
        <v>2008</v>
      </c>
    </row>
    <row r="195" spans="1:9" x14ac:dyDescent="0.35">
      <c r="A195" t="s">
        <v>155</v>
      </c>
      <c r="B195">
        <v>2009</v>
      </c>
    </row>
    <row r="196" spans="1:9" x14ac:dyDescent="0.35">
      <c r="A196" t="s">
        <v>155</v>
      </c>
      <c r="B196">
        <v>2010</v>
      </c>
      <c r="C196">
        <v>934</v>
      </c>
      <c r="D196">
        <v>2590</v>
      </c>
      <c r="E196">
        <v>180</v>
      </c>
      <c r="F196">
        <v>972</v>
      </c>
      <c r="G196">
        <v>420</v>
      </c>
      <c r="H196">
        <v>42937</v>
      </c>
      <c r="I196">
        <f t="shared" ref="I196:I211" si="8">(C196+D196+E196+F196-G196)/H196</f>
        <v>9.9121969397023543E-2</v>
      </c>
    </row>
    <row r="197" spans="1:9" x14ac:dyDescent="0.35">
      <c r="A197" t="s">
        <v>155</v>
      </c>
      <c r="B197">
        <v>2011</v>
      </c>
      <c r="C197">
        <v>1070</v>
      </c>
      <c r="D197">
        <v>2592</v>
      </c>
      <c r="E197">
        <v>189</v>
      </c>
      <c r="F197">
        <v>971</v>
      </c>
      <c r="G197">
        <v>394</v>
      </c>
      <c r="H197">
        <v>45280</v>
      </c>
      <c r="I197">
        <f t="shared" si="8"/>
        <v>9.7791519434628979E-2</v>
      </c>
    </row>
    <row r="198" spans="1:9" x14ac:dyDescent="0.35">
      <c r="A198" t="s">
        <v>155</v>
      </c>
      <c r="B198">
        <v>2012</v>
      </c>
      <c r="C198">
        <v>1086</v>
      </c>
      <c r="D198">
        <v>2607</v>
      </c>
      <c r="E198">
        <v>148</v>
      </c>
      <c r="F198">
        <v>1041</v>
      </c>
      <c r="G198">
        <v>369</v>
      </c>
      <c r="H198">
        <v>46718</v>
      </c>
      <c r="I198">
        <f t="shared" si="8"/>
        <v>9.6600881887067086E-2</v>
      </c>
    </row>
    <row r="199" spans="1:9" x14ac:dyDescent="0.35">
      <c r="A199" t="s">
        <v>155</v>
      </c>
      <c r="B199">
        <v>2013</v>
      </c>
      <c r="C199">
        <v>963</v>
      </c>
      <c r="D199">
        <v>2691</v>
      </c>
      <c r="E199">
        <v>226</v>
      </c>
      <c r="F199">
        <v>1225</v>
      </c>
      <c r="G199">
        <v>463</v>
      </c>
      <c r="H199">
        <v>45444</v>
      </c>
      <c r="I199">
        <f t="shared" si="8"/>
        <v>0.10214769826599771</v>
      </c>
    </row>
    <row r="200" spans="1:9" x14ac:dyDescent="0.35">
      <c r="A200" t="s">
        <v>155</v>
      </c>
      <c r="B200">
        <v>2014</v>
      </c>
      <c r="C200">
        <v>1025</v>
      </c>
      <c r="D200">
        <v>2994</v>
      </c>
      <c r="E200">
        <v>437</v>
      </c>
      <c r="F200">
        <v>1194</v>
      </c>
      <c r="G200">
        <v>509</v>
      </c>
      <c r="H200">
        <v>44705</v>
      </c>
      <c r="I200">
        <f t="shared" si="8"/>
        <v>0.11499832233530925</v>
      </c>
    </row>
    <row r="201" spans="1:9" x14ac:dyDescent="0.35">
      <c r="A201" t="s">
        <v>155</v>
      </c>
      <c r="B201">
        <v>2015</v>
      </c>
      <c r="C201">
        <v>1219</v>
      </c>
      <c r="D201">
        <v>2937</v>
      </c>
      <c r="E201">
        <v>400</v>
      </c>
      <c r="F201">
        <v>1127</v>
      </c>
      <c r="G201">
        <v>536</v>
      </c>
      <c r="H201">
        <v>45023</v>
      </c>
      <c r="I201">
        <f t="shared" si="8"/>
        <v>0.11431934788885681</v>
      </c>
    </row>
    <row r="202" spans="1:9" x14ac:dyDescent="0.35">
      <c r="A202" t="s">
        <v>155</v>
      </c>
      <c r="B202">
        <v>2016</v>
      </c>
      <c r="C202">
        <v>1271</v>
      </c>
      <c r="D202">
        <v>3015</v>
      </c>
      <c r="E202">
        <v>229</v>
      </c>
      <c r="F202">
        <v>1235</v>
      </c>
      <c r="G202">
        <v>568</v>
      </c>
      <c r="H202">
        <v>49728</v>
      </c>
      <c r="I202">
        <f t="shared" si="8"/>
        <v>0.10420688545688546</v>
      </c>
    </row>
    <row r="203" spans="1:9" x14ac:dyDescent="0.35">
      <c r="A203" t="s">
        <v>155</v>
      </c>
      <c r="B203">
        <v>2017</v>
      </c>
      <c r="C203">
        <v>1405</v>
      </c>
      <c r="D203">
        <v>3206</v>
      </c>
      <c r="E203">
        <v>272</v>
      </c>
      <c r="F203">
        <v>1331</v>
      </c>
      <c r="G203">
        <v>561</v>
      </c>
      <c r="H203">
        <v>53231</v>
      </c>
      <c r="I203">
        <f t="shared" si="8"/>
        <v>0.10619751648475513</v>
      </c>
    </row>
    <row r="204" spans="1:9" x14ac:dyDescent="0.35">
      <c r="A204" t="s">
        <v>155</v>
      </c>
      <c r="B204">
        <v>2018</v>
      </c>
      <c r="C204">
        <v>1640</v>
      </c>
      <c r="D204">
        <v>3615</v>
      </c>
      <c r="E204">
        <v>330</v>
      </c>
      <c r="F204">
        <v>1419</v>
      </c>
      <c r="G204">
        <v>735</v>
      </c>
      <c r="H204">
        <v>57033</v>
      </c>
      <c r="I204">
        <f t="shared" si="8"/>
        <v>0.10991881892939176</v>
      </c>
    </row>
    <row r="205" spans="1:9" x14ac:dyDescent="0.35">
      <c r="A205" t="s">
        <v>155</v>
      </c>
      <c r="B205">
        <v>2019</v>
      </c>
      <c r="C205">
        <v>1153</v>
      </c>
      <c r="D205">
        <v>3993</v>
      </c>
      <c r="E205">
        <v>334</v>
      </c>
      <c r="F205">
        <v>1424</v>
      </c>
      <c r="G205">
        <v>751</v>
      </c>
      <c r="H205">
        <v>58248</v>
      </c>
      <c r="I205">
        <f t="shared" si="8"/>
        <v>0.10563452822414504</v>
      </c>
    </row>
    <row r="206" spans="1:9" x14ac:dyDescent="0.35">
      <c r="A206" t="s">
        <v>155</v>
      </c>
      <c r="B206">
        <v>2020</v>
      </c>
      <c r="C206">
        <v>1059</v>
      </c>
      <c r="D206">
        <v>3835</v>
      </c>
      <c r="E206">
        <v>618</v>
      </c>
      <c r="F206">
        <v>1446</v>
      </c>
      <c r="G206">
        <v>700</v>
      </c>
      <c r="H206">
        <v>58284</v>
      </c>
      <c r="I206">
        <f t="shared" si="8"/>
        <v>0.10737080502367717</v>
      </c>
    </row>
    <row r="207" spans="1:9" x14ac:dyDescent="0.35">
      <c r="A207" t="s">
        <v>155</v>
      </c>
      <c r="B207">
        <v>2021</v>
      </c>
      <c r="C207">
        <v>1104</v>
      </c>
      <c r="D207">
        <v>4047</v>
      </c>
      <c r="E207">
        <v>357</v>
      </c>
      <c r="F207">
        <v>1741</v>
      </c>
      <c r="G207">
        <v>820</v>
      </c>
      <c r="H207">
        <v>60750</v>
      </c>
      <c r="I207">
        <f t="shared" si="8"/>
        <v>0.10582716049382716</v>
      </c>
    </row>
    <row r="208" spans="1:9" x14ac:dyDescent="0.35">
      <c r="A208" t="s">
        <v>155</v>
      </c>
      <c r="B208">
        <v>2022</v>
      </c>
      <c r="C208">
        <v>1017</v>
      </c>
      <c r="D208">
        <v>4270</v>
      </c>
      <c r="E208">
        <v>245</v>
      </c>
      <c r="F208">
        <v>1720</v>
      </c>
      <c r="G208">
        <v>726</v>
      </c>
      <c r="H208">
        <v>65640</v>
      </c>
      <c r="I208">
        <f t="shared" si="8"/>
        <v>9.9421084704448506E-2</v>
      </c>
    </row>
    <row r="209" spans="1:9" x14ac:dyDescent="0.35">
      <c r="A209" t="s">
        <v>155</v>
      </c>
      <c r="B209">
        <v>2023</v>
      </c>
      <c r="C209">
        <v>913</v>
      </c>
      <c r="D209">
        <v>4916</v>
      </c>
      <c r="E209">
        <v>275</v>
      </c>
      <c r="F209">
        <v>2144</v>
      </c>
      <c r="G209">
        <v>1014</v>
      </c>
      <c r="H209">
        <v>63879</v>
      </c>
      <c r="I209">
        <f t="shared" si="8"/>
        <v>0.11324535449834844</v>
      </c>
    </row>
    <row r="210" spans="1:9" x14ac:dyDescent="0.35">
      <c r="A210" t="s">
        <v>155</v>
      </c>
      <c r="B210">
        <v>2024</v>
      </c>
      <c r="C210">
        <v>1343</v>
      </c>
      <c r="D210">
        <v>5530</v>
      </c>
      <c r="E210">
        <v>415</v>
      </c>
      <c r="F210">
        <v>2482</v>
      </c>
      <c r="G210">
        <v>1212</v>
      </c>
      <c r="H210">
        <v>60816</v>
      </c>
      <c r="I210">
        <f t="shared" si="8"/>
        <v>0.14071954748750329</v>
      </c>
    </row>
    <row r="211" spans="1:9" x14ac:dyDescent="0.35">
      <c r="A211" t="s">
        <v>155</v>
      </c>
      <c r="B211">
        <v>2025</v>
      </c>
      <c r="C211">
        <v>1494</v>
      </c>
      <c r="D211">
        <v>5032</v>
      </c>
      <c r="E211">
        <v>1150</v>
      </c>
      <c r="F211">
        <v>2490</v>
      </c>
      <c r="G211">
        <v>1193</v>
      </c>
      <c r="H211">
        <v>61739</v>
      </c>
      <c r="I211">
        <f t="shared" si="8"/>
        <v>0.14533763099499505</v>
      </c>
    </row>
    <row r="213" spans="1:9" x14ac:dyDescent="0.35">
      <c r="A213" t="s">
        <v>156</v>
      </c>
      <c r="B213">
        <v>2000</v>
      </c>
    </row>
    <row r="214" spans="1:9" x14ac:dyDescent="0.35">
      <c r="A214" t="s">
        <v>156</v>
      </c>
      <c r="B214">
        <v>2001</v>
      </c>
    </row>
    <row r="215" spans="1:9" x14ac:dyDescent="0.35">
      <c r="A215" t="s">
        <v>156</v>
      </c>
      <c r="B215">
        <v>2002</v>
      </c>
    </row>
    <row r="216" spans="1:9" x14ac:dyDescent="0.35">
      <c r="A216" t="s">
        <v>156</v>
      </c>
      <c r="B216">
        <v>2003</v>
      </c>
    </row>
    <row r="217" spans="1:9" x14ac:dyDescent="0.35">
      <c r="A217" t="s">
        <v>156</v>
      </c>
      <c r="B217">
        <v>2004</v>
      </c>
    </row>
    <row r="218" spans="1:9" x14ac:dyDescent="0.35">
      <c r="A218" t="s">
        <v>156</v>
      </c>
      <c r="B218">
        <v>2005</v>
      </c>
    </row>
    <row r="219" spans="1:9" x14ac:dyDescent="0.35">
      <c r="A219" t="s">
        <v>156</v>
      </c>
      <c r="B219">
        <v>2006</v>
      </c>
    </row>
    <row r="220" spans="1:9" x14ac:dyDescent="0.35">
      <c r="A220" t="s">
        <v>156</v>
      </c>
      <c r="B220">
        <v>2007</v>
      </c>
    </row>
    <row r="221" spans="1:9" x14ac:dyDescent="0.35">
      <c r="A221" t="s">
        <v>156</v>
      </c>
      <c r="B221">
        <v>2008</v>
      </c>
    </row>
    <row r="222" spans="1:9" x14ac:dyDescent="0.35">
      <c r="A222" t="s">
        <v>156</v>
      </c>
      <c r="B222">
        <v>2009</v>
      </c>
    </row>
    <row r="223" spans="1:9" x14ac:dyDescent="0.35">
      <c r="A223" t="s">
        <v>156</v>
      </c>
      <c r="B223">
        <v>2010</v>
      </c>
      <c r="C223">
        <v>1156.9000000000001</v>
      </c>
      <c r="D223">
        <v>1037.5</v>
      </c>
      <c r="E223">
        <v>344.1</v>
      </c>
      <c r="F223">
        <v>2505.3000000000002</v>
      </c>
      <c r="H223">
        <v>29422.5</v>
      </c>
      <c r="I223">
        <f t="shared" ref="I223:I237" si="9">(C223+D223+E223+F223-G223)/H223</f>
        <v>0.17142662928031269</v>
      </c>
    </row>
    <row r="224" spans="1:9" x14ac:dyDescent="0.35">
      <c r="A224" t="s">
        <v>156</v>
      </c>
      <c r="B224">
        <v>2011</v>
      </c>
      <c r="C224">
        <v>1986</v>
      </c>
      <c r="D224">
        <v>1087.2</v>
      </c>
      <c r="E224">
        <v>324.2</v>
      </c>
      <c r="F224">
        <v>2708.2</v>
      </c>
      <c r="H224">
        <v>28677.5</v>
      </c>
      <c r="I224">
        <f t="shared" si="9"/>
        <v>0.21290558800453316</v>
      </c>
    </row>
    <row r="225" spans="1:9" x14ac:dyDescent="0.35">
      <c r="A225" t="s">
        <v>156</v>
      </c>
      <c r="B225">
        <v>2012</v>
      </c>
      <c r="C225">
        <v>1742.3</v>
      </c>
      <c r="D225">
        <v>1295.3</v>
      </c>
      <c r="E225">
        <v>379.1</v>
      </c>
      <c r="F225">
        <v>4670.6000000000004</v>
      </c>
      <c r="H225">
        <v>34446.9</v>
      </c>
      <c r="I225">
        <f t="shared" si="9"/>
        <v>0.23477584339955118</v>
      </c>
    </row>
    <row r="226" spans="1:9" x14ac:dyDescent="0.35">
      <c r="A226" t="s">
        <v>156</v>
      </c>
      <c r="B226">
        <v>2013</v>
      </c>
      <c r="C226">
        <v>1855.7</v>
      </c>
      <c r="D226">
        <v>1356.3</v>
      </c>
      <c r="E226">
        <v>540</v>
      </c>
      <c r="F226">
        <v>3163.7</v>
      </c>
      <c r="H226">
        <v>33427.599999999999</v>
      </c>
      <c r="I226">
        <f t="shared" si="9"/>
        <v>0.20688592659957641</v>
      </c>
    </row>
    <row r="227" spans="1:9" x14ac:dyDescent="0.35">
      <c r="A227" t="s">
        <v>156</v>
      </c>
      <c r="B227">
        <v>2014</v>
      </c>
      <c r="C227">
        <v>1786.1</v>
      </c>
      <c r="D227">
        <v>1530.8</v>
      </c>
      <c r="E227">
        <v>736</v>
      </c>
      <c r="F227">
        <v>4420.1000000000004</v>
      </c>
      <c r="H227">
        <v>40503.5</v>
      </c>
      <c r="I227">
        <f t="shared" si="9"/>
        <v>0.20919179823965831</v>
      </c>
    </row>
    <row r="228" spans="1:9" x14ac:dyDescent="0.35">
      <c r="A228" t="s">
        <v>156</v>
      </c>
      <c r="B228">
        <v>2015</v>
      </c>
      <c r="C228">
        <v>1903.1</v>
      </c>
      <c r="D228">
        <v>2500.6</v>
      </c>
      <c r="E228">
        <v>818.3</v>
      </c>
      <c r="F228">
        <v>7372.7</v>
      </c>
      <c r="H228">
        <v>66114.600000000006</v>
      </c>
      <c r="I228">
        <f t="shared" si="9"/>
        <v>0.19049801405438435</v>
      </c>
    </row>
    <row r="229" spans="1:9" x14ac:dyDescent="0.35">
      <c r="A229" t="s">
        <v>156</v>
      </c>
      <c r="B229">
        <v>2016</v>
      </c>
      <c r="C229">
        <v>2190.6999999999998</v>
      </c>
      <c r="D229">
        <v>2247.4</v>
      </c>
      <c r="E229">
        <v>1152.8</v>
      </c>
      <c r="F229">
        <v>9158</v>
      </c>
      <c r="H229">
        <v>94123.4</v>
      </c>
      <c r="I229">
        <f t="shared" si="9"/>
        <v>0.15669748436626812</v>
      </c>
    </row>
    <row r="230" spans="1:9" x14ac:dyDescent="0.35">
      <c r="A230" t="s">
        <v>156</v>
      </c>
      <c r="B230">
        <v>2017</v>
      </c>
      <c r="C230">
        <v>1866.1</v>
      </c>
      <c r="D230">
        <v>2230.8000000000002</v>
      </c>
      <c r="E230">
        <v>752.2</v>
      </c>
      <c r="F230">
        <v>35789.199999999997</v>
      </c>
      <c r="H230">
        <v>100143.2</v>
      </c>
      <c r="I230">
        <f t="shared" si="9"/>
        <v>0.40580189169109832</v>
      </c>
    </row>
    <row r="231" spans="1:9" x14ac:dyDescent="0.35">
      <c r="A231" t="s">
        <v>156</v>
      </c>
      <c r="B231">
        <v>2018</v>
      </c>
      <c r="C231">
        <v>3173.1</v>
      </c>
      <c r="D231">
        <v>2534.6</v>
      </c>
      <c r="E231">
        <v>1536.8</v>
      </c>
      <c r="F231">
        <v>10601.2</v>
      </c>
      <c r="H231">
        <v>93499.199999999997</v>
      </c>
      <c r="I231">
        <f t="shared" si="9"/>
        <v>0.19086473467152662</v>
      </c>
    </row>
    <row r="232" spans="1:9" x14ac:dyDescent="0.35">
      <c r="A232" t="s">
        <v>156</v>
      </c>
      <c r="B232">
        <v>2019</v>
      </c>
      <c r="C232">
        <v>2772.8</v>
      </c>
      <c r="D232">
        <v>2775.7</v>
      </c>
      <c r="E232">
        <v>1668.1</v>
      </c>
      <c r="F232">
        <v>44390.9</v>
      </c>
      <c r="H232">
        <v>193555.20000000001</v>
      </c>
      <c r="I232">
        <f t="shared" si="9"/>
        <v>0.26662936464636444</v>
      </c>
    </row>
    <row r="233" spans="1:9" x14ac:dyDescent="0.35">
      <c r="A233" t="s">
        <v>156</v>
      </c>
      <c r="B233">
        <v>2020</v>
      </c>
      <c r="C233">
        <v>1800.2</v>
      </c>
      <c r="D233">
        <v>3309.3</v>
      </c>
      <c r="E233">
        <v>1258.4000000000001</v>
      </c>
      <c r="F233">
        <v>53357.9</v>
      </c>
      <c r="H233">
        <v>157989.20000000001</v>
      </c>
      <c r="I233">
        <f t="shared" si="9"/>
        <v>0.3780372329247822</v>
      </c>
    </row>
    <row r="234" spans="1:9" x14ac:dyDescent="0.35">
      <c r="A234" t="s">
        <v>156</v>
      </c>
      <c r="B234">
        <v>2021</v>
      </c>
      <c r="C234">
        <v>2553.4</v>
      </c>
      <c r="D234">
        <v>3427.8</v>
      </c>
      <c r="E234">
        <v>1396.9</v>
      </c>
      <c r="F234">
        <v>11943.4</v>
      </c>
      <c r="H234">
        <v>99006.5</v>
      </c>
      <c r="I234">
        <f t="shared" si="9"/>
        <v>0.19515385353486892</v>
      </c>
    </row>
    <row r="235" spans="1:9" x14ac:dyDescent="0.35">
      <c r="A235" t="s">
        <v>156</v>
      </c>
      <c r="B235">
        <v>2022</v>
      </c>
      <c r="C235">
        <v>2414.9</v>
      </c>
      <c r="D235">
        <v>5974.7</v>
      </c>
      <c r="E235">
        <v>1736.6</v>
      </c>
      <c r="F235">
        <v>17595.3</v>
      </c>
      <c r="H235">
        <v>110101</v>
      </c>
      <c r="I235">
        <f t="shared" si="9"/>
        <v>0.25178245429196827</v>
      </c>
    </row>
    <row r="236" spans="1:9" x14ac:dyDescent="0.35">
      <c r="A236" t="s">
        <v>156</v>
      </c>
      <c r="B236">
        <v>2023</v>
      </c>
      <c r="C236">
        <v>2895.8</v>
      </c>
      <c r="D236">
        <v>5521.9</v>
      </c>
      <c r="E236">
        <v>746</v>
      </c>
      <c r="F236">
        <v>16139</v>
      </c>
      <c r="H236">
        <v>130595.9</v>
      </c>
      <c r="I236">
        <f t="shared" si="9"/>
        <v>0.19374804262614678</v>
      </c>
    </row>
    <row r="237" spans="1:9" x14ac:dyDescent="0.35">
      <c r="A237" t="s">
        <v>156</v>
      </c>
      <c r="B237">
        <v>2024</v>
      </c>
      <c r="C237">
        <v>3132</v>
      </c>
      <c r="D237">
        <v>6961.8</v>
      </c>
      <c r="E237">
        <v>859.8</v>
      </c>
      <c r="F237">
        <v>-1579.6</v>
      </c>
      <c r="H237">
        <v>97633.600000000006</v>
      </c>
      <c r="I237">
        <f t="shared" si="9"/>
        <v>9.6012028645875991E-2</v>
      </c>
    </row>
    <row r="239" spans="1:9" x14ac:dyDescent="0.35">
      <c r="A239" t="s">
        <v>157</v>
      </c>
      <c r="B239">
        <v>2000</v>
      </c>
    </row>
    <row r="240" spans="1:9" x14ac:dyDescent="0.35">
      <c r="A240" t="s">
        <v>157</v>
      </c>
      <c r="B240">
        <v>2001</v>
      </c>
    </row>
    <row r="241" spans="1:9" x14ac:dyDescent="0.35">
      <c r="A241" t="s">
        <v>157</v>
      </c>
      <c r="B241">
        <v>2002</v>
      </c>
    </row>
    <row r="242" spans="1:9" x14ac:dyDescent="0.35">
      <c r="A242" t="s">
        <v>157</v>
      </c>
      <c r="B242">
        <v>2003</v>
      </c>
    </row>
    <row r="243" spans="1:9" x14ac:dyDescent="0.35">
      <c r="A243" t="s">
        <v>157</v>
      </c>
      <c r="B243">
        <v>2004</v>
      </c>
    </row>
    <row r="244" spans="1:9" x14ac:dyDescent="0.35">
      <c r="A244" t="s">
        <v>157</v>
      </c>
      <c r="B244">
        <v>2005</v>
      </c>
    </row>
    <row r="245" spans="1:9" x14ac:dyDescent="0.35">
      <c r="A245" t="s">
        <v>157</v>
      </c>
      <c r="B245">
        <v>2006</v>
      </c>
    </row>
    <row r="246" spans="1:9" x14ac:dyDescent="0.35">
      <c r="A246" t="s">
        <v>157</v>
      </c>
      <c r="B246">
        <v>2007</v>
      </c>
    </row>
    <row r="247" spans="1:9" x14ac:dyDescent="0.35">
      <c r="A247" t="s">
        <v>157</v>
      </c>
      <c r="B247">
        <v>2008</v>
      </c>
    </row>
    <row r="248" spans="1:9" x14ac:dyDescent="0.35">
      <c r="A248" t="s">
        <v>157</v>
      </c>
      <c r="B248">
        <v>2009</v>
      </c>
    </row>
    <row r="249" spans="1:9" x14ac:dyDescent="0.35">
      <c r="A249" t="s">
        <v>157</v>
      </c>
      <c r="B249">
        <v>2010</v>
      </c>
      <c r="C249">
        <v>1973.2</v>
      </c>
      <c r="D249">
        <v>1754.9</v>
      </c>
      <c r="E249">
        <v>604.1</v>
      </c>
      <c r="F249">
        <v>954.2</v>
      </c>
      <c r="G249">
        <v>491.2</v>
      </c>
      <c r="H249">
        <v>37137.599999999999</v>
      </c>
      <c r="I249">
        <f t="shared" ref="I249:I263" si="10">(C249+D249+E249+F249-G249)/H249</f>
        <v>0.12911981388134938</v>
      </c>
    </row>
    <row r="250" spans="1:9" x14ac:dyDescent="0.35">
      <c r="A250" t="s">
        <v>157</v>
      </c>
      <c r="B250">
        <v>2011</v>
      </c>
      <c r="C250">
        <v>1657.4</v>
      </c>
      <c r="D250">
        <v>1803.9</v>
      </c>
      <c r="E250">
        <v>343.2</v>
      </c>
      <c r="F250">
        <v>973.2</v>
      </c>
      <c r="G250">
        <v>461.3</v>
      </c>
      <c r="H250">
        <v>32590.799999999999</v>
      </c>
      <c r="I250">
        <f t="shared" si="10"/>
        <v>0.1324422843256379</v>
      </c>
    </row>
    <row r="251" spans="1:9" x14ac:dyDescent="0.35">
      <c r="A251" t="s">
        <v>157</v>
      </c>
      <c r="B251">
        <v>2012</v>
      </c>
      <c r="C251">
        <v>1443.2</v>
      </c>
      <c r="D251">
        <v>1851.2</v>
      </c>
      <c r="E251">
        <v>413.7</v>
      </c>
      <c r="F251">
        <v>912.2</v>
      </c>
      <c r="G251">
        <v>486.2</v>
      </c>
      <c r="H251">
        <v>26760.9</v>
      </c>
      <c r="I251">
        <f t="shared" si="10"/>
        <v>0.15448284624209202</v>
      </c>
    </row>
    <row r="252" spans="1:9" x14ac:dyDescent="0.35">
      <c r="A252" t="s">
        <v>157</v>
      </c>
      <c r="B252">
        <v>2013</v>
      </c>
      <c r="C252">
        <v>1406.9</v>
      </c>
      <c r="D252">
        <v>1829.3</v>
      </c>
      <c r="E252">
        <v>389.9</v>
      </c>
      <c r="F252">
        <v>929.1</v>
      </c>
      <c r="G252">
        <v>536.70000000000005</v>
      </c>
      <c r="H252">
        <v>25312.799999999999</v>
      </c>
      <c r="I252">
        <f t="shared" si="10"/>
        <v>0.15875367403053001</v>
      </c>
    </row>
    <row r="253" spans="1:9" x14ac:dyDescent="0.35">
      <c r="A253" t="s">
        <v>157</v>
      </c>
      <c r="B253">
        <v>2014</v>
      </c>
      <c r="C253">
        <v>1527.4</v>
      </c>
      <c r="D253">
        <v>1921.6</v>
      </c>
      <c r="E253">
        <v>429.6</v>
      </c>
      <c r="F253">
        <v>896.6</v>
      </c>
      <c r="G253">
        <v>534.29999999999995</v>
      </c>
      <c r="H253">
        <v>26169.8</v>
      </c>
      <c r="I253">
        <f t="shared" si="10"/>
        <v>0.16205320636764514</v>
      </c>
    </row>
    <row r="254" spans="1:9" x14ac:dyDescent="0.35">
      <c r="A254" t="s">
        <v>157</v>
      </c>
      <c r="B254">
        <v>2015</v>
      </c>
      <c r="C254">
        <v>1685.2</v>
      </c>
      <c r="D254">
        <v>1907.8</v>
      </c>
      <c r="E254">
        <v>416.7</v>
      </c>
      <c r="F254">
        <v>909.5</v>
      </c>
      <c r="G254">
        <v>551.1</v>
      </c>
      <c r="H254">
        <v>28082.3</v>
      </c>
      <c r="I254">
        <f t="shared" si="10"/>
        <v>0.15554637618713565</v>
      </c>
    </row>
    <row r="255" spans="1:9" x14ac:dyDescent="0.35">
      <c r="A255" t="s">
        <v>157</v>
      </c>
      <c r="B255">
        <v>2016</v>
      </c>
      <c r="C255">
        <v>1492</v>
      </c>
      <c r="D255">
        <v>1991.4</v>
      </c>
      <c r="E255">
        <v>264.7</v>
      </c>
      <c r="F255">
        <v>927.5</v>
      </c>
      <c r="G255">
        <v>533.70000000000005</v>
      </c>
      <c r="H255">
        <v>29311.599999999999</v>
      </c>
      <c r="I255">
        <f t="shared" si="10"/>
        <v>0.14130583113852538</v>
      </c>
    </row>
    <row r="256" spans="1:9" x14ac:dyDescent="0.35">
      <c r="A256" t="s">
        <v>157</v>
      </c>
      <c r="B256">
        <v>2017</v>
      </c>
      <c r="C256">
        <v>1678.3</v>
      </c>
      <c r="D256">
        <v>2260.5</v>
      </c>
      <c r="E256">
        <v>360.4</v>
      </c>
      <c r="F256">
        <v>1104.4000000000001</v>
      </c>
      <c r="G256">
        <v>660.5</v>
      </c>
      <c r="H256">
        <v>33404</v>
      </c>
      <c r="I256">
        <f t="shared" si="10"/>
        <v>0.14199197700874147</v>
      </c>
    </row>
    <row r="257" spans="1:9" x14ac:dyDescent="0.35">
      <c r="A257" t="s">
        <v>157</v>
      </c>
      <c r="B257">
        <v>2018</v>
      </c>
      <c r="C257">
        <v>1741.4</v>
      </c>
      <c r="D257">
        <v>2578.6</v>
      </c>
      <c r="E257">
        <v>327</v>
      </c>
      <c r="F257">
        <v>1163.0999999999999</v>
      </c>
      <c r="G257">
        <v>712.3</v>
      </c>
      <c r="H257">
        <v>36548.6</v>
      </c>
      <c r="I257">
        <f t="shared" si="10"/>
        <v>0.13948003480297469</v>
      </c>
    </row>
    <row r="258" spans="1:9" x14ac:dyDescent="0.35">
      <c r="A258" t="s">
        <v>157</v>
      </c>
      <c r="B258">
        <v>2019</v>
      </c>
      <c r="C258">
        <v>1770.6</v>
      </c>
      <c r="D258">
        <v>2922.3</v>
      </c>
      <c r="E258">
        <v>276.8</v>
      </c>
      <c r="F258">
        <v>1423.3</v>
      </c>
      <c r="G258">
        <v>933.6</v>
      </c>
      <c r="H258">
        <v>39536.5</v>
      </c>
      <c r="I258">
        <f t="shared" si="10"/>
        <v>0.13808506064016793</v>
      </c>
    </row>
    <row r="259" spans="1:9" x14ac:dyDescent="0.35">
      <c r="A259" t="s">
        <v>157</v>
      </c>
      <c r="B259">
        <v>2020</v>
      </c>
      <c r="C259">
        <v>1773.5</v>
      </c>
      <c r="D259">
        <v>3190.1</v>
      </c>
      <c r="E259">
        <v>443.2</v>
      </c>
      <c r="F259">
        <v>1399.7</v>
      </c>
      <c r="G259">
        <v>1001.8</v>
      </c>
      <c r="H259">
        <v>39193.9</v>
      </c>
      <c r="I259">
        <f t="shared" si="10"/>
        <v>0.14810212813728665</v>
      </c>
    </row>
    <row r="260" spans="1:9" x14ac:dyDescent="0.35">
      <c r="A260" t="s">
        <v>157</v>
      </c>
      <c r="B260">
        <v>2021</v>
      </c>
      <c r="C260">
        <v>2092</v>
      </c>
      <c r="D260">
        <v>3516.3</v>
      </c>
      <c r="E260">
        <v>732.4</v>
      </c>
      <c r="F260">
        <v>1407.7</v>
      </c>
      <c r="G260">
        <v>1004.4</v>
      </c>
      <c r="H260">
        <v>44387.7</v>
      </c>
      <c r="I260">
        <f t="shared" si="10"/>
        <v>0.15193398171114972</v>
      </c>
    </row>
    <row r="261" spans="1:9" x14ac:dyDescent="0.35">
      <c r="A261" t="s">
        <v>157</v>
      </c>
      <c r="B261">
        <v>2022</v>
      </c>
      <c r="C261">
        <v>2211.6</v>
      </c>
      <c r="D261">
        <v>3954.4</v>
      </c>
      <c r="E261">
        <v>600.20000000000005</v>
      </c>
      <c r="F261">
        <v>1667.8</v>
      </c>
      <c r="G261">
        <v>1175.8</v>
      </c>
      <c r="H261">
        <v>50189.9</v>
      </c>
      <c r="I261">
        <f t="shared" si="10"/>
        <v>0.14461475316746994</v>
      </c>
    </row>
    <row r="262" spans="1:9" x14ac:dyDescent="0.35">
      <c r="A262" t="s">
        <v>157</v>
      </c>
      <c r="B262">
        <v>2023</v>
      </c>
      <c r="C262">
        <v>2148.9</v>
      </c>
      <c r="D262">
        <v>4352.6000000000004</v>
      </c>
      <c r="E262">
        <v>562.4</v>
      </c>
      <c r="F262">
        <v>2081.5</v>
      </c>
      <c r="G262">
        <v>1553.7</v>
      </c>
      <c r="H262">
        <v>55384.3</v>
      </c>
      <c r="I262">
        <f t="shared" si="10"/>
        <v>0.13707314166650114</v>
      </c>
    </row>
    <row r="263" spans="1:9" x14ac:dyDescent="0.35">
      <c r="A263" t="s">
        <v>157</v>
      </c>
      <c r="B263">
        <v>2024</v>
      </c>
      <c r="C263">
        <v>2213</v>
      </c>
      <c r="E263">
        <v>500.6</v>
      </c>
      <c r="F263">
        <v>2423.6999999999998</v>
      </c>
      <c r="H263">
        <v>59197.5</v>
      </c>
      <c r="I263">
        <f t="shared" si="10"/>
        <v>8.6782381012711671E-2</v>
      </c>
    </row>
  </sheetData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8"/>
  <sheetViews>
    <sheetView workbookViewId="0">
      <selection activeCell="A11" sqref="A11"/>
    </sheetView>
  </sheetViews>
  <sheetFormatPr defaultRowHeight="14.5" x14ac:dyDescent="0.35"/>
  <sheetData>
    <row r="1" spans="1:3" x14ac:dyDescent="0.35">
      <c r="A1" t="s">
        <v>0</v>
      </c>
      <c r="B1" t="s">
        <v>116</v>
      </c>
      <c r="C1" t="s">
        <v>121</v>
      </c>
    </row>
    <row r="2" spans="1:3" x14ac:dyDescent="0.35">
      <c r="A2" t="s">
        <v>3</v>
      </c>
      <c r="B2">
        <v>2015</v>
      </c>
      <c r="C2">
        <v>3</v>
      </c>
    </row>
    <row r="3" spans="1:3" x14ac:dyDescent="0.35">
      <c r="A3" t="s">
        <v>3</v>
      </c>
      <c r="B3">
        <v>2016</v>
      </c>
      <c r="C3">
        <v>10</v>
      </c>
    </row>
    <row r="4" spans="1:3" x14ac:dyDescent="0.35">
      <c r="A4" t="s">
        <v>3</v>
      </c>
      <c r="B4">
        <v>2017</v>
      </c>
      <c r="C4">
        <v>11</v>
      </c>
    </row>
    <row r="5" spans="1:3" x14ac:dyDescent="0.35">
      <c r="A5" t="s">
        <v>3</v>
      </c>
      <c r="B5">
        <v>2018</v>
      </c>
      <c r="C5">
        <v>12</v>
      </c>
    </row>
    <row r="6" spans="1:3" x14ac:dyDescent="0.35">
      <c r="A6" t="s">
        <v>3</v>
      </c>
      <c r="B6">
        <v>2019</v>
      </c>
      <c r="C6">
        <v>6</v>
      </c>
    </row>
    <row r="7" spans="1:3" x14ac:dyDescent="0.35">
      <c r="A7" t="s">
        <v>3</v>
      </c>
      <c r="B7">
        <v>2020</v>
      </c>
      <c r="C7">
        <v>15</v>
      </c>
    </row>
    <row r="8" spans="1:3" x14ac:dyDescent="0.35">
      <c r="A8" t="s">
        <v>3</v>
      </c>
      <c r="B8">
        <v>2021</v>
      </c>
      <c r="C8">
        <v>15</v>
      </c>
    </row>
    <row r="9" spans="1:3" x14ac:dyDescent="0.35">
      <c r="A9" t="s">
        <v>3</v>
      </c>
      <c r="B9">
        <v>2022</v>
      </c>
      <c r="C9">
        <v>9</v>
      </c>
    </row>
    <row r="10" spans="1:3" x14ac:dyDescent="0.35">
      <c r="A10" t="s">
        <v>3</v>
      </c>
      <c r="B10">
        <v>2023</v>
      </c>
      <c r="C10">
        <v>1</v>
      </c>
    </row>
    <row r="11" spans="1:3" x14ac:dyDescent="0.35">
      <c r="A11" t="s">
        <v>3</v>
      </c>
      <c r="B11">
        <v>2024</v>
      </c>
      <c r="C11">
        <v>0</v>
      </c>
    </row>
    <row r="12" spans="1:3" x14ac:dyDescent="0.35">
      <c r="A12" t="s">
        <v>3</v>
      </c>
      <c r="B12">
        <v>2025</v>
      </c>
      <c r="C12">
        <v>0</v>
      </c>
    </row>
    <row r="13" spans="1:3" x14ac:dyDescent="0.35">
      <c r="A13" t="s">
        <v>110</v>
      </c>
      <c r="B13">
        <v>2015</v>
      </c>
      <c r="C13">
        <v>0</v>
      </c>
    </row>
    <row r="14" spans="1:3" x14ac:dyDescent="0.35">
      <c r="A14" t="s">
        <v>110</v>
      </c>
      <c r="B14">
        <v>2016</v>
      </c>
      <c r="C14">
        <v>2</v>
      </c>
    </row>
    <row r="15" spans="1:3" x14ac:dyDescent="0.35">
      <c r="A15" t="s">
        <v>110</v>
      </c>
      <c r="B15">
        <v>2017</v>
      </c>
      <c r="C15">
        <v>2</v>
      </c>
    </row>
    <row r="16" spans="1:3" x14ac:dyDescent="0.35">
      <c r="A16" t="s">
        <v>110</v>
      </c>
      <c r="B16">
        <v>2018</v>
      </c>
      <c r="C16">
        <v>8</v>
      </c>
    </row>
    <row r="17" spans="1:3" x14ac:dyDescent="0.35">
      <c r="A17" t="s">
        <v>110</v>
      </c>
      <c r="B17">
        <v>2019</v>
      </c>
      <c r="C17">
        <v>2</v>
      </c>
    </row>
    <row r="18" spans="1:3" x14ac:dyDescent="0.35">
      <c r="A18" t="s">
        <v>110</v>
      </c>
      <c r="B18">
        <v>2020</v>
      </c>
      <c r="C18">
        <v>6</v>
      </c>
    </row>
    <row r="19" spans="1:3" x14ac:dyDescent="0.35">
      <c r="A19" t="s">
        <v>110</v>
      </c>
      <c r="B19">
        <v>2021</v>
      </c>
      <c r="C19">
        <v>8</v>
      </c>
    </row>
    <row r="20" spans="1:3" x14ac:dyDescent="0.35">
      <c r="A20" t="s">
        <v>110</v>
      </c>
      <c r="B20">
        <v>2022</v>
      </c>
      <c r="C20">
        <v>8</v>
      </c>
    </row>
    <row r="21" spans="1:3" x14ac:dyDescent="0.35">
      <c r="A21" t="s">
        <v>110</v>
      </c>
      <c r="B21">
        <v>2023</v>
      </c>
      <c r="C21">
        <v>1</v>
      </c>
    </row>
    <row r="22" spans="1:3" x14ac:dyDescent="0.35">
      <c r="A22" t="s">
        <v>110</v>
      </c>
      <c r="B22">
        <v>2024</v>
      </c>
      <c r="C22">
        <v>0</v>
      </c>
    </row>
    <row r="23" spans="1:3" x14ac:dyDescent="0.35">
      <c r="A23" t="s">
        <v>110</v>
      </c>
      <c r="B23">
        <v>2025</v>
      </c>
      <c r="C23">
        <v>0</v>
      </c>
    </row>
    <row r="24" spans="1:3" x14ac:dyDescent="0.35">
      <c r="A24" t="s">
        <v>111</v>
      </c>
      <c r="B24">
        <v>2015</v>
      </c>
      <c r="C24">
        <v>122</v>
      </c>
    </row>
    <row r="25" spans="1:3" x14ac:dyDescent="0.35">
      <c r="A25" t="s">
        <v>111</v>
      </c>
      <c r="B25">
        <v>2016</v>
      </c>
      <c r="C25">
        <v>238</v>
      </c>
    </row>
    <row r="26" spans="1:3" x14ac:dyDescent="0.35">
      <c r="A26" t="s">
        <v>111</v>
      </c>
      <c r="B26">
        <v>2017</v>
      </c>
      <c r="C26">
        <v>410</v>
      </c>
    </row>
    <row r="27" spans="1:3" x14ac:dyDescent="0.35">
      <c r="A27" t="s">
        <v>111</v>
      </c>
      <c r="B27">
        <v>2018</v>
      </c>
      <c r="C27">
        <v>643</v>
      </c>
    </row>
    <row r="28" spans="1:3" x14ac:dyDescent="0.35">
      <c r="A28" t="s">
        <v>111</v>
      </c>
      <c r="B28">
        <v>2019</v>
      </c>
      <c r="C28">
        <v>865</v>
      </c>
    </row>
    <row r="29" spans="1:3" x14ac:dyDescent="0.35">
      <c r="A29" t="s">
        <v>111</v>
      </c>
      <c r="B29">
        <v>2020</v>
      </c>
      <c r="C29">
        <v>1038</v>
      </c>
    </row>
    <row r="30" spans="1:3" x14ac:dyDescent="0.35">
      <c r="A30" t="s">
        <v>111</v>
      </c>
      <c r="B30">
        <v>2021</v>
      </c>
      <c r="C30">
        <v>994</v>
      </c>
    </row>
    <row r="31" spans="1:3" x14ac:dyDescent="0.35">
      <c r="A31" t="s">
        <v>111</v>
      </c>
      <c r="B31">
        <v>2022</v>
      </c>
      <c r="C31">
        <v>1180</v>
      </c>
    </row>
    <row r="32" spans="1:3" x14ac:dyDescent="0.35">
      <c r="A32" t="s">
        <v>111</v>
      </c>
      <c r="B32">
        <v>2023</v>
      </c>
      <c r="C32">
        <v>153</v>
      </c>
    </row>
    <row r="33" spans="1:3" x14ac:dyDescent="0.35">
      <c r="A33" t="s">
        <v>111</v>
      </c>
      <c r="B33">
        <v>2024</v>
      </c>
      <c r="C33">
        <v>32</v>
      </c>
    </row>
    <row r="34" spans="1:3" x14ac:dyDescent="0.35">
      <c r="A34" t="s">
        <v>111</v>
      </c>
      <c r="B34">
        <v>2025</v>
      </c>
      <c r="C34">
        <v>0</v>
      </c>
    </row>
    <row r="35" spans="1:3" x14ac:dyDescent="0.35">
      <c r="A35" t="s">
        <v>112</v>
      </c>
      <c r="B35">
        <v>2015</v>
      </c>
      <c r="C35">
        <v>44</v>
      </c>
    </row>
    <row r="36" spans="1:3" x14ac:dyDescent="0.35">
      <c r="A36" t="s">
        <v>112</v>
      </c>
      <c r="B36">
        <v>2016</v>
      </c>
      <c r="C36">
        <v>64</v>
      </c>
    </row>
    <row r="37" spans="1:3" x14ac:dyDescent="0.35">
      <c r="A37" t="s">
        <v>112</v>
      </c>
      <c r="B37">
        <v>2017</v>
      </c>
      <c r="C37">
        <v>96</v>
      </c>
    </row>
    <row r="38" spans="1:3" x14ac:dyDescent="0.35">
      <c r="A38" t="s">
        <v>112</v>
      </c>
      <c r="B38">
        <v>2018</v>
      </c>
      <c r="C38">
        <v>111</v>
      </c>
    </row>
    <row r="39" spans="1:3" x14ac:dyDescent="0.35">
      <c r="A39" t="s">
        <v>112</v>
      </c>
      <c r="B39">
        <v>2019</v>
      </c>
      <c r="C39">
        <v>94</v>
      </c>
    </row>
    <row r="40" spans="1:3" x14ac:dyDescent="0.35">
      <c r="A40" t="s">
        <v>112</v>
      </c>
      <c r="B40">
        <v>2020</v>
      </c>
      <c r="C40">
        <v>88</v>
      </c>
    </row>
    <row r="41" spans="1:3" x14ac:dyDescent="0.35">
      <c r="A41" t="s">
        <v>112</v>
      </c>
      <c r="B41">
        <v>2021</v>
      </c>
      <c r="C41">
        <v>67</v>
      </c>
    </row>
    <row r="42" spans="1:3" x14ac:dyDescent="0.35">
      <c r="A42" t="s">
        <v>112</v>
      </c>
      <c r="B42">
        <v>2022</v>
      </c>
      <c r="C42">
        <v>52</v>
      </c>
    </row>
    <row r="43" spans="1:3" x14ac:dyDescent="0.35">
      <c r="A43" t="s">
        <v>112</v>
      </c>
      <c r="B43">
        <v>2023</v>
      </c>
      <c r="C43">
        <v>12</v>
      </c>
    </row>
    <row r="44" spans="1:3" x14ac:dyDescent="0.35">
      <c r="A44" t="s">
        <v>112</v>
      </c>
      <c r="B44">
        <v>2024</v>
      </c>
      <c r="C44">
        <v>3</v>
      </c>
    </row>
    <row r="45" spans="1:3" x14ac:dyDescent="0.35">
      <c r="A45" t="s">
        <v>112</v>
      </c>
      <c r="B45">
        <v>2025</v>
      </c>
      <c r="C45">
        <v>0</v>
      </c>
    </row>
    <row r="46" spans="1:3" x14ac:dyDescent="0.35">
      <c r="A46" t="s">
        <v>113</v>
      </c>
      <c r="B46">
        <v>2015</v>
      </c>
      <c r="C46">
        <v>35</v>
      </c>
    </row>
    <row r="47" spans="1:3" x14ac:dyDescent="0.35">
      <c r="A47" t="s">
        <v>113</v>
      </c>
      <c r="B47">
        <v>2016</v>
      </c>
      <c r="C47">
        <v>66</v>
      </c>
    </row>
    <row r="48" spans="1:3" x14ac:dyDescent="0.35">
      <c r="A48" t="s">
        <v>113</v>
      </c>
      <c r="B48">
        <v>2017</v>
      </c>
      <c r="C48">
        <v>97</v>
      </c>
    </row>
    <row r="49" spans="1:3" x14ac:dyDescent="0.35">
      <c r="A49" t="s">
        <v>113</v>
      </c>
      <c r="B49">
        <v>2018</v>
      </c>
      <c r="C49">
        <v>184</v>
      </c>
    </row>
    <row r="50" spans="1:3" x14ac:dyDescent="0.35">
      <c r="A50" t="s">
        <v>113</v>
      </c>
      <c r="B50">
        <v>2019</v>
      </c>
      <c r="C50">
        <v>221</v>
      </c>
    </row>
    <row r="51" spans="1:3" x14ac:dyDescent="0.35">
      <c r="A51" t="s">
        <v>113</v>
      </c>
      <c r="B51">
        <v>2020</v>
      </c>
      <c r="C51">
        <v>283</v>
      </c>
    </row>
    <row r="52" spans="1:3" x14ac:dyDescent="0.35">
      <c r="A52" t="s">
        <v>113</v>
      </c>
      <c r="B52">
        <v>2021</v>
      </c>
      <c r="C52">
        <v>292</v>
      </c>
    </row>
    <row r="53" spans="1:3" x14ac:dyDescent="0.35">
      <c r="A53" t="s">
        <v>113</v>
      </c>
      <c r="B53">
        <v>2022</v>
      </c>
      <c r="C53">
        <v>284</v>
      </c>
    </row>
    <row r="54" spans="1:3" x14ac:dyDescent="0.35">
      <c r="A54" t="s">
        <v>113</v>
      </c>
      <c r="B54">
        <v>2023</v>
      </c>
      <c r="C54">
        <v>12</v>
      </c>
    </row>
    <row r="55" spans="1:3" x14ac:dyDescent="0.35">
      <c r="A55" t="s">
        <v>113</v>
      </c>
      <c r="B55">
        <v>2024</v>
      </c>
      <c r="C55">
        <v>0</v>
      </c>
    </row>
    <row r="56" spans="1:3" x14ac:dyDescent="0.35">
      <c r="A56" t="s">
        <v>113</v>
      </c>
      <c r="B56">
        <v>2025</v>
      </c>
      <c r="C56">
        <v>0</v>
      </c>
    </row>
    <row r="57" spans="1:3" x14ac:dyDescent="0.35">
      <c r="A57" t="s">
        <v>114</v>
      </c>
      <c r="B57">
        <v>2015</v>
      </c>
      <c r="C57">
        <v>11</v>
      </c>
    </row>
    <row r="58" spans="1:3" x14ac:dyDescent="0.35">
      <c r="A58" t="s">
        <v>114</v>
      </c>
      <c r="B58">
        <v>2016</v>
      </c>
      <c r="C58">
        <v>21</v>
      </c>
    </row>
    <row r="59" spans="1:3" x14ac:dyDescent="0.35">
      <c r="A59" t="s">
        <v>114</v>
      </c>
      <c r="B59">
        <v>2017</v>
      </c>
      <c r="C59">
        <v>29</v>
      </c>
    </row>
    <row r="60" spans="1:3" x14ac:dyDescent="0.35">
      <c r="A60" t="s">
        <v>114</v>
      </c>
      <c r="B60">
        <v>2018</v>
      </c>
      <c r="C60">
        <v>42</v>
      </c>
    </row>
    <row r="61" spans="1:3" x14ac:dyDescent="0.35">
      <c r="A61" t="s">
        <v>114</v>
      </c>
      <c r="B61">
        <v>2019</v>
      </c>
      <c r="C61">
        <v>61</v>
      </c>
    </row>
    <row r="62" spans="1:3" x14ac:dyDescent="0.35">
      <c r="A62" t="s">
        <v>114</v>
      </c>
      <c r="B62">
        <v>2020</v>
      </c>
      <c r="C62">
        <v>65</v>
      </c>
    </row>
    <row r="63" spans="1:3" x14ac:dyDescent="0.35">
      <c r="A63" t="s">
        <v>114</v>
      </c>
      <c r="B63">
        <v>2021</v>
      </c>
      <c r="C63">
        <v>95</v>
      </c>
    </row>
    <row r="64" spans="1:3" x14ac:dyDescent="0.35">
      <c r="A64" t="s">
        <v>114</v>
      </c>
      <c r="B64">
        <v>2022</v>
      </c>
      <c r="C64">
        <v>63</v>
      </c>
    </row>
    <row r="65" spans="1:3" x14ac:dyDescent="0.35">
      <c r="A65" t="s">
        <v>114</v>
      </c>
      <c r="B65">
        <v>2023</v>
      </c>
      <c r="C65">
        <v>4</v>
      </c>
    </row>
    <row r="66" spans="1:3" x14ac:dyDescent="0.35">
      <c r="A66" t="s">
        <v>114</v>
      </c>
      <c r="B66">
        <v>2024</v>
      </c>
      <c r="C66">
        <v>0</v>
      </c>
    </row>
    <row r="67" spans="1:3" x14ac:dyDescent="0.35">
      <c r="A67" t="s">
        <v>114</v>
      </c>
      <c r="B67">
        <v>2025</v>
      </c>
      <c r="C67">
        <v>0</v>
      </c>
    </row>
    <row r="68" spans="1:3" x14ac:dyDescent="0.35">
      <c r="A68" t="s">
        <v>115</v>
      </c>
      <c r="B68">
        <v>2015</v>
      </c>
      <c r="C68">
        <v>5</v>
      </c>
    </row>
    <row r="69" spans="1:3" x14ac:dyDescent="0.35">
      <c r="A69" t="s">
        <v>115</v>
      </c>
      <c r="B69">
        <v>2016</v>
      </c>
      <c r="C69">
        <v>6</v>
      </c>
    </row>
    <row r="70" spans="1:3" x14ac:dyDescent="0.35">
      <c r="A70" t="s">
        <v>115</v>
      </c>
      <c r="B70">
        <v>2017</v>
      </c>
      <c r="C70">
        <v>5</v>
      </c>
    </row>
    <row r="71" spans="1:3" x14ac:dyDescent="0.35">
      <c r="A71" t="s">
        <v>115</v>
      </c>
      <c r="B71">
        <v>2018</v>
      </c>
      <c r="C71">
        <v>13</v>
      </c>
    </row>
    <row r="72" spans="1:3" x14ac:dyDescent="0.35">
      <c r="A72" t="s">
        <v>115</v>
      </c>
      <c r="B72">
        <v>2019</v>
      </c>
      <c r="C72">
        <v>24</v>
      </c>
    </row>
    <row r="73" spans="1:3" x14ac:dyDescent="0.35">
      <c r="A73" t="s">
        <v>115</v>
      </c>
      <c r="B73">
        <v>2020</v>
      </c>
      <c r="C73">
        <v>19</v>
      </c>
    </row>
    <row r="74" spans="1:3" x14ac:dyDescent="0.35">
      <c r="A74" t="s">
        <v>115</v>
      </c>
      <c r="B74">
        <v>2021</v>
      </c>
      <c r="C74">
        <v>45</v>
      </c>
    </row>
    <row r="75" spans="1:3" x14ac:dyDescent="0.35">
      <c r="A75" t="s">
        <v>115</v>
      </c>
      <c r="B75">
        <v>2022</v>
      </c>
      <c r="C75">
        <v>63</v>
      </c>
    </row>
    <row r="76" spans="1:3" x14ac:dyDescent="0.35">
      <c r="A76" t="s">
        <v>115</v>
      </c>
      <c r="B76">
        <v>2023</v>
      </c>
      <c r="C76">
        <v>3</v>
      </c>
    </row>
    <row r="77" spans="1:3" x14ac:dyDescent="0.35">
      <c r="A77" t="s">
        <v>115</v>
      </c>
      <c r="B77">
        <v>2024</v>
      </c>
      <c r="C77">
        <v>5</v>
      </c>
    </row>
    <row r="78" spans="1:3" x14ac:dyDescent="0.35">
      <c r="A78" t="s">
        <v>115</v>
      </c>
      <c r="B78">
        <v>2025</v>
      </c>
      <c r="C78">
        <v>0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topLeftCell="A2" workbookViewId="0">
      <selection activeCell="O21" sqref="O21"/>
    </sheetView>
  </sheetViews>
  <sheetFormatPr defaultRowHeight="14.5" x14ac:dyDescent="0.35"/>
  <sheetData>
    <row r="1" spans="1:4" x14ac:dyDescent="0.35">
      <c r="A1" t="s">
        <v>0</v>
      </c>
      <c r="B1" t="s">
        <v>116</v>
      </c>
      <c r="C1" t="s">
        <v>122</v>
      </c>
      <c r="D1" t="s">
        <v>212</v>
      </c>
    </row>
    <row r="2" spans="1:4" x14ac:dyDescent="0.35">
      <c r="A2" t="s">
        <v>3</v>
      </c>
      <c r="B2">
        <v>2015</v>
      </c>
      <c r="C2">
        <v>3</v>
      </c>
      <c r="D2">
        <f>(C2/[1]gdp!C65)*100</f>
        <v>3.8424345665413607E-3</v>
      </c>
    </row>
    <row r="3" spans="1:4" x14ac:dyDescent="0.35">
      <c r="A3" t="s">
        <v>3</v>
      </c>
      <c r="B3">
        <v>2016</v>
      </c>
      <c r="C3">
        <v>21</v>
      </c>
      <c r="D3">
        <f>(C3/[1]gdp!C66)*100</f>
        <v>2.6593454464407827E-2</v>
      </c>
    </row>
    <row r="4" spans="1:4" x14ac:dyDescent="0.35">
      <c r="A4" t="s">
        <v>3</v>
      </c>
      <c r="B4">
        <v>2017</v>
      </c>
      <c r="C4">
        <v>24</v>
      </c>
      <c r="D4">
        <f>(C4/[1]gdp!C67)*100</f>
        <v>3.0408654303014641E-2</v>
      </c>
    </row>
    <row r="5" spans="1:4" x14ac:dyDescent="0.35">
      <c r="A5" t="s">
        <v>3</v>
      </c>
      <c r="B5">
        <v>2018</v>
      </c>
      <c r="C5">
        <v>39</v>
      </c>
      <c r="D5">
        <f>(C5/[1]gdp!C68)*100</f>
        <v>4.9144445606549576E-2</v>
      </c>
    </row>
    <row r="6" spans="1:4" x14ac:dyDescent="0.35">
      <c r="A6" t="s">
        <v>3</v>
      </c>
      <c r="B6">
        <v>2019</v>
      </c>
      <c r="C6">
        <v>43</v>
      </c>
      <c r="D6">
        <f>(C6/[1]gdp!C69)*100</f>
        <v>5.385865984623979E-2</v>
      </c>
    </row>
    <row r="7" spans="1:4" x14ac:dyDescent="0.35">
      <c r="A7" t="s">
        <v>3</v>
      </c>
      <c r="B7">
        <v>2020</v>
      </c>
      <c r="C7">
        <v>47</v>
      </c>
      <c r="D7">
        <f>(C7/[1]gdp!C70)*100</f>
        <v>5.829789978715065E-2</v>
      </c>
    </row>
    <row r="8" spans="1:4" x14ac:dyDescent="0.35">
      <c r="A8" t="s">
        <v>3</v>
      </c>
      <c r="B8">
        <v>2021</v>
      </c>
      <c r="C8">
        <v>67</v>
      </c>
      <c r="D8">
        <f>(C8/[1]gdp!C71)*100</f>
        <v>8.2834574409556383E-2</v>
      </c>
    </row>
    <row r="9" spans="1:4" x14ac:dyDescent="0.35">
      <c r="A9" t="s">
        <v>3</v>
      </c>
      <c r="B9">
        <v>2022</v>
      </c>
      <c r="C9">
        <v>68</v>
      </c>
      <c r="D9">
        <f>(C9/[1]gdp!C72)*100</f>
        <v>8.3541572989535184E-2</v>
      </c>
    </row>
    <row r="10" spans="1:4" x14ac:dyDescent="0.35">
      <c r="A10" t="s">
        <v>3</v>
      </c>
      <c r="B10">
        <v>2023</v>
      </c>
      <c r="C10">
        <v>149</v>
      </c>
      <c r="D10">
        <f>(C10/[1]gdp!C73)*100</f>
        <v>0.1821841062096658</v>
      </c>
    </row>
    <row r="11" spans="1:4" x14ac:dyDescent="0.35">
      <c r="A11" t="s">
        <v>3</v>
      </c>
      <c r="B11">
        <v>2024</v>
      </c>
      <c r="C11">
        <v>133</v>
      </c>
      <c r="D11">
        <f>(C11/[1]gdp!C74)*100</f>
        <v>0.16170723937777973</v>
      </c>
    </row>
    <row r="12" spans="1:4" x14ac:dyDescent="0.35">
      <c r="A12" t="s">
        <v>3</v>
      </c>
      <c r="B12">
        <v>2025</v>
      </c>
      <c r="C12">
        <v>75</v>
      </c>
      <c r="D12">
        <f>(C12/[1]gdp!C75)*100</f>
        <v>9.0456370480347451E-2</v>
      </c>
    </row>
    <row r="13" spans="1:4" x14ac:dyDescent="0.35">
      <c r="A13" t="s">
        <v>110</v>
      </c>
      <c r="B13">
        <v>2015</v>
      </c>
      <c r="C13">
        <v>38</v>
      </c>
      <c r="D13">
        <f>(C13/[1]gdp!C76)*100</f>
        <v>4.564531667039036E-2</v>
      </c>
    </row>
    <row r="14" spans="1:4" x14ac:dyDescent="0.35">
      <c r="A14" t="s">
        <v>110</v>
      </c>
      <c r="B14">
        <v>2016</v>
      </c>
      <c r="C14">
        <v>12</v>
      </c>
      <c r="D14">
        <f>(C14/[1]gdp!C77)*100</f>
        <v>1.427945852293281E-2</v>
      </c>
    </row>
    <row r="15" spans="1:4" x14ac:dyDescent="0.35">
      <c r="A15" t="s">
        <v>110</v>
      </c>
      <c r="B15">
        <v>2017</v>
      </c>
      <c r="C15">
        <v>54</v>
      </c>
      <c r="D15">
        <f>(C15/[1]gdp!C78)*100</f>
        <v>6.3535840096762733E-2</v>
      </c>
    </row>
    <row r="16" spans="1:4" x14ac:dyDescent="0.35">
      <c r="A16" t="s">
        <v>110</v>
      </c>
      <c r="B16">
        <v>2018</v>
      </c>
      <c r="C16">
        <v>26</v>
      </c>
      <c r="D16">
        <f>(C16/[1]gdp!C79)*100</f>
        <v>3.0782053589187449E-2</v>
      </c>
    </row>
    <row r="17" spans="1:4" x14ac:dyDescent="0.35">
      <c r="A17" t="s">
        <v>110</v>
      </c>
      <c r="B17">
        <v>2019</v>
      </c>
      <c r="C17">
        <v>30</v>
      </c>
      <c r="D17">
        <f>(C17/[1]gdp!C80)*100</f>
        <v>3.5464220738767004E-2</v>
      </c>
    </row>
    <row r="18" spans="1:4" x14ac:dyDescent="0.35">
      <c r="A18" t="s">
        <v>110</v>
      </c>
      <c r="B18">
        <v>2020</v>
      </c>
      <c r="C18">
        <v>70</v>
      </c>
      <c r="D18">
        <f>(C18/[1]gdp!C81)*100</f>
        <v>8.3282966967595781E-2</v>
      </c>
    </row>
    <row r="19" spans="1:4" x14ac:dyDescent="0.35">
      <c r="A19" t="s">
        <v>110</v>
      </c>
      <c r="B19">
        <v>2021</v>
      </c>
      <c r="C19">
        <v>65</v>
      </c>
      <c r="D19">
        <f>(C19/[1]gdp!C82)*100</f>
        <v>7.8195394652156802E-2</v>
      </c>
    </row>
    <row r="20" spans="1:4" x14ac:dyDescent="0.35">
      <c r="A20" t="s">
        <v>110</v>
      </c>
      <c r="B20">
        <v>2022</v>
      </c>
      <c r="C20">
        <v>79</v>
      </c>
      <c r="D20">
        <f>(C20/[1]gdp!C83)*100</f>
        <v>0.10875296145326996</v>
      </c>
    </row>
    <row r="21" spans="1:4" x14ac:dyDescent="0.35">
      <c r="A21" t="s">
        <v>110</v>
      </c>
      <c r="B21">
        <v>2023</v>
      </c>
      <c r="C21">
        <v>61</v>
      </c>
      <c r="D21">
        <f>(C21/[1]gdp!C84)*100</f>
        <v>7.5325659994788949E-2</v>
      </c>
    </row>
    <row r="22" spans="1:4" x14ac:dyDescent="0.35">
      <c r="A22" t="s">
        <v>110</v>
      </c>
      <c r="B22">
        <v>2024</v>
      </c>
      <c r="C22">
        <v>97</v>
      </c>
      <c r="D22">
        <f>(C22/[1]gdp!C85)*100</f>
        <v>0.12157170913529927</v>
      </c>
    </row>
    <row r="23" spans="1:4" x14ac:dyDescent="0.35">
      <c r="A23" t="s">
        <v>110</v>
      </c>
      <c r="B23">
        <v>2025</v>
      </c>
      <c r="C23">
        <v>121</v>
      </c>
      <c r="D23">
        <f>(C23/[1]gdp!C86)*100</f>
        <v>0.15312210918745311</v>
      </c>
    </row>
    <row r="24" spans="1:4" x14ac:dyDescent="0.35">
      <c r="A24" t="s">
        <v>111</v>
      </c>
      <c r="B24">
        <v>2015</v>
      </c>
      <c r="C24">
        <v>106</v>
      </c>
      <c r="D24">
        <f>(C24/[1]gdp!C87)*100</f>
        <v>0.12824390538987357</v>
      </c>
    </row>
    <row r="25" spans="1:4" x14ac:dyDescent="0.35">
      <c r="A25" t="s">
        <v>111</v>
      </c>
      <c r="B25">
        <v>2016</v>
      </c>
      <c r="C25">
        <v>168</v>
      </c>
      <c r="D25">
        <f>(C25/[1]gdp!C88)*100</f>
        <v>0.19710120442914567</v>
      </c>
    </row>
    <row r="26" spans="1:4" x14ac:dyDescent="0.35">
      <c r="A26" t="s">
        <v>111</v>
      </c>
      <c r="B26">
        <v>2017</v>
      </c>
      <c r="C26">
        <v>245</v>
      </c>
      <c r="D26">
        <f>(C26/[1]gdp!C89)*100</f>
        <v>0.2866476036260337</v>
      </c>
    </row>
    <row r="27" spans="1:4" x14ac:dyDescent="0.35">
      <c r="A27" t="s">
        <v>111</v>
      </c>
      <c r="B27">
        <v>2018</v>
      </c>
      <c r="C27">
        <v>265</v>
      </c>
      <c r="D27">
        <f>(C27/[1]gdp!C90)*100</f>
        <v>0.30904366728708643</v>
      </c>
    </row>
    <row r="28" spans="1:4" x14ac:dyDescent="0.35">
      <c r="A28" t="s">
        <v>111</v>
      </c>
      <c r="B28">
        <v>2019</v>
      </c>
      <c r="C28">
        <v>389</v>
      </c>
      <c r="D28">
        <f>(C28/[1]gdp!C91)*100</f>
        <v>0.44081917574746615</v>
      </c>
    </row>
    <row r="29" spans="1:4" x14ac:dyDescent="0.35">
      <c r="A29" t="s">
        <v>111</v>
      </c>
      <c r="B29">
        <v>2020</v>
      </c>
      <c r="C29">
        <v>404</v>
      </c>
      <c r="D29">
        <f>(C29/[1]gdp!C92)*100</f>
        <v>0.45788272308748962</v>
      </c>
    </row>
    <row r="30" spans="1:4" x14ac:dyDescent="0.35">
      <c r="A30" t="s">
        <v>111</v>
      </c>
      <c r="B30">
        <v>2021</v>
      </c>
      <c r="C30">
        <v>710</v>
      </c>
      <c r="D30">
        <f>(C30/[1]gdp!C93)*100</f>
        <v>0.80486273122799368</v>
      </c>
    </row>
    <row r="31" spans="1:4" x14ac:dyDescent="0.35">
      <c r="A31" t="s">
        <v>111</v>
      </c>
      <c r="B31">
        <v>2022</v>
      </c>
      <c r="C31">
        <v>886</v>
      </c>
      <c r="D31">
        <f>(C31/[1]gdp!C94)*100</f>
        <v>1.0051881778071241</v>
      </c>
    </row>
    <row r="32" spans="1:4" x14ac:dyDescent="0.35">
      <c r="A32" t="s">
        <v>111</v>
      </c>
      <c r="B32">
        <v>2023</v>
      </c>
      <c r="C32">
        <v>846</v>
      </c>
      <c r="D32">
        <f>(C32/[1]gdp!C95)*100</f>
        <v>0.97153717622604896</v>
      </c>
    </row>
    <row r="33" spans="1:4" x14ac:dyDescent="0.35">
      <c r="A33" t="s">
        <v>111</v>
      </c>
      <c r="B33">
        <v>2024</v>
      </c>
      <c r="C33">
        <v>791</v>
      </c>
      <c r="D33">
        <f>(C33/[1]gdp!C96)*100</f>
        <v>0.9130617465220543</v>
      </c>
    </row>
    <row r="34" spans="1:4" x14ac:dyDescent="0.35">
      <c r="A34" t="s">
        <v>111</v>
      </c>
      <c r="B34">
        <v>2025</v>
      </c>
      <c r="C34">
        <v>818</v>
      </c>
      <c r="D34">
        <f>(C34/[1]gdp!C97)*100</f>
        <v>0.9487082838006321</v>
      </c>
    </row>
    <row r="35" spans="1:4" x14ac:dyDescent="0.35">
      <c r="A35" t="s">
        <v>112</v>
      </c>
      <c r="B35">
        <v>2015</v>
      </c>
      <c r="C35">
        <v>67</v>
      </c>
      <c r="D35">
        <f>(C35/[1]gdp!C98)*100</f>
        <v>7.7607915544054662E-2</v>
      </c>
    </row>
    <row r="36" spans="1:4" x14ac:dyDescent="0.35">
      <c r="A36" t="s">
        <v>112</v>
      </c>
      <c r="B36">
        <v>2016</v>
      </c>
      <c r="C36">
        <v>91</v>
      </c>
      <c r="D36">
        <f>(C36/[1]gdp!C99)*100</f>
        <v>0.10554628320503466</v>
      </c>
    </row>
    <row r="37" spans="1:4" x14ac:dyDescent="0.35">
      <c r="A37" t="s">
        <v>112</v>
      </c>
      <c r="B37">
        <v>2017</v>
      </c>
      <c r="C37">
        <v>89</v>
      </c>
      <c r="D37">
        <f>(C37/[1]gdp!C100)*100</f>
        <v>0.10333145246869289</v>
      </c>
    </row>
    <row r="38" spans="1:4" x14ac:dyDescent="0.35">
      <c r="A38" t="s">
        <v>112</v>
      </c>
      <c r="B38">
        <v>2018</v>
      </c>
      <c r="C38">
        <v>109</v>
      </c>
      <c r="D38">
        <f>(C38/[1]gdp!C101)*100</f>
        <v>0.12600325758880629</v>
      </c>
    </row>
    <row r="39" spans="1:4" x14ac:dyDescent="0.35">
      <c r="A39" t="s">
        <v>112</v>
      </c>
      <c r="B39">
        <v>2019</v>
      </c>
      <c r="C39">
        <v>138</v>
      </c>
      <c r="D39">
        <f>(C39/[1]gdp!C102)*100</f>
        <v>0.15891513931560547</v>
      </c>
    </row>
    <row r="40" spans="1:4" x14ac:dyDescent="0.35">
      <c r="A40" t="s">
        <v>112</v>
      </c>
      <c r="B40">
        <v>2020</v>
      </c>
      <c r="C40">
        <v>161</v>
      </c>
      <c r="D40">
        <f>(C40/[1]gdp!C103)*100</f>
        <v>0.18506300188281488</v>
      </c>
    </row>
    <row r="41" spans="1:4" x14ac:dyDescent="0.35">
      <c r="A41" t="s">
        <v>112</v>
      </c>
      <c r="B41">
        <v>2021</v>
      </c>
      <c r="C41">
        <v>272</v>
      </c>
      <c r="D41">
        <f>(C41/[1]gdp!C104)*100</f>
        <v>0.31179180560697956</v>
      </c>
    </row>
    <row r="42" spans="1:4" x14ac:dyDescent="0.35">
      <c r="A42" t="s">
        <v>112</v>
      </c>
      <c r="B42">
        <v>2022</v>
      </c>
      <c r="C42">
        <v>227</v>
      </c>
      <c r="D42">
        <f>(C42/[1]gdp!C105)*100</f>
        <v>0.25968023867702644</v>
      </c>
    </row>
    <row r="43" spans="1:4" x14ac:dyDescent="0.35">
      <c r="A43" t="s">
        <v>112</v>
      </c>
      <c r="B43">
        <v>2023</v>
      </c>
      <c r="C43">
        <v>307</v>
      </c>
      <c r="D43">
        <f>(C43/[1]gdp!C106)*100</f>
        <v>0.35081825214804757</v>
      </c>
    </row>
    <row r="44" spans="1:4" x14ac:dyDescent="0.35">
      <c r="A44" t="s">
        <v>112</v>
      </c>
      <c r="B44">
        <v>2024</v>
      </c>
      <c r="C44">
        <v>258</v>
      </c>
      <c r="D44">
        <f>(C44/[1]gdp!C107)*100</f>
        <v>0.29524923383968193</v>
      </c>
    </row>
    <row r="45" spans="1:4" x14ac:dyDescent="0.35">
      <c r="A45" t="s">
        <v>112</v>
      </c>
      <c r="B45">
        <v>2025</v>
      </c>
      <c r="C45">
        <v>298</v>
      </c>
      <c r="D45">
        <f>(C45/[1]gdp!C108)*100</f>
        <v>0.39276003548020183</v>
      </c>
    </row>
    <row r="46" spans="1:4" x14ac:dyDescent="0.35">
      <c r="A46" t="s">
        <v>113</v>
      </c>
      <c r="B46">
        <v>2015</v>
      </c>
      <c r="C46">
        <v>81</v>
      </c>
      <c r="D46">
        <f>(C46/[1]gdp!C109)*100</f>
        <v>0.10601178432229676</v>
      </c>
    </row>
    <row r="47" spans="1:4" x14ac:dyDescent="0.35">
      <c r="A47" t="s">
        <v>113</v>
      </c>
      <c r="B47">
        <v>2016</v>
      </c>
      <c r="C47">
        <v>172</v>
      </c>
      <c r="D47">
        <f>(C47/[1]gdp!C110)*100</f>
        <v>0.22398837344070882</v>
      </c>
    </row>
    <row r="48" spans="1:4" x14ac:dyDescent="0.35">
      <c r="A48" t="s">
        <v>113</v>
      </c>
      <c r="B48">
        <v>2017</v>
      </c>
      <c r="C48">
        <v>260</v>
      </c>
      <c r="D48">
        <f>(C48/[1]gdp!C111)*100</f>
        <v>0.33530907759052059</v>
      </c>
    </row>
    <row r="49" spans="1:4" x14ac:dyDescent="0.35">
      <c r="A49" t="s">
        <v>113</v>
      </c>
      <c r="B49">
        <v>2018</v>
      </c>
      <c r="C49">
        <v>274</v>
      </c>
      <c r="D49">
        <f>(C49/[1]gdp!C112)*100</f>
        <v>0.35322569832978384</v>
      </c>
    </row>
    <row r="50" spans="1:4" x14ac:dyDescent="0.35">
      <c r="A50" t="s">
        <v>113</v>
      </c>
      <c r="B50">
        <v>2019</v>
      </c>
      <c r="C50">
        <v>264</v>
      </c>
      <c r="D50">
        <f>(C50/[1]gdp!C113)*100</f>
        <v>0.34031450732385177</v>
      </c>
    </row>
    <row r="51" spans="1:4" x14ac:dyDescent="0.35">
      <c r="A51" t="s">
        <v>113</v>
      </c>
      <c r="B51">
        <v>2020</v>
      </c>
      <c r="C51">
        <v>315</v>
      </c>
      <c r="D51">
        <f>(C51/[1]gdp!C114)*100</f>
        <v>0.40667777822246953</v>
      </c>
    </row>
    <row r="52" spans="1:4" x14ac:dyDescent="0.35">
      <c r="A52" t="s">
        <v>113</v>
      </c>
      <c r="B52">
        <v>2021</v>
      </c>
      <c r="C52">
        <v>377</v>
      </c>
      <c r="D52">
        <f>(C52/[1]gdp!C115)*100</f>
        <v>0.4872141816804883</v>
      </c>
    </row>
    <row r="53" spans="1:4" x14ac:dyDescent="0.35">
      <c r="A53" t="s">
        <v>113</v>
      </c>
      <c r="B53">
        <v>2022</v>
      </c>
      <c r="C53">
        <v>496</v>
      </c>
      <c r="D53">
        <f>(C53/[1]gdp!C116)*100</f>
        <v>0.63567576434884254</v>
      </c>
    </row>
    <row r="54" spans="1:4" x14ac:dyDescent="0.35">
      <c r="A54" t="s">
        <v>113</v>
      </c>
      <c r="B54">
        <v>2023</v>
      </c>
      <c r="C54">
        <v>523</v>
      </c>
      <c r="D54">
        <f>(C54/[1]gdp!C117)*100</f>
        <v>0.66468912121235235</v>
      </c>
    </row>
    <row r="55" spans="1:4" x14ac:dyDescent="0.35">
      <c r="A55" t="s">
        <v>113</v>
      </c>
      <c r="B55">
        <v>2024</v>
      </c>
      <c r="C55">
        <v>569</v>
      </c>
      <c r="D55">
        <f>(C55/[1]gdp!C118)*100</f>
        <v>0.71903626394317466</v>
      </c>
    </row>
    <row r="56" spans="1:4" x14ac:dyDescent="0.35">
      <c r="A56" t="s">
        <v>113</v>
      </c>
      <c r="B56">
        <v>2025</v>
      </c>
      <c r="C56">
        <v>527</v>
      </c>
      <c r="D56">
        <f>(C56/[1]gdp!C119)*100</f>
        <v>0.66349147596007962</v>
      </c>
    </row>
    <row r="57" spans="1:4" x14ac:dyDescent="0.35">
      <c r="A57" t="s">
        <v>114</v>
      </c>
      <c r="B57">
        <v>2015</v>
      </c>
      <c r="C57">
        <v>34</v>
      </c>
      <c r="D57">
        <f>(C57/[1]gdp!C120)*100</f>
        <v>4.2927937880748716E-2</v>
      </c>
    </row>
    <row r="58" spans="1:4" x14ac:dyDescent="0.35">
      <c r="A58" t="s">
        <v>114</v>
      </c>
      <c r="B58">
        <v>2016</v>
      </c>
      <c r="C58">
        <v>26</v>
      </c>
      <c r="D58">
        <f>(C58/[1]gdp!C121)*100</f>
        <v>3.2762220623313847E-2</v>
      </c>
    </row>
    <row r="59" spans="1:4" x14ac:dyDescent="0.35">
      <c r="A59" t="s">
        <v>114</v>
      </c>
      <c r="B59">
        <v>2017</v>
      </c>
      <c r="C59">
        <v>26</v>
      </c>
      <c r="D59">
        <f>(C59/[1]gdp!C122)*100</f>
        <v>3.2616358860233882E-2</v>
      </c>
    </row>
    <row r="60" spans="1:4" x14ac:dyDescent="0.35">
      <c r="A60" t="s">
        <v>114</v>
      </c>
      <c r="B60">
        <v>2018</v>
      </c>
      <c r="C60">
        <v>44</v>
      </c>
      <c r="D60">
        <f>(C60/[1]gdp!C123)*100</f>
        <v>5.4816160302385876E-2</v>
      </c>
    </row>
    <row r="61" spans="1:4" x14ac:dyDescent="0.35">
      <c r="A61" t="s">
        <v>114</v>
      </c>
      <c r="B61">
        <v>2019</v>
      </c>
      <c r="C61">
        <v>42</v>
      </c>
      <c r="D61">
        <f>(C61/[1]gdp!C124)*100</f>
        <v>5.156227556598806E-2</v>
      </c>
    </row>
    <row r="62" spans="1:4" x14ac:dyDescent="0.35">
      <c r="A62" t="s">
        <v>114</v>
      </c>
      <c r="B62">
        <v>2020</v>
      </c>
      <c r="C62">
        <v>55</v>
      </c>
      <c r="D62">
        <f>(C62/[1]gdp!C125)*100</f>
        <v>6.6888981317299437E-2</v>
      </c>
    </row>
    <row r="63" spans="1:4" x14ac:dyDescent="0.35">
      <c r="A63" t="s">
        <v>114</v>
      </c>
      <c r="B63">
        <v>2021</v>
      </c>
      <c r="C63">
        <v>108</v>
      </c>
      <c r="D63">
        <f>(C63/[1]gdp!C126)*100</f>
        <v>0.13016172594448602</v>
      </c>
    </row>
    <row r="64" spans="1:4" x14ac:dyDescent="0.35">
      <c r="A64" t="s">
        <v>114</v>
      </c>
      <c r="B64">
        <v>2022</v>
      </c>
      <c r="C64">
        <v>104</v>
      </c>
      <c r="D64">
        <f>(C64/[1]gdp!C127)*100</f>
        <v>0.12490001993596472</v>
      </c>
    </row>
    <row r="65" spans="1:4" x14ac:dyDescent="0.35">
      <c r="A65" t="s">
        <v>114</v>
      </c>
      <c r="B65">
        <v>2023</v>
      </c>
      <c r="C65">
        <v>103</v>
      </c>
      <c r="D65">
        <f>(C65/[1]gdp!C128)*100</f>
        <v>0.12307912912554071</v>
      </c>
    </row>
    <row r="66" spans="1:4" x14ac:dyDescent="0.35">
      <c r="A66" t="s">
        <v>114</v>
      </c>
      <c r="B66">
        <v>2024</v>
      </c>
      <c r="C66">
        <v>162</v>
      </c>
      <c r="D66">
        <f>(C66/[1]gdp!C129)*100</f>
        <v>0.19245825022186158</v>
      </c>
    </row>
    <row r="67" spans="1:4" x14ac:dyDescent="0.35">
      <c r="A67" t="s">
        <v>114</v>
      </c>
      <c r="B67">
        <v>2025</v>
      </c>
      <c r="C67">
        <v>243</v>
      </c>
      <c r="D67">
        <f>(C67/[1]gdp!C130)*100</f>
        <v>0.28744673954959582</v>
      </c>
    </row>
    <row r="68" spans="1:4" x14ac:dyDescent="0.35">
      <c r="A68" t="s">
        <v>115</v>
      </c>
      <c r="B68">
        <v>2015</v>
      </c>
      <c r="C68">
        <v>38</v>
      </c>
      <c r="D68">
        <f>(C68/[1]gdp!C131)*100</f>
        <v>4.4609630514865571E-2</v>
      </c>
    </row>
    <row r="69" spans="1:4" x14ac:dyDescent="0.35">
      <c r="A69" t="s">
        <v>115</v>
      </c>
      <c r="B69">
        <v>2016</v>
      </c>
      <c r="C69">
        <v>53</v>
      </c>
      <c r="D69">
        <f>(C69/[1]gdp!C132)*100</f>
        <v>6.1851723912576664E-2</v>
      </c>
    </row>
    <row r="70" spans="1:4" x14ac:dyDescent="0.35">
      <c r="A70" t="s">
        <v>115</v>
      </c>
      <c r="B70">
        <v>2017</v>
      </c>
      <c r="C70">
        <v>60</v>
      </c>
      <c r="D70">
        <f>(C70/[1]gdp!C133)*100</f>
        <v>6.9782534362082968E-2</v>
      </c>
    </row>
    <row r="71" spans="1:4" x14ac:dyDescent="0.35">
      <c r="A71" t="s">
        <v>115</v>
      </c>
      <c r="B71">
        <v>2018</v>
      </c>
      <c r="C71">
        <v>76</v>
      </c>
      <c r="D71">
        <f>(C71/[1]gdp!C134)*100</f>
        <v>8.7586361881493352E-2</v>
      </c>
    </row>
    <row r="72" spans="1:4" x14ac:dyDescent="0.35">
      <c r="A72" t="s">
        <v>115</v>
      </c>
      <c r="B72">
        <v>2019</v>
      </c>
      <c r="C72">
        <v>82</v>
      </c>
      <c r="D72">
        <f>(C72/[1]gdp!C135)*100</f>
        <v>9.3441649678139102E-2</v>
      </c>
    </row>
    <row r="73" spans="1:4" x14ac:dyDescent="0.35">
      <c r="A73" t="s">
        <v>115</v>
      </c>
      <c r="B73">
        <v>2020</v>
      </c>
      <c r="C73">
        <v>133</v>
      </c>
      <c r="D73">
        <f>(C73/[1]gdp!C136)*100</f>
        <v>0.14946708802150527</v>
      </c>
    </row>
    <row r="74" spans="1:4" x14ac:dyDescent="0.35">
      <c r="A74" t="s">
        <v>115</v>
      </c>
      <c r="B74">
        <v>2021</v>
      </c>
      <c r="C74">
        <v>150</v>
      </c>
      <c r="D74">
        <f>(C74/[1]gdp!C137)*100</f>
        <v>0.16782878778385441</v>
      </c>
    </row>
    <row r="75" spans="1:4" x14ac:dyDescent="0.35">
      <c r="A75" t="s">
        <v>115</v>
      </c>
      <c r="B75">
        <v>2022</v>
      </c>
      <c r="C75">
        <v>185</v>
      </c>
      <c r="D75">
        <f>(C75/[1]gdp!C138)*100</f>
        <v>0.20532445147850253</v>
      </c>
    </row>
    <row r="76" spans="1:4" x14ac:dyDescent="0.35">
      <c r="A76" t="s">
        <v>115</v>
      </c>
      <c r="B76">
        <v>2023</v>
      </c>
      <c r="C76">
        <v>180</v>
      </c>
      <c r="D76">
        <f>(C76/[1]gdp!C139)*100</f>
        <v>0.1989706584602324</v>
      </c>
    </row>
    <row r="77" spans="1:4" x14ac:dyDescent="0.35">
      <c r="A77" t="s">
        <v>115</v>
      </c>
      <c r="B77">
        <v>2024</v>
      </c>
      <c r="C77">
        <v>183</v>
      </c>
      <c r="D77">
        <f>(C77/[1]gdp!C140)*100</f>
        <v>0.20145576559796033</v>
      </c>
    </row>
    <row r="78" spans="1:4" x14ac:dyDescent="0.35">
      <c r="A78" t="s">
        <v>115</v>
      </c>
      <c r="B78">
        <v>2025</v>
      </c>
      <c r="C78">
        <v>221</v>
      </c>
      <c r="D78">
        <f>(C78/[1]gdp!C141)*100</f>
        <v>0.2431703248579489</v>
      </c>
    </row>
    <row r="79" spans="1:4" x14ac:dyDescent="0.35">
      <c r="A79" t="s">
        <v>155</v>
      </c>
      <c r="B79">
        <v>2015</v>
      </c>
      <c r="C79">
        <v>26</v>
      </c>
      <c r="D79">
        <f>(C79/[1]gdp!C142)*100</f>
        <v>2.8765675910405984E-2</v>
      </c>
    </row>
    <row r="80" spans="1:4" x14ac:dyDescent="0.35">
      <c r="A80" t="s">
        <v>155</v>
      </c>
      <c r="B80">
        <v>2016</v>
      </c>
      <c r="C80">
        <v>23</v>
      </c>
      <c r="D80">
        <f>(C80/[1]gdp!C143)*100</f>
        <v>2.6011184809468072E-2</v>
      </c>
    </row>
    <row r="81" spans="1:4" x14ac:dyDescent="0.35">
      <c r="A81" t="s">
        <v>155</v>
      </c>
      <c r="B81">
        <v>2017</v>
      </c>
      <c r="C81">
        <v>46</v>
      </c>
      <c r="D81">
        <f>(C81/[1]gdp!C144)*100</f>
        <v>5.2546566538803352E-2</v>
      </c>
    </row>
    <row r="82" spans="1:4" x14ac:dyDescent="0.35">
      <c r="A82" t="s">
        <v>155</v>
      </c>
      <c r="B82">
        <v>2018</v>
      </c>
      <c r="C82">
        <v>55</v>
      </c>
      <c r="D82">
        <f>(C82/[1]gdp!C145)*100</f>
        <v>6.2728960706579018E-2</v>
      </c>
    </row>
    <row r="83" spans="1:4" x14ac:dyDescent="0.35">
      <c r="A83" t="s">
        <v>155</v>
      </c>
      <c r="B83">
        <v>2019</v>
      </c>
      <c r="C83">
        <v>77</v>
      </c>
      <c r="D83">
        <f>(C83/[1]gdp!C146)*100</f>
        <v>8.6613880943033933E-2</v>
      </c>
    </row>
    <row r="84" spans="1:4" x14ac:dyDescent="0.35">
      <c r="A84" t="s">
        <v>155</v>
      </c>
      <c r="B84">
        <v>2020</v>
      </c>
      <c r="C84">
        <v>72</v>
      </c>
      <c r="D84">
        <f>(C84/[1]gdp!C147)*100</f>
        <v>8.0413953161106014E-2</v>
      </c>
    </row>
    <row r="85" spans="1:4" x14ac:dyDescent="0.35">
      <c r="A85" t="s">
        <v>155</v>
      </c>
      <c r="B85">
        <v>2021</v>
      </c>
      <c r="C85">
        <v>71</v>
      </c>
      <c r="D85">
        <f>(C85/[1]gdp!C148)*100</f>
        <v>7.899061124270032E-2</v>
      </c>
    </row>
    <row r="86" spans="1:4" x14ac:dyDescent="0.35">
      <c r="A86" t="s">
        <v>155</v>
      </c>
      <c r="B86">
        <v>2022</v>
      </c>
      <c r="C86">
        <v>70</v>
      </c>
      <c r="D86">
        <f>(C86/[1]gdp!C149)*100</f>
        <v>7.7173679365411862E-2</v>
      </c>
    </row>
    <row r="87" spans="1:4" x14ac:dyDescent="0.35">
      <c r="A87" t="s">
        <v>155</v>
      </c>
      <c r="B87">
        <v>2023</v>
      </c>
      <c r="C87">
        <v>67</v>
      </c>
      <c r="D87">
        <f>(C87/[1]gdp!C150)*100</f>
        <v>7.3574628832469471E-2</v>
      </c>
    </row>
    <row r="88" spans="1:4" x14ac:dyDescent="0.35">
      <c r="A88" t="s">
        <v>155</v>
      </c>
      <c r="B88">
        <v>2024</v>
      </c>
      <c r="C88">
        <v>129</v>
      </c>
      <c r="D88">
        <f>(C88/[1]gdp!C151)*100</f>
        <v>0.14084537797877056</v>
      </c>
    </row>
    <row r="89" spans="1:4" x14ac:dyDescent="0.35">
      <c r="A89" t="s">
        <v>155</v>
      </c>
      <c r="B89">
        <v>2025</v>
      </c>
      <c r="C89">
        <v>70</v>
      </c>
      <c r="D89">
        <f>(C89/[1]gdp!C152)*100</f>
        <v>7.5906513537926684E-2</v>
      </c>
    </row>
    <row r="90" spans="1:4" x14ac:dyDescent="0.35">
      <c r="A90" t="s">
        <v>156</v>
      </c>
      <c r="B90">
        <v>2015</v>
      </c>
      <c r="C90">
        <v>29</v>
      </c>
      <c r="D90">
        <f>(C90/[1]gdp!C153)*100</f>
        <v>3.1367764322088529E-2</v>
      </c>
    </row>
    <row r="91" spans="1:4" x14ac:dyDescent="0.35">
      <c r="A91" t="s">
        <v>156</v>
      </c>
      <c r="B91">
        <v>2016</v>
      </c>
      <c r="C91">
        <v>36</v>
      </c>
      <c r="D91">
        <f>(C91/[1]gdp!C154)*100</f>
        <v>3.8828291587527056E-2</v>
      </c>
    </row>
    <row r="92" spans="1:4" x14ac:dyDescent="0.35">
      <c r="A92" t="s">
        <v>156</v>
      </c>
      <c r="B92">
        <v>2017</v>
      </c>
      <c r="C92">
        <v>55</v>
      </c>
      <c r="D92">
        <f>(C92/[1]gdp!C155)*100</f>
        <v>5.9221931496376695E-2</v>
      </c>
    </row>
    <row r="93" spans="1:4" x14ac:dyDescent="0.35">
      <c r="A93" t="s">
        <v>156</v>
      </c>
      <c r="B93">
        <v>2018</v>
      </c>
      <c r="C93">
        <v>49</v>
      </c>
      <c r="D93">
        <f>(C93/[1]gdp!C156)*100</f>
        <v>5.2766641144842273E-2</v>
      </c>
    </row>
    <row r="94" spans="1:4" x14ac:dyDescent="0.35">
      <c r="A94" t="s">
        <v>156</v>
      </c>
      <c r="B94">
        <v>2019</v>
      </c>
      <c r="C94">
        <v>65</v>
      </c>
      <c r="D94">
        <f>(C94/[1]gdp!C157)*100</f>
        <v>7.0146736180283595E-2</v>
      </c>
    </row>
    <row r="95" spans="1:4" x14ac:dyDescent="0.35">
      <c r="A95" t="s">
        <v>156</v>
      </c>
      <c r="B95">
        <v>2020</v>
      </c>
      <c r="C95">
        <v>61</v>
      </c>
      <c r="D95">
        <f>(C95/[1]gdp!C158)*100</f>
        <v>6.5717391515130619E-2</v>
      </c>
    </row>
    <row r="96" spans="1:4" x14ac:dyDescent="0.35">
      <c r="A96" t="s">
        <v>156</v>
      </c>
      <c r="B96">
        <v>2021</v>
      </c>
      <c r="C96">
        <v>86</v>
      </c>
      <c r="D96">
        <f>(C96/[1]gdp!C159)*100</f>
        <v>9.2762377305576529E-2</v>
      </c>
    </row>
    <row r="97" spans="1:4" x14ac:dyDescent="0.35">
      <c r="A97" t="s">
        <v>156</v>
      </c>
      <c r="B97">
        <v>2022</v>
      </c>
      <c r="C97">
        <v>99</v>
      </c>
      <c r="D97">
        <f>(C97/[1]gdp!C160)*100</f>
        <v>0.10720841207015111</v>
      </c>
    </row>
    <row r="98" spans="1:4" x14ac:dyDescent="0.35">
      <c r="A98" t="s">
        <v>156</v>
      </c>
      <c r="B98">
        <v>2023</v>
      </c>
      <c r="C98">
        <v>64</v>
      </c>
      <c r="D98">
        <f>(C98/[1]gdp!C161)*100</f>
        <v>6.8854963474593592E-2</v>
      </c>
    </row>
    <row r="99" spans="1:4" x14ac:dyDescent="0.35">
      <c r="A99" t="s">
        <v>156</v>
      </c>
      <c r="B99">
        <v>2024</v>
      </c>
      <c r="C99">
        <v>91</v>
      </c>
      <c r="D99">
        <f>(C99/[1]gdp!C162)*100</f>
        <v>9.751152725554342E-2</v>
      </c>
    </row>
    <row r="100" spans="1:4" x14ac:dyDescent="0.35">
      <c r="A100" t="s">
        <v>156</v>
      </c>
      <c r="B100">
        <v>2025</v>
      </c>
      <c r="C100">
        <v>89</v>
      </c>
      <c r="D100">
        <f>(C100/[1]gdp!C163)*100</f>
        <v>9.5110771989557044E-2</v>
      </c>
    </row>
    <row r="101" spans="1:4" x14ac:dyDescent="0.35">
      <c r="A101" t="s">
        <v>157</v>
      </c>
      <c r="B101">
        <v>2015</v>
      </c>
      <c r="C101">
        <v>23</v>
      </c>
      <c r="D101">
        <f>(C101/[1]gdp!C164)*100</f>
        <v>2.4438109425353793E-2</v>
      </c>
    </row>
    <row r="102" spans="1:4" x14ac:dyDescent="0.35">
      <c r="A102" t="s">
        <v>157</v>
      </c>
      <c r="B102">
        <v>2016</v>
      </c>
      <c r="C102">
        <v>26</v>
      </c>
      <c r="D102">
        <f>(C102/[1]gdp!C165)*100</f>
        <v>2.7561934847826319E-2</v>
      </c>
    </row>
    <row r="103" spans="1:4" x14ac:dyDescent="0.35">
      <c r="A103" t="s">
        <v>157</v>
      </c>
      <c r="B103">
        <v>2017</v>
      </c>
      <c r="C103">
        <v>22</v>
      </c>
      <c r="D103">
        <f>(C103/[1]gdp!C166)*100</f>
        <v>2.3166405342594277E-2</v>
      </c>
    </row>
    <row r="104" spans="1:4" x14ac:dyDescent="0.35">
      <c r="A104" t="s">
        <v>157</v>
      </c>
      <c r="B104">
        <v>2018</v>
      </c>
      <c r="C104">
        <v>40</v>
      </c>
      <c r="D104">
        <f>(C104/[1]gdp!C167)*100</f>
        <v>4.1951807860719996E-2</v>
      </c>
    </row>
    <row r="105" spans="1:4" x14ac:dyDescent="0.35">
      <c r="A105" t="s">
        <v>157</v>
      </c>
      <c r="B105">
        <v>2019</v>
      </c>
      <c r="C105">
        <v>73</v>
      </c>
      <c r="D105">
        <f>(C105/[1]gdp!C168)*100</f>
        <v>7.635775596061195E-2</v>
      </c>
    </row>
    <row r="106" spans="1:4" x14ac:dyDescent="0.35">
      <c r="A106" t="s">
        <v>157</v>
      </c>
      <c r="B106">
        <v>2020</v>
      </c>
      <c r="C106">
        <v>46</v>
      </c>
      <c r="D106">
        <f>(C106/[1]gdp!C169)*100</f>
        <v>4.7893169080586502E-2</v>
      </c>
    </row>
    <row r="107" spans="1:4" x14ac:dyDescent="0.35">
      <c r="A107" t="s">
        <v>157</v>
      </c>
      <c r="B107">
        <v>2021</v>
      </c>
      <c r="C107">
        <v>80</v>
      </c>
      <c r="D107">
        <f>(C107/[1]gdp!C170)*100</f>
        <v>8.3178759471981237E-2</v>
      </c>
    </row>
    <row r="108" spans="1:4" x14ac:dyDescent="0.35">
      <c r="A108" t="s">
        <v>157</v>
      </c>
      <c r="B108">
        <v>2022</v>
      </c>
      <c r="C108">
        <v>84</v>
      </c>
      <c r="D108">
        <f>(C108/[1]gdp!C171)*100</f>
        <v>8.703175104774831E-2</v>
      </c>
    </row>
    <row r="109" spans="1:4" x14ac:dyDescent="0.35">
      <c r="A109" t="s">
        <v>157</v>
      </c>
      <c r="B109">
        <v>2023</v>
      </c>
      <c r="C109">
        <v>46</v>
      </c>
      <c r="D109">
        <f>(C109/[1]gdp!C172)*100</f>
        <v>4.7606037273457358E-2</v>
      </c>
    </row>
    <row r="110" spans="1:4" x14ac:dyDescent="0.35">
      <c r="A110" t="s">
        <v>157</v>
      </c>
      <c r="B110">
        <v>2024</v>
      </c>
      <c r="C110">
        <v>60</v>
      </c>
      <c r="D110">
        <f>(C110/[1]gdp!C173)*100</f>
        <v>6.1729855747615428E-2</v>
      </c>
    </row>
    <row r="111" spans="1:4" x14ac:dyDescent="0.35">
      <c r="A111" t="s">
        <v>157</v>
      </c>
      <c r="B111">
        <v>2025</v>
      </c>
      <c r="C111">
        <v>39</v>
      </c>
      <c r="D111">
        <f>(C111/[1]gdp!C174)*100</f>
        <v>4.0051512406726192E-2</v>
      </c>
    </row>
  </sheetData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39997558519241921"/>
  </sheetPr>
  <dimension ref="A1:V279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U19" sqref="U19"/>
    </sheetView>
  </sheetViews>
  <sheetFormatPr defaultRowHeight="14.5" x14ac:dyDescent="0.35"/>
  <cols>
    <col min="2" max="2" width="4.81640625" bestFit="1" customWidth="1"/>
    <col min="12" max="12" width="11.81640625" bestFit="1" customWidth="1"/>
  </cols>
  <sheetData>
    <row r="1" spans="1:22" x14ac:dyDescent="0.35">
      <c r="A1" t="s">
        <v>0</v>
      </c>
      <c r="B1" t="s">
        <v>116</v>
      </c>
      <c r="C1" t="s">
        <v>124</v>
      </c>
      <c r="D1" t="s">
        <v>125</v>
      </c>
      <c r="E1" t="s">
        <v>126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127</v>
      </c>
      <c r="L1" t="s">
        <v>169</v>
      </c>
      <c r="M1" t="s">
        <v>170</v>
      </c>
      <c r="O1" t="s">
        <v>169</v>
      </c>
      <c r="V1" t="s">
        <v>170</v>
      </c>
    </row>
    <row r="2" spans="1:22" x14ac:dyDescent="0.35">
      <c r="A2" t="s">
        <v>3</v>
      </c>
      <c r="B2">
        <v>2000</v>
      </c>
    </row>
    <row r="3" spans="1:22" x14ac:dyDescent="0.35">
      <c r="A3" t="s">
        <v>3</v>
      </c>
      <c r="B3">
        <v>2001</v>
      </c>
    </row>
    <row r="4" spans="1:22" x14ac:dyDescent="0.35">
      <c r="A4" t="s">
        <v>3</v>
      </c>
      <c r="B4">
        <v>2002</v>
      </c>
    </row>
    <row r="5" spans="1:22" x14ac:dyDescent="0.35">
      <c r="A5" t="s">
        <v>3</v>
      </c>
      <c r="B5">
        <v>2003</v>
      </c>
    </row>
    <row r="6" spans="1:22" x14ac:dyDescent="0.35">
      <c r="A6" t="s">
        <v>3</v>
      </c>
      <c r="B6">
        <v>2004</v>
      </c>
    </row>
    <row r="7" spans="1:22" x14ac:dyDescent="0.35">
      <c r="A7" t="s">
        <v>3</v>
      </c>
      <c r="B7">
        <v>2005</v>
      </c>
    </row>
    <row r="8" spans="1:22" x14ac:dyDescent="0.35">
      <c r="A8" t="s">
        <v>3</v>
      </c>
      <c r="B8">
        <v>2006</v>
      </c>
    </row>
    <row r="9" spans="1:22" x14ac:dyDescent="0.35">
      <c r="A9" t="s">
        <v>3</v>
      </c>
      <c r="B9">
        <v>2007</v>
      </c>
      <c r="C9">
        <v>67522767</v>
      </c>
      <c r="D9">
        <v>57481400</v>
      </c>
      <c r="E9">
        <v>582514360</v>
      </c>
      <c r="F9">
        <v>152499984</v>
      </c>
      <c r="G9">
        <v>47302411</v>
      </c>
      <c r="H9">
        <v>4057385</v>
      </c>
      <c r="I9">
        <v>47609001</v>
      </c>
      <c r="J9">
        <v>69054273</v>
      </c>
      <c r="K9">
        <v>119387392490</v>
      </c>
      <c r="L9">
        <f t="shared" ref="L9:L72" si="0">(SUM(C9:J9)/K9)</f>
        <v>8.6109727296884361E-3</v>
      </c>
      <c r="M9">
        <f t="shared" ref="M9:M26" si="1">(SUM(F9:J9)/K9)</f>
        <v>2.6847311706455716E-3</v>
      </c>
    </row>
    <row r="10" spans="1:22" x14ac:dyDescent="0.35">
      <c r="A10" t="s">
        <v>3</v>
      </c>
      <c r="B10">
        <v>2008</v>
      </c>
      <c r="C10">
        <v>54566625</v>
      </c>
      <c r="D10">
        <v>63669760</v>
      </c>
      <c r="E10">
        <v>360457364</v>
      </c>
      <c r="F10">
        <v>61894877</v>
      </c>
      <c r="G10">
        <v>54960745</v>
      </c>
      <c r="H10">
        <v>281212</v>
      </c>
      <c r="I10">
        <v>54079746</v>
      </c>
      <c r="J10">
        <v>44625149</v>
      </c>
      <c r="K10">
        <v>123258767441</v>
      </c>
      <c r="L10">
        <f t="shared" si="0"/>
        <v>5.6347754599481272E-3</v>
      </c>
      <c r="M10">
        <f t="shared" si="1"/>
        <v>1.7511267837666516E-3</v>
      </c>
    </row>
    <row r="11" spans="1:22" x14ac:dyDescent="0.35">
      <c r="A11" t="s">
        <v>3</v>
      </c>
      <c r="B11">
        <v>2009</v>
      </c>
      <c r="C11">
        <v>39403070</v>
      </c>
      <c r="D11">
        <v>34860552</v>
      </c>
      <c r="E11">
        <v>330631700</v>
      </c>
      <c r="F11">
        <v>17337421</v>
      </c>
      <c r="G11">
        <v>138568915</v>
      </c>
      <c r="H11">
        <v>3094269</v>
      </c>
      <c r="I11">
        <v>31537573</v>
      </c>
      <c r="J11">
        <v>36234425</v>
      </c>
      <c r="K11">
        <v>98213743491</v>
      </c>
      <c r="L11">
        <f t="shared" si="0"/>
        <v>6.43156347113359E-3</v>
      </c>
      <c r="M11">
        <f t="shared" si="1"/>
        <v>2.3089701597697548E-3</v>
      </c>
    </row>
    <row r="12" spans="1:22" x14ac:dyDescent="0.35">
      <c r="A12" t="s">
        <v>3</v>
      </c>
      <c r="B12">
        <v>2010</v>
      </c>
      <c r="C12">
        <v>57824890</v>
      </c>
      <c r="D12">
        <v>36741826</v>
      </c>
      <c r="E12">
        <v>323991909</v>
      </c>
      <c r="F12">
        <v>8945630</v>
      </c>
      <c r="G12">
        <v>232274669</v>
      </c>
      <c r="H12">
        <v>1188294</v>
      </c>
      <c r="I12">
        <v>45077274</v>
      </c>
      <c r="J12">
        <v>74938243</v>
      </c>
      <c r="K12">
        <v>115078517863</v>
      </c>
      <c r="L12">
        <f t="shared" si="0"/>
        <v>6.7865206252460892E-3</v>
      </c>
      <c r="M12">
        <f t="shared" si="1"/>
        <v>3.1493637277416348E-3</v>
      </c>
    </row>
    <row r="13" spans="1:22" x14ac:dyDescent="0.35">
      <c r="A13" t="s">
        <v>3</v>
      </c>
      <c r="B13">
        <v>2011</v>
      </c>
      <c r="C13">
        <v>58781521</v>
      </c>
      <c r="D13">
        <v>35534590</v>
      </c>
      <c r="E13">
        <v>310394404</v>
      </c>
      <c r="F13">
        <v>9981485</v>
      </c>
      <c r="G13">
        <v>217226219</v>
      </c>
      <c r="H13">
        <v>561343</v>
      </c>
      <c r="I13">
        <v>57514215</v>
      </c>
      <c r="J13">
        <v>106575051</v>
      </c>
      <c r="K13">
        <v>127462352596</v>
      </c>
      <c r="L13">
        <f t="shared" si="0"/>
        <v>6.2494439477731546E-3</v>
      </c>
      <c r="M13">
        <f t="shared" si="1"/>
        <v>3.0743062953028943E-3</v>
      </c>
    </row>
    <row r="14" spans="1:22" x14ac:dyDescent="0.35">
      <c r="A14" t="s">
        <v>3</v>
      </c>
      <c r="B14">
        <v>2012</v>
      </c>
      <c r="C14">
        <v>115111470</v>
      </c>
      <c r="D14">
        <v>33576833</v>
      </c>
      <c r="E14">
        <v>197188753</v>
      </c>
      <c r="F14">
        <v>14313064</v>
      </c>
      <c r="G14">
        <v>229290820</v>
      </c>
      <c r="H14">
        <v>273016</v>
      </c>
      <c r="I14">
        <v>41863801</v>
      </c>
      <c r="J14">
        <v>91876583</v>
      </c>
      <c r="K14">
        <v>129678513652</v>
      </c>
      <c r="L14">
        <f t="shared" si="0"/>
        <v>5.5791381287846964E-3</v>
      </c>
      <c r="M14">
        <f t="shared" si="1"/>
        <v>2.9119495077909239E-3</v>
      </c>
    </row>
    <row r="15" spans="1:22" x14ac:dyDescent="0.35">
      <c r="A15" t="s">
        <v>3</v>
      </c>
      <c r="B15">
        <v>2013</v>
      </c>
      <c r="C15">
        <v>162267515</v>
      </c>
      <c r="D15">
        <v>33030676</v>
      </c>
      <c r="E15">
        <v>157917799</v>
      </c>
      <c r="F15">
        <v>9936014</v>
      </c>
      <c r="G15">
        <v>230961180</v>
      </c>
      <c r="H15">
        <v>161543</v>
      </c>
      <c r="I15">
        <v>33699223</v>
      </c>
      <c r="J15">
        <v>93198464</v>
      </c>
      <c r="K15">
        <v>131884592219</v>
      </c>
      <c r="L15">
        <f t="shared" si="0"/>
        <v>5.4682082407508407E-3</v>
      </c>
      <c r="M15">
        <f t="shared" si="1"/>
        <v>2.789987956963105E-3</v>
      </c>
    </row>
    <row r="16" spans="1:22" x14ac:dyDescent="0.35">
      <c r="A16" t="s">
        <v>3</v>
      </c>
      <c r="B16">
        <v>2014</v>
      </c>
      <c r="C16">
        <v>150117604</v>
      </c>
      <c r="D16">
        <v>53899692</v>
      </c>
      <c r="E16">
        <v>210014639</v>
      </c>
      <c r="F16">
        <v>10389758</v>
      </c>
      <c r="G16">
        <v>232010017</v>
      </c>
      <c r="H16">
        <v>4219</v>
      </c>
      <c r="I16">
        <v>38596276</v>
      </c>
      <c r="J16">
        <v>97980890</v>
      </c>
      <c r="K16">
        <v>134172544432</v>
      </c>
      <c r="L16">
        <f t="shared" si="0"/>
        <v>5.9103976775360849E-3</v>
      </c>
      <c r="M16">
        <f t="shared" si="1"/>
        <v>2.8245805548695654E-3</v>
      </c>
    </row>
    <row r="17" spans="1:16" x14ac:dyDescent="0.35">
      <c r="A17" t="s">
        <v>3</v>
      </c>
      <c r="B17">
        <v>2015</v>
      </c>
      <c r="C17">
        <v>108569916</v>
      </c>
      <c r="D17">
        <v>23217601</v>
      </c>
      <c r="E17">
        <v>199326295</v>
      </c>
      <c r="F17">
        <v>11111667</v>
      </c>
      <c r="G17">
        <v>333159906</v>
      </c>
      <c r="H17">
        <v>2554</v>
      </c>
      <c r="I17">
        <v>50855232</v>
      </c>
      <c r="J17">
        <v>133722341</v>
      </c>
      <c r="K17">
        <v>137756781413</v>
      </c>
      <c r="L17">
        <f t="shared" si="0"/>
        <v>6.2426365016600609E-3</v>
      </c>
      <c r="M17">
        <f t="shared" si="1"/>
        <v>3.8390247984560759E-3</v>
      </c>
      <c r="O17" t="s">
        <v>161</v>
      </c>
    </row>
    <row r="18" spans="1:16" x14ac:dyDescent="0.35">
      <c r="A18" t="s">
        <v>3</v>
      </c>
      <c r="B18">
        <v>2016</v>
      </c>
      <c r="C18">
        <v>120201047</v>
      </c>
      <c r="D18">
        <v>42752787</v>
      </c>
      <c r="E18">
        <v>202143574</v>
      </c>
      <c r="F18">
        <v>10945914</v>
      </c>
      <c r="G18">
        <v>285145189</v>
      </c>
      <c r="H18">
        <v>152410</v>
      </c>
      <c r="I18">
        <v>47743495</v>
      </c>
      <c r="J18">
        <v>99284711</v>
      </c>
      <c r="K18">
        <v>137409879273</v>
      </c>
      <c r="L18">
        <f t="shared" si="0"/>
        <v>5.8829039897048971E-3</v>
      </c>
      <c r="M18">
        <f t="shared" si="1"/>
        <v>3.2259086562424449E-3</v>
      </c>
      <c r="O18" t="s">
        <v>162</v>
      </c>
    </row>
    <row r="19" spans="1:16" x14ac:dyDescent="0.35">
      <c r="A19" t="s">
        <v>3</v>
      </c>
      <c r="B19">
        <v>2017</v>
      </c>
      <c r="C19">
        <v>121853376</v>
      </c>
      <c r="D19">
        <v>34870914</v>
      </c>
      <c r="E19">
        <v>177162483</v>
      </c>
      <c r="F19">
        <v>14117224</v>
      </c>
      <c r="G19">
        <v>332980102</v>
      </c>
      <c r="H19">
        <v>4037</v>
      </c>
      <c r="I19">
        <v>59124825</v>
      </c>
      <c r="J19">
        <v>93781436</v>
      </c>
      <c r="K19">
        <v>148756390257</v>
      </c>
      <c r="L19">
        <f t="shared" si="0"/>
        <v>5.6057719305995296E-3</v>
      </c>
      <c r="M19">
        <f t="shared" si="1"/>
        <v>3.3612513932084424E-3</v>
      </c>
      <c r="O19" t="s">
        <v>163</v>
      </c>
    </row>
    <row r="20" spans="1:16" x14ac:dyDescent="0.35">
      <c r="A20" t="s">
        <v>3</v>
      </c>
      <c r="B20">
        <v>2018</v>
      </c>
      <c r="C20">
        <v>124758012</v>
      </c>
      <c r="D20">
        <v>38836888</v>
      </c>
      <c r="E20">
        <v>161849712</v>
      </c>
      <c r="F20">
        <v>17815535</v>
      </c>
      <c r="G20">
        <v>441264446</v>
      </c>
      <c r="H20">
        <v>486</v>
      </c>
      <c r="I20">
        <v>71813097</v>
      </c>
      <c r="J20">
        <v>113530813</v>
      </c>
      <c r="K20">
        <v>156428829131</v>
      </c>
      <c r="L20">
        <f t="shared" si="0"/>
        <v>6.2000655146999244E-3</v>
      </c>
      <c r="M20">
        <f t="shared" si="1"/>
        <v>4.1196011028141891E-3</v>
      </c>
    </row>
    <row r="21" spans="1:16" x14ac:dyDescent="0.35">
      <c r="A21" t="s">
        <v>3</v>
      </c>
      <c r="B21">
        <v>2019</v>
      </c>
      <c r="C21">
        <v>148196463</v>
      </c>
      <c r="D21">
        <v>38640501</v>
      </c>
      <c r="E21">
        <v>130773964</v>
      </c>
      <c r="F21">
        <v>12482986</v>
      </c>
      <c r="G21">
        <v>443008546</v>
      </c>
      <c r="H21">
        <v>4402</v>
      </c>
      <c r="I21">
        <v>105593030</v>
      </c>
      <c r="J21">
        <v>129025913</v>
      </c>
      <c r="K21">
        <v>159588478070</v>
      </c>
      <c r="L21">
        <f t="shared" si="0"/>
        <v>6.3145273216903735E-3</v>
      </c>
      <c r="M21">
        <f t="shared" si="1"/>
        <v>4.3243402365006336E-3</v>
      </c>
      <c r="O21">
        <v>848610</v>
      </c>
      <c r="P21" t="s">
        <v>164</v>
      </c>
    </row>
    <row r="22" spans="1:16" x14ac:dyDescent="0.35">
      <c r="A22" t="s">
        <v>3</v>
      </c>
      <c r="B22">
        <v>2020</v>
      </c>
      <c r="C22">
        <v>136469985</v>
      </c>
      <c r="D22">
        <v>32713369</v>
      </c>
      <c r="E22">
        <v>123048668</v>
      </c>
      <c r="F22">
        <v>14727380</v>
      </c>
      <c r="G22">
        <v>601870652</v>
      </c>
      <c r="H22">
        <v>1395</v>
      </c>
      <c r="I22">
        <v>82136080</v>
      </c>
      <c r="J22">
        <v>189701866</v>
      </c>
      <c r="K22">
        <v>148287998641</v>
      </c>
      <c r="L22">
        <f t="shared" si="0"/>
        <v>7.9620023590604855E-3</v>
      </c>
      <c r="M22">
        <f t="shared" si="1"/>
        <v>5.9912965387770552E-3</v>
      </c>
      <c r="O22">
        <v>848620</v>
      </c>
      <c r="P22" t="s">
        <v>165</v>
      </c>
    </row>
    <row r="23" spans="1:16" x14ac:dyDescent="0.35">
      <c r="A23" t="s">
        <v>3</v>
      </c>
      <c r="B23">
        <v>2021</v>
      </c>
      <c r="C23">
        <v>170588902</v>
      </c>
      <c r="D23">
        <v>40885309</v>
      </c>
      <c r="E23">
        <v>140778427</v>
      </c>
      <c r="F23">
        <v>28708726</v>
      </c>
      <c r="G23">
        <v>823110166</v>
      </c>
      <c r="H23">
        <v>11259</v>
      </c>
      <c r="I23">
        <v>95428651</v>
      </c>
      <c r="J23">
        <v>192699555</v>
      </c>
      <c r="K23">
        <v>171541232889</v>
      </c>
      <c r="L23">
        <f t="shared" si="0"/>
        <v>8.6988473259112693E-3</v>
      </c>
      <c r="M23">
        <f t="shared" si="1"/>
        <v>6.6453897864756414E-3</v>
      </c>
      <c r="O23">
        <v>848630</v>
      </c>
      <c r="P23" t="s">
        <v>166</v>
      </c>
    </row>
    <row r="24" spans="1:16" x14ac:dyDescent="0.35">
      <c r="A24" t="s">
        <v>3</v>
      </c>
      <c r="B24">
        <v>2022</v>
      </c>
      <c r="C24">
        <v>194403302</v>
      </c>
      <c r="D24">
        <v>52565807</v>
      </c>
      <c r="E24">
        <v>151189365</v>
      </c>
      <c r="F24">
        <v>25762006</v>
      </c>
      <c r="G24">
        <v>999018925</v>
      </c>
      <c r="H24">
        <v>797764</v>
      </c>
      <c r="I24">
        <v>208627403</v>
      </c>
      <c r="J24">
        <v>199407252</v>
      </c>
      <c r="K24">
        <v>201398398368</v>
      </c>
      <c r="L24">
        <f t="shared" si="0"/>
        <v>9.0952651006337322E-3</v>
      </c>
      <c r="M24">
        <f t="shared" si="1"/>
        <v>7.1182956846581628E-3</v>
      </c>
      <c r="O24">
        <v>848640</v>
      </c>
      <c r="P24" t="s">
        <v>167</v>
      </c>
    </row>
    <row r="25" spans="1:16" x14ac:dyDescent="0.35">
      <c r="A25" t="s">
        <v>3</v>
      </c>
      <c r="B25">
        <v>2023</v>
      </c>
      <c r="C25">
        <v>225923262</v>
      </c>
      <c r="D25">
        <v>43319633</v>
      </c>
      <c r="E25">
        <v>145011053</v>
      </c>
      <c r="F25">
        <v>18890250</v>
      </c>
      <c r="G25">
        <v>1122497944</v>
      </c>
      <c r="H25">
        <v>840</v>
      </c>
      <c r="I25">
        <v>246203619</v>
      </c>
      <c r="J25">
        <v>298833822</v>
      </c>
      <c r="K25">
        <v>207254494849</v>
      </c>
      <c r="L25">
        <f t="shared" si="0"/>
        <v>1.0135753265715653E-2</v>
      </c>
      <c r="M25">
        <f t="shared" si="1"/>
        <v>8.1369838382935166E-3</v>
      </c>
      <c r="O25">
        <v>848690</v>
      </c>
      <c r="P25" t="s">
        <v>168</v>
      </c>
    </row>
    <row r="26" spans="1:16" x14ac:dyDescent="0.35">
      <c r="A26" t="s">
        <v>3</v>
      </c>
      <c r="B26">
        <v>2024</v>
      </c>
      <c r="C26">
        <v>215805701</v>
      </c>
      <c r="D26">
        <v>33431885</v>
      </c>
      <c r="E26">
        <v>145224755</v>
      </c>
      <c r="F26">
        <v>4060484</v>
      </c>
      <c r="G26">
        <v>1417235685</v>
      </c>
      <c r="H26">
        <v>1944</v>
      </c>
      <c r="I26">
        <v>65261819</v>
      </c>
      <c r="J26">
        <v>283202931</v>
      </c>
      <c r="K26">
        <v>197847661904</v>
      </c>
      <c r="L26">
        <f t="shared" si="0"/>
        <v>1.0938846500243855E-2</v>
      </c>
      <c r="M26">
        <f t="shared" si="1"/>
        <v>8.9450784809310888E-3</v>
      </c>
    </row>
    <row r="27" spans="1:16" x14ac:dyDescent="0.35">
      <c r="A27" t="s">
        <v>3</v>
      </c>
      <c r="B27">
        <v>2025</v>
      </c>
      <c r="C27">
        <v>178293386</v>
      </c>
      <c r="D27">
        <v>47402583</v>
      </c>
      <c r="E27">
        <v>118061295</v>
      </c>
      <c r="F27">
        <v>1993352</v>
      </c>
      <c r="G27">
        <v>1709849629</v>
      </c>
      <c r="I27">
        <v>48738750</v>
      </c>
      <c r="J27">
        <v>293158041</v>
      </c>
      <c r="K27">
        <v>196683124240</v>
      </c>
      <c r="L27">
        <f t="shared" ref="L27" si="2">(SUM(C27:J27)/K27)</f>
        <v>1.2189642834199063E-2</v>
      </c>
      <c r="M27">
        <f t="shared" ref="M27" si="3">(SUM(F27:J27)/K27)</f>
        <v>1.0441870800740133E-2</v>
      </c>
    </row>
    <row r="30" spans="1:16" x14ac:dyDescent="0.35">
      <c r="A30" t="s">
        <v>110</v>
      </c>
      <c r="B30">
        <v>2000</v>
      </c>
    </row>
    <row r="31" spans="1:16" x14ac:dyDescent="0.35">
      <c r="A31" t="s">
        <v>110</v>
      </c>
      <c r="B31">
        <v>2001</v>
      </c>
    </row>
    <row r="32" spans="1:16" x14ac:dyDescent="0.35">
      <c r="A32" t="s">
        <v>110</v>
      </c>
      <c r="B32">
        <v>2002</v>
      </c>
    </row>
    <row r="33" spans="1:13" x14ac:dyDescent="0.35">
      <c r="A33" t="s">
        <v>110</v>
      </c>
      <c r="B33">
        <v>2003</v>
      </c>
    </row>
    <row r="34" spans="1:13" x14ac:dyDescent="0.35">
      <c r="A34" t="s">
        <v>110</v>
      </c>
      <c r="B34">
        <v>2004</v>
      </c>
    </row>
    <row r="35" spans="1:13" x14ac:dyDescent="0.35">
      <c r="A35" t="s">
        <v>110</v>
      </c>
      <c r="B35">
        <v>2005</v>
      </c>
    </row>
    <row r="36" spans="1:13" x14ac:dyDescent="0.35">
      <c r="A36" t="s">
        <v>110</v>
      </c>
      <c r="B36">
        <v>2006</v>
      </c>
    </row>
    <row r="37" spans="1:13" x14ac:dyDescent="0.35">
      <c r="A37" t="s">
        <v>110</v>
      </c>
      <c r="B37">
        <v>2007</v>
      </c>
      <c r="C37">
        <v>72764243</v>
      </c>
      <c r="D37">
        <v>229264853</v>
      </c>
      <c r="E37">
        <v>301753553</v>
      </c>
      <c r="F37">
        <v>613980</v>
      </c>
      <c r="G37">
        <v>4364671</v>
      </c>
      <c r="H37">
        <v>4287712</v>
      </c>
      <c r="I37">
        <v>1408274</v>
      </c>
      <c r="J37">
        <v>17274414</v>
      </c>
      <c r="K37">
        <v>314448682983</v>
      </c>
      <c r="L37">
        <f t="shared" si="0"/>
        <v>2.0090136616477839E-3</v>
      </c>
      <c r="M37">
        <f t="shared" ref="M32:M54" si="4">(SUM(F37:J37)/K37)</f>
        <v>8.8882709683700621E-5</v>
      </c>
    </row>
    <row r="38" spans="1:13" x14ac:dyDescent="0.35">
      <c r="A38" t="s">
        <v>110</v>
      </c>
      <c r="B38">
        <v>2008</v>
      </c>
      <c r="C38">
        <v>112600465</v>
      </c>
      <c r="D38">
        <v>200991891</v>
      </c>
      <c r="E38">
        <v>413861240</v>
      </c>
      <c r="F38">
        <v>468632</v>
      </c>
      <c r="G38">
        <v>13698763</v>
      </c>
      <c r="H38">
        <v>5990734</v>
      </c>
      <c r="I38">
        <v>1523171</v>
      </c>
      <c r="J38">
        <v>10437445</v>
      </c>
      <c r="K38">
        <v>320805175917</v>
      </c>
      <c r="L38">
        <f t="shared" si="0"/>
        <v>2.3677060035855518E-3</v>
      </c>
      <c r="M38">
        <f t="shared" si="4"/>
        <v>1.001191608214884E-4</v>
      </c>
    </row>
    <row r="39" spans="1:13" x14ac:dyDescent="0.35">
      <c r="A39" t="s">
        <v>110</v>
      </c>
      <c r="B39">
        <v>2009</v>
      </c>
      <c r="C39">
        <v>93562225</v>
      </c>
      <c r="D39">
        <v>149820419</v>
      </c>
      <c r="E39">
        <v>311461973</v>
      </c>
      <c r="F39">
        <v>821007</v>
      </c>
      <c r="G39">
        <v>1605789</v>
      </c>
      <c r="H39">
        <v>7116923</v>
      </c>
      <c r="I39">
        <v>991851</v>
      </c>
      <c r="J39">
        <v>4706336</v>
      </c>
      <c r="K39">
        <v>265986039448</v>
      </c>
      <c r="L39">
        <f t="shared" si="0"/>
        <v>2.1432949044359576E-3</v>
      </c>
      <c r="M39">
        <f t="shared" si="4"/>
        <v>5.7303405966837509E-5</v>
      </c>
    </row>
    <row r="40" spans="1:13" x14ac:dyDescent="0.35">
      <c r="A40" t="s">
        <v>110</v>
      </c>
      <c r="B40">
        <v>2010</v>
      </c>
      <c r="C40">
        <v>99935483</v>
      </c>
      <c r="D40">
        <v>155840432</v>
      </c>
      <c r="E40">
        <v>290024469</v>
      </c>
      <c r="F40">
        <v>586061</v>
      </c>
      <c r="G40">
        <v>8916034</v>
      </c>
      <c r="H40">
        <v>6722973</v>
      </c>
      <c r="I40">
        <v>2253673</v>
      </c>
      <c r="J40">
        <v>5367271</v>
      </c>
      <c r="K40">
        <v>307529865750</v>
      </c>
      <c r="L40">
        <f t="shared" si="0"/>
        <v>1.8523286985826677E-3</v>
      </c>
      <c r="M40">
        <f t="shared" si="4"/>
        <v>7.7540475432669423E-5</v>
      </c>
    </row>
    <row r="41" spans="1:13" x14ac:dyDescent="0.35">
      <c r="A41" t="s">
        <v>110</v>
      </c>
      <c r="B41">
        <v>2011</v>
      </c>
      <c r="C41">
        <v>99772191</v>
      </c>
      <c r="D41">
        <v>144941674</v>
      </c>
      <c r="E41">
        <v>318080136</v>
      </c>
      <c r="F41">
        <v>1053694</v>
      </c>
      <c r="G41">
        <v>2549142</v>
      </c>
      <c r="H41">
        <v>6985620</v>
      </c>
      <c r="I41">
        <v>2845231</v>
      </c>
      <c r="J41">
        <v>11833833</v>
      </c>
      <c r="K41">
        <v>341718212953</v>
      </c>
      <c r="L41">
        <f t="shared" si="0"/>
        <v>1.7208960444870468E-3</v>
      </c>
      <c r="M41">
        <f t="shared" si="4"/>
        <v>7.3942561567461143E-5</v>
      </c>
    </row>
    <row r="42" spans="1:13" x14ac:dyDescent="0.35">
      <c r="A42" t="s">
        <v>110</v>
      </c>
      <c r="B42">
        <v>2012</v>
      </c>
      <c r="C42">
        <v>108746044</v>
      </c>
      <c r="D42">
        <v>141886093</v>
      </c>
      <c r="E42">
        <v>328246921</v>
      </c>
      <c r="F42">
        <v>420541</v>
      </c>
      <c r="G42">
        <v>22405610</v>
      </c>
      <c r="H42">
        <v>4558920</v>
      </c>
      <c r="I42">
        <v>2369202</v>
      </c>
      <c r="J42">
        <v>11010049</v>
      </c>
      <c r="K42">
        <v>347088552540</v>
      </c>
      <c r="L42">
        <f t="shared" si="0"/>
        <v>1.7852602036726335E-3</v>
      </c>
      <c r="M42">
        <f t="shared" si="4"/>
        <v>1.1744646056945984E-4</v>
      </c>
    </row>
    <row r="43" spans="1:13" x14ac:dyDescent="0.35">
      <c r="A43" t="s">
        <v>110</v>
      </c>
      <c r="B43">
        <v>2013</v>
      </c>
      <c r="C43">
        <v>150056804</v>
      </c>
      <c r="D43">
        <v>114161772</v>
      </c>
      <c r="E43">
        <v>269847958</v>
      </c>
      <c r="F43">
        <v>209953</v>
      </c>
      <c r="G43">
        <v>22994684</v>
      </c>
      <c r="H43">
        <v>2935651</v>
      </c>
      <c r="I43">
        <v>1701466</v>
      </c>
      <c r="J43">
        <v>6686277</v>
      </c>
      <c r="K43">
        <v>352955703712</v>
      </c>
      <c r="L43">
        <f t="shared" si="0"/>
        <v>1.6109516265643182E-3</v>
      </c>
      <c r="M43">
        <f t="shared" si="4"/>
        <v>9.7825394622815659E-5</v>
      </c>
    </row>
    <row r="44" spans="1:13" x14ac:dyDescent="0.35">
      <c r="A44" t="s">
        <v>110</v>
      </c>
      <c r="B44">
        <v>2014</v>
      </c>
      <c r="C44">
        <v>190970853</v>
      </c>
      <c r="D44">
        <v>99617732</v>
      </c>
      <c r="E44">
        <v>192463171</v>
      </c>
      <c r="F44">
        <v>264319</v>
      </c>
      <c r="G44">
        <v>23478532</v>
      </c>
      <c r="H44">
        <v>3394501</v>
      </c>
      <c r="I44">
        <v>269674</v>
      </c>
      <c r="J44">
        <v>4322462</v>
      </c>
      <c r="K44">
        <v>355287706297</v>
      </c>
      <c r="L44">
        <f t="shared" si="0"/>
        <v>1.4489137532095542E-3</v>
      </c>
      <c r="M44">
        <f t="shared" si="4"/>
        <v>8.9306461883249016E-5</v>
      </c>
    </row>
    <row r="45" spans="1:13" x14ac:dyDescent="0.35">
      <c r="A45" t="s">
        <v>110</v>
      </c>
      <c r="B45">
        <v>2015</v>
      </c>
      <c r="C45">
        <v>340634900</v>
      </c>
      <c r="D45">
        <v>95865399</v>
      </c>
      <c r="E45">
        <v>241767904</v>
      </c>
      <c r="F45">
        <v>1279056</v>
      </c>
      <c r="G45">
        <v>7875239</v>
      </c>
      <c r="H45">
        <v>920246</v>
      </c>
      <c r="I45">
        <v>674644</v>
      </c>
      <c r="J45">
        <v>11625716</v>
      </c>
      <c r="K45">
        <v>357771767156</v>
      </c>
      <c r="L45">
        <f t="shared" si="0"/>
        <v>1.9583521348527679E-3</v>
      </c>
      <c r="M45">
        <f t="shared" si="4"/>
        <v>6.2539593825031538E-5</v>
      </c>
    </row>
    <row r="46" spans="1:13" x14ac:dyDescent="0.35">
      <c r="A46" t="s">
        <v>110</v>
      </c>
      <c r="B46">
        <v>2016</v>
      </c>
      <c r="C46">
        <v>283292850</v>
      </c>
      <c r="D46">
        <v>103120114</v>
      </c>
      <c r="E46">
        <v>203490879</v>
      </c>
      <c r="F46">
        <v>957428</v>
      </c>
      <c r="G46">
        <v>15093444</v>
      </c>
      <c r="H46">
        <v>32391</v>
      </c>
      <c r="I46">
        <v>577153</v>
      </c>
      <c r="J46">
        <v>16210145</v>
      </c>
      <c r="K46">
        <v>359757326643</v>
      </c>
      <c r="L46">
        <f t="shared" si="0"/>
        <v>1.7310958189824476E-3</v>
      </c>
      <c r="M46">
        <f t="shared" si="4"/>
        <v>9.136870486203782E-5</v>
      </c>
    </row>
    <row r="47" spans="1:13" x14ac:dyDescent="0.35">
      <c r="A47" t="s">
        <v>110</v>
      </c>
      <c r="B47">
        <v>2017</v>
      </c>
      <c r="C47">
        <v>190464037</v>
      </c>
      <c r="D47">
        <v>89780745</v>
      </c>
      <c r="E47">
        <v>201554002</v>
      </c>
      <c r="F47">
        <v>44971</v>
      </c>
      <c r="G47">
        <v>11960445</v>
      </c>
      <c r="H47">
        <v>15475</v>
      </c>
      <c r="I47">
        <v>1112637</v>
      </c>
      <c r="J47">
        <v>24137394</v>
      </c>
      <c r="K47">
        <v>380590405102</v>
      </c>
      <c r="L47">
        <f t="shared" si="0"/>
        <v>1.3638538939542812E-3</v>
      </c>
      <c r="M47">
        <f t="shared" si="4"/>
        <v>9.7929221284522976E-5</v>
      </c>
    </row>
    <row r="48" spans="1:13" x14ac:dyDescent="0.35">
      <c r="A48" t="s">
        <v>110</v>
      </c>
      <c r="B48">
        <v>2018</v>
      </c>
      <c r="C48">
        <v>91713086</v>
      </c>
      <c r="D48">
        <v>94681834</v>
      </c>
      <c r="E48">
        <v>153952678</v>
      </c>
      <c r="F48">
        <v>151048</v>
      </c>
      <c r="G48">
        <v>11424356</v>
      </c>
      <c r="H48">
        <v>5610</v>
      </c>
      <c r="I48">
        <v>924827</v>
      </c>
      <c r="J48">
        <v>23515179</v>
      </c>
      <c r="K48">
        <v>396270037460</v>
      </c>
      <c r="L48">
        <f t="shared" si="0"/>
        <v>9.4977813718250426E-4</v>
      </c>
      <c r="M48">
        <f t="shared" si="4"/>
        <v>9.0900185719027546E-5</v>
      </c>
    </row>
    <row r="49" spans="1:13" x14ac:dyDescent="0.35">
      <c r="A49" t="s">
        <v>110</v>
      </c>
      <c r="B49">
        <v>2019</v>
      </c>
      <c r="C49">
        <v>149035106</v>
      </c>
      <c r="D49">
        <v>125833744</v>
      </c>
      <c r="E49">
        <v>154802568</v>
      </c>
      <c r="F49">
        <v>250241</v>
      </c>
      <c r="G49">
        <v>8926683</v>
      </c>
      <c r="H49">
        <v>61644</v>
      </c>
      <c r="I49">
        <v>2032508</v>
      </c>
      <c r="J49">
        <v>24360552</v>
      </c>
      <c r="K49">
        <v>399841064823</v>
      </c>
      <c r="L49">
        <f t="shared" si="0"/>
        <v>1.1637200051124775E-3</v>
      </c>
      <c r="M49">
        <f t="shared" si="4"/>
        <v>8.9114478563559401E-5</v>
      </c>
    </row>
    <row r="50" spans="1:13" x14ac:dyDescent="0.35">
      <c r="A50" t="s">
        <v>110</v>
      </c>
      <c r="B50">
        <v>2020</v>
      </c>
      <c r="C50">
        <v>140084521</v>
      </c>
      <c r="D50">
        <v>100716818</v>
      </c>
      <c r="E50">
        <v>134913326</v>
      </c>
      <c r="F50">
        <v>718215</v>
      </c>
      <c r="G50">
        <v>7403712</v>
      </c>
      <c r="H50">
        <v>467886</v>
      </c>
      <c r="I50">
        <v>1886874</v>
      </c>
      <c r="J50">
        <v>28035050</v>
      </c>
      <c r="K50">
        <v>369963642929</v>
      </c>
      <c r="L50">
        <f t="shared" si="0"/>
        <v>1.1196408347603347E-3</v>
      </c>
      <c r="M50">
        <f t="shared" si="4"/>
        <v>1.0409600439411506E-4</v>
      </c>
    </row>
    <row r="51" spans="1:13" x14ac:dyDescent="0.35">
      <c r="A51" t="s">
        <v>110</v>
      </c>
      <c r="B51">
        <v>2021</v>
      </c>
      <c r="C51">
        <v>194090397</v>
      </c>
      <c r="D51">
        <v>103501079</v>
      </c>
      <c r="E51">
        <v>150847015</v>
      </c>
      <c r="F51">
        <v>1399659</v>
      </c>
      <c r="G51">
        <v>6583965</v>
      </c>
      <c r="H51">
        <v>85208</v>
      </c>
      <c r="I51">
        <v>3096604</v>
      </c>
      <c r="J51">
        <v>24965467</v>
      </c>
      <c r="K51">
        <v>466867590768</v>
      </c>
      <c r="L51">
        <f t="shared" si="0"/>
        <v>1.0379161106533019E-3</v>
      </c>
      <c r="M51">
        <f t="shared" si="4"/>
        <v>7.7390043160983714E-5</v>
      </c>
    </row>
    <row r="52" spans="1:13" x14ac:dyDescent="0.35">
      <c r="A52" t="s">
        <v>110</v>
      </c>
      <c r="B52">
        <v>2022</v>
      </c>
      <c r="C52">
        <v>238473269</v>
      </c>
      <c r="D52">
        <v>134542345</v>
      </c>
      <c r="E52">
        <v>184182612</v>
      </c>
      <c r="F52">
        <v>254628</v>
      </c>
      <c r="G52">
        <v>23510884</v>
      </c>
      <c r="H52">
        <v>186948</v>
      </c>
      <c r="I52">
        <v>5178260</v>
      </c>
      <c r="J52">
        <v>26929804</v>
      </c>
      <c r="K52">
        <v>607029011053</v>
      </c>
      <c r="L52">
        <f t="shared" si="0"/>
        <v>1.0102626708667407E-3</v>
      </c>
      <c r="M52">
        <f t="shared" si="4"/>
        <v>9.235229779669514E-5</v>
      </c>
    </row>
    <row r="53" spans="1:13" x14ac:dyDescent="0.35">
      <c r="A53" t="s">
        <v>110</v>
      </c>
      <c r="B53">
        <v>2023</v>
      </c>
      <c r="C53">
        <v>286244126</v>
      </c>
      <c r="D53">
        <v>176171731</v>
      </c>
      <c r="E53">
        <v>193727220</v>
      </c>
      <c r="F53">
        <v>967037</v>
      </c>
      <c r="G53">
        <v>7857058</v>
      </c>
      <c r="H53">
        <v>1228187</v>
      </c>
      <c r="I53">
        <v>3145057</v>
      </c>
      <c r="J53">
        <v>64204920</v>
      </c>
      <c r="K53">
        <v>534108753801</v>
      </c>
      <c r="L53">
        <f t="shared" si="0"/>
        <v>1.3734006993514035E-3</v>
      </c>
      <c r="M53">
        <f t="shared" si="4"/>
        <v>1.4491853662604225E-4</v>
      </c>
    </row>
    <row r="54" spans="1:13" x14ac:dyDescent="0.35">
      <c r="A54" t="s">
        <v>110</v>
      </c>
      <c r="B54">
        <v>2024</v>
      </c>
      <c r="C54">
        <v>313162204</v>
      </c>
      <c r="D54">
        <v>213990923</v>
      </c>
      <c r="E54">
        <v>217490065</v>
      </c>
      <c r="F54">
        <v>18439</v>
      </c>
      <c r="G54">
        <v>2586773</v>
      </c>
      <c r="H54">
        <v>193860</v>
      </c>
      <c r="I54">
        <v>1590094</v>
      </c>
      <c r="J54">
        <v>69874496</v>
      </c>
      <c r="K54">
        <v>512001043566</v>
      </c>
      <c r="L54">
        <f t="shared" si="0"/>
        <v>1.599424189248626E-3</v>
      </c>
      <c r="M54">
        <f t="shared" si="4"/>
        <v>1.4504591920900444E-4</v>
      </c>
    </row>
    <row r="55" spans="1:13" x14ac:dyDescent="0.35">
      <c r="A55" t="s">
        <v>110</v>
      </c>
      <c r="B55">
        <v>2025</v>
      </c>
      <c r="C55">
        <v>286361705</v>
      </c>
      <c r="D55">
        <v>247496360</v>
      </c>
      <c r="E55">
        <v>268391204</v>
      </c>
      <c r="F55">
        <v>1018809</v>
      </c>
      <c r="G55">
        <v>17967748</v>
      </c>
      <c r="H55">
        <v>90432</v>
      </c>
      <c r="I55">
        <v>1429249</v>
      </c>
      <c r="J55">
        <v>61447712</v>
      </c>
      <c r="K55">
        <v>505930348885</v>
      </c>
      <c r="L55">
        <f t="shared" ref="L55" si="5">(SUM(C55:J55)/K55)</f>
        <v>1.7476777602858985E-3</v>
      </c>
      <c r="M55">
        <f t="shared" ref="M55" si="6">(SUM(F55:J55)/K55)</f>
        <v>1.6198662559108203E-4</v>
      </c>
    </row>
    <row r="58" spans="1:13" x14ac:dyDescent="0.35">
      <c r="A58" t="s">
        <v>111</v>
      </c>
      <c r="B58">
        <v>2000</v>
      </c>
    </row>
    <row r="59" spans="1:13" x14ac:dyDescent="0.35">
      <c r="A59" t="s">
        <v>111</v>
      </c>
      <c r="B59">
        <v>2001</v>
      </c>
    </row>
    <row r="60" spans="1:13" x14ac:dyDescent="0.35">
      <c r="A60" t="s">
        <v>111</v>
      </c>
      <c r="B60">
        <v>2002</v>
      </c>
    </row>
    <row r="61" spans="1:13" x14ac:dyDescent="0.35">
      <c r="A61" t="s">
        <v>111</v>
      </c>
      <c r="B61">
        <v>2003</v>
      </c>
    </row>
    <row r="62" spans="1:13" x14ac:dyDescent="0.35">
      <c r="A62" t="s">
        <v>111</v>
      </c>
      <c r="B62">
        <v>2004</v>
      </c>
    </row>
    <row r="63" spans="1:13" x14ac:dyDescent="0.35">
      <c r="A63" t="s">
        <v>111</v>
      </c>
      <c r="B63">
        <v>2005</v>
      </c>
    </row>
    <row r="64" spans="1:13" x14ac:dyDescent="0.35">
      <c r="A64" t="s">
        <v>111</v>
      </c>
      <c r="B64">
        <v>2006</v>
      </c>
    </row>
    <row r="65" spans="1:13" x14ac:dyDescent="0.35">
      <c r="A65" t="s">
        <v>111</v>
      </c>
      <c r="B65">
        <v>2007</v>
      </c>
      <c r="C65">
        <v>2575350206</v>
      </c>
      <c r="D65">
        <v>552349181</v>
      </c>
      <c r="E65">
        <v>3886802591</v>
      </c>
      <c r="F65">
        <v>154021899</v>
      </c>
      <c r="G65">
        <v>327611999</v>
      </c>
      <c r="H65">
        <v>85513130</v>
      </c>
      <c r="I65">
        <v>84919514</v>
      </c>
      <c r="J65">
        <v>221424143</v>
      </c>
      <c r="K65">
        <v>964037964867</v>
      </c>
      <c r="L65">
        <f t="shared" si="0"/>
        <v>8.1822427647735198E-3</v>
      </c>
      <c r="M65">
        <f t="shared" ref="M60:M82" si="7">(SUM(F65:J65)/K65)</f>
        <v>9.0607498546025407E-4</v>
      </c>
    </row>
    <row r="66" spans="1:13" x14ac:dyDescent="0.35">
      <c r="A66" t="s">
        <v>111</v>
      </c>
      <c r="B66">
        <v>2008</v>
      </c>
      <c r="C66">
        <v>2001539391</v>
      </c>
      <c r="D66">
        <v>401491430</v>
      </c>
      <c r="E66">
        <v>2892162605</v>
      </c>
      <c r="F66">
        <v>361750728</v>
      </c>
      <c r="G66">
        <v>676241683</v>
      </c>
      <c r="H66">
        <v>30371910</v>
      </c>
      <c r="I66">
        <v>109064906</v>
      </c>
      <c r="J66">
        <v>175954610</v>
      </c>
      <c r="K66">
        <v>983254995046</v>
      </c>
      <c r="L66">
        <f t="shared" si="0"/>
        <v>6.7618036994451852E-3</v>
      </c>
      <c r="M66">
        <f t="shared" si="7"/>
        <v>1.3764322010250088E-3</v>
      </c>
    </row>
    <row r="67" spans="1:13" x14ac:dyDescent="0.35">
      <c r="A67" t="s">
        <v>111</v>
      </c>
      <c r="B67">
        <v>2009</v>
      </c>
      <c r="C67">
        <v>1612121872</v>
      </c>
      <c r="D67">
        <v>349710680</v>
      </c>
      <c r="E67">
        <v>2143706375</v>
      </c>
      <c r="F67">
        <v>290210576</v>
      </c>
      <c r="G67">
        <v>645309590</v>
      </c>
      <c r="H67">
        <v>31327135</v>
      </c>
      <c r="I67">
        <v>107660802</v>
      </c>
      <c r="J67">
        <v>194703045</v>
      </c>
      <c r="K67">
        <v>803011637765</v>
      </c>
      <c r="L67">
        <f t="shared" si="0"/>
        <v>6.6932405736477157E-3</v>
      </c>
      <c r="M67">
        <f t="shared" si="7"/>
        <v>1.5805638278575391E-3</v>
      </c>
    </row>
    <row r="68" spans="1:13" x14ac:dyDescent="0.35">
      <c r="A68" t="s">
        <v>111</v>
      </c>
      <c r="B68">
        <v>2010</v>
      </c>
      <c r="C68">
        <v>1482098609</v>
      </c>
      <c r="D68">
        <v>384161640</v>
      </c>
      <c r="E68">
        <v>2352536477</v>
      </c>
      <c r="F68">
        <v>815864195</v>
      </c>
      <c r="G68">
        <v>1076180510</v>
      </c>
      <c r="H68">
        <v>31804537</v>
      </c>
      <c r="I68">
        <v>265235311</v>
      </c>
      <c r="J68">
        <v>370237239</v>
      </c>
      <c r="K68">
        <v>949629434497</v>
      </c>
      <c r="L68">
        <f t="shared" si="0"/>
        <v>7.1376457718902069E-3</v>
      </c>
      <c r="M68">
        <f t="shared" si="7"/>
        <v>2.6950742037136015E-3</v>
      </c>
    </row>
    <row r="69" spans="1:13" x14ac:dyDescent="0.35">
      <c r="A69" t="s">
        <v>111</v>
      </c>
      <c r="B69">
        <v>2011</v>
      </c>
      <c r="C69">
        <v>1390632151</v>
      </c>
      <c r="D69">
        <v>417479177</v>
      </c>
      <c r="E69">
        <v>1846948440</v>
      </c>
      <c r="F69">
        <v>613684760</v>
      </c>
      <c r="G69">
        <v>1594874572</v>
      </c>
      <c r="H69">
        <v>14149360</v>
      </c>
      <c r="I69">
        <v>316622893</v>
      </c>
      <c r="J69">
        <v>430041476</v>
      </c>
      <c r="K69">
        <v>1058897262565</v>
      </c>
      <c r="L69">
        <f t="shared" si="0"/>
        <v>6.2559731365755249E-3</v>
      </c>
      <c r="M69">
        <f t="shared" si="7"/>
        <v>2.8042126143637339E-3</v>
      </c>
    </row>
    <row r="70" spans="1:13" x14ac:dyDescent="0.35">
      <c r="A70" t="s">
        <v>111</v>
      </c>
      <c r="B70">
        <v>2012</v>
      </c>
      <c r="C70">
        <v>1457503868</v>
      </c>
      <c r="D70">
        <v>408252873</v>
      </c>
      <c r="E70">
        <v>1562935569</v>
      </c>
      <c r="F70">
        <v>192372451</v>
      </c>
      <c r="G70">
        <v>480545969</v>
      </c>
      <c r="H70">
        <v>6471612</v>
      </c>
      <c r="I70">
        <v>181492296</v>
      </c>
      <c r="J70">
        <v>378906808</v>
      </c>
      <c r="K70">
        <v>1090529813767</v>
      </c>
      <c r="L70">
        <f t="shared" si="0"/>
        <v>4.2809296793764285E-3</v>
      </c>
      <c r="M70">
        <f t="shared" si="7"/>
        <v>1.1368686305947161E-3</v>
      </c>
    </row>
    <row r="71" spans="1:13" x14ac:dyDescent="0.35">
      <c r="A71" t="s">
        <v>111</v>
      </c>
      <c r="B71">
        <v>2013</v>
      </c>
      <c r="C71">
        <v>1507135415</v>
      </c>
      <c r="D71">
        <v>547159433</v>
      </c>
      <c r="E71">
        <v>1736520405</v>
      </c>
      <c r="F71">
        <v>151673255</v>
      </c>
      <c r="G71">
        <v>397831426</v>
      </c>
      <c r="H71">
        <v>6359891</v>
      </c>
      <c r="I71">
        <v>143691456</v>
      </c>
      <c r="J71">
        <v>409150789</v>
      </c>
      <c r="K71">
        <v>1088071020302</v>
      </c>
      <c r="L71">
        <f t="shared" si="0"/>
        <v>4.5029432625088303E-3</v>
      </c>
      <c r="M71">
        <f t="shared" si="7"/>
        <v>1.018965486914882E-3</v>
      </c>
    </row>
    <row r="72" spans="1:13" x14ac:dyDescent="0.35">
      <c r="A72" t="s">
        <v>111</v>
      </c>
      <c r="B72">
        <v>2014</v>
      </c>
      <c r="C72">
        <v>1665574923</v>
      </c>
      <c r="D72">
        <v>641505799</v>
      </c>
      <c r="E72">
        <v>2179304796</v>
      </c>
      <c r="F72">
        <v>110272187</v>
      </c>
      <c r="G72">
        <v>424214591</v>
      </c>
      <c r="H72">
        <v>6630972</v>
      </c>
      <c r="I72">
        <v>209729082</v>
      </c>
      <c r="J72">
        <v>425362631</v>
      </c>
      <c r="K72">
        <v>1125034247406</v>
      </c>
      <c r="L72">
        <f t="shared" si="0"/>
        <v>5.033264537551891E-3</v>
      </c>
      <c r="M72">
        <f t="shared" si="7"/>
        <v>1.0454876957852572E-3</v>
      </c>
    </row>
    <row r="73" spans="1:13" x14ac:dyDescent="0.35">
      <c r="A73" t="s">
        <v>111</v>
      </c>
      <c r="B73">
        <v>2015</v>
      </c>
      <c r="C73">
        <v>1904008817</v>
      </c>
      <c r="D73">
        <v>603238271</v>
      </c>
      <c r="E73">
        <v>2258287215</v>
      </c>
      <c r="F73">
        <v>159565471</v>
      </c>
      <c r="G73">
        <v>645616130</v>
      </c>
      <c r="H73">
        <v>7492655</v>
      </c>
      <c r="I73">
        <v>211841981</v>
      </c>
      <c r="J73">
        <v>446507590</v>
      </c>
      <c r="K73">
        <v>1195822377267</v>
      </c>
      <c r="L73">
        <f t="shared" ref="L73:L145" si="8">(SUM(C73:J73)/K73)</f>
        <v>5.2152880298605734E-3</v>
      </c>
      <c r="M73">
        <f t="shared" si="7"/>
        <v>1.2301357249744405E-3</v>
      </c>
    </row>
    <row r="74" spans="1:13" x14ac:dyDescent="0.35">
      <c r="A74" t="s">
        <v>111</v>
      </c>
      <c r="B74">
        <v>2016</v>
      </c>
      <c r="C74">
        <v>1909051719</v>
      </c>
      <c r="D74">
        <v>530748742</v>
      </c>
      <c r="E74">
        <v>2040645353</v>
      </c>
      <c r="F74">
        <v>158279148</v>
      </c>
      <c r="G74">
        <v>778006887</v>
      </c>
      <c r="H74">
        <v>7936043</v>
      </c>
      <c r="I74">
        <v>201906610</v>
      </c>
      <c r="J74">
        <v>425284392</v>
      </c>
      <c r="K74">
        <v>1205488755440</v>
      </c>
      <c r="L74">
        <f t="shared" si="8"/>
        <v>5.0202532928572104E-3</v>
      </c>
      <c r="M74">
        <f t="shared" si="7"/>
        <v>1.30354851748612E-3</v>
      </c>
    </row>
    <row r="75" spans="1:13" x14ac:dyDescent="0.35">
      <c r="A75" t="s">
        <v>111</v>
      </c>
      <c r="B75">
        <v>2017</v>
      </c>
      <c r="C75">
        <v>2438964540</v>
      </c>
      <c r="D75">
        <v>546422227</v>
      </c>
      <c r="E75">
        <v>3142932993</v>
      </c>
      <c r="F75">
        <v>182932241</v>
      </c>
      <c r="G75">
        <v>906965222</v>
      </c>
      <c r="H75">
        <v>6575518</v>
      </c>
      <c r="I75">
        <v>241252530</v>
      </c>
      <c r="J75">
        <v>594265772</v>
      </c>
      <c r="K75">
        <v>1281864649919</v>
      </c>
      <c r="L75">
        <f t="shared" si="8"/>
        <v>6.2879579708429627E-3</v>
      </c>
      <c r="M75">
        <f t="shared" si="7"/>
        <v>1.5071726044727741E-3</v>
      </c>
    </row>
    <row r="76" spans="1:13" x14ac:dyDescent="0.35">
      <c r="A76" t="s">
        <v>111</v>
      </c>
      <c r="B76">
        <v>2018</v>
      </c>
      <c r="C76">
        <v>2790908538</v>
      </c>
      <c r="D76">
        <v>573600913</v>
      </c>
      <c r="E76">
        <v>3478643009</v>
      </c>
      <c r="F76">
        <v>226702661</v>
      </c>
      <c r="G76">
        <v>832063084</v>
      </c>
      <c r="H76">
        <v>16841217</v>
      </c>
      <c r="I76">
        <v>259389600</v>
      </c>
      <c r="J76">
        <v>608852569</v>
      </c>
      <c r="K76">
        <v>1320732357366</v>
      </c>
      <c r="L76">
        <f t="shared" si="8"/>
        <v>6.6531281239480943E-3</v>
      </c>
      <c r="M76">
        <f t="shared" si="7"/>
        <v>1.4717964015636838E-3</v>
      </c>
    </row>
    <row r="77" spans="1:13" x14ac:dyDescent="0.35">
      <c r="A77" t="s">
        <v>111</v>
      </c>
      <c r="B77">
        <v>2019</v>
      </c>
      <c r="C77">
        <v>2851863435</v>
      </c>
      <c r="D77">
        <v>626028899</v>
      </c>
      <c r="E77">
        <v>2820601495</v>
      </c>
      <c r="F77">
        <v>271378184</v>
      </c>
      <c r="G77">
        <v>882293264</v>
      </c>
      <c r="H77">
        <v>39823645</v>
      </c>
      <c r="I77">
        <v>317134060</v>
      </c>
      <c r="J77">
        <v>675679485</v>
      </c>
      <c r="K77">
        <v>1330414044253</v>
      </c>
      <c r="L77">
        <f t="shared" si="8"/>
        <v>6.3775653178436203E-3</v>
      </c>
      <c r="M77">
        <f t="shared" si="7"/>
        <v>1.6433294938851665E-3</v>
      </c>
    </row>
    <row r="78" spans="1:13" x14ac:dyDescent="0.35">
      <c r="A78" t="s">
        <v>111</v>
      </c>
      <c r="B78">
        <v>2020</v>
      </c>
      <c r="C78">
        <v>2411790580</v>
      </c>
      <c r="D78">
        <v>725394951</v>
      </c>
      <c r="E78">
        <v>2779837125</v>
      </c>
      <c r="F78">
        <v>272499655</v>
      </c>
      <c r="G78">
        <v>699089900</v>
      </c>
      <c r="H78">
        <v>24437636</v>
      </c>
      <c r="I78">
        <v>314681744</v>
      </c>
      <c r="J78">
        <v>720605241</v>
      </c>
      <c r="K78">
        <v>1209207688452</v>
      </c>
      <c r="L78">
        <f t="shared" si="8"/>
        <v>6.5731775508103812E-3</v>
      </c>
      <c r="M78">
        <f t="shared" si="7"/>
        <v>1.6798720314129345E-3</v>
      </c>
    </row>
    <row r="79" spans="1:13" x14ac:dyDescent="0.35">
      <c r="A79" t="s">
        <v>111</v>
      </c>
      <c r="B79">
        <v>2021</v>
      </c>
      <c r="C79">
        <v>2849032646</v>
      </c>
      <c r="D79">
        <v>839860703</v>
      </c>
      <c r="E79">
        <v>3430674351</v>
      </c>
      <c r="F79">
        <v>383088147</v>
      </c>
      <c r="G79">
        <v>799416360</v>
      </c>
      <c r="H79">
        <v>35370160</v>
      </c>
      <c r="I79">
        <v>366242974</v>
      </c>
      <c r="J79">
        <v>891191949</v>
      </c>
      <c r="K79">
        <v>1376195465499</v>
      </c>
      <c r="L79">
        <f t="shared" si="8"/>
        <v>6.9720308855406353E-3</v>
      </c>
      <c r="M79">
        <f t="shared" si="7"/>
        <v>1.7986613472109269E-3</v>
      </c>
    </row>
    <row r="80" spans="1:13" x14ac:dyDescent="0.35">
      <c r="A80" t="s">
        <v>111</v>
      </c>
      <c r="B80">
        <v>2022</v>
      </c>
      <c r="C80">
        <v>3503859368</v>
      </c>
      <c r="D80">
        <v>910825970</v>
      </c>
      <c r="E80">
        <v>3111104897</v>
      </c>
      <c r="F80">
        <v>499920633</v>
      </c>
      <c r="G80">
        <v>834105568</v>
      </c>
      <c r="H80">
        <v>48874432</v>
      </c>
      <c r="I80">
        <v>469878318</v>
      </c>
      <c r="J80">
        <v>1144110505</v>
      </c>
      <c r="K80">
        <v>1593592951932</v>
      </c>
      <c r="L80">
        <f t="shared" si="8"/>
        <v>6.603116359320477E-3</v>
      </c>
      <c r="M80">
        <f t="shared" si="7"/>
        <v>1.8805865402245327E-3</v>
      </c>
    </row>
    <row r="81" spans="1:13" x14ac:dyDescent="0.35">
      <c r="A81" t="s">
        <v>111</v>
      </c>
      <c r="B81">
        <v>2023</v>
      </c>
      <c r="C81">
        <v>3581023265</v>
      </c>
      <c r="D81">
        <v>888492710</v>
      </c>
      <c r="E81">
        <v>2375982447</v>
      </c>
      <c r="F81">
        <v>784359323</v>
      </c>
      <c r="G81">
        <v>928309920</v>
      </c>
      <c r="H81">
        <v>44335294</v>
      </c>
      <c r="I81">
        <v>519674652</v>
      </c>
      <c r="J81">
        <v>1362197127</v>
      </c>
      <c r="K81">
        <v>1574462443685</v>
      </c>
      <c r="L81">
        <f t="shared" si="8"/>
        <v>6.6590186257231496E-3</v>
      </c>
      <c r="M81">
        <f t="shared" si="7"/>
        <v>2.311186481833938E-3</v>
      </c>
    </row>
    <row r="82" spans="1:13" x14ac:dyDescent="0.35">
      <c r="A82" t="s">
        <v>111</v>
      </c>
      <c r="B82">
        <v>2024</v>
      </c>
      <c r="C82">
        <v>4168795023</v>
      </c>
      <c r="D82">
        <v>886932895</v>
      </c>
      <c r="E82">
        <v>2057748668</v>
      </c>
      <c r="F82">
        <v>759713731</v>
      </c>
      <c r="G82">
        <v>1238421888</v>
      </c>
      <c r="H82">
        <v>44013351</v>
      </c>
      <c r="I82">
        <v>632870457</v>
      </c>
      <c r="J82">
        <v>1426525212</v>
      </c>
      <c r="K82">
        <v>1548966055618</v>
      </c>
      <c r="L82">
        <f t="shared" si="8"/>
        <v>7.2403273037029061E-3</v>
      </c>
      <c r="M82">
        <f t="shared" si="7"/>
        <v>2.6479241582628376E-3</v>
      </c>
    </row>
    <row r="83" spans="1:13" x14ac:dyDescent="0.35">
      <c r="A83" t="s">
        <v>111</v>
      </c>
      <c r="B83">
        <v>2025</v>
      </c>
      <c r="C83">
        <v>5657394118</v>
      </c>
      <c r="D83">
        <v>1092780331</v>
      </c>
      <c r="E83">
        <v>2245851831</v>
      </c>
      <c r="F83">
        <v>670629784</v>
      </c>
      <c r="G83">
        <v>1130100619</v>
      </c>
      <c r="H83">
        <v>55806873</v>
      </c>
      <c r="I83">
        <v>660793247</v>
      </c>
      <c r="J83">
        <v>1314903120</v>
      </c>
      <c r="K83">
        <v>1563413633078</v>
      </c>
      <c r="L83">
        <f t="shared" ref="L83" si="9">(SUM(C83:J83)/K83)</f>
        <v>8.2052885120005772E-3</v>
      </c>
      <c r="M83">
        <f t="shared" ref="M83" si="10">(SUM(F83:J83)/K83)</f>
        <v>2.4511962553730696E-3</v>
      </c>
    </row>
    <row r="86" spans="1:13" x14ac:dyDescent="0.35">
      <c r="A86" t="s">
        <v>112</v>
      </c>
      <c r="B86">
        <v>2000</v>
      </c>
    </row>
    <row r="87" spans="1:13" x14ac:dyDescent="0.35">
      <c r="A87" t="s">
        <v>112</v>
      </c>
      <c r="B87">
        <v>2001</v>
      </c>
    </row>
    <row r="88" spans="1:13" x14ac:dyDescent="0.35">
      <c r="A88" t="s">
        <v>112</v>
      </c>
      <c r="B88">
        <v>2002</v>
      </c>
    </row>
    <row r="89" spans="1:13" x14ac:dyDescent="0.35">
      <c r="A89" t="s">
        <v>112</v>
      </c>
      <c r="B89">
        <v>2003</v>
      </c>
    </row>
    <row r="90" spans="1:13" x14ac:dyDescent="0.35">
      <c r="A90" t="s">
        <v>112</v>
      </c>
      <c r="B90">
        <v>2004</v>
      </c>
    </row>
    <row r="91" spans="1:13" x14ac:dyDescent="0.35">
      <c r="A91" t="s">
        <v>112</v>
      </c>
      <c r="B91">
        <v>2005</v>
      </c>
    </row>
    <row r="92" spans="1:13" x14ac:dyDescent="0.35">
      <c r="A92" t="s">
        <v>112</v>
      </c>
      <c r="B92">
        <v>2006</v>
      </c>
    </row>
    <row r="93" spans="1:13" x14ac:dyDescent="0.35">
      <c r="A93" t="s">
        <v>112</v>
      </c>
      <c r="B93">
        <v>2007</v>
      </c>
      <c r="C93">
        <v>44016614</v>
      </c>
      <c r="D93">
        <v>50172413</v>
      </c>
      <c r="E93">
        <v>308895443</v>
      </c>
      <c r="F93">
        <v>266916</v>
      </c>
      <c r="G93">
        <v>453494</v>
      </c>
      <c r="H93">
        <v>30773</v>
      </c>
      <c r="I93">
        <v>18</v>
      </c>
      <c r="J93">
        <v>3675190</v>
      </c>
      <c r="K93">
        <v>184821110393</v>
      </c>
      <c r="L93">
        <f t="shared" si="8"/>
        <v>2.2048934785289238E-3</v>
      </c>
      <c r="M93">
        <f t="shared" ref="M88:M110" si="11">(SUM(F93:J93)/K93)</f>
        <v>2.3949596399392953E-5</v>
      </c>
    </row>
    <row r="94" spans="1:13" x14ac:dyDescent="0.35">
      <c r="A94" t="s">
        <v>112</v>
      </c>
      <c r="B94">
        <v>2008</v>
      </c>
      <c r="C94">
        <v>49170825</v>
      </c>
      <c r="D94">
        <v>24339778</v>
      </c>
      <c r="E94">
        <v>213173755</v>
      </c>
      <c r="F94">
        <v>886756</v>
      </c>
      <c r="G94">
        <v>2861390</v>
      </c>
      <c r="H94">
        <v>706324</v>
      </c>
      <c r="I94">
        <v>39797</v>
      </c>
      <c r="J94">
        <v>1483800</v>
      </c>
      <c r="K94">
        <v>191387815266</v>
      </c>
      <c r="L94">
        <f t="shared" si="8"/>
        <v>1.5291591295571439E-3</v>
      </c>
      <c r="M94">
        <f t="shared" si="11"/>
        <v>3.1235358383141551E-5</v>
      </c>
    </row>
    <row r="95" spans="1:13" x14ac:dyDescent="0.35">
      <c r="A95" t="s">
        <v>112</v>
      </c>
      <c r="B95">
        <v>2009</v>
      </c>
      <c r="C95">
        <v>28013874</v>
      </c>
      <c r="D95">
        <v>20856565</v>
      </c>
      <c r="E95">
        <v>190902745</v>
      </c>
      <c r="F95">
        <v>811896</v>
      </c>
      <c r="G95">
        <v>973208</v>
      </c>
      <c r="H95">
        <v>2032</v>
      </c>
      <c r="I95">
        <v>69019</v>
      </c>
      <c r="J95">
        <v>2667408</v>
      </c>
      <c r="K95">
        <v>162989969881</v>
      </c>
      <c r="L95">
        <f t="shared" si="8"/>
        <v>1.4988452797332411E-3</v>
      </c>
      <c r="M95">
        <f t="shared" si="11"/>
        <v>2.7753628050257827E-5</v>
      </c>
    </row>
    <row r="96" spans="1:13" x14ac:dyDescent="0.35">
      <c r="A96" t="s">
        <v>112</v>
      </c>
      <c r="B96">
        <v>2010</v>
      </c>
      <c r="C96">
        <v>19892896</v>
      </c>
      <c r="D96">
        <v>17582347</v>
      </c>
      <c r="E96">
        <v>137409873</v>
      </c>
      <c r="F96">
        <v>8161000</v>
      </c>
      <c r="G96">
        <v>936508</v>
      </c>
      <c r="H96">
        <v>66696</v>
      </c>
      <c r="I96">
        <v>65943</v>
      </c>
      <c r="J96">
        <v>2777280</v>
      </c>
      <c r="K96">
        <v>191911885215</v>
      </c>
      <c r="L96">
        <f t="shared" si="8"/>
        <v>9.7384558955597358E-4</v>
      </c>
      <c r="M96">
        <f t="shared" si="11"/>
        <v>6.2567396420226966E-5</v>
      </c>
    </row>
    <row r="97" spans="1:13" x14ac:dyDescent="0.35">
      <c r="A97" t="s">
        <v>112</v>
      </c>
      <c r="B97">
        <v>2011</v>
      </c>
      <c r="C97">
        <v>29773244</v>
      </c>
      <c r="D97">
        <v>25449002</v>
      </c>
      <c r="E97">
        <v>150416631</v>
      </c>
      <c r="F97">
        <v>122779</v>
      </c>
      <c r="G97">
        <v>126964</v>
      </c>
      <c r="H97">
        <v>334186</v>
      </c>
      <c r="I97">
        <v>81429</v>
      </c>
      <c r="J97">
        <v>4105505</v>
      </c>
      <c r="K97">
        <v>220223268398</v>
      </c>
      <c r="L97">
        <f t="shared" si="8"/>
        <v>9.5543827648464266E-4</v>
      </c>
      <c r="M97">
        <f t="shared" si="11"/>
        <v>2.1663755309351897E-5</v>
      </c>
    </row>
    <row r="98" spans="1:13" x14ac:dyDescent="0.35">
      <c r="A98" t="s">
        <v>112</v>
      </c>
      <c r="B98">
        <v>2012</v>
      </c>
      <c r="C98">
        <v>18490375</v>
      </c>
      <c r="D98">
        <v>28287787</v>
      </c>
      <c r="E98">
        <v>144016091</v>
      </c>
      <c r="F98">
        <v>8136</v>
      </c>
      <c r="G98">
        <v>463345</v>
      </c>
      <c r="H98">
        <v>58744</v>
      </c>
      <c r="I98">
        <v>75116</v>
      </c>
      <c r="J98">
        <v>2339790</v>
      </c>
      <c r="K98">
        <v>229802325632</v>
      </c>
      <c r="L98">
        <f t="shared" si="8"/>
        <v>8.4306972728487382E-4</v>
      </c>
      <c r="M98">
        <f t="shared" si="11"/>
        <v>1.2815932092507466E-5</v>
      </c>
    </row>
    <row r="99" spans="1:13" x14ac:dyDescent="0.35">
      <c r="A99" t="s">
        <v>112</v>
      </c>
      <c r="B99">
        <v>2013</v>
      </c>
      <c r="C99">
        <v>36685752</v>
      </c>
      <c r="D99">
        <v>31120810</v>
      </c>
      <c r="E99">
        <v>142393674</v>
      </c>
      <c r="F99">
        <v>52816</v>
      </c>
      <c r="G99">
        <v>306274</v>
      </c>
      <c r="H99">
        <v>168415</v>
      </c>
      <c r="I99">
        <v>67168</v>
      </c>
      <c r="J99">
        <v>1162535</v>
      </c>
      <c r="K99">
        <v>239310686689</v>
      </c>
      <c r="L99">
        <f t="shared" si="8"/>
        <v>8.8569986962367731E-4</v>
      </c>
      <c r="M99">
        <f t="shared" si="11"/>
        <v>7.3427895106230983E-6</v>
      </c>
    </row>
    <row r="100" spans="1:13" x14ac:dyDescent="0.35">
      <c r="A100" t="s">
        <v>112</v>
      </c>
      <c r="B100">
        <v>2014</v>
      </c>
      <c r="C100">
        <v>52341294</v>
      </c>
      <c r="D100">
        <v>34065829</v>
      </c>
      <c r="E100">
        <v>122739732</v>
      </c>
      <c r="F100">
        <v>57137</v>
      </c>
      <c r="G100">
        <v>3622282</v>
      </c>
      <c r="H100">
        <v>18319</v>
      </c>
      <c r="I100">
        <v>76247</v>
      </c>
      <c r="J100">
        <v>1047078</v>
      </c>
      <c r="K100">
        <v>244287173829</v>
      </c>
      <c r="L100">
        <f t="shared" si="8"/>
        <v>8.758868287934619E-4</v>
      </c>
      <c r="M100">
        <f t="shared" si="11"/>
        <v>1.973522770120843E-5</v>
      </c>
    </row>
    <row r="101" spans="1:13" x14ac:dyDescent="0.35">
      <c r="A101" t="s">
        <v>112</v>
      </c>
      <c r="B101">
        <v>2015</v>
      </c>
      <c r="C101">
        <v>42300945</v>
      </c>
      <c r="D101">
        <v>42068374</v>
      </c>
      <c r="E101">
        <v>155383583</v>
      </c>
      <c r="F101">
        <v>4124</v>
      </c>
      <c r="G101">
        <v>1225602</v>
      </c>
      <c r="H101">
        <v>286927</v>
      </c>
      <c r="I101">
        <v>127976</v>
      </c>
      <c r="J101">
        <v>3398804</v>
      </c>
      <c r="K101">
        <v>254599445334</v>
      </c>
      <c r="L101">
        <f t="shared" si="8"/>
        <v>9.6149594779698102E-4</v>
      </c>
      <c r="M101">
        <f t="shared" si="11"/>
        <v>1.9809285104229897E-5</v>
      </c>
    </row>
    <row r="102" spans="1:13" x14ac:dyDescent="0.35">
      <c r="A102" t="s">
        <v>112</v>
      </c>
      <c r="B102">
        <v>2016</v>
      </c>
      <c r="C102">
        <v>38804306</v>
      </c>
      <c r="D102">
        <v>58426652</v>
      </c>
      <c r="E102">
        <v>144052383</v>
      </c>
      <c r="G102">
        <v>3847716</v>
      </c>
      <c r="H102">
        <v>974452</v>
      </c>
      <c r="I102">
        <v>704844</v>
      </c>
      <c r="J102">
        <v>140803</v>
      </c>
      <c r="K102">
        <v>262041297932</v>
      </c>
      <c r="L102">
        <f t="shared" si="8"/>
        <v>9.4241311560013755E-4</v>
      </c>
      <c r="M102">
        <f t="shared" si="11"/>
        <v>2.1629472318790011E-5</v>
      </c>
    </row>
    <row r="103" spans="1:13" x14ac:dyDescent="0.35">
      <c r="A103" t="s">
        <v>112</v>
      </c>
      <c r="B103">
        <v>2017</v>
      </c>
      <c r="C103">
        <v>43477592</v>
      </c>
      <c r="D103">
        <v>61442899</v>
      </c>
      <c r="E103">
        <v>206836904</v>
      </c>
      <c r="G103">
        <v>2421508</v>
      </c>
      <c r="H103">
        <v>24909</v>
      </c>
      <c r="I103">
        <v>1760133</v>
      </c>
      <c r="J103">
        <v>2325383</v>
      </c>
      <c r="K103">
        <v>283094637355</v>
      </c>
      <c r="L103">
        <f t="shared" si="8"/>
        <v>1.1243212904837401E-3</v>
      </c>
      <c r="M103">
        <f t="shared" si="11"/>
        <v>2.3073319441967992E-5</v>
      </c>
    </row>
    <row r="104" spans="1:13" x14ac:dyDescent="0.35">
      <c r="A104" t="s">
        <v>112</v>
      </c>
      <c r="B104">
        <v>2018</v>
      </c>
      <c r="C104">
        <v>46172126</v>
      </c>
      <c r="D104">
        <v>60655971</v>
      </c>
      <c r="E104">
        <v>173983908</v>
      </c>
      <c r="F104">
        <v>8451</v>
      </c>
      <c r="G104">
        <v>3386230</v>
      </c>
      <c r="H104">
        <v>594534</v>
      </c>
      <c r="I104">
        <v>1918007</v>
      </c>
      <c r="J104">
        <v>1028603</v>
      </c>
      <c r="K104">
        <v>293458781580</v>
      </c>
      <c r="L104">
        <f t="shared" si="8"/>
        <v>9.805391695922273E-4</v>
      </c>
      <c r="M104">
        <f t="shared" si="11"/>
        <v>2.3634750211450804E-5</v>
      </c>
    </row>
    <row r="105" spans="1:13" x14ac:dyDescent="0.35">
      <c r="A105" t="s">
        <v>112</v>
      </c>
      <c r="B105">
        <v>2019</v>
      </c>
      <c r="C105">
        <v>60719715</v>
      </c>
      <c r="D105">
        <v>54325774</v>
      </c>
      <c r="E105">
        <v>194879506</v>
      </c>
      <c r="F105">
        <v>34824</v>
      </c>
      <c r="G105">
        <v>3155784</v>
      </c>
      <c r="H105">
        <v>43430</v>
      </c>
      <c r="I105">
        <v>223898</v>
      </c>
      <c r="J105">
        <v>967290</v>
      </c>
      <c r="K105">
        <v>298336951710</v>
      </c>
      <c r="L105">
        <f t="shared" si="8"/>
        <v>1.0536751119772981E-3</v>
      </c>
      <c r="M105">
        <f t="shared" si="11"/>
        <v>1.4832979872709714E-5</v>
      </c>
    </row>
    <row r="106" spans="1:13" x14ac:dyDescent="0.35">
      <c r="A106" t="s">
        <v>112</v>
      </c>
      <c r="B106">
        <v>2020</v>
      </c>
      <c r="C106">
        <v>46113646</v>
      </c>
      <c r="D106">
        <v>46901975</v>
      </c>
      <c r="E106">
        <v>215980943</v>
      </c>
      <c r="F106">
        <v>4441</v>
      </c>
      <c r="G106">
        <v>3182079</v>
      </c>
      <c r="H106">
        <v>43929</v>
      </c>
      <c r="I106">
        <v>681120</v>
      </c>
      <c r="J106">
        <v>1159747</v>
      </c>
      <c r="K106">
        <v>269520957338</v>
      </c>
      <c r="L106">
        <f t="shared" si="8"/>
        <v>1.1652818508140527E-3</v>
      </c>
      <c r="M106">
        <f t="shared" si="11"/>
        <v>1.8816035866332203E-5</v>
      </c>
    </row>
    <row r="107" spans="1:13" x14ac:dyDescent="0.35">
      <c r="A107" t="s">
        <v>112</v>
      </c>
      <c r="B107">
        <v>2021</v>
      </c>
      <c r="C107">
        <v>62391555</v>
      </c>
      <c r="D107">
        <v>51141549</v>
      </c>
      <c r="E107">
        <v>217370442</v>
      </c>
      <c r="F107">
        <v>13032</v>
      </c>
      <c r="G107">
        <v>3820340</v>
      </c>
      <c r="H107">
        <v>36895</v>
      </c>
      <c r="I107">
        <v>439711</v>
      </c>
      <c r="J107">
        <v>2166550</v>
      </c>
      <c r="K107">
        <v>321434913571</v>
      </c>
      <c r="L107">
        <f t="shared" si="8"/>
        <v>1.04960618699399E-3</v>
      </c>
      <c r="M107">
        <f t="shared" si="11"/>
        <v>2.0148800664024431E-5</v>
      </c>
    </row>
    <row r="108" spans="1:13" x14ac:dyDescent="0.35">
      <c r="A108" t="s">
        <v>112</v>
      </c>
      <c r="B108">
        <v>2022</v>
      </c>
      <c r="C108">
        <v>69388398</v>
      </c>
      <c r="D108">
        <v>49701083</v>
      </c>
      <c r="E108">
        <v>191489403</v>
      </c>
      <c r="F108">
        <v>62460</v>
      </c>
      <c r="G108">
        <v>3998129</v>
      </c>
      <c r="H108">
        <v>26761</v>
      </c>
      <c r="I108">
        <v>909858</v>
      </c>
      <c r="J108">
        <v>1483168</v>
      </c>
      <c r="K108">
        <v>394896947052</v>
      </c>
      <c r="L108">
        <f t="shared" si="8"/>
        <v>8.0289113999721469E-4</v>
      </c>
      <c r="M108">
        <f t="shared" si="11"/>
        <v>1.6410296530215171E-5</v>
      </c>
    </row>
    <row r="109" spans="1:13" x14ac:dyDescent="0.35">
      <c r="A109" t="s">
        <v>112</v>
      </c>
      <c r="B109">
        <v>2023</v>
      </c>
      <c r="C109">
        <v>95084885</v>
      </c>
      <c r="D109">
        <v>58596158</v>
      </c>
      <c r="E109">
        <v>181540136</v>
      </c>
      <c r="F109">
        <v>300161</v>
      </c>
      <c r="G109">
        <v>14279534</v>
      </c>
      <c r="H109">
        <v>35917</v>
      </c>
      <c r="I109">
        <v>870374</v>
      </c>
      <c r="J109">
        <v>1557509</v>
      </c>
      <c r="K109">
        <v>390839979734</v>
      </c>
      <c r="L109">
        <f t="shared" si="8"/>
        <v>9.0130153583506531E-4</v>
      </c>
      <c r="M109">
        <f t="shared" si="11"/>
        <v>4.360734797806395E-5</v>
      </c>
    </row>
    <row r="110" spans="1:13" x14ac:dyDescent="0.35">
      <c r="A110" t="s">
        <v>112</v>
      </c>
      <c r="B110">
        <v>2024</v>
      </c>
      <c r="C110">
        <v>107852041</v>
      </c>
      <c r="D110">
        <v>63619255</v>
      </c>
      <c r="E110">
        <v>179355198</v>
      </c>
      <c r="F110">
        <v>116905</v>
      </c>
      <c r="G110">
        <v>17994355</v>
      </c>
      <c r="H110">
        <v>485321</v>
      </c>
      <c r="I110">
        <v>1176191</v>
      </c>
      <c r="J110">
        <v>1650205</v>
      </c>
      <c r="K110">
        <v>396086532643</v>
      </c>
      <c r="L110">
        <f t="shared" si="8"/>
        <v>9.3981855054767844E-4</v>
      </c>
      <c r="M110">
        <f t="shared" si="11"/>
        <v>5.4086607936526129E-5</v>
      </c>
    </row>
    <row r="111" spans="1:13" x14ac:dyDescent="0.35">
      <c r="A111" t="s">
        <v>112</v>
      </c>
      <c r="B111">
        <v>2025</v>
      </c>
      <c r="C111">
        <v>108631503</v>
      </c>
      <c r="D111">
        <v>79009054</v>
      </c>
      <c r="E111">
        <v>166144452</v>
      </c>
      <c r="F111">
        <v>141827</v>
      </c>
      <c r="G111">
        <v>16673663</v>
      </c>
      <c r="H111">
        <v>53100</v>
      </c>
      <c r="I111">
        <v>160473</v>
      </c>
      <c r="J111">
        <v>2716991</v>
      </c>
      <c r="K111">
        <v>394380316852</v>
      </c>
      <c r="L111">
        <f t="shared" ref="L111" si="12">(SUM(C111:J111)/K111)</f>
        <v>9.4713414194090182E-4</v>
      </c>
      <c r="M111">
        <f t="shared" ref="M111" si="13">(SUM(F111:J111)/K111)</f>
        <v>5.0068558587344879E-5</v>
      </c>
    </row>
    <row r="114" spans="1:13" x14ac:dyDescent="0.35">
      <c r="A114" t="s">
        <v>113</v>
      </c>
      <c r="B114">
        <v>2000</v>
      </c>
    </row>
    <row r="115" spans="1:13" x14ac:dyDescent="0.35">
      <c r="A115" t="s">
        <v>113</v>
      </c>
      <c r="B115">
        <v>2001</v>
      </c>
    </row>
    <row r="116" spans="1:13" x14ac:dyDescent="0.35">
      <c r="A116" t="s">
        <v>113</v>
      </c>
      <c r="B116">
        <v>2002</v>
      </c>
    </row>
    <row r="117" spans="1:13" x14ac:dyDescent="0.35">
      <c r="A117" t="s">
        <v>113</v>
      </c>
      <c r="B117">
        <v>2003</v>
      </c>
    </row>
    <row r="118" spans="1:13" x14ac:dyDescent="0.35">
      <c r="A118" t="s">
        <v>113</v>
      </c>
      <c r="B118">
        <v>2004</v>
      </c>
    </row>
    <row r="119" spans="1:13" x14ac:dyDescent="0.35">
      <c r="A119" t="s">
        <v>113</v>
      </c>
      <c r="B119">
        <v>2005</v>
      </c>
    </row>
    <row r="120" spans="1:13" x14ac:dyDescent="0.35">
      <c r="A120" t="s">
        <v>113</v>
      </c>
      <c r="B120">
        <v>2006</v>
      </c>
    </row>
    <row r="121" spans="1:13" x14ac:dyDescent="0.35">
      <c r="A121" t="s">
        <v>113</v>
      </c>
      <c r="B121">
        <v>2007</v>
      </c>
      <c r="C121">
        <v>714037872</v>
      </c>
      <c r="D121">
        <v>224564382</v>
      </c>
      <c r="E121">
        <v>859063178</v>
      </c>
      <c r="F121">
        <v>820601</v>
      </c>
      <c r="G121">
        <v>70558261</v>
      </c>
      <c r="H121">
        <v>4389654</v>
      </c>
      <c r="I121">
        <v>6350526</v>
      </c>
      <c r="J121">
        <v>52590443</v>
      </c>
      <c r="K121">
        <v>408326901218</v>
      </c>
      <c r="L121">
        <f t="shared" si="8"/>
        <v>4.7324212811742528E-3</v>
      </c>
      <c r="M121">
        <f t="shared" ref="M116:M138" si="14">(SUM(F121:J121)/K121)</f>
        <v>3.2990597631009496E-4</v>
      </c>
    </row>
    <row r="122" spans="1:13" x14ac:dyDescent="0.35">
      <c r="A122" t="s">
        <v>113</v>
      </c>
      <c r="B122">
        <v>2008</v>
      </c>
      <c r="C122">
        <v>929237280</v>
      </c>
      <c r="D122">
        <v>244776242</v>
      </c>
      <c r="E122">
        <v>859316390</v>
      </c>
      <c r="F122">
        <v>432225</v>
      </c>
      <c r="G122">
        <v>40763003</v>
      </c>
      <c r="H122">
        <v>4577464</v>
      </c>
      <c r="I122">
        <v>1772021</v>
      </c>
      <c r="J122">
        <v>63396840</v>
      </c>
      <c r="K122">
        <v>418982950256</v>
      </c>
      <c r="L122">
        <f t="shared" si="8"/>
        <v>5.1178012463033232E-3</v>
      </c>
      <c r="M122">
        <f t="shared" si="14"/>
        <v>2.6478775074788687E-4</v>
      </c>
    </row>
    <row r="123" spans="1:13" x14ac:dyDescent="0.35">
      <c r="A123" t="s">
        <v>113</v>
      </c>
      <c r="B123">
        <v>2009</v>
      </c>
      <c r="C123">
        <v>720831396</v>
      </c>
      <c r="D123">
        <v>225112260</v>
      </c>
      <c r="E123">
        <v>667018607</v>
      </c>
      <c r="F123">
        <v>618471</v>
      </c>
      <c r="G123">
        <v>26936949</v>
      </c>
      <c r="H123">
        <v>1427764</v>
      </c>
      <c r="I123">
        <v>623393</v>
      </c>
      <c r="J123">
        <v>36567570</v>
      </c>
      <c r="K123">
        <v>348035433650</v>
      </c>
      <c r="L123">
        <f t="shared" si="8"/>
        <v>4.8246133802818903E-3</v>
      </c>
      <c r="M123">
        <f t="shared" si="14"/>
        <v>1.9013623499769189E-4</v>
      </c>
    </row>
    <row r="124" spans="1:13" x14ac:dyDescent="0.35">
      <c r="A124" t="s">
        <v>113</v>
      </c>
      <c r="B124">
        <v>2010</v>
      </c>
      <c r="C124">
        <v>869324670</v>
      </c>
      <c r="D124">
        <v>215157399</v>
      </c>
      <c r="E124">
        <v>657106554</v>
      </c>
      <c r="F124">
        <v>1421768</v>
      </c>
      <c r="G124">
        <v>37018503</v>
      </c>
      <c r="H124">
        <v>775122</v>
      </c>
      <c r="I124">
        <v>2638330</v>
      </c>
      <c r="J124">
        <v>41231301</v>
      </c>
      <c r="K124">
        <v>395087153481</v>
      </c>
      <c r="L124">
        <f t="shared" si="8"/>
        <v>4.6184079409399221E-3</v>
      </c>
      <c r="M124">
        <f t="shared" si="14"/>
        <v>2.1029543296450314E-4</v>
      </c>
    </row>
    <row r="125" spans="1:13" x14ac:dyDescent="0.35">
      <c r="A125" t="s">
        <v>113</v>
      </c>
      <c r="B125">
        <v>2011</v>
      </c>
      <c r="C125">
        <v>837446270</v>
      </c>
      <c r="D125">
        <v>234724411</v>
      </c>
      <c r="E125">
        <v>581145231</v>
      </c>
      <c r="F125">
        <v>509775</v>
      </c>
      <c r="G125">
        <v>91128792</v>
      </c>
      <c r="H125">
        <v>1888406</v>
      </c>
      <c r="I125">
        <v>3447385</v>
      </c>
      <c r="J125">
        <v>69879606</v>
      </c>
      <c r="K125">
        <v>428500554560</v>
      </c>
      <c r="L125">
        <f t="shared" si="8"/>
        <v>4.2477655084227767E-3</v>
      </c>
      <c r="M125">
        <f t="shared" si="14"/>
        <v>3.8939031052440934E-4</v>
      </c>
    </row>
    <row r="126" spans="1:13" x14ac:dyDescent="0.35">
      <c r="A126" t="s">
        <v>113</v>
      </c>
      <c r="B126">
        <v>2012</v>
      </c>
      <c r="C126">
        <v>484217527</v>
      </c>
      <c r="D126">
        <v>252674599</v>
      </c>
      <c r="E126">
        <v>532234744</v>
      </c>
      <c r="F126">
        <v>1672123</v>
      </c>
      <c r="G126">
        <v>78880134</v>
      </c>
      <c r="H126">
        <v>839094</v>
      </c>
      <c r="I126">
        <v>5584234</v>
      </c>
      <c r="J126">
        <v>63454162</v>
      </c>
      <c r="K126">
        <v>442643439523</v>
      </c>
      <c r="L126">
        <f t="shared" si="8"/>
        <v>3.2069979813317421E-3</v>
      </c>
      <c r="M126">
        <f t="shared" si="14"/>
        <v>3.3984406763625733E-4</v>
      </c>
    </row>
    <row r="127" spans="1:13" x14ac:dyDescent="0.35">
      <c r="A127" t="s">
        <v>113</v>
      </c>
      <c r="B127">
        <v>2013</v>
      </c>
      <c r="C127">
        <v>407778103</v>
      </c>
      <c r="D127">
        <v>211203477</v>
      </c>
      <c r="E127">
        <v>591863565</v>
      </c>
      <c r="F127">
        <v>3747803</v>
      </c>
      <c r="G127">
        <v>82867429</v>
      </c>
      <c r="H127">
        <v>34926</v>
      </c>
      <c r="I127">
        <v>5359263</v>
      </c>
      <c r="J127">
        <v>54795799</v>
      </c>
      <c r="K127">
        <v>437150620881</v>
      </c>
      <c r="L127">
        <f t="shared" si="8"/>
        <v>3.1056809716154469E-3</v>
      </c>
      <c r="M127">
        <f t="shared" si="14"/>
        <v>3.3582297036234321E-4</v>
      </c>
    </row>
    <row r="128" spans="1:13" x14ac:dyDescent="0.35">
      <c r="A128" t="s">
        <v>113</v>
      </c>
      <c r="B128">
        <v>2014</v>
      </c>
      <c r="C128">
        <v>421892940</v>
      </c>
      <c r="D128">
        <v>198466758</v>
      </c>
      <c r="E128">
        <v>571314724</v>
      </c>
      <c r="F128">
        <v>421846</v>
      </c>
      <c r="G128">
        <v>57582130</v>
      </c>
      <c r="H128">
        <v>415272</v>
      </c>
      <c r="I128">
        <v>5407757</v>
      </c>
      <c r="J128">
        <v>54024051</v>
      </c>
      <c r="K128">
        <v>437785899016</v>
      </c>
      <c r="L128">
        <f t="shared" si="8"/>
        <v>2.9912463625333444E-3</v>
      </c>
      <c r="M128">
        <f t="shared" si="14"/>
        <v>2.6919792589229289E-4</v>
      </c>
    </row>
    <row r="129" spans="1:13" x14ac:dyDescent="0.35">
      <c r="A129" t="s">
        <v>113</v>
      </c>
      <c r="B129">
        <v>2015</v>
      </c>
      <c r="C129">
        <v>525915057</v>
      </c>
      <c r="D129">
        <v>306671615</v>
      </c>
      <c r="E129">
        <v>486151125</v>
      </c>
      <c r="F129">
        <v>1296837</v>
      </c>
      <c r="G129">
        <v>70496142</v>
      </c>
      <c r="H129">
        <v>477987</v>
      </c>
      <c r="I129">
        <v>10045539</v>
      </c>
      <c r="J129">
        <v>113884551</v>
      </c>
      <c r="K129">
        <v>456514671173</v>
      </c>
      <c r="L129">
        <f t="shared" si="8"/>
        <v>3.3184888650071476E-3</v>
      </c>
      <c r="M129">
        <f t="shared" si="14"/>
        <v>4.2978039565709378E-4</v>
      </c>
    </row>
    <row r="130" spans="1:13" x14ac:dyDescent="0.35">
      <c r="A130" t="s">
        <v>113</v>
      </c>
      <c r="B130">
        <v>2016</v>
      </c>
      <c r="C130">
        <v>481822883</v>
      </c>
      <c r="D130">
        <v>316692363</v>
      </c>
      <c r="E130">
        <v>487064850</v>
      </c>
      <c r="F130">
        <v>4767059</v>
      </c>
      <c r="G130">
        <v>86043367</v>
      </c>
      <c r="H130">
        <v>297965</v>
      </c>
      <c r="I130">
        <v>13019505</v>
      </c>
      <c r="J130">
        <v>66230650</v>
      </c>
      <c r="K130">
        <v>453075791425</v>
      </c>
      <c r="L130">
        <f t="shared" si="8"/>
        <v>3.2134549440852415E-3</v>
      </c>
      <c r="M130">
        <f t="shared" si="14"/>
        <v>3.7600452115129252E-4</v>
      </c>
    </row>
    <row r="131" spans="1:13" x14ac:dyDescent="0.35">
      <c r="A131" t="s">
        <v>113</v>
      </c>
      <c r="B131">
        <v>2017</v>
      </c>
      <c r="C131">
        <v>514320296</v>
      </c>
      <c r="D131">
        <v>232442988</v>
      </c>
      <c r="E131">
        <v>749003726</v>
      </c>
      <c r="F131">
        <v>1375004</v>
      </c>
      <c r="G131">
        <v>90510461</v>
      </c>
      <c r="H131">
        <v>1259896</v>
      </c>
      <c r="I131">
        <v>16728191</v>
      </c>
      <c r="J131">
        <v>102855599</v>
      </c>
      <c r="K131">
        <v>473814777652</v>
      </c>
      <c r="L131">
        <f t="shared" si="8"/>
        <v>3.6058313112699689E-3</v>
      </c>
      <c r="M131">
        <f t="shared" si="14"/>
        <v>4.4897111916640547E-4</v>
      </c>
    </row>
    <row r="132" spans="1:13" x14ac:dyDescent="0.35">
      <c r="A132" t="s">
        <v>113</v>
      </c>
      <c r="B132">
        <v>2018</v>
      </c>
      <c r="C132">
        <v>618838684</v>
      </c>
      <c r="D132">
        <v>246729780</v>
      </c>
      <c r="E132">
        <v>941591079</v>
      </c>
      <c r="F132">
        <v>1642477</v>
      </c>
      <c r="G132">
        <v>96847873</v>
      </c>
      <c r="H132">
        <v>461036</v>
      </c>
      <c r="I132">
        <v>10487695</v>
      </c>
      <c r="J132">
        <v>104190121</v>
      </c>
      <c r="K132">
        <v>492964099238</v>
      </c>
      <c r="L132">
        <f t="shared" si="8"/>
        <v>4.0992614839977948E-3</v>
      </c>
      <c r="M132">
        <f t="shared" si="14"/>
        <v>4.333565108092408E-4</v>
      </c>
    </row>
    <row r="133" spans="1:13" x14ac:dyDescent="0.35">
      <c r="A133" t="s">
        <v>113</v>
      </c>
      <c r="B133">
        <v>2019</v>
      </c>
      <c r="C133">
        <v>587379128</v>
      </c>
      <c r="D133">
        <v>275808167</v>
      </c>
      <c r="E133">
        <v>698106363</v>
      </c>
      <c r="F133">
        <v>172766</v>
      </c>
      <c r="G133">
        <v>65103036</v>
      </c>
      <c r="H133">
        <v>1012592</v>
      </c>
      <c r="I133">
        <v>16360639</v>
      </c>
      <c r="J133">
        <v>109503353</v>
      </c>
      <c r="K133">
        <v>509948158598</v>
      </c>
      <c r="L133">
        <f t="shared" si="8"/>
        <v>3.4384790187707466E-3</v>
      </c>
      <c r="M133">
        <f t="shared" si="14"/>
        <v>3.7680768674267672E-4</v>
      </c>
    </row>
    <row r="134" spans="1:13" x14ac:dyDescent="0.35">
      <c r="A134" t="s">
        <v>113</v>
      </c>
      <c r="B134">
        <v>2020</v>
      </c>
      <c r="C134">
        <v>554729345</v>
      </c>
      <c r="D134">
        <v>280150788</v>
      </c>
      <c r="E134">
        <v>676348139</v>
      </c>
      <c r="F134">
        <v>596054</v>
      </c>
      <c r="G134">
        <v>56073990</v>
      </c>
      <c r="H134">
        <v>1386666</v>
      </c>
      <c r="I134">
        <v>9802976</v>
      </c>
      <c r="J134">
        <v>96004879</v>
      </c>
      <c r="K134">
        <v>427236184153</v>
      </c>
      <c r="L134">
        <f t="shared" si="8"/>
        <v>3.9207653731878735E-3</v>
      </c>
      <c r="M134">
        <f t="shared" si="14"/>
        <v>3.8354561499715466E-4</v>
      </c>
    </row>
    <row r="135" spans="1:13" x14ac:dyDescent="0.35">
      <c r="A135" t="s">
        <v>113</v>
      </c>
      <c r="B135">
        <v>2021</v>
      </c>
      <c r="C135">
        <v>567194289</v>
      </c>
      <c r="D135">
        <v>333338678</v>
      </c>
      <c r="E135">
        <v>856273526</v>
      </c>
      <c r="F135">
        <v>125521</v>
      </c>
      <c r="G135">
        <v>82797345</v>
      </c>
      <c r="H135">
        <v>406075</v>
      </c>
      <c r="I135">
        <v>13067905</v>
      </c>
      <c r="J135">
        <v>70108358</v>
      </c>
      <c r="K135">
        <v>494948816197</v>
      </c>
      <c r="L135">
        <f t="shared" si="8"/>
        <v>3.8858799820514806E-3</v>
      </c>
      <c r="M135">
        <f t="shared" si="14"/>
        <v>3.3640893472453005E-4</v>
      </c>
    </row>
    <row r="136" spans="1:13" x14ac:dyDescent="0.35">
      <c r="A136" t="s">
        <v>113</v>
      </c>
      <c r="B136">
        <v>2022</v>
      </c>
      <c r="C136">
        <v>423301823</v>
      </c>
      <c r="D136">
        <v>345010882</v>
      </c>
      <c r="E136">
        <v>1110872761</v>
      </c>
      <c r="F136">
        <v>85826</v>
      </c>
      <c r="G136">
        <v>272272496</v>
      </c>
      <c r="H136">
        <v>65297</v>
      </c>
      <c r="I136">
        <v>14339188</v>
      </c>
      <c r="J136">
        <v>82190942</v>
      </c>
      <c r="K136">
        <v>589710183299</v>
      </c>
      <c r="L136">
        <f t="shared" si="8"/>
        <v>3.8122780963748912E-3</v>
      </c>
      <c r="M136">
        <f t="shared" si="14"/>
        <v>6.2565266710500381E-4</v>
      </c>
    </row>
    <row r="137" spans="1:13" x14ac:dyDescent="0.35">
      <c r="A137" t="s">
        <v>113</v>
      </c>
      <c r="B137">
        <v>2023</v>
      </c>
      <c r="C137">
        <v>463881523</v>
      </c>
      <c r="D137">
        <v>316937873</v>
      </c>
      <c r="E137">
        <v>749371074</v>
      </c>
      <c r="F137">
        <v>27610</v>
      </c>
      <c r="G137">
        <v>229060986</v>
      </c>
      <c r="H137">
        <v>43039</v>
      </c>
      <c r="I137">
        <v>14796145</v>
      </c>
      <c r="J137">
        <v>97407347</v>
      </c>
      <c r="K137">
        <v>602223492411</v>
      </c>
      <c r="L137">
        <f t="shared" si="8"/>
        <v>3.1076927761608114E-3</v>
      </c>
      <c r="M137">
        <f t="shared" si="14"/>
        <v>5.6679145085068966E-4</v>
      </c>
    </row>
    <row r="138" spans="1:13" x14ac:dyDescent="0.35">
      <c r="A138" t="s">
        <v>113</v>
      </c>
      <c r="B138">
        <v>2024</v>
      </c>
      <c r="C138">
        <v>522358529</v>
      </c>
      <c r="D138">
        <v>340025368</v>
      </c>
      <c r="E138">
        <v>955570716</v>
      </c>
      <c r="F138">
        <v>16441</v>
      </c>
      <c r="G138">
        <v>196645825</v>
      </c>
      <c r="H138">
        <v>11920</v>
      </c>
      <c r="I138">
        <v>24270609</v>
      </c>
      <c r="J138">
        <v>86452000</v>
      </c>
      <c r="K138">
        <v>592226141641</v>
      </c>
      <c r="L138">
        <f t="shared" si="8"/>
        <v>3.5887497335238558E-3</v>
      </c>
      <c r="M138">
        <f t="shared" si="14"/>
        <v>5.1905306670224638E-4</v>
      </c>
    </row>
    <row r="139" spans="1:13" x14ac:dyDescent="0.35">
      <c r="A139" t="s">
        <v>113</v>
      </c>
      <c r="B139">
        <v>2025</v>
      </c>
      <c r="C139">
        <v>708735453</v>
      </c>
      <c r="D139">
        <v>450599197</v>
      </c>
      <c r="E139">
        <v>1158250226</v>
      </c>
      <c r="F139">
        <v>1395685</v>
      </c>
      <c r="G139">
        <v>182745328</v>
      </c>
      <c r="H139">
        <v>4929</v>
      </c>
      <c r="I139">
        <v>27806153</v>
      </c>
      <c r="J139">
        <v>150402416</v>
      </c>
      <c r="K139">
        <v>606033418643</v>
      </c>
      <c r="L139">
        <f t="shared" ref="L139" si="15">(SUM(C139:J139)/K139)</f>
        <v>4.4220983605174572E-3</v>
      </c>
      <c r="M139">
        <f t="shared" ref="M139" si="16">(SUM(F139:J139)/K139)</f>
        <v>5.9791176501679765E-4</v>
      </c>
    </row>
    <row r="142" spans="1:13" x14ac:dyDescent="0.35">
      <c r="A142" t="s">
        <v>114</v>
      </c>
      <c r="B142">
        <v>2000</v>
      </c>
    </row>
    <row r="143" spans="1:13" x14ac:dyDescent="0.35">
      <c r="A143" t="s">
        <v>114</v>
      </c>
      <c r="B143">
        <v>2001</v>
      </c>
    </row>
    <row r="144" spans="1:13" x14ac:dyDescent="0.35">
      <c r="A144" t="s">
        <v>114</v>
      </c>
      <c r="B144">
        <v>2002</v>
      </c>
    </row>
    <row r="145" spans="1:13" x14ac:dyDescent="0.35">
      <c r="A145" t="s">
        <v>114</v>
      </c>
      <c r="B145">
        <v>2003</v>
      </c>
    </row>
    <row r="146" spans="1:13" x14ac:dyDescent="0.35">
      <c r="A146" t="s">
        <v>114</v>
      </c>
      <c r="B146">
        <v>2004</v>
      </c>
    </row>
    <row r="147" spans="1:13" x14ac:dyDescent="0.35">
      <c r="A147" t="s">
        <v>114</v>
      </c>
      <c r="B147">
        <v>2005</v>
      </c>
    </row>
    <row r="148" spans="1:13" x14ac:dyDescent="0.35">
      <c r="A148" t="s">
        <v>114</v>
      </c>
      <c r="B148">
        <v>2006</v>
      </c>
    </row>
    <row r="149" spans="1:13" x14ac:dyDescent="0.35">
      <c r="A149" t="s">
        <v>114</v>
      </c>
      <c r="B149">
        <v>2007</v>
      </c>
      <c r="C149">
        <v>48743879</v>
      </c>
      <c r="D149">
        <v>96611937</v>
      </c>
      <c r="E149">
        <v>555056951</v>
      </c>
      <c r="G149">
        <v>14868010</v>
      </c>
      <c r="H149">
        <v>780030</v>
      </c>
      <c r="I149">
        <v>6760851</v>
      </c>
      <c r="J149">
        <v>52437705</v>
      </c>
      <c r="K149">
        <v>364743919186</v>
      </c>
      <c r="L149">
        <f t="shared" ref="L146:L194" si="17">(SUM(C149:J149)/K149)</f>
        <v>2.1254894796605478E-3</v>
      </c>
      <c r="M149">
        <f t="shared" ref="M144:M166" si="18">(SUM(F149:J149)/K149)</f>
        <v>2.052031358522312E-4</v>
      </c>
    </row>
    <row r="150" spans="1:13" x14ac:dyDescent="0.35">
      <c r="A150" t="s">
        <v>114</v>
      </c>
      <c r="B150">
        <v>2008</v>
      </c>
      <c r="C150">
        <v>49342530</v>
      </c>
      <c r="D150">
        <v>47944135</v>
      </c>
      <c r="E150">
        <v>491049223</v>
      </c>
      <c r="G150">
        <v>19029410</v>
      </c>
      <c r="H150">
        <v>657088</v>
      </c>
      <c r="I150">
        <v>3937440</v>
      </c>
      <c r="J150">
        <v>32755340</v>
      </c>
      <c r="K150">
        <v>369015556090</v>
      </c>
      <c r="L150">
        <f t="shared" si="17"/>
        <v>1.7471219176536802E-3</v>
      </c>
      <c r="M150">
        <f t="shared" si="18"/>
        <v>1.5278293033871326E-4</v>
      </c>
    </row>
    <row r="151" spans="1:13" x14ac:dyDescent="0.35">
      <c r="A151" t="s">
        <v>114</v>
      </c>
      <c r="B151">
        <v>2009</v>
      </c>
      <c r="C151">
        <v>66236727</v>
      </c>
      <c r="D151">
        <v>41163557</v>
      </c>
      <c r="E151">
        <v>363989822</v>
      </c>
      <c r="G151">
        <v>11344061</v>
      </c>
      <c r="H151">
        <v>22002</v>
      </c>
      <c r="I151">
        <v>2947766</v>
      </c>
      <c r="J151">
        <v>22607979</v>
      </c>
      <c r="K151">
        <v>291733117417</v>
      </c>
      <c r="L151">
        <f t="shared" si="17"/>
        <v>1.7423867351796906E-3</v>
      </c>
      <c r="M151">
        <f t="shared" si="18"/>
        <v>1.2656022163991888E-4</v>
      </c>
    </row>
    <row r="152" spans="1:13" x14ac:dyDescent="0.35">
      <c r="A152" t="s">
        <v>114</v>
      </c>
      <c r="B152">
        <v>2010</v>
      </c>
      <c r="C152">
        <v>74976155</v>
      </c>
      <c r="D152">
        <v>48015626</v>
      </c>
      <c r="E152">
        <v>388558575</v>
      </c>
      <c r="G152">
        <v>357522716</v>
      </c>
      <c r="H152">
        <v>130251</v>
      </c>
      <c r="I152">
        <v>5425076</v>
      </c>
      <c r="J152">
        <v>56301554</v>
      </c>
      <c r="K152">
        <v>337407352110</v>
      </c>
      <c r="L152">
        <f t="shared" si="17"/>
        <v>2.7590683699639791E-3</v>
      </c>
      <c r="M152">
        <f t="shared" si="18"/>
        <v>1.2429474176462989E-3</v>
      </c>
    </row>
    <row r="153" spans="1:13" x14ac:dyDescent="0.35">
      <c r="A153" t="s">
        <v>114</v>
      </c>
      <c r="B153">
        <v>2011</v>
      </c>
      <c r="C153">
        <v>214834544</v>
      </c>
      <c r="D153">
        <v>44133271</v>
      </c>
      <c r="E153">
        <v>315464338</v>
      </c>
      <c r="G153">
        <v>694238601</v>
      </c>
      <c r="H153">
        <v>1667799</v>
      </c>
      <c r="I153">
        <v>2170253</v>
      </c>
      <c r="J153">
        <v>51243553</v>
      </c>
      <c r="K153">
        <v>375903831853</v>
      </c>
      <c r="L153">
        <f t="shared" si="17"/>
        <v>3.5215186620328556E-3</v>
      </c>
      <c r="M153">
        <f t="shared" si="18"/>
        <v>1.9933827285193179E-3</v>
      </c>
    </row>
    <row r="154" spans="1:13" x14ac:dyDescent="0.35">
      <c r="A154" t="s">
        <v>114</v>
      </c>
      <c r="B154">
        <v>2012</v>
      </c>
      <c r="C154">
        <v>175564795</v>
      </c>
      <c r="D154">
        <v>53936565</v>
      </c>
      <c r="E154">
        <v>234192376</v>
      </c>
      <c r="G154">
        <v>50941701</v>
      </c>
      <c r="H154">
        <v>933761</v>
      </c>
      <c r="I154">
        <v>2681830</v>
      </c>
      <c r="J154">
        <v>25443815</v>
      </c>
      <c r="K154">
        <v>390182091869</v>
      </c>
      <c r="L154">
        <f t="shared" si="17"/>
        <v>1.3934387413724269E-3</v>
      </c>
      <c r="M154">
        <f t="shared" si="18"/>
        <v>2.0503531214564205E-4</v>
      </c>
    </row>
    <row r="155" spans="1:13" x14ac:dyDescent="0.35">
      <c r="A155" t="s">
        <v>114</v>
      </c>
      <c r="B155">
        <v>2013</v>
      </c>
      <c r="C155">
        <v>220526924</v>
      </c>
      <c r="D155">
        <v>64717543</v>
      </c>
      <c r="E155">
        <v>243462192</v>
      </c>
      <c r="G155">
        <v>38239093</v>
      </c>
      <c r="H155">
        <v>61455</v>
      </c>
      <c r="I155">
        <v>2746969</v>
      </c>
      <c r="J155">
        <v>22794061</v>
      </c>
      <c r="K155">
        <v>390232593094</v>
      </c>
      <c r="L155">
        <f t="shared" si="17"/>
        <v>1.5184488622590933E-3</v>
      </c>
      <c r="M155">
        <f t="shared" si="18"/>
        <v>1.6359878474994966E-4</v>
      </c>
    </row>
    <row r="156" spans="1:13" x14ac:dyDescent="0.35">
      <c r="A156" t="s">
        <v>114</v>
      </c>
      <c r="B156">
        <v>2014</v>
      </c>
      <c r="C156">
        <v>182847505</v>
      </c>
      <c r="D156">
        <v>65759813</v>
      </c>
      <c r="E156">
        <v>229425096</v>
      </c>
      <c r="G156">
        <v>51741911</v>
      </c>
      <c r="H156">
        <v>52257</v>
      </c>
      <c r="I156">
        <v>3855327</v>
      </c>
      <c r="J156">
        <v>65177348</v>
      </c>
      <c r="K156">
        <v>398870413894</v>
      </c>
      <c r="L156">
        <f t="shared" si="17"/>
        <v>1.501388010089781E-3</v>
      </c>
      <c r="M156">
        <f t="shared" si="18"/>
        <v>3.0292255025991924E-4</v>
      </c>
    </row>
    <row r="157" spans="1:13" x14ac:dyDescent="0.35">
      <c r="A157" t="s">
        <v>114</v>
      </c>
      <c r="B157">
        <v>2015</v>
      </c>
      <c r="C157">
        <v>202143205</v>
      </c>
      <c r="D157">
        <v>81694089</v>
      </c>
      <c r="E157">
        <v>239704470</v>
      </c>
      <c r="G157">
        <v>76968357</v>
      </c>
      <c r="H157">
        <v>45856</v>
      </c>
      <c r="I157">
        <v>10826160</v>
      </c>
      <c r="J157">
        <v>26997355</v>
      </c>
      <c r="K157">
        <v>412291286364</v>
      </c>
      <c r="L157">
        <f t="shared" si="17"/>
        <v>1.5483700798769569E-3</v>
      </c>
      <c r="M157">
        <f t="shared" si="18"/>
        <v>2.7853542337204066E-4</v>
      </c>
    </row>
    <row r="158" spans="1:13" x14ac:dyDescent="0.35">
      <c r="A158" t="s">
        <v>114</v>
      </c>
      <c r="B158">
        <v>2016</v>
      </c>
      <c r="C158">
        <v>170359049</v>
      </c>
      <c r="D158">
        <v>89407805</v>
      </c>
      <c r="E158">
        <v>256835600</v>
      </c>
      <c r="G158">
        <v>168396189</v>
      </c>
      <c r="H158">
        <v>56855</v>
      </c>
      <c r="I158">
        <v>10122489</v>
      </c>
      <c r="J158">
        <v>20541258</v>
      </c>
      <c r="K158">
        <v>417268909969</v>
      </c>
      <c r="L158">
        <f t="shared" si="17"/>
        <v>1.7152469975612913E-3</v>
      </c>
      <c r="M158">
        <f t="shared" si="18"/>
        <v>4.7719057481371643E-4</v>
      </c>
    </row>
    <row r="159" spans="1:13" x14ac:dyDescent="0.35">
      <c r="A159" t="s">
        <v>114</v>
      </c>
      <c r="B159">
        <v>2017</v>
      </c>
      <c r="C159">
        <v>175794889</v>
      </c>
      <c r="D159">
        <v>85317554</v>
      </c>
      <c r="E159">
        <v>275704101</v>
      </c>
      <c r="G159">
        <v>77434488</v>
      </c>
      <c r="H159">
        <v>16398</v>
      </c>
      <c r="I159">
        <v>12042183</v>
      </c>
      <c r="J159">
        <v>23518600</v>
      </c>
      <c r="K159">
        <v>449129030906</v>
      </c>
      <c r="L159">
        <f t="shared" si="17"/>
        <v>1.4468630800577333E-3</v>
      </c>
      <c r="M159">
        <f t="shared" si="18"/>
        <v>2.5162405728266688E-4</v>
      </c>
    </row>
    <row r="160" spans="1:13" x14ac:dyDescent="0.35">
      <c r="A160" t="s">
        <v>114</v>
      </c>
      <c r="B160">
        <v>2018</v>
      </c>
      <c r="C160">
        <v>129087770</v>
      </c>
      <c r="D160">
        <v>65719216</v>
      </c>
      <c r="E160">
        <v>348371204</v>
      </c>
      <c r="G160">
        <v>80278042</v>
      </c>
      <c r="H160">
        <v>35457</v>
      </c>
      <c r="I160">
        <v>16799747</v>
      </c>
      <c r="J160">
        <v>34019064</v>
      </c>
      <c r="K160">
        <v>465325415456</v>
      </c>
      <c r="L160">
        <f t="shared" si="17"/>
        <v>1.4491159898051198E-3</v>
      </c>
      <c r="M160">
        <f t="shared" si="18"/>
        <v>2.8180775355134141E-4</v>
      </c>
    </row>
    <row r="161" spans="1:13" x14ac:dyDescent="0.35">
      <c r="A161" t="s">
        <v>114</v>
      </c>
      <c r="B161">
        <v>2019</v>
      </c>
      <c r="C161">
        <v>96771793</v>
      </c>
      <c r="D161">
        <v>47959175</v>
      </c>
      <c r="E161">
        <v>432249195</v>
      </c>
      <c r="G161">
        <v>81621699</v>
      </c>
      <c r="H161">
        <v>14404</v>
      </c>
      <c r="I161">
        <v>9048602</v>
      </c>
      <c r="J161">
        <v>26441377</v>
      </c>
      <c r="K161">
        <v>480352083928</v>
      </c>
      <c r="L161">
        <f t="shared" si="17"/>
        <v>1.4449947616008254E-3</v>
      </c>
      <c r="M161">
        <f t="shared" si="18"/>
        <v>2.4383381673338599E-4</v>
      </c>
    </row>
    <row r="162" spans="1:13" x14ac:dyDescent="0.35">
      <c r="A162" t="s">
        <v>114</v>
      </c>
      <c r="B162">
        <v>2020</v>
      </c>
      <c r="C162">
        <v>141912734</v>
      </c>
      <c r="D162">
        <v>46908902</v>
      </c>
      <c r="E162">
        <v>410791828</v>
      </c>
      <c r="G162">
        <v>88385381</v>
      </c>
      <c r="H162">
        <v>1120</v>
      </c>
      <c r="I162">
        <v>18291671</v>
      </c>
      <c r="J162">
        <v>30124858</v>
      </c>
      <c r="K162">
        <v>436717838010</v>
      </c>
      <c r="L162">
        <f t="shared" si="17"/>
        <v>1.6862523806117978E-3</v>
      </c>
      <c r="M162">
        <f t="shared" si="18"/>
        <v>3.1325267276320292E-4</v>
      </c>
    </row>
    <row r="163" spans="1:13" x14ac:dyDescent="0.35">
      <c r="A163" t="s">
        <v>114</v>
      </c>
      <c r="B163">
        <v>2021</v>
      </c>
      <c r="C163">
        <v>155060963</v>
      </c>
      <c r="D163">
        <v>47727037</v>
      </c>
      <c r="E163">
        <v>412596324</v>
      </c>
      <c r="G163">
        <v>83264022</v>
      </c>
      <c r="H163">
        <v>1001</v>
      </c>
      <c r="I163">
        <v>20170387</v>
      </c>
      <c r="J163">
        <v>34042437</v>
      </c>
      <c r="K163">
        <v>520771098751</v>
      </c>
      <c r="L163">
        <f t="shared" si="17"/>
        <v>1.4456681117781679E-3</v>
      </c>
      <c r="M163">
        <f t="shared" si="18"/>
        <v>2.6398901039194046E-4</v>
      </c>
    </row>
    <row r="164" spans="1:13" x14ac:dyDescent="0.35">
      <c r="A164" t="s">
        <v>114</v>
      </c>
      <c r="B164">
        <v>2022</v>
      </c>
      <c r="C164">
        <v>205256737</v>
      </c>
      <c r="D164">
        <v>44770056</v>
      </c>
      <c r="E164">
        <v>412912553</v>
      </c>
      <c r="G164">
        <v>93515822</v>
      </c>
      <c r="H164">
        <v>26290</v>
      </c>
      <c r="I164">
        <v>26386093</v>
      </c>
      <c r="J164">
        <v>50192258</v>
      </c>
      <c r="K164">
        <v>626169442832</v>
      </c>
      <c r="L164">
        <f t="shared" si="17"/>
        <v>1.3304063597103831E-3</v>
      </c>
      <c r="M164">
        <f t="shared" si="18"/>
        <v>2.7168438982041316E-4</v>
      </c>
    </row>
    <row r="165" spans="1:13" x14ac:dyDescent="0.35">
      <c r="A165" t="s">
        <v>114</v>
      </c>
      <c r="B165">
        <v>2023</v>
      </c>
      <c r="C165">
        <v>154495397</v>
      </c>
      <c r="D165">
        <v>40965668</v>
      </c>
      <c r="E165">
        <v>384053532</v>
      </c>
      <c r="G165">
        <v>174401481</v>
      </c>
      <c r="H165">
        <v>3244</v>
      </c>
      <c r="I165">
        <v>31608439</v>
      </c>
      <c r="J165">
        <v>65272820</v>
      </c>
      <c r="K165">
        <v>625949746357</v>
      </c>
      <c r="L165">
        <f t="shared" si="17"/>
        <v>1.3592154736887776E-3</v>
      </c>
      <c r="M165">
        <f t="shared" si="18"/>
        <v>4.3339898383036737E-4</v>
      </c>
    </row>
    <row r="166" spans="1:13" x14ac:dyDescent="0.35">
      <c r="A166" t="s">
        <v>114</v>
      </c>
      <c r="B166">
        <v>2024</v>
      </c>
      <c r="C166">
        <v>157367528</v>
      </c>
      <c r="D166">
        <v>47752259</v>
      </c>
      <c r="E166">
        <v>339160901</v>
      </c>
      <c r="G166">
        <v>145937813</v>
      </c>
      <c r="H166">
        <v>1306</v>
      </c>
      <c r="I166">
        <v>26504092</v>
      </c>
      <c r="J166">
        <v>71426193</v>
      </c>
      <c r="K166">
        <v>622606972884</v>
      </c>
      <c r="L166">
        <f t="shared" si="17"/>
        <v>1.2658870303831995E-3</v>
      </c>
      <c r="M166">
        <f t="shared" si="18"/>
        <v>3.9169076901012499E-4</v>
      </c>
    </row>
    <row r="167" spans="1:13" x14ac:dyDescent="0.35">
      <c r="A167" t="s">
        <v>114</v>
      </c>
      <c r="B167">
        <v>2025</v>
      </c>
      <c r="C167">
        <v>276733766</v>
      </c>
      <c r="D167">
        <v>64730209</v>
      </c>
      <c r="E167">
        <v>334151250</v>
      </c>
      <c r="G167">
        <v>63548964</v>
      </c>
      <c r="H167">
        <v>60139</v>
      </c>
      <c r="I167">
        <v>11218654</v>
      </c>
      <c r="J167">
        <v>58256345</v>
      </c>
      <c r="K167">
        <v>643153265752</v>
      </c>
      <c r="L167">
        <f t="shared" ref="L167" si="19">(SUM(C167:J167)/K167)</f>
        <v>1.257397528805886E-3</v>
      </c>
      <c r="M167">
        <f t="shared" ref="M167" si="20">(SUM(F167:J167)/K167)</f>
        <v>2.0692439747529363E-4</v>
      </c>
    </row>
    <row r="170" spans="1:13" x14ac:dyDescent="0.35">
      <c r="A170" t="s">
        <v>115</v>
      </c>
      <c r="B170">
        <v>2000</v>
      </c>
    </row>
    <row r="171" spans="1:13" x14ac:dyDescent="0.35">
      <c r="A171" t="s">
        <v>115</v>
      </c>
      <c r="B171">
        <v>2001</v>
      </c>
    </row>
    <row r="172" spans="1:13" x14ac:dyDescent="0.35">
      <c r="A172" t="s">
        <v>115</v>
      </c>
      <c r="B172">
        <v>2002</v>
      </c>
    </row>
    <row r="173" spans="1:13" x14ac:dyDescent="0.35">
      <c r="A173" t="s">
        <v>115</v>
      </c>
      <c r="B173">
        <v>2003</v>
      </c>
    </row>
    <row r="174" spans="1:13" x14ac:dyDescent="0.35">
      <c r="A174" t="s">
        <v>115</v>
      </c>
      <c r="B174">
        <v>2004</v>
      </c>
    </row>
    <row r="175" spans="1:13" x14ac:dyDescent="0.35">
      <c r="A175" t="s">
        <v>115</v>
      </c>
      <c r="B175">
        <v>2005</v>
      </c>
    </row>
    <row r="176" spans="1:13" x14ac:dyDescent="0.35">
      <c r="A176" t="s">
        <v>115</v>
      </c>
      <c r="B176">
        <v>2006</v>
      </c>
    </row>
    <row r="177" spans="1:13" x14ac:dyDescent="0.35">
      <c r="A177" t="s">
        <v>115</v>
      </c>
      <c r="B177">
        <v>2007</v>
      </c>
      <c r="C177">
        <v>3070471639</v>
      </c>
      <c r="D177">
        <v>1374520477</v>
      </c>
      <c r="E177">
        <v>8360199368</v>
      </c>
      <c r="F177">
        <v>56976645</v>
      </c>
      <c r="G177">
        <v>3374497644</v>
      </c>
      <c r="H177">
        <v>79071</v>
      </c>
      <c r="I177">
        <v>22197113</v>
      </c>
      <c r="J177">
        <v>428427945</v>
      </c>
      <c r="K177">
        <v>401900754138</v>
      </c>
      <c r="L177">
        <f t="shared" si="17"/>
        <v>4.1521121147909283E-2</v>
      </c>
      <c r="M177">
        <f t="shared" ref="M172:M194" si="21">(SUM(F177:J177)/K177)</f>
        <v>9.659544994700316E-3</v>
      </c>
    </row>
    <row r="178" spans="1:13" x14ac:dyDescent="0.35">
      <c r="A178" t="s">
        <v>115</v>
      </c>
      <c r="B178">
        <v>2008</v>
      </c>
      <c r="C178">
        <v>3062294839</v>
      </c>
      <c r="D178">
        <v>1170790349</v>
      </c>
      <c r="E178">
        <v>7060271817</v>
      </c>
      <c r="F178">
        <v>28303875</v>
      </c>
      <c r="G178">
        <v>2553564141</v>
      </c>
      <c r="H178">
        <v>1770955</v>
      </c>
      <c r="I178">
        <v>28697819</v>
      </c>
      <c r="J178">
        <v>482754543</v>
      </c>
      <c r="K178">
        <v>433721726540</v>
      </c>
      <c r="L178">
        <f t="shared" si="17"/>
        <v>3.3174377619455096E-2</v>
      </c>
      <c r="M178">
        <f t="shared" si="21"/>
        <v>7.1361224112312374E-3</v>
      </c>
    </row>
    <row r="179" spans="1:13" x14ac:dyDescent="0.35">
      <c r="A179" t="s">
        <v>115</v>
      </c>
      <c r="B179">
        <v>2009</v>
      </c>
      <c r="C179">
        <v>2579172561</v>
      </c>
      <c r="D179">
        <v>1820534071</v>
      </c>
      <c r="E179">
        <v>6210552524</v>
      </c>
      <c r="F179">
        <v>31739786</v>
      </c>
      <c r="G179">
        <v>1175084408</v>
      </c>
      <c r="H179">
        <v>209530</v>
      </c>
      <c r="I179">
        <v>15220402</v>
      </c>
      <c r="J179">
        <v>358610878</v>
      </c>
      <c r="K179">
        <v>356962270485</v>
      </c>
      <c r="L179">
        <f t="shared" si="17"/>
        <v>3.4152416566143186E-2</v>
      </c>
      <c r="M179">
        <f t="shared" si="21"/>
        <v>4.4286613312160394E-3</v>
      </c>
    </row>
    <row r="180" spans="1:13" x14ac:dyDescent="0.35">
      <c r="A180" t="s">
        <v>115</v>
      </c>
      <c r="B180">
        <v>2010</v>
      </c>
      <c r="C180">
        <v>2729988034</v>
      </c>
      <c r="D180">
        <v>1446168727</v>
      </c>
      <c r="E180">
        <v>7447101817</v>
      </c>
      <c r="F180">
        <v>11634144</v>
      </c>
      <c r="G180">
        <v>3766689411</v>
      </c>
      <c r="H180">
        <v>17747</v>
      </c>
      <c r="I180">
        <v>33303100</v>
      </c>
      <c r="J180">
        <v>1078836665</v>
      </c>
      <c r="K180">
        <v>433173089757</v>
      </c>
      <c r="L180">
        <f t="shared" si="17"/>
        <v>3.8122727462742027E-2</v>
      </c>
      <c r="M180">
        <f t="shared" si="21"/>
        <v>1.1289900463907963E-2</v>
      </c>
    </row>
    <row r="181" spans="1:13" x14ac:dyDescent="0.35">
      <c r="A181" t="s">
        <v>115</v>
      </c>
      <c r="B181">
        <v>2011</v>
      </c>
      <c r="C181">
        <v>1934808807</v>
      </c>
      <c r="D181">
        <v>1410093262</v>
      </c>
      <c r="E181">
        <v>8328705708</v>
      </c>
      <c r="F181">
        <v>13251286</v>
      </c>
      <c r="G181">
        <v>5177698119</v>
      </c>
      <c r="H181">
        <v>180726</v>
      </c>
      <c r="I181">
        <v>43733461</v>
      </c>
      <c r="J181">
        <v>1322924863</v>
      </c>
      <c r="K181">
        <v>479239418648</v>
      </c>
      <c r="L181">
        <f t="shared" si="17"/>
        <v>3.8042355287537209E-2</v>
      </c>
      <c r="M181">
        <f t="shared" si="21"/>
        <v>1.368374177879695E-2</v>
      </c>
    </row>
    <row r="182" spans="1:13" x14ac:dyDescent="0.35">
      <c r="A182" t="s">
        <v>115</v>
      </c>
      <c r="B182">
        <v>2012</v>
      </c>
      <c r="C182">
        <v>2825991726</v>
      </c>
      <c r="D182">
        <v>1398000798</v>
      </c>
      <c r="E182">
        <v>7683984291</v>
      </c>
      <c r="F182">
        <v>7007158</v>
      </c>
      <c r="G182">
        <v>3699581960</v>
      </c>
      <c r="H182">
        <v>38259</v>
      </c>
      <c r="I182">
        <v>27704683</v>
      </c>
      <c r="J182">
        <v>937631472</v>
      </c>
      <c r="K182">
        <v>510097962235</v>
      </c>
      <c r="L182">
        <f t="shared" si="17"/>
        <v>3.2503443601999124E-2</v>
      </c>
      <c r="M182">
        <f t="shared" si="21"/>
        <v>9.1589535302782597E-3</v>
      </c>
    </row>
    <row r="183" spans="1:13" x14ac:dyDescent="0.35">
      <c r="A183" t="s">
        <v>115</v>
      </c>
      <c r="B183">
        <v>2013</v>
      </c>
      <c r="C183">
        <v>2703380530</v>
      </c>
      <c r="D183">
        <v>1442652945</v>
      </c>
      <c r="E183">
        <v>7195404048</v>
      </c>
      <c r="F183">
        <v>5151747</v>
      </c>
      <c r="G183">
        <v>4070012433</v>
      </c>
      <c r="H183">
        <v>21984</v>
      </c>
      <c r="I183">
        <v>28458277</v>
      </c>
      <c r="J183">
        <v>1053320015</v>
      </c>
      <c r="K183">
        <v>505651479965</v>
      </c>
      <c r="L183">
        <f t="shared" si="17"/>
        <v>3.2628010858668864E-2</v>
      </c>
      <c r="M183">
        <f t="shared" si="21"/>
        <v>1.0198653935230157E-2</v>
      </c>
    </row>
    <row r="184" spans="1:13" x14ac:dyDescent="0.35">
      <c r="A184" t="s">
        <v>115</v>
      </c>
      <c r="B184">
        <v>2014</v>
      </c>
      <c r="C184">
        <v>2393950775</v>
      </c>
      <c r="D184">
        <v>1258945901</v>
      </c>
      <c r="E184">
        <v>7695984135</v>
      </c>
      <c r="F184">
        <v>7608447</v>
      </c>
      <c r="G184">
        <v>4609837225</v>
      </c>
      <c r="H184">
        <v>68660</v>
      </c>
      <c r="I184">
        <v>29741261</v>
      </c>
      <c r="J184">
        <v>1323476105</v>
      </c>
      <c r="K184">
        <v>506338920775</v>
      </c>
      <c r="L184">
        <f t="shared" si="17"/>
        <v>3.4205572193602422E-2</v>
      </c>
      <c r="M184">
        <f t="shared" si="21"/>
        <v>1.179196671048164E-2</v>
      </c>
    </row>
    <row r="185" spans="1:13" x14ac:dyDescent="0.35">
      <c r="A185" t="s">
        <v>115</v>
      </c>
      <c r="B185">
        <v>2015</v>
      </c>
      <c r="C185">
        <v>3017675846</v>
      </c>
      <c r="D185">
        <v>1265747702</v>
      </c>
      <c r="E185">
        <v>7690530084</v>
      </c>
      <c r="F185">
        <v>32786687</v>
      </c>
      <c r="G185">
        <v>4553676966</v>
      </c>
      <c r="H185">
        <v>1665833</v>
      </c>
      <c r="I185">
        <v>34479148</v>
      </c>
      <c r="J185">
        <v>1358630645</v>
      </c>
      <c r="K185">
        <v>514309061000</v>
      </c>
      <c r="L185">
        <f t="shared" si="17"/>
        <v>3.4911290258213046E-2</v>
      </c>
      <c r="M185">
        <f t="shared" si="21"/>
        <v>1.1629659542397213E-2</v>
      </c>
    </row>
    <row r="186" spans="1:13" x14ac:dyDescent="0.35">
      <c r="A186" t="s">
        <v>115</v>
      </c>
      <c r="B186">
        <v>2016</v>
      </c>
      <c r="C186">
        <v>3182720830</v>
      </c>
      <c r="D186">
        <v>1540217249</v>
      </c>
      <c r="E186">
        <v>7733551722</v>
      </c>
      <c r="F186">
        <v>32425365</v>
      </c>
      <c r="G186">
        <v>3870874767</v>
      </c>
      <c r="H186">
        <v>30713</v>
      </c>
      <c r="I186">
        <v>30746727</v>
      </c>
      <c r="J186">
        <v>1772337356</v>
      </c>
      <c r="K186">
        <v>515934642422</v>
      </c>
      <c r="L186">
        <f t="shared" si="17"/>
        <v>3.5203886763129889E-2</v>
      </c>
      <c r="M186">
        <f t="shared" si="21"/>
        <v>1.1060344583980338E-2</v>
      </c>
    </row>
    <row r="187" spans="1:13" x14ac:dyDescent="0.35">
      <c r="A187" t="s">
        <v>115</v>
      </c>
      <c r="B187">
        <v>2017</v>
      </c>
      <c r="C187">
        <v>3828061728</v>
      </c>
      <c r="D187">
        <v>1871539798</v>
      </c>
      <c r="E187">
        <v>3431441262</v>
      </c>
      <c r="F187">
        <v>42049705</v>
      </c>
      <c r="G187">
        <v>5474403798</v>
      </c>
      <c r="H187">
        <v>50223</v>
      </c>
      <c r="I187">
        <v>26401225</v>
      </c>
      <c r="J187">
        <v>3100316208</v>
      </c>
      <c r="K187">
        <v>577087073690</v>
      </c>
      <c r="L187">
        <f t="shared" si="17"/>
        <v>3.0799968942898191E-2</v>
      </c>
      <c r="M187">
        <f t="shared" si="21"/>
        <v>1.4977325871698473E-2</v>
      </c>
    </row>
    <row r="188" spans="1:13" x14ac:dyDescent="0.35">
      <c r="A188" t="s">
        <v>115</v>
      </c>
      <c r="B188">
        <v>2018</v>
      </c>
      <c r="C188">
        <v>4623643944</v>
      </c>
      <c r="D188">
        <v>1907510115</v>
      </c>
      <c r="E188">
        <v>3941078638</v>
      </c>
      <c r="F188">
        <v>79596680</v>
      </c>
      <c r="G188">
        <v>8226204883</v>
      </c>
      <c r="H188">
        <v>3031996</v>
      </c>
      <c r="I188">
        <v>41672932</v>
      </c>
      <c r="J188">
        <v>3125463168</v>
      </c>
      <c r="K188">
        <v>615600685103</v>
      </c>
      <c r="L188">
        <f t="shared" si="17"/>
        <v>3.5653310477274255E-2</v>
      </c>
      <c r="M188">
        <f t="shared" si="21"/>
        <v>1.8641905275137705E-2</v>
      </c>
    </row>
    <row r="189" spans="1:13" x14ac:dyDescent="0.35">
      <c r="A189" t="s">
        <v>115</v>
      </c>
      <c r="B189">
        <v>2019</v>
      </c>
      <c r="C189">
        <v>3817535651</v>
      </c>
      <c r="D189">
        <v>2255410415</v>
      </c>
      <c r="E189">
        <v>4165024852</v>
      </c>
      <c r="F189">
        <v>46063289</v>
      </c>
      <c r="G189">
        <v>9448669143</v>
      </c>
      <c r="H189">
        <v>5346227</v>
      </c>
      <c r="I189">
        <v>42603590</v>
      </c>
      <c r="J189">
        <v>2773110851</v>
      </c>
      <c r="K189">
        <v>633056944231</v>
      </c>
      <c r="L189">
        <f t="shared" si="17"/>
        <v>3.5626753996667669E-2</v>
      </c>
      <c r="M189">
        <f t="shared" si="21"/>
        <v>1.9454479114766672E-2</v>
      </c>
    </row>
    <row r="190" spans="1:13" x14ac:dyDescent="0.35">
      <c r="A190" t="s">
        <v>115</v>
      </c>
      <c r="B190">
        <v>2020</v>
      </c>
      <c r="C190">
        <v>4077787604</v>
      </c>
      <c r="D190">
        <v>2680770822</v>
      </c>
      <c r="E190">
        <v>4207898001</v>
      </c>
      <c r="F190">
        <v>30975057</v>
      </c>
      <c r="G190">
        <v>10257392343</v>
      </c>
      <c r="H190">
        <v>135573</v>
      </c>
      <c r="I190">
        <v>49156349</v>
      </c>
      <c r="J190">
        <v>2861054515</v>
      </c>
      <c r="K190">
        <v>590233153936</v>
      </c>
      <c r="L190">
        <f t="shared" si="17"/>
        <v>4.0941736503368756E-2</v>
      </c>
      <c r="M190">
        <f t="shared" si="21"/>
        <v>2.2361864542822952E-2</v>
      </c>
    </row>
    <row r="191" spans="1:13" x14ac:dyDescent="0.35">
      <c r="A191" t="s">
        <v>115</v>
      </c>
      <c r="B191">
        <v>2021</v>
      </c>
      <c r="C191">
        <v>4295081370</v>
      </c>
      <c r="D191">
        <v>2640914668</v>
      </c>
      <c r="E191">
        <v>4349479409</v>
      </c>
      <c r="F191">
        <v>10654172</v>
      </c>
      <c r="G191">
        <v>13813582172</v>
      </c>
      <c r="H191">
        <v>67605</v>
      </c>
      <c r="I191">
        <v>72098696</v>
      </c>
      <c r="J191">
        <v>3089233598</v>
      </c>
      <c r="K191">
        <v>711069847525</v>
      </c>
      <c r="L191">
        <f t="shared" si="17"/>
        <v>3.9758557880639193E-2</v>
      </c>
      <c r="M191">
        <f t="shared" si="21"/>
        <v>2.3887437081070738E-2</v>
      </c>
    </row>
    <row r="192" spans="1:13" x14ac:dyDescent="0.35">
      <c r="A192" t="s">
        <v>115</v>
      </c>
      <c r="B192">
        <v>2022</v>
      </c>
      <c r="C192">
        <v>5279679971</v>
      </c>
      <c r="D192">
        <v>3006519407</v>
      </c>
      <c r="E192">
        <v>5514087641</v>
      </c>
      <c r="F192">
        <v>5300661</v>
      </c>
      <c r="G192">
        <v>16566702526</v>
      </c>
      <c r="H192">
        <v>27833</v>
      </c>
      <c r="I192">
        <v>61798460</v>
      </c>
      <c r="J192">
        <v>3671680768</v>
      </c>
      <c r="K192">
        <v>917539930190</v>
      </c>
      <c r="L192">
        <f t="shared" si="17"/>
        <v>3.7170913379145826E-2</v>
      </c>
      <c r="M192">
        <f t="shared" si="21"/>
        <v>2.2130383190838602E-2</v>
      </c>
    </row>
    <row r="193" spans="1:13" x14ac:dyDescent="0.35">
      <c r="A193" t="s">
        <v>115</v>
      </c>
      <c r="B193">
        <v>2023</v>
      </c>
      <c r="C193">
        <v>4879106203</v>
      </c>
      <c r="D193">
        <v>7730817906</v>
      </c>
      <c r="E193">
        <v>5486943358</v>
      </c>
      <c r="F193">
        <v>3341669</v>
      </c>
      <c r="G193">
        <v>18087692336</v>
      </c>
      <c r="H193">
        <v>11681</v>
      </c>
      <c r="I193">
        <v>94052839</v>
      </c>
      <c r="J193">
        <v>4116336894</v>
      </c>
      <c r="K193">
        <v>864928867642</v>
      </c>
      <c r="L193">
        <f t="shared" si="17"/>
        <v>4.6707081237946535E-2</v>
      </c>
      <c r="M193">
        <f t="shared" si="21"/>
        <v>2.5784126595056273E-2</v>
      </c>
    </row>
    <row r="194" spans="1:13" x14ac:dyDescent="0.35">
      <c r="A194" t="s">
        <v>115</v>
      </c>
      <c r="B194">
        <v>2024</v>
      </c>
      <c r="C194">
        <v>6825863333</v>
      </c>
      <c r="D194">
        <v>6472712198</v>
      </c>
      <c r="E194">
        <v>5714729500</v>
      </c>
      <c r="F194">
        <v>2080453</v>
      </c>
      <c r="G194">
        <v>20284505144</v>
      </c>
      <c r="H194">
        <v>2702</v>
      </c>
      <c r="I194">
        <v>126828733</v>
      </c>
      <c r="J194">
        <v>3735941352</v>
      </c>
      <c r="K194">
        <v>850696780925</v>
      </c>
      <c r="L194">
        <f t="shared" si="17"/>
        <v>5.073801192484511E-2</v>
      </c>
      <c r="M194">
        <f t="shared" si="21"/>
        <v>2.8387739233879952E-2</v>
      </c>
    </row>
    <row r="195" spans="1:13" x14ac:dyDescent="0.35">
      <c r="A195" t="s">
        <v>115</v>
      </c>
      <c r="B195">
        <v>2025</v>
      </c>
      <c r="C195">
        <v>10630419476</v>
      </c>
      <c r="D195">
        <v>4573416086</v>
      </c>
      <c r="E195">
        <v>8250848220</v>
      </c>
      <c r="F195">
        <v>1260539</v>
      </c>
      <c r="G195">
        <v>21084850215</v>
      </c>
      <c r="H195">
        <v>154685</v>
      </c>
      <c r="I195">
        <v>306106594</v>
      </c>
      <c r="J195">
        <v>4526769641</v>
      </c>
      <c r="K195">
        <v>875641064742</v>
      </c>
      <c r="L195">
        <f t="shared" ref="L195" si="22">(SUM(C195:J195)/K195)</f>
        <v>5.6385918207876154E-2</v>
      </c>
      <c r="M195">
        <f t="shared" ref="M195" si="23">(SUM(F195:J195)/K195)</f>
        <v>2.9600189755418619E-2</v>
      </c>
    </row>
    <row r="198" spans="1:13" x14ac:dyDescent="0.35">
      <c r="A198" t="s">
        <v>155</v>
      </c>
      <c r="B198">
        <v>2000</v>
      </c>
    </row>
    <row r="199" spans="1:13" x14ac:dyDescent="0.35">
      <c r="A199" t="s">
        <v>155</v>
      </c>
      <c r="B199">
        <v>2001</v>
      </c>
    </row>
    <row r="200" spans="1:13" x14ac:dyDescent="0.35">
      <c r="A200" t="s">
        <v>155</v>
      </c>
      <c r="B200">
        <v>2002</v>
      </c>
    </row>
    <row r="201" spans="1:13" x14ac:dyDescent="0.35">
      <c r="A201" t="s">
        <v>155</v>
      </c>
      <c r="B201">
        <v>2003</v>
      </c>
    </row>
    <row r="202" spans="1:13" x14ac:dyDescent="0.35">
      <c r="A202" t="s">
        <v>155</v>
      </c>
      <c r="B202">
        <v>2004</v>
      </c>
    </row>
    <row r="203" spans="1:13" x14ac:dyDescent="0.35">
      <c r="A203" t="s">
        <v>155</v>
      </c>
      <c r="B203">
        <v>2005</v>
      </c>
    </row>
    <row r="204" spans="1:13" x14ac:dyDescent="0.35">
      <c r="A204" t="s">
        <v>155</v>
      </c>
      <c r="B204">
        <v>2006</v>
      </c>
    </row>
    <row r="205" spans="1:13" x14ac:dyDescent="0.35">
      <c r="A205" t="s">
        <v>155</v>
      </c>
      <c r="B205">
        <v>2007</v>
      </c>
      <c r="C205">
        <v>36941817</v>
      </c>
      <c r="D205">
        <v>30963457</v>
      </c>
      <c r="E205">
        <v>117471851</v>
      </c>
      <c r="F205">
        <v>1507273</v>
      </c>
      <c r="G205">
        <v>2671240</v>
      </c>
      <c r="H205">
        <v>1736</v>
      </c>
      <c r="I205">
        <v>433056</v>
      </c>
      <c r="J205">
        <v>919881</v>
      </c>
      <c r="K205">
        <v>65687615885</v>
      </c>
      <c r="L205">
        <f t="shared" ref="L201:L223" si="24">(SUM(C205:J205)/K205)</f>
        <v>2.9063364292932887E-3</v>
      </c>
      <c r="M205">
        <f t="shared" ref="M201:M223" si="25">(SUM(F205:J205)/K205)</f>
        <v>8.4234842830755295E-5</v>
      </c>
    </row>
    <row r="206" spans="1:13" x14ac:dyDescent="0.35">
      <c r="A206" t="s">
        <v>155</v>
      </c>
      <c r="B206">
        <v>2008</v>
      </c>
      <c r="C206">
        <v>42213720</v>
      </c>
      <c r="D206">
        <v>31379263</v>
      </c>
      <c r="E206">
        <v>73761666</v>
      </c>
      <c r="F206">
        <v>1436862</v>
      </c>
      <c r="G206">
        <v>2756802</v>
      </c>
      <c r="H206">
        <v>23</v>
      </c>
      <c r="I206">
        <v>305397</v>
      </c>
      <c r="J206">
        <v>17890540</v>
      </c>
      <c r="K206">
        <v>65580218842</v>
      </c>
      <c r="L206">
        <f t="shared" si="24"/>
        <v>2.5883456322242323E-3</v>
      </c>
      <c r="M206">
        <f t="shared" si="25"/>
        <v>3.4140819282629255E-4</v>
      </c>
    </row>
    <row r="207" spans="1:13" x14ac:dyDescent="0.35">
      <c r="A207" t="s">
        <v>155</v>
      </c>
      <c r="B207">
        <v>2009</v>
      </c>
      <c r="C207">
        <v>31626103</v>
      </c>
      <c r="D207">
        <v>26955393</v>
      </c>
      <c r="E207">
        <v>39270412</v>
      </c>
      <c r="F207">
        <v>38015</v>
      </c>
      <c r="G207">
        <v>3985087</v>
      </c>
      <c r="I207">
        <v>2092745</v>
      </c>
      <c r="J207">
        <v>568583</v>
      </c>
      <c r="K207">
        <v>45063410169</v>
      </c>
      <c r="L207">
        <f t="shared" si="24"/>
        <v>2.3197609237285951E-3</v>
      </c>
      <c r="M207">
        <f t="shared" si="25"/>
        <v>1.4833386942824736E-4</v>
      </c>
    </row>
    <row r="208" spans="1:13" x14ac:dyDescent="0.35">
      <c r="A208" t="s">
        <v>155</v>
      </c>
      <c r="B208">
        <v>2010</v>
      </c>
      <c r="C208">
        <v>38559902</v>
      </c>
      <c r="D208">
        <v>26783947</v>
      </c>
      <c r="E208">
        <v>44271996</v>
      </c>
      <c r="F208">
        <v>941</v>
      </c>
      <c r="G208">
        <v>6653078</v>
      </c>
      <c r="I208">
        <v>1376213</v>
      </c>
      <c r="J208">
        <v>1873631</v>
      </c>
      <c r="K208">
        <v>52438586658</v>
      </c>
      <c r="L208">
        <f t="shared" si="24"/>
        <v>2.2792320620595168E-3</v>
      </c>
      <c r="M208">
        <f t="shared" si="25"/>
        <v>1.888659407354388E-4</v>
      </c>
    </row>
    <row r="209" spans="1:13" x14ac:dyDescent="0.35">
      <c r="A209" t="s">
        <v>155</v>
      </c>
      <c r="B209">
        <v>2011</v>
      </c>
      <c r="C209">
        <v>52569504</v>
      </c>
      <c r="D209">
        <v>26006863</v>
      </c>
      <c r="E209">
        <v>39930734</v>
      </c>
      <c r="F209">
        <v>257366</v>
      </c>
      <c r="G209">
        <v>3510979</v>
      </c>
      <c r="I209">
        <v>410518</v>
      </c>
      <c r="J209">
        <v>2884618</v>
      </c>
      <c r="K209">
        <v>56855201762</v>
      </c>
      <c r="L209">
        <f t="shared" si="24"/>
        <v>2.2086032255350632E-3</v>
      </c>
      <c r="M209">
        <f t="shared" si="25"/>
        <v>1.2423631930053196E-4</v>
      </c>
    </row>
    <row r="210" spans="1:13" x14ac:dyDescent="0.35">
      <c r="A210" t="s">
        <v>155</v>
      </c>
      <c r="B210">
        <v>2012</v>
      </c>
      <c r="C210">
        <v>49194542</v>
      </c>
      <c r="D210">
        <v>34363236</v>
      </c>
      <c r="E210">
        <v>42862653</v>
      </c>
      <c r="G210">
        <v>8765857</v>
      </c>
      <c r="I210">
        <v>294302</v>
      </c>
      <c r="J210">
        <v>1351164</v>
      </c>
      <c r="K210">
        <v>56878038019</v>
      </c>
      <c r="L210">
        <f t="shared" si="24"/>
        <v>2.4057045349259692E-3</v>
      </c>
      <c r="M210">
        <f t="shared" si="25"/>
        <v>1.830464510136956E-4</v>
      </c>
    </row>
    <row r="211" spans="1:13" x14ac:dyDescent="0.35">
      <c r="A211" t="s">
        <v>155</v>
      </c>
      <c r="B211">
        <v>2013</v>
      </c>
      <c r="C211">
        <v>50360043</v>
      </c>
      <c r="D211">
        <v>34462001</v>
      </c>
      <c r="E211">
        <v>72696466</v>
      </c>
      <c r="G211">
        <v>4028551</v>
      </c>
      <c r="H211">
        <v>2</v>
      </c>
      <c r="I211">
        <v>184993</v>
      </c>
      <c r="J211">
        <v>801650</v>
      </c>
      <c r="K211">
        <v>56047548977</v>
      </c>
      <c r="L211">
        <f t="shared" si="24"/>
        <v>2.8999253128214096E-3</v>
      </c>
      <c r="M211">
        <f t="shared" si="25"/>
        <v>8.9481094027110187E-5</v>
      </c>
    </row>
    <row r="212" spans="1:13" x14ac:dyDescent="0.35">
      <c r="A212" t="s">
        <v>155</v>
      </c>
      <c r="B212">
        <v>2014</v>
      </c>
      <c r="C212">
        <v>55108144</v>
      </c>
      <c r="D212">
        <v>24298267</v>
      </c>
      <c r="E212">
        <v>54940914</v>
      </c>
      <c r="F212">
        <v>5425</v>
      </c>
      <c r="G212">
        <v>2508445</v>
      </c>
      <c r="H212">
        <v>240</v>
      </c>
      <c r="I212">
        <v>372395</v>
      </c>
      <c r="J212">
        <v>672373</v>
      </c>
      <c r="K212">
        <v>55973290788</v>
      </c>
      <c r="L212">
        <f t="shared" si="24"/>
        <v>2.4637858710562974E-3</v>
      </c>
      <c r="M212">
        <f t="shared" si="25"/>
        <v>6.358171817124929E-5</v>
      </c>
    </row>
    <row r="213" spans="1:13" x14ac:dyDescent="0.35">
      <c r="A213" t="s">
        <v>155</v>
      </c>
      <c r="B213">
        <v>2015</v>
      </c>
      <c r="C213">
        <v>64315629</v>
      </c>
      <c r="D213">
        <v>15455654</v>
      </c>
      <c r="E213">
        <v>43003616</v>
      </c>
      <c r="F213">
        <v>5886</v>
      </c>
      <c r="G213">
        <v>2934773</v>
      </c>
      <c r="H213">
        <v>22</v>
      </c>
      <c r="I213">
        <v>329181</v>
      </c>
      <c r="J213">
        <v>1218381</v>
      </c>
      <c r="K213">
        <v>53951342335</v>
      </c>
      <c r="L213">
        <f t="shared" si="24"/>
        <v>2.3588503361007245E-3</v>
      </c>
      <c r="M213">
        <f t="shared" si="25"/>
        <v>8.3190571462173421E-5</v>
      </c>
    </row>
    <row r="214" spans="1:13" x14ac:dyDescent="0.35">
      <c r="A214" t="s">
        <v>155</v>
      </c>
      <c r="B214">
        <v>2016</v>
      </c>
      <c r="C214">
        <v>56493044</v>
      </c>
      <c r="D214">
        <v>13817672</v>
      </c>
      <c r="E214">
        <v>34553466</v>
      </c>
      <c r="F214">
        <v>71253</v>
      </c>
      <c r="G214">
        <v>5265491</v>
      </c>
      <c r="H214">
        <v>4836</v>
      </c>
      <c r="I214">
        <v>76082</v>
      </c>
      <c r="J214">
        <v>1630839</v>
      </c>
      <c r="K214">
        <v>52321322993</v>
      </c>
      <c r="L214">
        <f t="shared" si="24"/>
        <v>2.1389497932797429E-3</v>
      </c>
      <c r="M214">
        <f t="shared" si="25"/>
        <v>1.3471564931458269E-4</v>
      </c>
    </row>
    <row r="215" spans="1:13" x14ac:dyDescent="0.35">
      <c r="A215" t="s">
        <v>155</v>
      </c>
      <c r="B215">
        <v>2017</v>
      </c>
      <c r="C215">
        <v>53380537</v>
      </c>
      <c r="D215">
        <v>20876408</v>
      </c>
      <c r="E215">
        <v>71529734</v>
      </c>
      <c r="F215">
        <v>845576</v>
      </c>
      <c r="G215">
        <v>6608500</v>
      </c>
      <c r="H215">
        <v>501</v>
      </c>
      <c r="I215">
        <v>284345</v>
      </c>
      <c r="J215">
        <v>1556931</v>
      </c>
      <c r="K215">
        <v>60239193331</v>
      </c>
      <c r="L215">
        <f t="shared" si="24"/>
        <v>2.5744456959750188E-3</v>
      </c>
      <c r="M215">
        <f t="shared" si="25"/>
        <v>1.5431569524713761E-4</v>
      </c>
    </row>
    <row r="216" spans="1:13" x14ac:dyDescent="0.35">
      <c r="A216" t="s">
        <v>155</v>
      </c>
      <c r="B216">
        <v>2018</v>
      </c>
      <c r="C216">
        <v>65259533</v>
      </c>
      <c r="D216">
        <v>22452215</v>
      </c>
      <c r="E216">
        <v>57000573</v>
      </c>
      <c r="F216">
        <v>3185</v>
      </c>
      <c r="G216">
        <v>11552722</v>
      </c>
      <c r="H216">
        <v>1099</v>
      </c>
      <c r="I216">
        <v>1389000</v>
      </c>
      <c r="J216">
        <v>1251624</v>
      </c>
      <c r="K216">
        <v>64235762122</v>
      </c>
      <c r="L216">
        <f t="shared" si="24"/>
        <v>2.4738548395859257E-3</v>
      </c>
      <c r="M216">
        <f t="shared" si="25"/>
        <v>2.2102376512689458E-4</v>
      </c>
    </row>
    <row r="217" spans="1:13" x14ac:dyDescent="0.35">
      <c r="A217" t="s">
        <v>155</v>
      </c>
      <c r="B217">
        <v>2019</v>
      </c>
      <c r="C217">
        <v>70343264</v>
      </c>
      <c r="D217">
        <v>17144264</v>
      </c>
      <c r="E217">
        <v>43453505</v>
      </c>
      <c r="F217">
        <v>266000</v>
      </c>
      <c r="G217">
        <v>5726394</v>
      </c>
      <c r="I217">
        <v>844167</v>
      </c>
      <c r="J217">
        <v>1244743</v>
      </c>
      <c r="K217">
        <v>65615478371</v>
      </c>
      <c r="L217">
        <f t="shared" si="24"/>
        <v>2.1187430230096981E-3</v>
      </c>
      <c r="M217">
        <f t="shared" si="25"/>
        <v>1.2316154969269698E-4</v>
      </c>
    </row>
    <row r="218" spans="1:13" x14ac:dyDescent="0.35">
      <c r="A218" t="s">
        <v>155</v>
      </c>
      <c r="B218">
        <v>2020</v>
      </c>
      <c r="C218">
        <v>42782105</v>
      </c>
      <c r="D218">
        <v>16470857</v>
      </c>
      <c r="E218">
        <v>37052162</v>
      </c>
      <c r="G218">
        <v>6474504</v>
      </c>
      <c r="H218">
        <v>18</v>
      </c>
      <c r="I218">
        <v>1340198</v>
      </c>
      <c r="J218">
        <v>3137775</v>
      </c>
      <c r="K218">
        <v>57874462310</v>
      </c>
      <c r="L218">
        <f t="shared" si="24"/>
        <v>1.8532806132259684E-3</v>
      </c>
      <c r="M218">
        <f t="shared" si="25"/>
        <v>1.892457322771108E-4</v>
      </c>
    </row>
    <row r="219" spans="1:13" x14ac:dyDescent="0.35">
      <c r="A219" t="s">
        <v>155</v>
      </c>
      <c r="B219">
        <v>2021</v>
      </c>
      <c r="C219">
        <v>59313154</v>
      </c>
      <c r="D219">
        <v>32685530</v>
      </c>
      <c r="E219">
        <v>66830136</v>
      </c>
      <c r="F219">
        <v>125914</v>
      </c>
      <c r="G219">
        <v>11313056</v>
      </c>
      <c r="I219">
        <v>1040425</v>
      </c>
      <c r="J219">
        <v>1860499</v>
      </c>
      <c r="K219">
        <v>69471294545</v>
      </c>
      <c r="L219">
        <f t="shared" si="24"/>
        <v>2.4926657137190676E-3</v>
      </c>
      <c r="M219">
        <f t="shared" si="25"/>
        <v>2.0641466513498377E-4</v>
      </c>
    </row>
    <row r="220" spans="1:13" x14ac:dyDescent="0.35">
      <c r="A220" t="s">
        <v>155</v>
      </c>
      <c r="B220">
        <v>2022</v>
      </c>
      <c r="C220">
        <v>51785075</v>
      </c>
      <c r="D220">
        <v>25761676</v>
      </c>
      <c r="E220">
        <v>41192506</v>
      </c>
      <c r="F220">
        <v>61801</v>
      </c>
      <c r="G220">
        <v>20688691</v>
      </c>
      <c r="I220">
        <v>2845116</v>
      </c>
      <c r="J220">
        <v>2319905</v>
      </c>
      <c r="K220">
        <v>81884667895</v>
      </c>
      <c r="L220">
        <f t="shared" si="24"/>
        <v>1.7665672184869769E-3</v>
      </c>
      <c r="M220">
        <f t="shared" si="25"/>
        <v>3.1648797835061429E-4</v>
      </c>
    </row>
    <row r="221" spans="1:13" x14ac:dyDescent="0.35">
      <c r="A221" t="s">
        <v>155</v>
      </c>
      <c r="B221">
        <v>2023</v>
      </c>
      <c r="C221">
        <v>56314774</v>
      </c>
      <c r="D221">
        <v>24548229</v>
      </c>
      <c r="E221">
        <v>54334314</v>
      </c>
      <c r="F221">
        <v>622</v>
      </c>
      <c r="G221">
        <v>36435469</v>
      </c>
      <c r="H221">
        <v>3039</v>
      </c>
      <c r="I221">
        <v>1852398</v>
      </c>
      <c r="J221">
        <v>3883067</v>
      </c>
      <c r="K221">
        <v>76362024306</v>
      </c>
      <c r="L221">
        <f t="shared" si="24"/>
        <v>2.3227764535056119E-3</v>
      </c>
      <c r="M221">
        <f t="shared" si="25"/>
        <v>5.5229802226034244E-4</v>
      </c>
    </row>
    <row r="222" spans="1:13" x14ac:dyDescent="0.35">
      <c r="A222" t="s">
        <v>155</v>
      </c>
      <c r="B222">
        <v>2024</v>
      </c>
      <c r="C222">
        <v>49383198</v>
      </c>
      <c r="D222">
        <v>33123877</v>
      </c>
      <c r="E222">
        <v>41685807</v>
      </c>
      <c r="G222">
        <v>31182263</v>
      </c>
      <c r="I222">
        <v>21178302</v>
      </c>
      <c r="J222">
        <v>4187606</v>
      </c>
      <c r="K222">
        <v>72126011126</v>
      </c>
      <c r="L222">
        <f t="shared" si="24"/>
        <v>2.5059066788575865E-3</v>
      </c>
      <c r="M222">
        <f t="shared" si="25"/>
        <v>7.840191092948921E-4</v>
      </c>
    </row>
    <row r="223" spans="1:13" x14ac:dyDescent="0.35">
      <c r="A223" t="s">
        <v>155</v>
      </c>
      <c r="B223">
        <v>2025</v>
      </c>
      <c r="C223">
        <v>78987630</v>
      </c>
      <c r="D223">
        <v>28457462</v>
      </c>
      <c r="E223">
        <v>24551055</v>
      </c>
      <c r="F223">
        <v>518368</v>
      </c>
      <c r="G223">
        <v>28324465</v>
      </c>
      <c r="H223">
        <v>560</v>
      </c>
      <c r="I223">
        <v>2925383</v>
      </c>
      <c r="J223">
        <v>3782804</v>
      </c>
      <c r="K223">
        <v>74279238204</v>
      </c>
      <c r="L223">
        <f t="shared" si="24"/>
        <v>2.2556468139838491E-3</v>
      </c>
      <c r="M223">
        <f t="shared" si="25"/>
        <v>4.7862068674373558E-4</v>
      </c>
    </row>
    <row r="226" spans="1:13" x14ac:dyDescent="0.35">
      <c r="A226" t="s">
        <v>156</v>
      </c>
      <c r="B226">
        <v>2000</v>
      </c>
    </row>
    <row r="227" spans="1:13" x14ac:dyDescent="0.35">
      <c r="A227" t="s">
        <v>156</v>
      </c>
      <c r="B227">
        <v>2001</v>
      </c>
    </row>
    <row r="228" spans="1:13" x14ac:dyDescent="0.35">
      <c r="A228" t="s">
        <v>156</v>
      </c>
      <c r="B228">
        <v>2002</v>
      </c>
    </row>
    <row r="229" spans="1:13" x14ac:dyDescent="0.35">
      <c r="A229" t="s">
        <v>156</v>
      </c>
      <c r="B229">
        <v>2003</v>
      </c>
    </row>
    <row r="230" spans="1:13" x14ac:dyDescent="0.35">
      <c r="A230" t="s">
        <v>156</v>
      </c>
      <c r="B230">
        <v>2004</v>
      </c>
    </row>
    <row r="231" spans="1:13" x14ac:dyDescent="0.35">
      <c r="A231" t="s">
        <v>156</v>
      </c>
      <c r="B231">
        <v>2005</v>
      </c>
    </row>
    <row r="232" spans="1:13" x14ac:dyDescent="0.35">
      <c r="A232" t="s">
        <v>156</v>
      </c>
      <c r="B232">
        <v>2006</v>
      </c>
    </row>
    <row r="233" spans="1:13" x14ac:dyDescent="0.35">
      <c r="A233" t="s">
        <v>156</v>
      </c>
      <c r="B233">
        <v>2007</v>
      </c>
      <c r="C233">
        <v>4253581415</v>
      </c>
      <c r="D233">
        <v>540433892</v>
      </c>
      <c r="E233">
        <v>2542514626</v>
      </c>
      <c r="F233">
        <v>396550</v>
      </c>
      <c r="G233">
        <v>10188557</v>
      </c>
      <c r="H233">
        <v>2</v>
      </c>
      <c r="I233">
        <v>124109</v>
      </c>
      <c r="J233">
        <v>17160722</v>
      </c>
      <c r="K233">
        <v>88685503864</v>
      </c>
      <c r="L233">
        <f t="shared" ref="L229:L251" si="26">(SUM(C233:J233)/K233)</f>
        <v>8.3039499716812473E-2</v>
      </c>
      <c r="M233">
        <f t="shared" ref="M229:M251" si="27">(SUM(F233:J233)/K233)</f>
        <v>3.1425586804737329E-4</v>
      </c>
    </row>
    <row r="234" spans="1:13" x14ac:dyDescent="0.35">
      <c r="A234" t="s">
        <v>156</v>
      </c>
      <c r="B234">
        <v>2008</v>
      </c>
      <c r="C234">
        <v>3279791984</v>
      </c>
      <c r="D234">
        <v>413492835</v>
      </c>
      <c r="E234">
        <v>2010375922</v>
      </c>
      <c r="F234">
        <v>1061752</v>
      </c>
      <c r="G234">
        <v>12623749</v>
      </c>
      <c r="H234">
        <v>12957</v>
      </c>
      <c r="I234">
        <v>254927</v>
      </c>
      <c r="J234">
        <v>4452989</v>
      </c>
      <c r="K234">
        <v>85476843450</v>
      </c>
      <c r="L234">
        <f t="shared" si="26"/>
        <v>6.6942892180466923E-2</v>
      </c>
      <c r="M234">
        <f t="shared" si="27"/>
        <v>2.1533754941204487E-4</v>
      </c>
    </row>
    <row r="235" spans="1:13" x14ac:dyDescent="0.35">
      <c r="A235" t="s">
        <v>156</v>
      </c>
      <c r="B235">
        <v>2009</v>
      </c>
      <c r="C235">
        <v>1571979481</v>
      </c>
      <c r="D235">
        <v>350527974</v>
      </c>
      <c r="E235">
        <v>1409677609</v>
      </c>
      <c r="F235">
        <v>246931</v>
      </c>
      <c r="G235">
        <v>19252700</v>
      </c>
      <c r="I235">
        <v>723127</v>
      </c>
      <c r="J235">
        <v>5657340</v>
      </c>
      <c r="K235">
        <v>83114389074</v>
      </c>
      <c r="L235">
        <f t="shared" si="26"/>
        <v>4.040293382906518E-2</v>
      </c>
      <c r="M235">
        <f t="shared" si="27"/>
        <v>3.1137927245014017E-4</v>
      </c>
    </row>
    <row r="236" spans="1:13" x14ac:dyDescent="0.35">
      <c r="A236" t="s">
        <v>156</v>
      </c>
      <c r="B236">
        <v>2010</v>
      </c>
      <c r="C236">
        <v>1055239932</v>
      </c>
      <c r="D236">
        <v>415969198</v>
      </c>
      <c r="E236">
        <v>952535616</v>
      </c>
      <c r="F236">
        <v>36931</v>
      </c>
      <c r="G236">
        <v>1369218</v>
      </c>
      <c r="I236">
        <v>4758795</v>
      </c>
      <c r="J236">
        <v>7586861</v>
      </c>
      <c r="K236">
        <v>88660234695</v>
      </c>
      <c r="L236">
        <f t="shared" si="26"/>
        <v>2.7492556943766615E-2</v>
      </c>
      <c r="M236">
        <f t="shared" si="27"/>
        <v>1.5510679672017081E-4</v>
      </c>
    </row>
    <row r="237" spans="1:13" x14ac:dyDescent="0.35">
      <c r="A237" t="s">
        <v>156</v>
      </c>
      <c r="B237">
        <v>2011</v>
      </c>
      <c r="C237">
        <v>517306531</v>
      </c>
      <c r="D237">
        <v>389916315</v>
      </c>
      <c r="E237">
        <v>677668134</v>
      </c>
      <c r="F237">
        <v>6087793</v>
      </c>
      <c r="G237">
        <v>4048177</v>
      </c>
      <c r="I237">
        <v>394341</v>
      </c>
      <c r="J237">
        <v>13038993</v>
      </c>
      <c r="K237">
        <v>91554495094</v>
      </c>
      <c r="L237">
        <f t="shared" si="26"/>
        <v>1.7568337658883666E-2</v>
      </c>
      <c r="M237">
        <f t="shared" si="27"/>
        <v>2.5743470023837869E-4</v>
      </c>
    </row>
    <row r="238" spans="1:13" x14ac:dyDescent="0.35">
      <c r="A238" t="s">
        <v>156</v>
      </c>
      <c r="B238">
        <v>2012</v>
      </c>
      <c r="C238">
        <v>380434900</v>
      </c>
      <c r="D238">
        <v>279623775</v>
      </c>
      <c r="E238">
        <v>574401354</v>
      </c>
      <c r="F238">
        <v>12697</v>
      </c>
      <c r="G238">
        <v>6009633</v>
      </c>
      <c r="I238">
        <v>852333</v>
      </c>
      <c r="J238">
        <v>7769334</v>
      </c>
      <c r="K238">
        <v>92480320505</v>
      </c>
      <c r="L238">
        <f t="shared" si="26"/>
        <v>1.3506700876241735E-2</v>
      </c>
      <c r="M238">
        <f t="shared" si="27"/>
        <v>1.5834716964684682E-4</v>
      </c>
    </row>
    <row r="239" spans="1:13" x14ac:dyDescent="0.35">
      <c r="A239" t="s">
        <v>156</v>
      </c>
      <c r="B239">
        <v>2013</v>
      </c>
      <c r="C239">
        <v>473443392</v>
      </c>
      <c r="D239">
        <v>274653596</v>
      </c>
      <c r="E239">
        <v>714520003</v>
      </c>
      <c r="G239">
        <v>11495791</v>
      </c>
      <c r="H239">
        <v>863</v>
      </c>
      <c r="I239">
        <v>1029769</v>
      </c>
      <c r="J239">
        <v>15980909</v>
      </c>
      <c r="K239">
        <v>87933847280</v>
      </c>
      <c r="L239">
        <f t="shared" si="26"/>
        <v>1.6957342014752796E-2</v>
      </c>
      <c r="M239">
        <f t="shared" si="27"/>
        <v>3.2419066015872838E-4</v>
      </c>
    </row>
    <row r="240" spans="1:13" x14ac:dyDescent="0.35">
      <c r="A240" t="s">
        <v>156</v>
      </c>
      <c r="B240">
        <v>2014</v>
      </c>
      <c r="C240">
        <v>496727128</v>
      </c>
      <c r="D240">
        <v>184687885</v>
      </c>
      <c r="E240">
        <v>616485600</v>
      </c>
      <c r="F240">
        <v>679663</v>
      </c>
      <c r="G240">
        <v>22990042</v>
      </c>
      <c r="H240">
        <v>285194</v>
      </c>
      <c r="I240">
        <v>1215331</v>
      </c>
      <c r="J240">
        <v>31617795</v>
      </c>
      <c r="K240">
        <v>91217207790</v>
      </c>
      <c r="L240">
        <f t="shared" si="26"/>
        <v>1.485123992305005E-2</v>
      </c>
      <c r="M240">
        <f t="shared" si="27"/>
        <v>6.2255824724143311E-4</v>
      </c>
    </row>
    <row r="241" spans="1:13" x14ac:dyDescent="0.35">
      <c r="A241" t="s">
        <v>156</v>
      </c>
      <c r="B241">
        <v>2015</v>
      </c>
      <c r="C241">
        <v>621501855</v>
      </c>
      <c r="D241">
        <v>190730955</v>
      </c>
      <c r="E241">
        <v>705025997</v>
      </c>
      <c r="G241">
        <v>16970636</v>
      </c>
      <c r="H241">
        <v>4232</v>
      </c>
      <c r="I241">
        <v>1293647</v>
      </c>
      <c r="J241">
        <v>49588049</v>
      </c>
      <c r="K241">
        <v>111259139473</v>
      </c>
      <c r="L241">
        <f t="shared" si="26"/>
        <v>1.4247057621586859E-2</v>
      </c>
      <c r="M241">
        <f t="shared" si="27"/>
        <v>6.0989653813084909E-4</v>
      </c>
    </row>
    <row r="242" spans="1:13" x14ac:dyDescent="0.35">
      <c r="A242" t="s">
        <v>156</v>
      </c>
      <c r="B242">
        <v>2016</v>
      </c>
      <c r="C242">
        <v>575150613</v>
      </c>
      <c r="D242">
        <v>162562735</v>
      </c>
      <c r="E242">
        <v>641351678</v>
      </c>
      <c r="F242">
        <v>675518</v>
      </c>
      <c r="G242">
        <v>8776467</v>
      </c>
      <c r="H242">
        <v>48028</v>
      </c>
      <c r="I242">
        <v>2291254</v>
      </c>
      <c r="J242">
        <v>54661116</v>
      </c>
      <c r="K242">
        <v>118230301290</v>
      </c>
      <c r="L242">
        <f t="shared" si="26"/>
        <v>1.2226285421149162E-2</v>
      </c>
      <c r="M242">
        <f t="shared" si="27"/>
        <v>5.6205881466040537E-4</v>
      </c>
    </row>
    <row r="243" spans="1:13" x14ac:dyDescent="0.35">
      <c r="A243" t="s">
        <v>156</v>
      </c>
      <c r="B243">
        <v>2017</v>
      </c>
      <c r="C243">
        <v>782723088</v>
      </c>
      <c r="D243">
        <v>131199018</v>
      </c>
      <c r="E243">
        <v>625284646</v>
      </c>
      <c r="F243">
        <v>250494</v>
      </c>
      <c r="G243">
        <v>10615246</v>
      </c>
      <c r="I243">
        <v>2542409</v>
      </c>
      <c r="J243">
        <v>62397036</v>
      </c>
      <c r="K243">
        <v>121759700579</v>
      </c>
      <c r="L243">
        <f t="shared" si="26"/>
        <v>1.3263928289246652E-2</v>
      </c>
      <c r="M243">
        <f t="shared" si="27"/>
        <v>6.2258025142576754E-4</v>
      </c>
    </row>
    <row r="244" spans="1:13" x14ac:dyDescent="0.35">
      <c r="A244" t="s">
        <v>156</v>
      </c>
      <c r="B244">
        <v>2018</v>
      </c>
      <c r="C244">
        <v>811635875</v>
      </c>
      <c r="D244">
        <v>106084318</v>
      </c>
      <c r="E244">
        <v>1000529502</v>
      </c>
      <c r="F244">
        <v>45938</v>
      </c>
      <c r="G244">
        <v>15407624</v>
      </c>
      <c r="I244">
        <v>2205394</v>
      </c>
      <c r="J244">
        <v>80277454</v>
      </c>
      <c r="K244">
        <v>139637126173</v>
      </c>
      <c r="L244">
        <f t="shared" si="26"/>
        <v>1.443875393498213E-2</v>
      </c>
      <c r="M244">
        <f t="shared" si="27"/>
        <v>7.0136368947226887E-4</v>
      </c>
    </row>
    <row r="245" spans="1:13" x14ac:dyDescent="0.35">
      <c r="A245" t="s">
        <v>156</v>
      </c>
      <c r="B245">
        <v>2019</v>
      </c>
      <c r="C245">
        <v>1096436660</v>
      </c>
      <c r="D245">
        <v>46319690</v>
      </c>
      <c r="E245">
        <v>1181831688</v>
      </c>
      <c r="F245">
        <v>23073</v>
      </c>
      <c r="G245">
        <v>16594351</v>
      </c>
      <c r="I245">
        <v>1971253</v>
      </c>
      <c r="J245">
        <v>91712409</v>
      </c>
      <c r="K245">
        <v>151515579063</v>
      </c>
      <c r="L245">
        <f t="shared" si="26"/>
        <v>1.6070222871191194E-2</v>
      </c>
      <c r="M245">
        <f t="shared" si="27"/>
        <v>7.2798511336010494E-4</v>
      </c>
    </row>
    <row r="246" spans="1:13" x14ac:dyDescent="0.35">
      <c r="A246" t="s">
        <v>156</v>
      </c>
      <c r="B246">
        <v>2020</v>
      </c>
      <c r="C246">
        <v>1007185716</v>
      </c>
      <c r="D246">
        <v>115902349</v>
      </c>
      <c r="E246">
        <v>883563622</v>
      </c>
      <c r="F246">
        <v>10000</v>
      </c>
      <c r="G246">
        <v>19848423</v>
      </c>
      <c r="I246">
        <v>2264519</v>
      </c>
      <c r="J246">
        <v>78717363</v>
      </c>
      <c r="K246">
        <v>157828328620</v>
      </c>
      <c r="L246">
        <f t="shared" si="26"/>
        <v>1.3353065387102748E-2</v>
      </c>
      <c r="M246">
        <f t="shared" si="27"/>
        <v>6.3892398710494564E-4</v>
      </c>
    </row>
    <row r="247" spans="1:13" x14ac:dyDescent="0.35">
      <c r="A247" t="s">
        <v>156</v>
      </c>
      <c r="B247">
        <v>2021</v>
      </c>
      <c r="C247">
        <v>435743067</v>
      </c>
      <c r="D247">
        <v>56115099</v>
      </c>
      <c r="E247">
        <v>1014067039</v>
      </c>
      <c r="F247">
        <v>3223</v>
      </c>
      <c r="G247">
        <v>9080820</v>
      </c>
      <c r="H247">
        <v>61362</v>
      </c>
      <c r="I247">
        <v>2479248</v>
      </c>
      <c r="J247">
        <v>94300538</v>
      </c>
      <c r="K247">
        <v>161204860324</v>
      </c>
      <c r="L247">
        <f t="shared" si="26"/>
        <v>9.9987704636224882E-3</v>
      </c>
      <c r="M247">
        <f t="shared" si="27"/>
        <v>6.5708435085086556E-4</v>
      </c>
    </row>
    <row r="248" spans="1:13" x14ac:dyDescent="0.35">
      <c r="A248" t="s">
        <v>156</v>
      </c>
      <c r="B248">
        <v>2022</v>
      </c>
      <c r="C248">
        <v>397142109</v>
      </c>
      <c r="D248">
        <v>75339640</v>
      </c>
      <c r="E248">
        <v>1130150484</v>
      </c>
      <c r="F248">
        <v>13903</v>
      </c>
      <c r="G248">
        <v>20877664</v>
      </c>
      <c r="H248">
        <v>48</v>
      </c>
      <c r="I248">
        <v>2894561</v>
      </c>
      <c r="J248">
        <v>115220454</v>
      </c>
      <c r="K248">
        <v>203431809932</v>
      </c>
      <c r="L248">
        <f t="shared" si="26"/>
        <v>8.5612907026790339E-3</v>
      </c>
      <c r="M248">
        <f t="shared" si="27"/>
        <v>6.8330823014584085E-4</v>
      </c>
    </row>
    <row r="249" spans="1:13" x14ac:dyDescent="0.35">
      <c r="A249" t="s">
        <v>156</v>
      </c>
      <c r="B249">
        <v>2023</v>
      </c>
      <c r="C249">
        <v>376226713</v>
      </c>
      <c r="D249">
        <v>65300796</v>
      </c>
      <c r="E249">
        <v>1038104050</v>
      </c>
      <c r="F249">
        <v>29619</v>
      </c>
      <c r="G249">
        <v>53935270</v>
      </c>
      <c r="H249">
        <v>2715</v>
      </c>
      <c r="I249">
        <v>3157168</v>
      </c>
      <c r="J249">
        <v>121778350</v>
      </c>
      <c r="K249">
        <v>192695314572</v>
      </c>
      <c r="L249">
        <f t="shared" si="26"/>
        <v>8.6070317001936941E-3</v>
      </c>
      <c r="M249">
        <f t="shared" si="27"/>
        <v>9.2842486802217189E-4</v>
      </c>
    </row>
    <row r="250" spans="1:13" x14ac:dyDescent="0.35">
      <c r="A250" t="s">
        <v>156</v>
      </c>
      <c r="B250">
        <v>2024</v>
      </c>
      <c r="C250">
        <v>853170941</v>
      </c>
      <c r="D250">
        <v>60166025</v>
      </c>
      <c r="E250">
        <v>1009984950</v>
      </c>
      <c r="F250">
        <v>3191</v>
      </c>
      <c r="G250">
        <v>105620588</v>
      </c>
      <c r="H250">
        <v>27854</v>
      </c>
      <c r="I250">
        <v>5085057</v>
      </c>
      <c r="J250">
        <v>148539223</v>
      </c>
      <c r="K250">
        <v>222748336891</v>
      </c>
      <c r="L250">
        <f t="shared" si="26"/>
        <v>9.7984921434813473E-3</v>
      </c>
      <c r="M250">
        <f t="shared" si="27"/>
        <v>1.1639858533573451E-3</v>
      </c>
    </row>
    <row r="251" spans="1:13" x14ac:dyDescent="0.35">
      <c r="A251" t="s">
        <v>156</v>
      </c>
      <c r="B251">
        <v>2025</v>
      </c>
      <c r="C251">
        <v>1668628174</v>
      </c>
      <c r="D251">
        <v>64197943</v>
      </c>
      <c r="E251">
        <v>1669688937</v>
      </c>
      <c r="F251">
        <v>1293247</v>
      </c>
      <c r="G251">
        <v>124828035</v>
      </c>
      <c r="I251">
        <v>3496287</v>
      </c>
      <c r="J251">
        <v>135374033</v>
      </c>
      <c r="K251">
        <v>258255172371</v>
      </c>
      <c r="L251">
        <f t="shared" si="26"/>
        <v>1.4201096622109055E-2</v>
      </c>
      <c r="M251">
        <f t="shared" si="27"/>
        <v>1.026084393846419E-3</v>
      </c>
    </row>
    <row r="254" spans="1:13" x14ac:dyDescent="0.35">
      <c r="A254" t="s">
        <v>157</v>
      </c>
      <c r="B254">
        <v>2000</v>
      </c>
    </row>
    <row r="255" spans="1:13" x14ac:dyDescent="0.35">
      <c r="A255" t="s">
        <v>157</v>
      </c>
      <c r="B255">
        <v>2001</v>
      </c>
    </row>
    <row r="256" spans="1:13" x14ac:dyDescent="0.35">
      <c r="A256" t="s">
        <v>157</v>
      </c>
      <c r="B256">
        <v>2002</v>
      </c>
    </row>
    <row r="257" spans="1:13" x14ac:dyDescent="0.35">
      <c r="A257" t="s">
        <v>157</v>
      </c>
      <c r="B257">
        <v>2003</v>
      </c>
    </row>
    <row r="258" spans="1:13" x14ac:dyDescent="0.35">
      <c r="A258" t="s">
        <v>157</v>
      </c>
      <c r="B258">
        <v>2004</v>
      </c>
    </row>
    <row r="259" spans="1:13" x14ac:dyDescent="0.35">
      <c r="A259" t="s">
        <v>157</v>
      </c>
      <c r="B259">
        <v>2005</v>
      </c>
    </row>
    <row r="260" spans="1:13" x14ac:dyDescent="0.35">
      <c r="A260" t="s">
        <v>157</v>
      </c>
      <c r="B260">
        <v>2006</v>
      </c>
    </row>
    <row r="261" spans="1:13" x14ac:dyDescent="0.35">
      <c r="A261" t="s">
        <v>157</v>
      </c>
      <c r="B261">
        <v>2007</v>
      </c>
      <c r="C261">
        <v>5478913</v>
      </c>
      <c r="D261">
        <v>4830662</v>
      </c>
      <c r="E261">
        <v>337023881</v>
      </c>
      <c r="F261">
        <v>82261</v>
      </c>
      <c r="G261">
        <v>507410</v>
      </c>
      <c r="H261">
        <v>251</v>
      </c>
      <c r="I261">
        <v>1157764</v>
      </c>
      <c r="J261">
        <v>866914</v>
      </c>
      <c r="K261">
        <v>38294061544</v>
      </c>
      <c r="L261">
        <f t="shared" ref="L257:L279" si="28">(SUM(C261:J261)/K261)</f>
        <v>9.1384418860326055E-3</v>
      </c>
      <c r="M261">
        <f t="shared" ref="M257:M279" si="29">(SUM(F261:J261)/K261)</f>
        <v>6.8276904945060898E-5</v>
      </c>
    </row>
    <row r="262" spans="1:13" x14ac:dyDescent="0.35">
      <c r="A262" t="s">
        <v>157</v>
      </c>
      <c r="B262">
        <v>2008</v>
      </c>
      <c r="C262">
        <v>6154686</v>
      </c>
      <c r="D262">
        <v>3113928</v>
      </c>
      <c r="E262">
        <v>179574898</v>
      </c>
      <c r="G262">
        <v>1531421</v>
      </c>
      <c r="H262">
        <v>18000</v>
      </c>
      <c r="I262">
        <v>416417</v>
      </c>
      <c r="J262">
        <v>1010038</v>
      </c>
      <c r="K262">
        <v>38847346198</v>
      </c>
      <c r="L262">
        <f t="shared" si="28"/>
        <v>4.93777327857406E-3</v>
      </c>
      <c r="M262">
        <f t="shared" si="29"/>
        <v>7.6604357600962934E-5</v>
      </c>
    </row>
    <row r="263" spans="1:13" x14ac:dyDescent="0.35">
      <c r="A263" t="s">
        <v>157</v>
      </c>
      <c r="B263">
        <v>2009</v>
      </c>
      <c r="C263">
        <v>6117237</v>
      </c>
      <c r="D263">
        <v>2427698</v>
      </c>
      <c r="E263">
        <v>22721165</v>
      </c>
      <c r="G263">
        <v>177867</v>
      </c>
      <c r="H263">
        <v>198049</v>
      </c>
      <c r="I263">
        <v>101774</v>
      </c>
      <c r="J263">
        <v>441611</v>
      </c>
      <c r="K263">
        <v>31696763402</v>
      </c>
      <c r="L263">
        <f t="shared" si="28"/>
        <v>1.0154160092563005E-3</v>
      </c>
      <c r="M263">
        <f t="shared" si="29"/>
        <v>2.9002992776921633E-5</v>
      </c>
    </row>
    <row r="264" spans="1:13" x14ac:dyDescent="0.35">
      <c r="A264" t="s">
        <v>157</v>
      </c>
      <c r="B264">
        <v>2010</v>
      </c>
      <c r="C264">
        <v>3745510</v>
      </c>
      <c r="D264">
        <v>1967532</v>
      </c>
      <c r="E264">
        <v>31137365</v>
      </c>
      <c r="F264">
        <v>48605</v>
      </c>
      <c r="G264">
        <v>1380855</v>
      </c>
      <c r="H264">
        <v>61596</v>
      </c>
      <c r="I264">
        <v>4055084</v>
      </c>
      <c r="J264">
        <v>152944</v>
      </c>
      <c r="K264">
        <v>37267906508</v>
      </c>
      <c r="L264">
        <f t="shared" si="28"/>
        <v>1.1417193769890522E-3</v>
      </c>
      <c r="M264">
        <f t="shared" si="29"/>
        <v>1.5292203222567986E-4</v>
      </c>
    </row>
    <row r="265" spans="1:13" x14ac:dyDescent="0.35">
      <c r="A265" t="s">
        <v>157</v>
      </c>
      <c r="B265">
        <v>2011</v>
      </c>
      <c r="C265">
        <v>4358253</v>
      </c>
      <c r="D265">
        <v>1259931</v>
      </c>
      <c r="E265">
        <v>17443735</v>
      </c>
      <c r="G265">
        <v>2075994</v>
      </c>
      <c r="H265">
        <v>12393</v>
      </c>
      <c r="I265">
        <v>1341180</v>
      </c>
      <c r="J265">
        <v>131081</v>
      </c>
      <c r="K265">
        <v>42828033392</v>
      </c>
      <c r="L265">
        <f t="shared" si="28"/>
        <v>6.2161544417243598E-4</v>
      </c>
      <c r="M265">
        <f t="shared" si="29"/>
        <v>8.3138255903786283E-5</v>
      </c>
    </row>
    <row r="266" spans="1:13" x14ac:dyDescent="0.35">
      <c r="A266" t="s">
        <v>157</v>
      </c>
      <c r="B266">
        <v>2012</v>
      </c>
      <c r="C266">
        <v>9770786</v>
      </c>
      <c r="D266">
        <v>2571574</v>
      </c>
      <c r="E266">
        <v>16020123</v>
      </c>
      <c r="F266">
        <v>732</v>
      </c>
      <c r="G266">
        <v>812778</v>
      </c>
      <c r="H266">
        <v>58404</v>
      </c>
      <c r="I266">
        <v>1082511</v>
      </c>
      <c r="J266">
        <v>262208</v>
      </c>
      <c r="K266">
        <v>45213015628</v>
      </c>
      <c r="L266">
        <f t="shared" si="28"/>
        <v>6.7633436025582507E-4</v>
      </c>
      <c r="M266">
        <f t="shared" si="29"/>
        <v>4.9026435622826712E-5</v>
      </c>
    </row>
    <row r="267" spans="1:13" x14ac:dyDescent="0.35">
      <c r="A267" t="s">
        <v>157</v>
      </c>
      <c r="B267">
        <v>2013</v>
      </c>
      <c r="C267">
        <v>7598123</v>
      </c>
      <c r="D267">
        <v>4617772</v>
      </c>
      <c r="E267">
        <v>12229497</v>
      </c>
      <c r="F267">
        <v>156250</v>
      </c>
      <c r="G267">
        <v>572186</v>
      </c>
      <c r="H267">
        <v>71642</v>
      </c>
      <c r="I267">
        <v>2900</v>
      </c>
      <c r="J267">
        <v>91524</v>
      </c>
      <c r="K267">
        <v>47302913319</v>
      </c>
      <c r="L267">
        <f t="shared" si="28"/>
        <v>5.3569415120615434E-4</v>
      </c>
      <c r="M267">
        <f t="shared" si="29"/>
        <v>1.8910082640527522E-5</v>
      </c>
    </row>
    <row r="268" spans="1:13" x14ac:dyDescent="0.35">
      <c r="A268" t="s">
        <v>157</v>
      </c>
      <c r="B268">
        <v>2014</v>
      </c>
      <c r="C268">
        <v>6539818</v>
      </c>
      <c r="D268">
        <v>5372692</v>
      </c>
      <c r="E268">
        <v>11810116</v>
      </c>
      <c r="G268">
        <v>2486735</v>
      </c>
      <c r="H268">
        <v>8780</v>
      </c>
      <c r="I268">
        <v>28525</v>
      </c>
      <c r="J268">
        <v>295605</v>
      </c>
      <c r="K268">
        <v>48053695644</v>
      </c>
      <c r="L268">
        <f t="shared" si="28"/>
        <v>5.5234609210153592E-4</v>
      </c>
      <c r="M268">
        <f t="shared" si="29"/>
        <v>5.8676964637413098E-5</v>
      </c>
    </row>
    <row r="269" spans="1:13" x14ac:dyDescent="0.35">
      <c r="A269" t="s">
        <v>157</v>
      </c>
      <c r="B269">
        <v>2015</v>
      </c>
      <c r="C269">
        <v>6107756</v>
      </c>
      <c r="D269">
        <v>6333457</v>
      </c>
      <c r="E269">
        <v>10327182</v>
      </c>
      <c r="G269">
        <v>579057</v>
      </c>
      <c r="H269">
        <v>9156</v>
      </c>
      <c r="I269">
        <v>37831</v>
      </c>
      <c r="J269">
        <v>4605820</v>
      </c>
      <c r="K269">
        <v>49634001363</v>
      </c>
      <c r="L269">
        <f t="shared" si="28"/>
        <v>5.6413463011412536E-4</v>
      </c>
      <c r="M269">
        <f t="shared" si="29"/>
        <v>1.0540887005535943E-4</v>
      </c>
    </row>
    <row r="270" spans="1:13" x14ac:dyDescent="0.35">
      <c r="A270" t="s">
        <v>157</v>
      </c>
      <c r="B270">
        <v>2016</v>
      </c>
      <c r="C270">
        <v>10257668</v>
      </c>
      <c r="D270">
        <v>3446557</v>
      </c>
      <c r="E270">
        <v>9962207</v>
      </c>
      <c r="F270">
        <v>70000</v>
      </c>
      <c r="G270">
        <v>205301</v>
      </c>
      <c r="I270">
        <v>43279</v>
      </c>
      <c r="J270">
        <v>2540806</v>
      </c>
      <c r="K270">
        <v>50038841230</v>
      </c>
      <c r="L270">
        <f t="shared" si="28"/>
        <v>5.3010456173587135E-4</v>
      </c>
      <c r="M270">
        <f t="shared" si="29"/>
        <v>5.714332965579747E-5</v>
      </c>
    </row>
    <row r="271" spans="1:13" x14ac:dyDescent="0.35">
      <c r="A271" t="s">
        <v>157</v>
      </c>
      <c r="B271">
        <v>2017</v>
      </c>
      <c r="C271">
        <v>9688030</v>
      </c>
      <c r="D271">
        <v>3013033</v>
      </c>
      <c r="E271">
        <v>14410017</v>
      </c>
      <c r="G271">
        <v>739127</v>
      </c>
      <c r="I271">
        <v>99558</v>
      </c>
      <c r="J271">
        <v>133488</v>
      </c>
      <c r="K271">
        <v>55017987697</v>
      </c>
      <c r="L271">
        <f t="shared" si="28"/>
        <v>5.1043766185456679E-4</v>
      </c>
      <c r="M271">
        <f t="shared" si="29"/>
        <v>1.7670093740142559E-5</v>
      </c>
    </row>
    <row r="272" spans="1:13" x14ac:dyDescent="0.35">
      <c r="A272" t="s">
        <v>157</v>
      </c>
      <c r="B272">
        <v>2018</v>
      </c>
      <c r="C272">
        <v>6753353</v>
      </c>
      <c r="D272">
        <v>2445401</v>
      </c>
      <c r="E272">
        <v>12782411</v>
      </c>
      <c r="G272">
        <v>786352</v>
      </c>
      <c r="J272">
        <v>965373</v>
      </c>
      <c r="K272">
        <v>57849991618</v>
      </c>
      <c r="L272">
        <f t="shared" si="28"/>
        <v>4.1024880620061353E-4</v>
      </c>
      <c r="M272">
        <f t="shared" si="29"/>
        <v>3.0280471111683818E-5</v>
      </c>
    </row>
    <row r="273" spans="1:13" x14ac:dyDescent="0.35">
      <c r="A273" t="s">
        <v>157</v>
      </c>
      <c r="B273">
        <v>2019</v>
      </c>
      <c r="C273">
        <v>9742589</v>
      </c>
      <c r="D273">
        <v>3301316</v>
      </c>
      <c r="E273">
        <v>41184422</v>
      </c>
      <c r="G273">
        <v>711310</v>
      </c>
      <c r="I273">
        <v>27598</v>
      </c>
      <c r="J273">
        <v>688678</v>
      </c>
      <c r="K273">
        <v>59902809944</v>
      </c>
      <c r="L273">
        <f t="shared" si="28"/>
        <v>9.2910354375745977E-4</v>
      </c>
      <c r="M273">
        <f t="shared" si="29"/>
        <v>2.3831703409816257E-5</v>
      </c>
    </row>
    <row r="274" spans="1:13" x14ac:dyDescent="0.35">
      <c r="A274" t="s">
        <v>157</v>
      </c>
      <c r="B274">
        <v>2020</v>
      </c>
      <c r="C274">
        <v>11592835</v>
      </c>
      <c r="D274">
        <v>3120915</v>
      </c>
      <c r="E274">
        <v>53218265</v>
      </c>
      <c r="F274">
        <v>120</v>
      </c>
      <c r="G274">
        <v>2051684</v>
      </c>
      <c r="I274">
        <v>201190</v>
      </c>
      <c r="J274">
        <v>763177</v>
      </c>
      <c r="K274">
        <v>53757392564</v>
      </c>
      <c r="L274">
        <f t="shared" si="28"/>
        <v>1.3197847331515155E-3</v>
      </c>
      <c r="M274">
        <f t="shared" si="29"/>
        <v>5.6107092553068789E-5</v>
      </c>
    </row>
    <row r="275" spans="1:13" x14ac:dyDescent="0.35">
      <c r="A275" t="s">
        <v>157</v>
      </c>
      <c r="B275">
        <v>2021</v>
      </c>
      <c r="C275">
        <v>10131461</v>
      </c>
      <c r="D275">
        <v>3368955</v>
      </c>
      <c r="E275">
        <v>89556882</v>
      </c>
      <c r="F275">
        <v>125</v>
      </c>
      <c r="G275">
        <v>1785496</v>
      </c>
      <c r="I275">
        <v>36285</v>
      </c>
      <c r="J275">
        <v>1444877</v>
      </c>
      <c r="K275">
        <v>63618525288</v>
      </c>
      <c r="L275">
        <f t="shared" si="28"/>
        <v>1.671275473907524E-3</v>
      </c>
      <c r="M275">
        <f t="shared" si="29"/>
        <v>5.1349555576953853E-5</v>
      </c>
    </row>
    <row r="276" spans="1:13" x14ac:dyDescent="0.35">
      <c r="A276" t="s">
        <v>157</v>
      </c>
      <c r="B276">
        <v>2022</v>
      </c>
      <c r="C276">
        <v>19412313</v>
      </c>
      <c r="D276">
        <v>18313241</v>
      </c>
      <c r="E276">
        <v>62524244</v>
      </c>
      <c r="G276">
        <v>2348406</v>
      </c>
      <c r="I276">
        <v>870483</v>
      </c>
      <c r="J276">
        <v>2492120</v>
      </c>
      <c r="K276">
        <v>78402700313</v>
      </c>
      <c r="L276">
        <f t="shared" si="28"/>
        <v>1.351494356405867E-3</v>
      </c>
      <c r="M276">
        <f t="shared" si="29"/>
        <v>7.2841993671142143E-5</v>
      </c>
    </row>
    <row r="277" spans="1:13" x14ac:dyDescent="0.35">
      <c r="A277" t="s">
        <v>157</v>
      </c>
      <c r="B277">
        <v>2023</v>
      </c>
      <c r="C277">
        <v>15168876</v>
      </c>
      <c r="D277">
        <v>22737537</v>
      </c>
      <c r="E277">
        <v>73277530</v>
      </c>
      <c r="G277">
        <v>4884608</v>
      </c>
      <c r="I277">
        <v>289698</v>
      </c>
      <c r="J277">
        <v>868925</v>
      </c>
      <c r="K277">
        <v>77340132974</v>
      </c>
      <c r="L277">
        <f t="shared" si="28"/>
        <v>1.5157353561754169E-3</v>
      </c>
      <c r="M277">
        <f t="shared" si="29"/>
        <v>7.8138358024695885E-5</v>
      </c>
    </row>
    <row r="278" spans="1:13" x14ac:dyDescent="0.35">
      <c r="A278" t="s">
        <v>157</v>
      </c>
      <c r="B278">
        <v>2024</v>
      </c>
      <c r="C278">
        <v>18425792</v>
      </c>
      <c r="D278">
        <v>6437566</v>
      </c>
      <c r="E278">
        <v>69051287</v>
      </c>
      <c r="G278">
        <v>690833</v>
      </c>
      <c r="H278">
        <v>667</v>
      </c>
      <c r="J278">
        <v>1832975</v>
      </c>
      <c r="K278">
        <v>78895039661</v>
      </c>
      <c r="L278">
        <f t="shared" si="28"/>
        <v>1.222372412947433E-3</v>
      </c>
      <c r="M278">
        <f t="shared" si="29"/>
        <v>3.1997892527176432E-5</v>
      </c>
    </row>
    <row r="279" spans="1:13" x14ac:dyDescent="0.35">
      <c r="A279" t="s">
        <v>157</v>
      </c>
      <c r="B279">
        <v>2025</v>
      </c>
      <c r="C279">
        <v>18103441</v>
      </c>
      <c r="D279">
        <v>10626868</v>
      </c>
      <c r="E279">
        <v>71876921</v>
      </c>
      <c r="F279">
        <v>219</v>
      </c>
      <c r="G279">
        <v>581628</v>
      </c>
      <c r="I279">
        <v>782433</v>
      </c>
      <c r="J279">
        <v>1017142</v>
      </c>
      <c r="K279">
        <v>78967527509</v>
      </c>
      <c r="L279">
        <f t="shared" si="28"/>
        <v>1.3041899024667106E-3</v>
      </c>
      <c r="M279">
        <f t="shared" si="29"/>
        <v>3.0156978129125131E-5</v>
      </c>
    </row>
  </sheetData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3EB1-3858-4F24-AEBC-0E05268E9289}">
  <dimension ref="A1:Z2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5" x14ac:dyDescent="0.35"/>
  <cols>
    <col min="1" max="2" width="8.7265625" style="11"/>
    <col min="3" max="3" width="15.08984375" style="11" bestFit="1" customWidth="1"/>
    <col min="4" max="4" width="14.7265625" style="11" bestFit="1" customWidth="1"/>
    <col min="5" max="5" width="15.08984375" style="11" bestFit="1" customWidth="1"/>
    <col min="6" max="6" width="14.7265625" style="11" bestFit="1" customWidth="1"/>
    <col min="7" max="7" width="16.08984375" style="11" bestFit="1" customWidth="1"/>
    <col min="8" max="8" width="15.7265625" style="11" bestFit="1" customWidth="1"/>
    <col min="9" max="10" width="8.7265625" style="11"/>
    <col min="11" max="11" width="16.08984375" style="11" bestFit="1" customWidth="1"/>
    <col min="12" max="13" width="8.7265625" style="11"/>
    <col min="14" max="14" width="14.54296875" style="11" bestFit="1" customWidth="1"/>
    <col min="15" max="20" width="8.7265625" style="11"/>
    <col min="21" max="21" width="14.54296875" style="11" bestFit="1" customWidth="1"/>
    <col min="22" max="16384" width="8.7265625" style="11"/>
  </cols>
  <sheetData>
    <row r="1" spans="1:26" x14ac:dyDescent="0.35">
      <c r="A1" s="11" t="s">
        <v>0</v>
      </c>
      <c r="B1" s="11" t="s">
        <v>116</v>
      </c>
      <c r="C1" s="11" t="s">
        <v>213</v>
      </c>
      <c r="D1" s="11" t="s">
        <v>214</v>
      </c>
      <c r="E1" s="11" t="s">
        <v>215</v>
      </c>
      <c r="F1" s="11" t="s">
        <v>216</v>
      </c>
      <c r="G1" s="11" t="s">
        <v>217</v>
      </c>
      <c r="H1" s="11" t="s">
        <v>218</v>
      </c>
      <c r="K1" s="11" t="s">
        <v>127</v>
      </c>
      <c r="L1" s="11" t="s">
        <v>212</v>
      </c>
      <c r="Z1" s="11" t="s">
        <v>219</v>
      </c>
    </row>
    <row r="2" spans="1:26" x14ac:dyDescent="0.35">
      <c r="A2" s="11" t="s">
        <v>3</v>
      </c>
      <c r="B2" s="11">
        <v>2002</v>
      </c>
      <c r="C2" s="12">
        <v>970441011</v>
      </c>
      <c r="D2" s="12">
        <v>1352970368</v>
      </c>
      <c r="E2" s="12">
        <v>594216714</v>
      </c>
      <c r="F2" s="12">
        <v>1050392413</v>
      </c>
      <c r="G2" s="12">
        <v>452688130</v>
      </c>
      <c r="H2" s="12">
        <v>272694726</v>
      </c>
      <c r="K2" s="12">
        <v>83198982398</v>
      </c>
      <c r="L2" s="11">
        <f t="shared" ref="L2:L25" si="0">SUM(C2:H2)/K2</f>
        <v>5.641178806187927E-2</v>
      </c>
      <c r="Z2" s="11">
        <f>(G2+H2)/K2</f>
        <v>8.7186505783205023E-3</v>
      </c>
    </row>
    <row r="3" spans="1:26" x14ac:dyDescent="0.35">
      <c r="A3" s="11" t="s">
        <v>3</v>
      </c>
      <c r="B3" s="11">
        <v>2003</v>
      </c>
      <c r="C3" s="12">
        <v>849582646</v>
      </c>
      <c r="D3" s="12">
        <v>1314284036</v>
      </c>
      <c r="E3" s="12">
        <v>563719201</v>
      </c>
      <c r="F3" s="12">
        <v>1057292411</v>
      </c>
      <c r="G3" s="12">
        <v>445117617</v>
      </c>
      <c r="H3" s="12">
        <v>289045216</v>
      </c>
      <c r="K3" s="12">
        <v>85878805465</v>
      </c>
      <c r="L3" s="11">
        <f t="shared" si="0"/>
        <v>5.2621145607826839E-2</v>
      </c>
      <c r="Z3" s="11">
        <f t="shared" ref="Z3:Z66" si="1">(G3+H3)/K3</f>
        <v>8.5488244628554935E-3</v>
      </c>
    </row>
    <row r="4" spans="1:26" x14ac:dyDescent="0.35">
      <c r="A4" s="11" t="s">
        <v>3</v>
      </c>
      <c r="B4" s="11">
        <v>2004</v>
      </c>
      <c r="C4" s="12">
        <v>671840601</v>
      </c>
      <c r="D4" s="12">
        <v>1504953676</v>
      </c>
      <c r="E4" s="12">
        <v>746097643</v>
      </c>
      <c r="F4" s="12">
        <v>1381763681</v>
      </c>
      <c r="G4" s="12">
        <v>524165921</v>
      </c>
      <c r="H4" s="12">
        <v>390540891</v>
      </c>
      <c r="K4" s="12">
        <v>95164850432</v>
      </c>
      <c r="L4" s="11">
        <f t="shared" si="0"/>
        <v>5.4845485379389033E-2</v>
      </c>
      <c r="Z4" s="11">
        <f t="shared" si="1"/>
        <v>9.6118136880129212E-3</v>
      </c>
    </row>
    <row r="5" spans="1:26" x14ac:dyDescent="0.35">
      <c r="A5" s="11" t="s">
        <v>3</v>
      </c>
      <c r="B5" s="11">
        <v>2005</v>
      </c>
      <c r="C5" s="12">
        <v>577836754</v>
      </c>
      <c r="D5" s="12">
        <v>1575723005</v>
      </c>
      <c r="E5" s="12">
        <v>762073259</v>
      </c>
      <c r="F5" s="12">
        <v>1060017068</v>
      </c>
      <c r="G5" s="12">
        <v>488132036</v>
      </c>
      <c r="H5" s="12">
        <v>470708917</v>
      </c>
      <c r="K5" s="12">
        <v>100620644589</v>
      </c>
      <c r="L5" s="11">
        <f t="shared" si="0"/>
        <v>4.9040542913988107E-2</v>
      </c>
      <c r="Z5" s="11">
        <f t="shared" si="1"/>
        <v>9.529266652152037E-3</v>
      </c>
    </row>
    <row r="6" spans="1:26" x14ac:dyDescent="0.35">
      <c r="A6" s="11" t="s">
        <v>3</v>
      </c>
      <c r="B6" s="11">
        <v>2006</v>
      </c>
      <c r="C6" s="12">
        <v>760094123</v>
      </c>
      <c r="D6" s="12">
        <v>1809024531</v>
      </c>
      <c r="E6" s="12">
        <v>426131675</v>
      </c>
      <c r="F6" s="12">
        <v>1031691758</v>
      </c>
      <c r="G6" s="12">
        <v>539788704</v>
      </c>
      <c r="H6" s="12">
        <v>441936541</v>
      </c>
      <c r="K6" s="12">
        <v>108913131868</v>
      </c>
      <c r="L6" s="11">
        <f t="shared" si="0"/>
        <v>4.5987726604633683E-2</v>
      </c>
      <c r="Z6" s="11">
        <f t="shared" si="1"/>
        <v>9.0138372495781917E-3</v>
      </c>
    </row>
    <row r="7" spans="1:26" x14ac:dyDescent="0.35">
      <c r="A7" s="11" t="s">
        <v>3</v>
      </c>
      <c r="B7" s="11">
        <v>2007</v>
      </c>
      <c r="C7" s="12">
        <v>585462128</v>
      </c>
      <c r="D7" s="12">
        <v>1439230344</v>
      </c>
      <c r="E7" s="12">
        <v>391657587</v>
      </c>
      <c r="F7" s="12">
        <v>1030841586</v>
      </c>
      <c r="G7" s="12">
        <v>734584485</v>
      </c>
      <c r="H7" s="12">
        <v>893944983</v>
      </c>
      <c r="K7" s="12">
        <v>119387392490</v>
      </c>
      <c r="L7" s="11">
        <f t="shared" si="0"/>
        <v>4.2514716228726976E-2</v>
      </c>
      <c r="Z7" s="11">
        <f t="shared" si="1"/>
        <v>1.3640715606854443E-2</v>
      </c>
    </row>
    <row r="8" spans="1:26" x14ac:dyDescent="0.35">
      <c r="A8" s="11" t="s">
        <v>3</v>
      </c>
      <c r="B8" s="11">
        <v>2008</v>
      </c>
      <c r="C8" s="12">
        <v>707118327</v>
      </c>
      <c r="D8" s="12">
        <v>1195752529</v>
      </c>
      <c r="E8" s="12">
        <v>321836204</v>
      </c>
      <c r="F8" s="12">
        <v>1122316434</v>
      </c>
      <c r="G8" s="12">
        <v>760504255</v>
      </c>
      <c r="H8" s="12">
        <v>897230750</v>
      </c>
      <c r="K8" s="12">
        <v>123258767441</v>
      </c>
      <c r="L8" s="11">
        <f t="shared" si="0"/>
        <v>4.0603671470231251E-2</v>
      </c>
      <c r="Z8" s="11">
        <f t="shared" si="1"/>
        <v>1.3449225879964314E-2</v>
      </c>
    </row>
    <row r="9" spans="1:26" x14ac:dyDescent="0.35">
      <c r="A9" s="11" t="s">
        <v>3</v>
      </c>
      <c r="B9" s="11">
        <v>2009</v>
      </c>
      <c r="C9" s="12">
        <v>507516418</v>
      </c>
      <c r="D9" s="12">
        <v>949160956</v>
      </c>
      <c r="E9" s="12">
        <v>213048001</v>
      </c>
      <c r="F9" s="12">
        <v>929892110</v>
      </c>
      <c r="G9" s="12">
        <v>636807159</v>
      </c>
      <c r="H9" s="12">
        <v>663087502</v>
      </c>
      <c r="K9" s="12">
        <v>98213743491</v>
      </c>
      <c r="L9" s="11">
        <f t="shared" si="0"/>
        <v>3.9704342868850523E-2</v>
      </c>
      <c r="Z9" s="11">
        <f t="shared" si="1"/>
        <v>1.3235364163866926E-2</v>
      </c>
    </row>
    <row r="10" spans="1:26" x14ac:dyDescent="0.35">
      <c r="A10" s="11" t="s">
        <v>3</v>
      </c>
      <c r="B10" s="11">
        <v>2010</v>
      </c>
      <c r="C10" s="12">
        <v>777790773</v>
      </c>
      <c r="D10" s="12">
        <v>1357254710</v>
      </c>
      <c r="E10" s="12">
        <v>231317752</v>
      </c>
      <c r="F10" s="12">
        <v>1068219526</v>
      </c>
      <c r="G10" s="12">
        <v>773897730</v>
      </c>
      <c r="H10" s="12">
        <v>741447612</v>
      </c>
      <c r="K10" s="12">
        <v>115078517863</v>
      </c>
      <c r="L10" s="11">
        <f t="shared" si="0"/>
        <v>4.3013485009364194E-2</v>
      </c>
      <c r="Z10" s="11">
        <f t="shared" si="1"/>
        <v>1.3167925431608406E-2</v>
      </c>
    </row>
    <row r="11" spans="1:26" x14ac:dyDescent="0.35">
      <c r="A11" s="11" t="s">
        <v>3</v>
      </c>
      <c r="B11" s="11">
        <v>2011</v>
      </c>
      <c r="C11" s="12">
        <v>842148350</v>
      </c>
      <c r="D11" s="12">
        <v>1153045756</v>
      </c>
      <c r="E11" s="12">
        <v>311363108</v>
      </c>
      <c r="F11" s="12">
        <v>779369155</v>
      </c>
      <c r="G11" s="12">
        <v>855516038</v>
      </c>
      <c r="H11" s="12">
        <v>864481109</v>
      </c>
      <c r="K11" s="12">
        <v>127462352596</v>
      </c>
      <c r="L11" s="11">
        <f t="shared" si="0"/>
        <v>3.7704650966491095E-2</v>
      </c>
      <c r="Z11" s="11">
        <f t="shared" si="1"/>
        <v>1.3494158172740149E-2</v>
      </c>
    </row>
    <row r="12" spans="1:26" x14ac:dyDescent="0.35">
      <c r="A12" s="11" t="s">
        <v>3</v>
      </c>
      <c r="B12" s="11">
        <v>2012</v>
      </c>
      <c r="C12" s="12">
        <v>777609377</v>
      </c>
      <c r="D12" s="12">
        <v>1060802488</v>
      </c>
      <c r="E12" s="12">
        <v>238886268</v>
      </c>
      <c r="F12" s="12">
        <v>789811574</v>
      </c>
      <c r="G12" s="12">
        <v>942752232</v>
      </c>
      <c r="H12" s="12">
        <v>768345370</v>
      </c>
      <c r="K12" s="12">
        <v>129678513652</v>
      </c>
      <c r="L12" s="11">
        <f t="shared" si="0"/>
        <v>3.5304285807021905E-2</v>
      </c>
      <c r="Z12" s="11">
        <f t="shared" si="1"/>
        <v>1.3194919912421514E-2</v>
      </c>
    </row>
    <row r="13" spans="1:26" x14ac:dyDescent="0.35">
      <c r="A13" s="11" t="s">
        <v>3</v>
      </c>
      <c r="B13" s="11">
        <v>2013</v>
      </c>
      <c r="C13" s="12">
        <v>825036942</v>
      </c>
      <c r="D13" s="12">
        <v>1030942848</v>
      </c>
      <c r="E13" s="12">
        <v>274161764</v>
      </c>
      <c r="F13" s="12">
        <v>1149708436</v>
      </c>
      <c r="G13" s="12">
        <v>792283150</v>
      </c>
      <c r="H13" s="12">
        <v>760434903</v>
      </c>
      <c r="K13" s="12">
        <v>131884592219</v>
      </c>
      <c r="L13" s="11">
        <f t="shared" si="0"/>
        <v>3.6642400463090599E-2</v>
      </c>
      <c r="Z13" s="11">
        <f t="shared" si="1"/>
        <v>1.1773308973209284E-2</v>
      </c>
    </row>
    <row r="14" spans="1:26" x14ac:dyDescent="0.35">
      <c r="A14" s="11" t="s">
        <v>3</v>
      </c>
      <c r="B14" s="11">
        <v>2014</v>
      </c>
      <c r="C14" s="12">
        <v>669866264</v>
      </c>
      <c r="D14" s="12">
        <v>1045560827</v>
      </c>
      <c r="E14" s="12">
        <v>289744631</v>
      </c>
      <c r="F14" s="12">
        <v>1312988244</v>
      </c>
      <c r="G14" s="12">
        <v>853385748</v>
      </c>
      <c r="H14" s="12">
        <v>781721982</v>
      </c>
      <c r="K14" s="12">
        <v>134172544432</v>
      </c>
      <c r="L14" s="11">
        <f t="shared" si="0"/>
        <v>3.6917148116769639E-2</v>
      </c>
      <c r="Z14" s="11">
        <f t="shared" si="1"/>
        <v>1.2186604472040024E-2</v>
      </c>
    </row>
    <row r="15" spans="1:26" x14ac:dyDescent="0.35">
      <c r="A15" s="11" t="s">
        <v>3</v>
      </c>
      <c r="B15" s="11">
        <v>2015</v>
      </c>
      <c r="C15" s="12">
        <v>709779855</v>
      </c>
      <c r="D15" s="12">
        <v>1164472860</v>
      </c>
      <c r="E15" s="12">
        <v>240064659</v>
      </c>
      <c r="F15" s="12">
        <v>945051995</v>
      </c>
      <c r="G15" s="12">
        <v>973805054</v>
      </c>
      <c r="H15" s="12">
        <v>832012116</v>
      </c>
      <c r="K15" s="12">
        <v>137756781413</v>
      </c>
      <c r="L15" s="11">
        <f t="shared" si="0"/>
        <v>3.5317219879099734E-2</v>
      </c>
      <c r="Z15" s="11">
        <f t="shared" si="1"/>
        <v>1.3108735203286235E-2</v>
      </c>
    </row>
    <row r="16" spans="1:26" x14ac:dyDescent="0.35">
      <c r="A16" s="11" t="s">
        <v>3</v>
      </c>
      <c r="B16" s="11">
        <v>2016</v>
      </c>
      <c r="C16" s="12">
        <v>814412293</v>
      </c>
      <c r="D16" s="12">
        <v>1049242697</v>
      </c>
      <c r="E16" s="12">
        <v>214316916</v>
      </c>
      <c r="F16" s="12">
        <v>1178583602</v>
      </c>
      <c r="G16" s="12">
        <v>904362717</v>
      </c>
      <c r="H16" s="12">
        <v>815914179</v>
      </c>
      <c r="K16" s="12">
        <v>137409879273</v>
      </c>
      <c r="L16" s="11">
        <f t="shared" si="0"/>
        <v>3.6218883462609298E-2</v>
      </c>
      <c r="Z16" s="11">
        <f t="shared" si="1"/>
        <v>1.2519310147869559E-2</v>
      </c>
    </row>
    <row r="17" spans="1:26" x14ac:dyDescent="0.35">
      <c r="A17" s="11" t="s">
        <v>3</v>
      </c>
      <c r="B17" s="11">
        <v>2017</v>
      </c>
      <c r="C17" s="12">
        <v>939078743</v>
      </c>
      <c r="D17" s="12">
        <v>1052007172</v>
      </c>
      <c r="E17" s="12">
        <v>215230707</v>
      </c>
      <c r="F17" s="12">
        <v>1304036405</v>
      </c>
      <c r="G17" s="12">
        <v>1008117659</v>
      </c>
      <c r="H17" s="12">
        <v>1022424936</v>
      </c>
      <c r="K17" s="12">
        <v>148756390257</v>
      </c>
      <c r="L17" s="11">
        <f t="shared" si="0"/>
        <v>3.7248118298832296E-2</v>
      </c>
      <c r="Z17" s="11">
        <f t="shared" si="1"/>
        <v>1.3650120115794145E-2</v>
      </c>
    </row>
    <row r="18" spans="1:26" x14ac:dyDescent="0.35">
      <c r="A18" s="11" t="s">
        <v>3</v>
      </c>
      <c r="B18" s="11">
        <v>2018</v>
      </c>
      <c r="C18" s="12">
        <v>969739228</v>
      </c>
      <c r="D18" s="12">
        <v>1068670431</v>
      </c>
      <c r="E18" s="12">
        <v>203972228</v>
      </c>
      <c r="F18" s="12">
        <v>1437580873</v>
      </c>
      <c r="G18" s="12">
        <v>1251425148</v>
      </c>
      <c r="H18" s="12">
        <v>948274768</v>
      </c>
      <c r="K18" s="12">
        <v>156428829131</v>
      </c>
      <c r="L18" s="11">
        <f t="shared" si="0"/>
        <v>3.7586822765745605E-2</v>
      </c>
      <c r="Z18" s="11">
        <f t="shared" si="1"/>
        <v>1.4061985429539205E-2</v>
      </c>
    </row>
    <row r="19" spans="1:26" x14ac:dyDescent="0.35">
      <c r="A19" s="11" t="s">
        <v>3</v>
      </c>
      <c r="B19" s="11">
        <v>2019</v>
      </c>
      <c r="C19" s="12">
        <v>927067432</v>
      </c>
      <c r="D19" s="12">
        <v>1059310358</v>
      </c>
      <c r="E19" s="12">
        <v>217564410</v>
      </c>
      <c r="F19" s="12">
        <v>1391741539</v>
      </c>
      <c r="G19" s="12">
        <v>1252911616</v>
      </c>
      <c r="H19" s="12">
        <v>989951712</v>
      </c>
      <c r="K19" s="12">
        <v>159588478070</v>
      </c>
      <c r="L19" s="11">
        <f t="shared" si="0"/>
        <v>3.6585016271908105E-2</v>
      </c>
      <c r="Z19" s="11">
        <f t="shared" si="1"/>
        <v>1.4054042968040694E-2</v>
      </c>
    </row>
    <row r="20" spans="1:26" x14ac:dyDescent="0.35">
      <c r="A20" s="11" t="s">
        <v>3</v>
      </c>
      <c r="B20" s="11">
        <v>2020</v>
      </c>
      <c r="C20" s="12">
        <v>784361961</v>
      </c>
      <c r="D20" s="12">
        <v>907032272</v>
      </c>
      <c r="E20" s="12">
        <v>216163729</v>
      </c>
      <c r="F20" s="12">
        <v>1325214280</v>
      </c>
      <c r="G20" s="12">
        <v>1411110474</v>
      </c>
      <c r="H20" s="12">
        <v>898047723</v>
      </c>
      <c r="K20" s="12">
        <v>148287998641</v>
      </c>
      <c r="L20" s="11">
        <f t="shared" si="0"/>
        <v>3.737275092920242E-2</v>
      </c>
      <c r="Z20" s="11">
        <f t="shared" si="1"/>
        <v>1.557211789330565E-2</v>
      </c>
    </row>
    <row r="21" spans="1:26" x14ac:dyDescent="0.35">
      <c r="A21" s="11" t="s">
        <v>3</v>
      </c>
      <c r="B21" s="11">
        <v>2021</v>
      </c>
      <c r="C21" s="12">
        <v>946803201</v>
      </c>
      <c r="D21" s="12">
        <v>1060922965</v>
      </c>
      <c r="E21" s="12">
        <v>247339902</v>
      </c>
      <c r="F21" s="12">
        <v>1450579436</v>
      </c>
      <c r="G21" s="12">
        <v>1682639787</v>
      </c>
      <c r="H21" s="12">
        <v>1057285815</v>
      </c>
      <c r="K21" s="12">
        <v>171541232889</v>
      </c>
      <c r="L21" s="11">
        <f t="shared" si="0"/>
        <v>3.7574471148699079E-2</v>
      </c>
      <c r="Z21" s="11">
        <f t="shared" si="1"/>
        <v>1.5972402412269805E-2</v>
      </c>
    </row>
    <row r="22" spans="1:26" x14ac:dyDescent="0.35">
      <c r="A22" s="11" t="s">
        <v>3</v>
      </c>
      <c r="B22" s="11">
        <v>2022</v>
      </c>
      <c r="C22" s="12">
        <v>1102387882</v>
      </c>
      <c r="D22" s="12">
        <v>1314787062</v>
      </c>
      <c r="E22" s="12">
        <v>296863549</v>
      </c>
      <c r="F22" s="12">
        <v>1495991964</v>
      </c>
      <c r="G22" s="12">
        <v>2099980876</v>
      </c>
      <c r="H22" s="12">
        <v>1096114799</v>
      </c>
      <c r="K22" s="12">
        <v>201398398368</v>
      </c>
      <c r="L22" s="11">
        <f t="shared" si="0"/>
        <v>3.6773510574137476E-2</v>
      </c>
      <c r="Z22" s="11">
        <f t="shared" si="1"/>
        <v>1.5869518828843996E-2</v>
      </c>
    </row>
    <row r="23" spans="1:26" x14ac:dyDescent="0.35">
      <c r="A23" s="11" t="s">
        <v>3</v>
      </c>
      <c r="B23" s="11">
        <v>2023</v>
      </c>
      <c r="C23" s="12">
        <v>1113534514</v>
      </c>
      <c r="D23" s="12">
        <v>1432256015</v>
      </c>
      <c r="E23" s="12">
        <v>316532214</v>
      </c>
      <c r="F23" s="12">
        <v>1441673168</v>
      </c>
      <c r="G23" s="12">
        <v>2482193898</v>
      </c>
      <c r="H23" s="12">
        <v>1241424499</v>
      </c>
      <c r="K23" s="12">
        <v>207254494849</v>
      </c>
      <c r="L23" s="11">
        <f t="shared" si="0"/>
        <v>3.8733125251873078E-2</v>
      </c>
      <c r="Z23" s="11">
        <f t="shared" si="1"/>
        <v>1.7966405986576683E-2</v>
      </c>
    </row>
    <row r="24" spans="1:26" x14ac:dyDescent="0.35">
      <c r="A24" s="11" t="s">
        <v>3</v>
      </c>
      <c r="B24" s="11">
        <v>2024</v>
      </c>
      <c r="C24" s="12">
        <v>1174052964</v>
      </c>
      <c r="D24" s="12">
        <v>1157089749</v>
      </c>
      <c r="E24" s="12">
        <v>329798011</v>
      </c>
      <c r="F24" s="12">
        <v>1555818188</v>
      </c>
      <c r="G24" s="12">
        <v>2541554879</v>
      </c>
      <c r="H24" s="12">
        <v>1120578742</v>
      </c>
      <c r="K24" s="12">
        <v>197847661904</v>
      </c>
      <c r="L24" s="11">
        <f t="shared" si="0"/>
        <v>3.9823025742012609E-2</v>
      </c>
      <c r="Z24" s="11">
        <f t="shared" si="1"/>
        <v>1.8509865548863282E-2</v>
      </c>
    </row>
    <row r="25" spans="1:26" x14ac:dyDescent="0.35">
      <c r="A25" s="11" t="s">
        <v>3</v>
      </c>
      <c r="B25" s="11">
        <v>2025</v>
      </c>
      <c r="C25" s="12">
        <v>1460575843</v>
      </c>
      <c r="D25" s="12">
        <v>1275082289</v>
      </c>
      <c r="E25" s="12">
        <v>348913577</v>
      </c>
      <c r="F25" s="12">
        <v>1339257092</v>
      </c>
      <c r="G25" s="12">
        <v>2748662361</v>
      </c>
      <c r="H25" s="12">
        <v>1241069947</v>
      </c>
      <c r="K25" s="12">
        <v>196683124240</v>
      </c>
      <c r="L25" s="11">
        <f t="shared" si="0"/>
        <v>4.2777239488698902E-2</v>
      </c>
      <c r="Z25" s="11">
        <f t="shared" si="1"/>
        <v>2.0285076939959432E-2</v>
      </c>
    </row>
    <row r="26" spans="1:26" x14ac:dyDescent="0.35">
      <c r="C26" s="12"/>
      <c r="D26" s="12"/>
      <c r="E26" s="12"/>
      <c r="F26" s="12"/>
      <c r="G26" s="12"/>
      <c r="H26" s="12"/>
      <c r="K26" s="12"/>
    </row>
    <row r="27" spans="1:26" x14ac:dyDescent="0.35">
      <c r="C27" s="12"/>
      <c r="D27" s="12"/>
      <c r="E27" s="12"/>
      <c r="F27" s="12"/>
      <c r="G27" s="12"/>
      <c r="H27" s="12"/>
      <c r="K27" s="12"/>
    </row>
    <row r="28" spans="1:26" x14ac:dyDescent="0.35">
      <c r="A28" s="11" t="s">
        <v>110</v>
      </c>
      <c r="B28" s="11">
        <v>2002</v>
      </c>
      <c r="C28" s="12">
        <v>556341514</v>
      </c>
      <c r="D28" s="12">
        <v>1349646769</v>
      </c>
      <c r="E28" s="12">
        <v>792169438</v>
      </c>
      <c r="F28" s="12">
        <v>3566748925</v>
      </c>
      <c r="G28" s="12">
        <v>279337120</v>
      </c>
      <c r="H28" s="12">
        <v>402978709</v>
      </c>
      <c r="K28" s="12">
        <v>228561124588</v>
      </c>
      <c r="L28" s="11">
        <f t="shared" ref="L28:L51" si="2">SUM(C28:H28)/K28</f>
        <v>3.0395468553643726E-2</v>
      </c>
      <c r="Z28" s="11">
        <f t="shared" si="1"/>
        <v>2.9852663274646104E-3</v>
      </c>
    </row>
    <row r="29" spans="1:26" x14ac:dyDescent="0.35">
      <c r="A29" s="11" t="s">
        <v>110</v>
      </c>
      <c r="B29" s="11">
        <v>2003</v>
      </c>
      <c r="C29" s="12">
        <v>509875407</v>
      </c>
      <c r="D29" s="12">
        <v>1475202789</v>
      </c>
      <c r="E29" s="12">
        <v>763411110</v>
      </c>
      <c r="F29" s="12">
        <v>3763267702</v>
      </c>
      <c r="G29" s="12">
        <v>286632031</v>
      </c>
      <c r="H29" s="12">
        <v>360398902</v>
      </c>
      <c r="K29" s="12">
        <v>225969572236</v>
      </c>
      <c r="L29" s="11">
        <f t="shared" si="2"/>
        <v>3.1680318151522828E-2</v>
      </c>
      <c r="Z29" s="11">
        <f t="shared" si="1"/>
        <v>2.8633542410048392E-3</v>
      </c>
    </row>
    <row r="30" spans="1:26" x14ac:dyDescent="0.35">
      <c r="A30" s="11" t="s">
        <v>110</v>
      </c>
      <c r="B30" s="11">
        <v>2004</v>
      </c>
      <c r="C30" s="12">
        <v>347621206</v>
      </c>
      <c r="D30" s="12">
        <v>1753961132</v>
      </c>
      <c r="E30" s="12">
        <v>671306011</v>
      </c>
      <c r="F30" s="12">
        <v>3901363053</v>
      </c>
      <c r="G30" s="12">
        <v>326849350</v>
      </c>
      <c r="H30" s="12">
        <v>328298242</v>
      </c>
      <c r="K30" s="12">
        <v>246697039899</v>
      </c>
      <c r="L30" s="11">
        <f t="shared" si="2"/>
        <v>2.9710121357762225E-2</v>
      </c>
      <c r="Z30" s="11">
        <f t="shared" si="1"/>
        <v>2.6556767453238326E-3</v>
      </c>
    </row>
    <row r="31" spans="1:26" x14ac:dyDescent="0.35">
      <c r="A31" s="11" t="s">
        <v>110</v>
      </c>
      <c r="B31" s="11">
        <v>2005</v>
      </c>
      <c r="C31" s="12">
        <v>363967313</v>
      </c>
      <c r="D31" s="12">
        <v>1822557750</v>
      </c>
      <c r="E31" s="12">
        <v>679143570</v>
      </c>
      <c r="F31" s="12">
        <v>3767692271</v>
      </c>
      <c r="G31" s="12">
        <v>321106964</v>
      </c>
      <c r="H31" s="12">
        <v>307028827</v>
      </c>
      <c r="K31" s="12">
        <v>268788791206</v>
      </c>
      <c r="L31" s="11">
        <f t="shared" si="2"/>
        <v>2.7015623167986873E-2</v>
      </c>
      <c r="Z31" s="11">
        <f t="shared" si="1"/>
        <v>2.336912146454039E-3</v>
      </c>
    </row>
    <row r="32" spans="1:26" x14ac:dyDescent="0.35">
      <c r="A32" s="11" t="s">
        <v>110</v>
      </c>
      <c r="B32" s="11">
        <v>2006</v>
      </c>
      <c r="C32" s="12">
        <v>601214525</v>
      </c>
      <c r="D32" s="12">
        <v>1815041666</v>
      </c>
      <c r="E32" s="12">
        <v>579917804</v>
      </c>
      <c r="F32" s="12">
        <v>3367378483</v>
      </c>
      <c r="G32" s="12">
        <v>249723799</v>
      </c>
      <c r="H32" s="12">
        <v>260189638</v>
      </c>
      <c r="K32" s="12">
        <v>292087129343</v>
      </c>
      <c r="L32" s="11">
        <f t="shared" si="2"/>
        <v>2.3532245088856481E-2</v>
      </c>
      <c r="Z32" s="11">
        <f t="shared" si="1"/>
        <v>1.7457579803223887E-3</v>
      </c>
    </row>
    <row r="33" spans="1:26" x14ac:dyDescent="0.35">
      <c r="A33" s="11" t="s">
        <v>110</v>
      </c>
      <c r="B33" s="11">
        <v>2007</v>
      </c>
      <c r="C33" s="12">
        <v>278942294</v>
      </c>
      <c r="D33" s="12">
        <v>1353428918</v>
      </c>
      <c r="E33" s="12">
        <v>391656177</v>
      </c>
      <c r="F33" s="12">
        <v>2168802076</v>
      </c>
      <c r="G33" s="12">
        <v>397398995</v>
      </c>
      <c r="H33" s="12">
        <v>437991432</v>
      </c>
      <c r="K33" s="12">
        <v>314448682983</v>
      </c>
      <c r="L33" s="11">
        <f t="shared" si="2"/>
        <v>1.5990589765872355E-2</v>
      </c>
      <c r="Z33" s="11">
        <f t="shared" si="1"/>
        <v>2.6566828618110752E-3</v>
      </c>
    </row>
    <row r="34" spans="1:26" x14ac:dyDescent="0.35">
      <c r="A34" s="11" t="s">
        <v>110</v>
      </c>
      <c r="B34" s="11">
        <v>2008</v>
      </c>
      <c r="C34" s="12">
        <v>373773882</v>
      </c>
      <c r="D34" s="12">
        <v>1298073139</v>
      </c>
      <c r="E34" s="12">
        <v>398895875</v>
      </c>
      <c r="F34" s="12">
        <v>2154519026</v>
      </c>
      <c r="G34" s="12">
        <v>495669690</v>
      </c>
      <c r="H34" s="12">
        <v>523651144</v>
      </c>
      <c r="K34" s="12">
        <v>320805175917</v>
      </c>
      <c r="L34" s="11">
        <f t="shared" si="2"/>
        <v>1.6348186219280015E-2</v>
      </c>
      <c r="Z34" s="11">
        <f t="shared" si="1"/>
        <v>3.1773827560180102E-3</v>
      </c>
    </row>
    <row r="35" spans="1:26" x14ac:dyDescent="0.35">
      <c r="A35" s="11" t="s">
        <v>110</v>
      </c>
      <c r="B35" s="11">
        <v>2009</v>
      </c>
      <c r="C35" s="12">
        <v>228836670</v>
      </c>
      <c r="D35" s="12">
        <v>1017991469</v>
      </c>
      <c r="E35" s="12">
        <v>374443428</v>
      </c>
      <c r="F35" s="12">
        <v>1798935869</v>
      </c>
      <c r="G35" s="12">
        <v>426899626</v>
      </c>
      <c r="H35" s="12">
        <v>357386660</v>
      </c>
      <c r="K35" s="12">
        <v>265986039448</v>
      </c>
      <c r="L35" s="11">
        <f t="shared" si="2"/>
        <v>1.5807196989456939E-2</v>
      </c>
      <c r="Z35" s="11">
        <f t="shared" si="1"/>
        <v>2.9485994363750326E-3</v>
      </c>
    </row>
    <row r="36" spans="1:26" x14ac:dyDescent="0.35">
      <c r="A36" s="11" t="s">
        <v>110</v>
      </c>
      <c r="B36" s="11">
        <v>2010</v>
      </c>
      <c r="C36" s="12">
        <v>323833404</v>
      </c>
      <c r="D36" s="12">
        <v>1430671054</v>
      </c>
      <c r="E36" s="12">
        <v>455611865</v>
      </c>
      <c r="F36" s="12">
        <v>1776445643</v>
      </c>
      <c r="G36" s="12">
        <v>503257873</v>
      </c>
      <c r="H36" s="12">
        <v>397276675</v>
      </c>
      <c r="K36" s="12">
        <v>307529865750</v>
      </c>
      <c r="L36" s="11">
        <f t="shared" si="2"/>
        <v>1.5891453345779637E-2</v>
      </c>
      <c r="Z36" s="11">
        <f t="shared" si="1"/>
        <v>2.9282832280493722E-3</v>
      </c>
    </row>
    <row r="37" spans="1:26" x14ac:dyDescent="0.35">
      <c r="A37" s="11" t="s">
        <v>110</v>
      </c>
      <c r="B37" s="11">
        <v>2011</v>
      </c>
      <c r="C37" s="12">
        <v>269303793</v>
      </c>
      <c r="D37" s="12">
        <v>1460491761</v>
      </c>
      <c r="E37" s="12">
        <v>507824527</v>
      </c>
      <c r="F37" s="12">
        <v>2282215760</v>
      </c>
      <c r="G37" s="12">
        <v>622093564</v>
      </c>
      <c r="H37" s="12">
        <v>469153927</v>
      </c>
      <c r="K37" s="12">
        <v>341718212953</v>
      </c>
      <c r="L37" s="11">
        <f t="shared" si="2"/>
        <v>1.6420205652812978E-2</v>
      </c>
      <c r="Z37" s="11">
        <f t="shared" si="1"/>
        <v>3.1934133143500035E-3</v>
      </c>
    </row>
    <row r="38" spans="1:26" x14ac:dyDescent="0.35">
      <c r="A38" s="11" t="s">
        <v>110</v>
      </c>
      <c r="B38" s="11">
        <v>2012</v>
      </c>
      <c r="C38" s="12">
        <v>258564012</v>
      </c>
      <c r="D38" s="12">
        <v>1169877579</v>
      </c>
      <c r="E38" s="12">
        <v>496129629</v>
      </c>
      <c r="F38" s="12">
        <v>2315711787</v>
      </c>
      <c r="G38" s="12">
        <v>647834533</v>
      </c>
      <c r="H38" s="12">
        <v>565608912</v>
      </c>
      <c r="K38" s="12">
        <v>347088552540</v>
      </c>
      <c r="L38" s="11">
        <f t="shared" si="2"/>
        <v>1.5712781110438636E-2</v>
      </c>
      <c r="Z38" s="11">
        <f t="shared" si="1"/>
        <v>3.4960629963736918E-3</v>
      </c>
    </row>
    <row r="39" spans="1:26" x14ac:dyDescent="0.35">
      <c r="A39" s="11" t="s">
        <v>110</v>
      </c>
      <c r="B39" s="11">
        <v>2013</v>
      </c>
      <c r="C39" s="12">
        <v>288906602</v>
      </c>
      <c r="D39" s="12">
        <v>602667860</v>
      </c>
      <c r="E39" s="12">
        <v>406351265</v>
      </c>
      <c r="F39" s="12">
        <v>2128746120</v>
      </c>
      <c r="G39" s="12">
        <v>633500522</v>
      </c>
      <c r="H39" s="12">
        <v>656863947</v>
      </c>
      <c r="K39" s="12">
        <v>352955703712</v>
      </c>
      <c r="L39" s="11">
        <f t="shared" si="2"/>
        <v>1.3364386143619154E-2</v>
      </c>
      <c r="Z39" s="11">
        <f t="shared" si="1"/>
        <v>3.6558821841646567E-3</v>
      </c>
    </row>
    <row r="40" spans="1:26" x14ac:dyDescent="0.35">
      <c r="A40" s="11" t="s">
        <v>110</v>
      </c>
      <c r="B40" s="11">
        <v>2014</v>
      </c>
      <c r="C40" s="12">
        <v>280914973</v>
      </c>
      <c r="D40" s="12">
        <v>529968557</v>
      </c>
      <c r="E40" s="12">
        <v>388305068</v>
      </c>
      <c r="F40" s="12">
        <v>1923301526</v>
      </c>
      <c r="G40" s="12">
        <v>639279299</v>
      </c>
      <c r="H40" s="12">
        <v>720909517</v>
      </c>
      <c r="K40" s="12">
        <v>355287706297</v>
      </c>
      <c r="L40" s="11">
        <f t="shared" si="2"/>
        <v>1.2617039262970555E-2</v>
      </c>
      <c r="Z40" s="11">
        <f t="shared" si="1"/>
        <v>3.8284150897778622E-3</v>
      </c>
    </row>
    <row r="41" spans="1:26" x14ac:dyDescent="0.35">
      <c r="A41" s="11" t="s">
        <v>110</v>
      </c>
      <c r="B41" s="11">
        <v>2015</v>
      </c>
      <c r="C41" s="12">
        <v>344076187</v>
      </c>
      <c r="D41" s="12">
        <v>614087250</v>
      </c>
      <c r="E41" s="12">
        <v>328521807</v>
      </c>
      <c r="F41" s="12">
        <v>2326036813</v>
      </c>
      <c r="G41" s="12">
        <v>605085559</v>
      </c>
      <c r="H41" s="12">
        <v>657679567</v>
      </c>
      <c r="K41" s="12">
        <v>357771767156</v>
      </c>
      <c r="L41" s="11">
        <f t="shared" si="2"/>
        <v>1.3627367027186723E-2</v>
      </c>
      <c r="Z41" s="11">
        <f t="shared" si="1"/>
        <v>3.5295270390896826E-3</v>
      </c>
    </row>
    <row r="42" spans="1:26" x14ac:dyDescent="0.35">
      <c r="A42" s="11" t="s">
        <v>110</v>
      </c>
      <c r="B42" s="11">
        <v>2016</v>
      </c>
      <c r="C42" s="12">
        <v>385365590</v>
      </c>
      <c r="D42" s="12">
        <v>538983546</v>
      </c>
      <c r="E42" s="12">
        <v>349154728</v>
      </c>
      <c r="F42" s="12">
        <v>2083267282</v>
      </c>
      <c r="G42" s="12">
        <v>647556635</v>
      </c>
      <c r="H42" s="12">
        <v>653031229</v>
      </c>
      <c r="K42" s="12">
        <v>359757326643</v>
      </c>
      <c r="L42" s="11">
        <f t="shared" si="2"/>
        <v>1.2945835053476655E-2</v>
      </c>
      <c r="Z42" s="11">
        <f t="shared" si="1"/>
        <v>3.6151810336600026E-3</v>
      </c>
    </row>
    <row r="43" spans="1:26" x14ac:dyDescent="0.35">
      <c r="A43" s="11" t="s">
        <v>110</v>
      </c>
      <c r="B43" s="11">
        <v>2017</v>
      </c>
      <c r="C43" s="12">
        <v>460448955</v>
      </c>
      <c r="D43" s="12">
        <v>596436628</v>
      </c>
      <c r="E43" s="12">
        <v>437876217</v>
      </c>
      <c r="F43" s="12">
        <v>2083629976</v>
      </c>
      <c r="G43" s="12">
        <v>713681434</v>
      </c>
      <c r="H43" s="12">
        <v>704207997</v>
      </c>
      <c r="K43" s="12">
        <v>380590405102</v>
      </c>
      <c r="L43" s="11">
        <f t="shared" si="2"/>
        <v>1.312771194444845E-2</v>
      </c>
      <c r="Z43" s="11">
        <f t="shared" si="1"/>
        <v>3.7254996762727086E-3</v>
      </c>
    </row>
    <row r="44" spans="1:26" x14ac:dyDescent="0.35">
      <c r="A44" s="11" t="s">
        <v>110</v>
      </c>
      <c r="B44" s="11">
        <v>2018</v>
      </c>
      <c r="C44" s="12">
        <v>447098007</v>
      </c>
      <c r="D44" s="12">
        <v>551314382</v>
      </c>
      <c r="E44" s="12">
        <v>370819073</v>
      </c>
      <c r="F44" s="12">
        <v>1876954417</v>
      </c>
      <c r="G44" s="12">
        <v>684976986</v>
      </c>
      <c r="H44" s="12">
        <v>738305834</v>
      </c>
      <c r="K44" s="12">
        <v>396270037460</v>
      </c>
      <c r="L44" s="11">
        <f t="shared" si="2"/>
        <v>1.1783552268877614E-2</v>
      </c>
      <c r="Z44" s="11">
        <f t="shared" si="1"/>
        <v>3.5916993097003152E-3</v>
      </c>
    </row>
    <row r="45" spans="1:26" x14ac:dyDescent="0.35">
      <c r="A45" s="11" t="s">
        <v>110</v>
      </c>
      <c r="B45" s="11">
        <v>2019</v>
      </c>
      <c r="C45" s="12">
        <v>597741644</v>
      </c>
      <c r="D45" s="12">
        <v>1281189345</v>
      </c>
      <c r="E45" s="12">
        <v>440620320</v>
      </c>
      <c r="F45" s="12">
        <v>1982565319</v>
      </c>
      <c r="G45" s="12">
        <v>812376637</v>
      </c>
      <c r="H45" s="12">
        <v>791395369</v>
      </c>
      <c r="K45" s="12">
        <v>399841064823</v>
      </c>
      <c r="L45" s="11">
        <f t="shared" si="2"/>
        <v>1.4770590501039193E-2</v>
      </c>
      <c r="Z45" s="11">
        <f t="shared" si="1"/>
        <v>4.0110237469229209E-3</v>
      </c>
    </row>
    <row r="46" spans="1:26" x14ac:dyDescent="0.35">
      <c r="A46" s="11" t="s">
        <v>110</v>
      </c>
      <c r="B46" s="11">
        <v>2020</v>
      </c>
      <c r="C46" s="12">
        <v>711410708</v>
      </c>
      <c r="D46" s="12">
        <v>1370377819</v>
      </c>
      <c r="E46" s="12">
        <v>477480580</v>
      </c>
      <c r="F46" s="12">
        <v>1691532355</v>
      </c>
      <c r="G46" s="12">
        <v>980282403</v>
      </c>
      <c r="H46" s="12">
        <v>880067966</v>
      </c>
      <c r="K46" s="12">
        <v>369963642929</v>
      </c>
      <c r="L46" s="11">
        <f t="shared" si="2"/>
        <v>1.6518249692369896E-2</v>
      </c>
      <c r="Z46" s="11">
        <f t="shared" si="1"/>
        <v>5.0284680793810359E-3</v>
      </c>
    </row>
    <row r="47" spans="1:26" x14ac:dyDescent="0.35">
      <c r="A47" s="11" t="s">
        <v>110</v>
      </c>
      <c r="B47" s="11">
        <v>2021</v>
      </c>
      <c r="C47" s="12">
        <v>800929845</v>
      </c>
      <c r="D47" s="12">
        <v>1490141643</v>
      </c>
      <c r="E47" s="12">
        <v>409184381</v>
      </c>
      <c r="F47" s="12">
        <v>1805579275</v>
      </c>
      <c r="G47" s="12">
        <v>1193247935</v>
      </c>
      <c r="H47" s="12">
        <v>1181993452</v>
      </c>
      <c r="K47" s="12">
        <v>466867590768</v>
      </c>
      <c r="L47" s="11">
        <f t="shared" si="2"/>
        <v>1.4738818172579913E-2</v>
      </c>
      <c r="Z47" s="11">
        <f t="shared" si="1"/>
        <v>5.0876124922115788E-3</v>
      </c>
    </row>
    <row r="48" spans="1:26" x14ac:dyDescent="0.35">
      <c r="A48" s="11" t="s">
        <v>110</v>
      </c>
      <c r="B48" s="11">
        <v>2022</v>
      </c>
      <c r="C48" s="12">
        <v>1059749022</v>
      </c>
      <c r="D48" s="12">
        <v>2136503873</v>
      </c>
      <c r="E48" s="12">
        <v>525405306</v>
      </c>
      <c r="F48" s="12">
        <v>2067336971</v>
      </c>
      <c r="G48" s="12">
        <v>950537006</v>
      </c>
      <c r="H48" s="12">
        <v>1044164328</v>
      </c>
      <c r="K48" s="12">
        <v>607029011053</v>
      </c>
      <c r="L48" s="11">
        <f t="shared" si="2"/>
        <v>1.2822610393031779E-2</v>
      </c>
      <c r="Z48" s="11">
        <f t="shared" si="1"/>
        <v>3.2860065955329469E-3</v>
      </c>
    </row>
    <row r="49" spans="1:26" x14ac:dyDescent="0.35">
      <c r="A49" s="11" t="s">
        <v>110</v>
      </c>
      <c r="B49" s="11">
        <v>2023</v>
      </c>
      <c r="C49" s="12">
        <v>1154015064</v>
      </c>
      <c r="D49" s="12">
        <v>2736369665</v>
      </c>
      <c r="E49" s="12">
        <v>591062794</v>
      </c>
      <c r="F49" s="12">
        <v>2326057934</v>
      </c>
      <c r="G49" s="12">
        <v>972474086</v>
      </c>
      <c r="H49" s="12">
        <v>800117410</v>
      </c>
      <c r="K49" s="12">
        <v>534108753801</v>
      </c>
      <c r="L49" s="11">
        <f t="shared" si="2"/>
        <v>1.6064325648923555E-2</v>
      </c>
      <c r="Z49" s="11">
        <f t="shared" si="1"/>
        <v>3.3187838307934528E-3</v>
      </c>
    </row>
    <row r="50" spans="1:26" x14ac:dyDescent="0.35">
      <c r="A50" s="11" t="s">
        <v>110</v>
      </c>
      <c r="B50" s="11">
        <v>2024</v>
      </c>
      <c r="C50" s="12">
        <v>1024037189</v>
      </c>
      <c r="D50" s="12">
        <v>2018404300</v>
      </c>
      <c r="E50" s="12">
        <v>684278714</v>
      </c>
      <c r="F50" s="12">
        <v>2561548214</v>
      </c>
      <c r="G50" s="12">
        <v>961317895</v>
      </c>
      <c r="H50" s="12">
        <v>810921626</v>
      </c>
      <c r="K50" s="12">
        <v>512001043566</v>
      </c>
      <c r="L50" s="11">
        <f t="shared" si="2"/>
        <v>1.5743147478489372E-2</v>
      </c>
      <c r="Z50" s="11">
        <f t="shared" si="1"/>
        <v>3.4613982593798124E-3</v>
      </c>
    </row>
    <row r="51" spans="1:26" x14ac:dyDescent="0.35">
      <c r="A51" s="11" t="s">
        <v>110</v>
      </c>
      <c r="B51" s="11">
        <v>2025</v>
      </c>
      <c r="C51" s="12">
        <v>881916121</v>
      </c>
      <c r="D51" s="12">
        <v>1907429175</v>
      </c>
      <c r="E51" s="12">
        <v>770664789</v>
      </c>
      <c r="F51" s="12">
        <v>2536421721</v>
      </c>
      <c r="G51" s="12">
        <v>1019969429</v>
      </c>
      <c r="H51" s="12">
        <v>1015660876</v>
      </c>
      <c r="K51" s="12">
        <v>505930348885</v>
      </c>
      <c r="L51" s="11">
        <f t="shared" si="2"/>
        <v>1.6073481515631413E-2</v>
      </c>
      <c r="Z51" s="11">
        <f t="shared" si="1"/>
        <v>4.0235386342927356E-3</v>
      </c>
    </row>
    <row r="52" spans="1:26" x14ac:dyDescent="0.35">
      <c r="C52" s="12"/>
      <c r="D52" s="12"/>
      <c r="E52" s="12"/>
      <c r="F52" s="12"/>
      <c r="G52" s="12"/>
      <c r="H52" s="12"/>
      <c r="K52" s="12"/>
    </row>
    <row r="53" spans="1:26" x14ac:dyDescent="0.35">
      <c r="C53" s="12"/>
      <c r="D53" s="12"/>
      <c r="E53" s="12"/>
      <c r="F53" s="12"/>
      <c r="G53" s="12"/>
      <c r="H53" s="12"/>
      <c r="K53" s="12"/>
    </row>
    <row r="54" spans="1:26" x14ac:dyDescent="0.35">
      <c r="A54" s="11" t="s">
        <v>111</v>
      </c>
      <c r="B54" s="11">
        <v>2002</v>
      </c>
      <c r="C54" s="12">
        <v>9455412286</v>
      </c>
      <c r="D54" s="12">
        <v>8969794152</v>
      </c>
      <c r="E54" s="12">
        <v>5271068196</v>
      </c>
      <c r="F54" s="12">
        <v>11450432343</v>
      </c>
      <c r="G54" s="12">
        <v>4996978185</v>
      </c>
      <c r="H54" s="12">
        <v>3091540718</v>
      </c>
      <c r="K54" s="12">
        <v>651259219283</v>
      </c>
      <c r="L54" s="11">
        <f t="shared" ref="L54:L77" si="3">SUM(C54:H54)/K54</f>
        <v>6.6387122976315896E-2</v>
      </c>
      <c r="Z54" s="11">
        <f t="shared" si="1"/>
        <v>1.2419814819519957E-2</v>
      </c>
    </row>
    <row r="55" spans="1:26" x14ac:dyDescent="0.35">
      <c r="A55" s="11" t="s">
        <v>111</v>
      </c>
      <c r="B55" s="11">
        <v>2003</v>
      </c>
      <c r="C55" s="12">
        <v>10663298794</v>
      </c>
      <c r="D55" s="12">
        <v>8609506794</v>
      </c>
      <c r="E55" s="12">
        <v>5506071142</v>
      </c>
      <c r="F55" s="12">
        <v>13042102456</v>
      </c>
      <c r="G55" s="12">
        <v>4504141275</v>
      </c>
      <c r="H55" s="12">
        <v>2806494013</v>
      </c>
      <c r="K55" s="12">
        <v>664391897584</v>
      </c>
      <c r="L55" s="11">
        <f t="shared" si="3"/>
        <v>6.7929206599473838E-2</v>
      </c>
      <c r="Z55" s="11">
        <f t="shared" si="1"/>
        <v>1.100349855948643E-2</v>
      </c>
    </row>
    <row r="56" spans="1:26" x14ac:dyDescent="0.35">
      <c r="A56" s="11" t="s">
        <v>111</v>
      </c>
      <c r="B56" s="11">
        <v>2004</v>
      </c>
      <c r="C56" s="12">
        <v>10402018966</v>
      </c>
      <c r="D56" s="12">
        <v>10130248517</v>
      </c>
      <c r="E56" s="12">
        <v>5900468563</v>
      </c>
      <c r="F56" s="12">
        <v>16452120131</v>
      </c>
      <c r="G56" s="12">
        <v>5074973237</v>
      </c>
      <c r="H56" s="12">
        <v>3135689462</v>
      </c>
      <c r="K56" s="12">
        <v>731479138102</v>
      </c>
      <c r="L56" s="11">
        <f t="shared" si="3"/>
        <v>6.9852325533958107E-2</v>
      </c>
      <c r="Z56" s="11">
        <f t="shared" si="1"/>
        <v>1.1224739396265703E-2</v>
      </c>
    </row>
    <row r="57" spans="1:26" x14ac:dyDescent="0.35">
      <c r="A57" s="11" t="s">
        <v>111</v>
      </c>
      <c r="B57" s="11">
        <v>2005</v>
      </c>
      <c r="C57" s="12">
        <v>9438015518</v>
      </c>
      <c r="D57" s="12">
        <v>10677154704</v>
      </c>
      <c r="E57" s="12">
        <v>5847886624</v>
      </c>
      <c r="F57" s="12">
        <v>16171932512</v>
      </c>
      <c r="G57" s="12">
        <v>4984935154</v>
      </c>
      <c r="H57" s="12">
        <v>3995907496</v>
      </c>
      <c r="K57" s="12">
        <v>780415155757</v>
      </c>
      <c r="L57" s="11">
        <f t="shared" si="3"/>
        <v>6.5498256448412798E-2</v>
      </c>
      <c r="Z57" s="11">
        <f t="shared" si="1"/>
        <v>1.1507775808490821E-2</v>
      </c>
    </row>
    <row r="58" spans="1:26" x14ac:dyDescent="0.35">
      <c r="A58" s="11" t="s">
        <v>111</v>
      </c>
      <c r="B58" s="11">
        <v>2006</v>
      </c>
      <c r="C58" s="12">
        <v>9932439050</v>
      </c>
      <c r="D58" s="12">
        <v>11854335466</v>
      </c>
      <c r="E58" s="12">
        <v>6318245027</v>
      </c>
      <c r="F58" s="12">
        <v>17406090839</v>
      </c>
      <c r="G58" s="12">
        <v>5502630686</v>
      </c>
      <c r="H58" s="12">
        <v>3430606606</v>
      </c>
      <c r="K58" s="12">
        <v>882531574769</v>
      </c>
      <c r="L58" s="11">
        <f t="shared" si="3"/>
        <v>6.1691104579743389E-2</v>
      </c>
      <c r="Z58" s="11">
        <f t="shared" si="1"/>
        <v>1.0122286326512735E-2</v>
      </c>
    </row>
    <row r="59" spans="1:26" x14ac:dyDescent="0.35">
      <c r="A59" s="11" t="s">
        <v>111</v>
      </c>
      <c r="B59" s="11">
        <v>2007</v>
      </c>
      <c r="C59" s="12">
        <v>7257894223</v>
      </c>
      <c r="D59" s="12">
        <v>9118338136</v>
      </c>
      <c r="E59" s="12">
        <v>4687648719</v>
      </c>
      <c r="F59" s="12">
        <v>13509578480</v>
      </c>
      <c r="G59" s="12">
        <v>7647431311</v>
      </c>
      <c r="H59" s="12">
        <v>6969785832</v>
      </c>
      <c r="K59" s="12">
        <v>964037964867</v>
      </c>
      <c r="L59" s="11">
        <f t="shared" si="3"/>
        <v>5.102566340090809E-2</v>
      </c>
      <c r="Z59" s="11">
        <f t="shared" si="1"/>
        <v>1.5162491183650232E-2</v>
      </c>
    </row>
    <row r="60" spans="1:26" x14ac:dyDescent="0.35">
      <c r="A60" s="11" t="s">
        <v>111</v>
      </c>
      <c r="B60" s="11">
        <v>2008</v>
      </c>
      <c r="C60" s="12">
        <v>6660771688</v>
      </c>
      <c r="D60" s="12">
        <v>10028074832</v>
      </c>
      <c r="E60" s="12">
        <v>4546923566</v>
      </c>
      <c r="F60" s="12">
        <v>11357148127</v>
      </c>
      <c r="G60" s="12">
        <v>8512996176</v>
      </c>
      <c r="H60" s="12">
        <v>6638996093</v>
      </c>
      <c r="K60" s="12">
        <v>983254995046</v>
      </c>
      <c r="L60" s="11">
        <f t="shared" si="3"/>
        <v>4.85580146783453E-2</v>
      </c>
      <c r="Z60" s="11">
        <f t="shared" si="1"/>
        <v>1.5410033353851549E-2</v>
      </c>
    </row>
    <row r="61" spans="1:26" x14ac:dyDescent="0.35">
      <c r="A61" s="11" t="s">
        <v>111</v>
      </c>
      <c r="B61" s="11">
        <v>2009</v>
      </c>
      <c r="C61" s="12">
        <v>5032777353</v>
      </c>
      <c r="D61" s="12">
        <v>7101621662</v>
      </c>
      <c r="E61" s="12">
        <v>3419761490</v>
      </c>
      <c r="F61" s="12">
        <v>9650349496</v>
      </c>
      <c r="G61" s="12">
        <v>7156750353</v>
      </c>
      <c r="H61" s="12">
        <v>4577639306</v>
      </c>
      <c r="K61" s="12">
        <v>803011637765</v>
      </c>
      <c r="L61" s="11">
        <f t="shared" si="3"/>
        <v>4.6000453695554167E-2</v>
      </c>
      <c r="Z61" s="11">
        <f t="shared" si="1"/>
        <v>1.4612975836390119E-2</v>
      </c>
    </row>
    <row r="62" spans="1:26" x14ac:dyDescent="0.35">
      <c r="A62" s="11" t="s">
        <v>111</v>
      </c>
      <c r="B62" s="11">
        <v>2010</v>
      </c>
      <c r="C62" s="12">
        <v>6083616568</v>
      </c>
      <c r="D62" s="12">
        <v>11039308306</v>
      </c>
      <c r="E62" s="12">
        <v>3960222988</v>
      </c>
      <c r="F62" s="12">
        <v>10487039309</v>
      </c>
      <c r="G62" s="12">
        <v>9346108841</v>
      </c>
      <c r="H62" s="12">
        <v>4863379101</v>
      </c>
      <c r="K62" s="12">
        <v>949629434497</v>
      </c>
      <c r="L62" s="11">
        <f t="shared" si="3"/>
        <v>4.8207936116942914E-2</v>
      </c>
      <c r="Z62" s="11">
        <f t="shared" si="1"/>
        <v>1.4963192405179064E-2</v>
      </c>
    </row>
    <row r="63" spans="1:26" x14ac:dyDescent="0.35">
      <c r="A63" s="11" t="s">
        <v>111</v>
      </c>
      <c r="B63" s="11">
        <v>2011</v>
      </c>
      <c r="C63" s="12">
        <v>6030499007</v>
      </c>
      <c r="D63" s="12">
        <v>10215063390</v>
      </c>
      <c r="E63" s="12">
        <v>4019257508</v>
      </c>
      <c r="F63" s="12">
        <v>10059567157</v>
      </c>
      <c r="G63" s="12">
        <v>10869761856</v>
      </c>
      <c r="H63" s="12">
        <v>5312124898</v>
      </c>
      <c r="K63" s="12">
        <v>1058897262565</v>
      </c>
      <c r="L63" s="11">
        <f t="shared" si="3"/>
        <v>4.3919533518621434E-2</v>
      </c>
      <c r="Z63" s="11">
        <f t="shared" si="1"/>
        <v>1.5281828866760981E-2</v>
      </c>
    </row>
    <row r="64" spans="1:26" x14ac:dyDescent="0.35">
      <c r="A64" s="11" t="s">
        <v>111</v>
      </c>
      <c r="B64" s="11">
        <v>2012</v>
      </c>
      <c r="C64" s="12">
        <v>6840891749</v>
      </c>
      <c r="D64" s="12">
        <v>8269043022</v>
      </c>
      <c r="E64" s="12">
        <v>4019481295</v>
      </c>
      <c r="F64" s="12">
        <v>9804670867</v>
      </c>
      <c r="G64" s="12">
        <v>9742076382</v>
      </c>
      <c r="H64" s="12">
        <v>5286921905</v>
      </c>
      <c r="K64" s="12">
        <v>1090529813767</v>
      </c>
      <c r="L64" s="11">
        <f t="shared" si="3"/>
        <v>4.0313510612001523E-2</v>
      </c>
      <c r="Z64" s="11">
        <f t="shared" si="1"/>
        <v>1.378137314291809E-2</v>
      </c>
    </row>
    <row r="65" spans="1:26" x14ac:dyDescent="0.35">
      <c r="A65" s="11" t="s">
        <v>111</v>
      </c>
      <c r="B65" s="11">
        <v>2013</v>
      </c>
      <c r="C65" s="12">
        <v>6909894916</v>
      </c>
      <c r="D65" s="12">
        <v>7941392046</v>
      </c>
      <c r="E65" s="12">
        <v>3701366625</v>
      </c>
      <c r="F65" s="12">
        <v>9496742984</v>
      </c>
      <c r="G65" s="12">
        <v>9235927694</v>
      </c>
      <c r="H65" s="12">
        <v>5299195209</v>
      </c>
      <c r="K65" s="12">
        <v>1088071020302</v>
      </c>
      <c r="L65" s="11">
        <f t="shared" si="3"/>
        <v>3.9137628591725968E-2</v>
      </c>
      <c r="Z65" s="11">
        <f t="shared" si="1"/>
        <v>1.3358615965128542E-2</v>
      </c>
    </row>
    <row r="66" spans="1:26" x14ac:dyDescent="0.35">
      <c r="A66" s="11" t="s">
        <v>111</v>
      </c>
      <c r="B66" s="11">
        <v>2014</v>
      </c>
      <c r="C66" s="12">
        <v>7995299526</v>
      </c>
      <c r="D66" s="12">
        <v>8321605393</v>
      </c>
      <c r="E66" s="12">
        <v>3524735669</v>
      </c>
      <c r="F66" s="12">
        <v>11139925153</v>
      </c>
      <c r="G66" s="12">
        <v>9229181498</v>
      </c>
      <c r="H66" s="12">
        <v>5466000359</v>
      </c>
      <c r="K66" s="12">
        <v>1125034247406</v>
      </c>
      <c r="L66" s="11">
        <f t="shared" si="3"/>
        <v>4.0600317459950415E-2</v>
      </c>
      <c r="Z66" s="11">
        <f t="shared" si="1"/>
        <v>1.3061986238092568E-2</v>
      </c>
    </row>
    <row r="67" spans="1:26" x14ac:dyDescent="0.35">
      <c r="A67" s="11" t="s">
        <v>111</v>
      </c>
      <c r="B67" s="11">
        <v>2015</v>
      </c>
      <c r="C67" s="12">
        <v>8152489863</v>
      </c>
      <c r="D67" s="12">
        <v>9617628661</v>
      </c>
      <c r="E67" s="12">
        <v>3620613352</v>
      </c>
      <c r="F67" s="12">
        <v>13141494101</v>
      </c>
      <c r="G67" s="12">
        <v>9477378838</v>
      </c>
      <c r="H67" s="12">
        <v>6214620374</v>
      </c>
      <c r="K67" s="12">
        <v>1195822377267</v>
      </c>
      <c r="L67" s="11">
        <f t="shared" si="3"/>
        <v>4.1999736870441645E-2</v>
      </c>
      <c r="Z67" s="11">
        <f t="shared" ref="Z67:Z129" si="4">(G67+H67)/K67</f>
        <v>1.3122349531427387E-2</v>
      </c>
    </row>
    <row r="68" spans="1:26" x14ac:dyDescent="0.35">
      <c r="A68" s="11" t="s">
        <v>111</v>
      </c>
      <c r="B68" s="11">
        <v>2016</v>
      </c>
      <c r="C68" s="12">
        <v>7869822879</v>
      </c>
      <c r="D68" s="12">
        <v>10192948389</v>
      </c>
      <c r="E68" s="12">
        <v>3387105439</v>
      </c>
      <c r="F68" s="12">
        <v>12991825477</v>
      </c>
      <c r="G68" s="12">
        <v>9614248928</v>
      </c>
      <c r="H68" s="12">
        <v>6573791366</v>
      </c>
      <c r="K68" s="12">
        <v>1205488755440</v>
      </c>
      <c r="L68" s="11">
        <f t="shared" si="3"/>
        <v>4.1999348604060835E-2</v>
      </c>
      <c r="Z68" s="11">
        <f t="shared" si="4"/>
        <v>1.3428611607489786E-2</v>
      </c>
    </row>
    <row r="69" spans="1:26" x14ac:dyDescent="0.35">
      <c r="A69" s="11" t="s">
        <v>111</v>
      </c>
      <c r="B69" s="11">
        <v>2017</v>
      </c>
      <c r="C69" s="12">
        <v>8893505242</v>
      </c>
      <c r="D69" s="12">
        <v>11784749406</v>
      </c>
      <c r="E69" s="12">
        <v>3761116851</v>
      </c>
      <c r="F69" s="12">
        <v>16011151774</v>
      </c>
      <c r="G69" s="12">
        <v>11281611493</v>
      </c>
      <c r="H69" s="12">
        <v>7522339531</v>
      </c>
      <c r="K69" s="12">
        <v>1281864649919</v>
      </c>
      <c r="L69" s="11">
        <f t="shared" si="3"/>
        <v>4.6225219098400321E-2</v>
      </c>
      <c r="Z69" s="11">
        <f t="shared" si="4"/>
        <v>1.4669217241608313E-2</v>
      </c>
    </row>
    <row r="70" spans="1:26" x14ac:dyDescent="0.35">
      <c r="A70" s="11" t="s">
        <v>111</v>
      </c>
      <c r="B70" s="11">
        <v>2018</v>
      </c>
      <c r="C70" s="12">
        <v>9212565816</v>
      </c>
      <c r="D70" s="12">
        <v>12222425027</v>
      </c>
      <c r="E70" s="12">
        <v>3958747563</v>
      </c>
      <c r="F70" s="12">
        <v>17643141437</v>
      </c>
      <c r="G70" s="12">
        <v>11545997503</v>
      </c>
      <c r="H70" s="12">
        <v>8156305002</v>
      </c>
      <c r="K70" s="12">
        <v>1320732357366</v>
      </c>
      <c r="L70" s="11">
        <f t="shared" si="3"/>
        <v>4.750332798169931E-2</v>
      </c>
      <c r="Z70" s="11">
        <f t="shared" si="4"/>
        <v>1.4917710159152343E-2</v>
      </c>
    </row>
    <row r="71" spans="1:26" x14ac:dyDescent="0.35">
      <c r="A71" s="11" t="s">
        <v>111</v>
      </c>
      <c r="B71" s="11">
        <v>2019</v>
      </c>
      <c r="C71" s="12">
        <v>8967136820</v>
      </c>
      <c r="D71" s="12">
        <v>11683475409</v>
      </c>
      <c r="E71" s="12">
        <v>4234683961</v>
      </c>
      <c r="F71" s="12">
        <v>16856161693</v>
      </c>
      <c r="G71" s="12">
        <v>12010302456</v>
      </c>
      <c r="H71" s="12">
        <v>8691002357</v>
      </c>
      <c r="K71" s="12">
        <v>1330414044253</v>
      </c>
      <c r="L71" s="11">
        <f t="shared" si="3"/>
        <v>4.6934834283909203E-2</v>
      </c>
      <c r="Z71" s="11">
        <f t="shared" si="4"/>
        <v>1.5560046815819172E-2</v>
      </c>
    </row>
    <row r="72" spans="1:26" x14ac:dyDescent="0.35">
      <c r="A72" s="11" t="s">
        <v>111</v>
      </c>
      <c r="B72" s="11">
        <v>2020</v>
      </c>
      <c r="C72" s="12">
        <v>9022720580</v>
      </c>
      <c r="D72" s="12">
        <v>9114643871</v>
      </c>
      <c r="E72" s="12">
        <v>5113374597</v>
      </c>
      <c r="F72" s="12">
        <v>15642394202</v>
      </c>
      <c r="G72" s="12">
        <v>11353473780</v>
      </c>
      <c r="H72" s="12">
        <v>7108929094</v>
      </c>
      <c r="K72" s="12">
        <v>1209207688452</v>
      </c>
      <c r="L72" s="11">
        <f t="shared" si="3"/>
        <v>4.7432328351654167E-2</v>
      </c>
      <c r="Z72" s="11">
        <f t="shared" si="4"/>
        <v>1.5268181843629481E-2</v>
      </c>
    </row>
    <row r="73" spans="1:26" x14ac:dyDescent="0.35">
      <c r="A73" s="11" t="s">
        <v>111</v>
      </c>
      <c r="B73" s="11">
        <v>2021</v>
      </c>
      <c r="C73" s="12">
        <v>10514308759</v>
      </c>
      <c r="D73" s="12">
        <v>11382233779</v>
      </c>
      <c r="E73" s="12">
        <v>5472198757</v>
      </c>
      <c r="F73" s="12">
        <v>18440287700</v>
      </c>
      <c r="G73" s="12">
        <v>12321553156</v>
      </c>
      <c r="H73" s="12">
        <v>7888326983</v>
      </c>
      <c r="K73" s="12">
        <v>1376195465499</v>
      </c>
      <c r="L73" s="11">
        <f t="shared" si="3"/>
        <v>4.797204378962399E-2</v>
      </c>
      <c r="Z73" s="11">
        <f t="shared" si="4"/>
        <v>1.4685326790894506E-2</v>
      </c>
    </row>
    <row r="74" spans="1:26" x14ac:dyDescent="0.35">
      <c r="A74" s="11" t="s">
        <v>111</v>
      </c>
      <c r="B74" s="11">
        <v>2022</v>
      </c>
      <c r="C74" s="12">
        <v>13811736985</v>
      </c>
      <c r="D74" s="12">
        <v>15952919483</v>
      </c>
      <c r="E74" s="12">
        <v>6274148709</v>
      </c>
      <c r="F74" s="12">
        <v>17550326843</v>
      </c>
      <c r="G74" s="12">
        <v>13215888160</v>
      </c>
      <c r="H74" s="12">
        <v>8552867513</v>
      </c>
      <c r="K74" s="12">
        <v>1593592951932</v>
      </c>
      <c r="L74" s="11">
        <f t="shared" si="3"/>
        <v>4.7288040275052366E-2</v>
      </c>
      <c r="Z74" s="11">
        <f t="shared" si="4"/>
        <v>1.3660173161915999E-2</v>
      </c>
    </row>
    <row r="75" spans="1:26" x14ac:dyDescent="0.35">
      <c r="A75" s="11" t="s">
        <v>111</v>
      </c>
      <c r="B75" s="11">
        <v>2023</v>
      </c>
      <c r="C75" s="12">
        <v>13430108349</v>
      </c>
      <c r="D75" s="12">
        <v>17334784700</v>
      </c>
      <c r="E75" s="12">
        <v>5743468675</v>
      </c>
      <c r="F75" s="12">
        <v>15532093778</v>
      </c>
      <c r="G75" s="12">
        <v>14346667013</v>
      </c>
      <c r="H75" s="12">
        <v>9478822941</v>
      </c>
      <c r="K75" s="12">
        <v>1574462443685</v>
      </c>
      <c r="L75" s="11">
        <f t="shared" si="3"/>
        <v>4.8185300170410651E-2</v>
      </c>
      <c r="Z75" s="11">
        <f t="shared" si="4"/>
        <v>1.513246000218137E-2</v>
      </c>
    </row>
    <row r="76" spans="1:26" x14ac:dyDescent="0.35">
      <c r="A76" s="11" t="s">
        <v>111</v>
      </c>
      <c r="B76" s="11">
        <v>2024</v>
      </c>
      <c r="C76" s="12">
        <v>11758175553</v>
      </c>
      <c r="D76" s="12">
        <v>14690619168</v>
      </c>
      <c r="E76" s="12">
        <v>5776140428</v>
      </c>
      <c r="F76" s="12">
        <v>15806988735</v>
      </c>
      <c r="G76" s="12">
        <v>15009943579</v>
      </c>
      <c r="H76" s="12">
        <v>9457332718</v>
      </c>
      <c r="K76" s="12">
        <v>1548966055618</v>
      </c>
      <c r="L76" s="11">
        <f t="shared" si="3"/>
        <v>4.6804899253957227E-2</v>
      </c>
      <c r="Z76" s="11">
        <f t="shared" si="4"/>
        <v>1.5795876357818667E-2</v>
      </c>
    </row>
    <row r="77" spans="1:26" x14ac:dyDescent="0.35">
      <c r="A77" s="11" t="s">
        <v>111</v>
      </c>
      <c r="B77" s="11">
        <v>2025</v>
      </c>
      <c r="C77" s="12">
        <v>12129168278</v>
      </c>
      <c r="D77" s="12">
        <v>14811890230</v>
      </c>
      <c r="E77" s="12">
        <v>6518847619</v>
      </c>
      <c r="F77" s="12">
        <v>17385415814</v>
      </c>
      <c r="G77" s="12">
        <v>14446490462</v>
      </c>
      <c r="H77" s="12">
        <v>9477825418</v>
      </c>
      <c r="K77" s="12">
        <v>1563413633078</v>
      </c>
      <c r="L77" s="11">
        <f t="shared" si="3"/>
        <v>4.7824603955765606E-2</v>
      </c>
      <c r="Z77" s="11">
        <f t="shared" si="4"/>
        <v>1.5302614339430157E-2</v>
      </c>
    </row>
    <row r="78" spans="1:26" x14ac:dyDescent="0.35">
      <c r="C78" s="12"/>
      <c r="D78" s="12"/>
      <c r="E78" s="12"/>
      <c r="F78" s="12"/>
      <c r="G78" s="12"/>
      <c r="H78" s="12"/>
      <c r="K78" s="12"/>
    </row>
    <row r="79" spans="1:26" x14ac:dyDescent="0.35">
      <c r="C79" s="12"/>
      <c r="D79" s="12"/>
      <c r="E79" s="12"/>
      <c r="F79" s="12"/>
      <c r="G79" s="12"/>
      <c r="H79" s="12"/>
      <c r="K79" s="12"/>
    </row>
    <row r="80" spans="1:26" x14ac:dyDescent="0.35">
      <c r="A80" s="11" t="s">
        <v>112</v>
      </c>
      <c r="B80" s="11">
        <v>2002</v>
      </c>
      <c r="C80" s="12">
        <v>321643369</v>
      </c>
      <c r="D80" s="12">
        <v>726142798</v>
      </c>
      <c r="E80" s="12">
        <v>231443097</v>
      </c>
      <c r="F80" s="12">
        <v>925869630</v>
      </c>
      <c r="G80" s="12">
        <v>224757877</v>
      </c>
      <c r="H80" s="12">
        <v>149514392</v>
      </c>
      <c r="K80" s="12">
        <v>132917929692</v>
      </c>
      <c r="L80" s="11">
        <f t="shared" ref="L80:L103" si="5">SUM(C80:H80)/K80</f>
        <v>1.940574284430226E-2</v>
      </c>
      <c r="Z80" s="11">
        <f t="shared" si="4"/>
        <v>2.8158147653011972E-3</v>
      </c>
    </row>
    <row r="81" spans="1:26" x14ac:dyDescent="0.35">
      <c r="A81" s="11" t="s">
        <v>112</v>
      </c>
      <c r="B81" s="11">
        <v>2003</v>
      </c>
      <c r="C81" s="12">
        <v>590094869</v>
      </c>
      <c r="D81" s="12">
        <v>775344442</v>
      </c>
      <c r="E81" s="12">
        <v>334270222</v>
      </c>
      <c r="F81" s="12">
        <v>907574813</v>
      </c>
      <c r="G81" s="12">
        <v>205408933</v>
      </c>
      <c r="H81" s="12">
        <v>147227938</v>
      </c>
      <c r="K81" s="12">
        <v>138036175574</v>
      </c>
      <c r="L81" s="11">
        <f t="shared" si="5"/>
        <v>2.1443083341679599E-2</v>
      </c>
      <c r="Z81" s="11">
        <f t="shared" si="4"/>
        <v>2.5546699590423992E-3</v>
      </c>
    </row>
    <row r="82" spans="1:26" x14ac:dyDescent="0.35">
      <c r="A82" s="11" t="s">
        <v>112</v>
      </c>
      <c r="B82" s="11">
        <v>2004</v>
      </c>
      <c r="C82" s="12">
        <v>538884873</v>
      </c>
      <c r="D82" s="12">
        <v>926625460</v>
      </c>
      <c r="E82" s="12">
        <v>236368825</v>
      </c>
      <c r="F82" s="12">
        <v>944543579</v>
      </c>
      <c r="G82" s="12">
        <v>218668685</v>
      </c>
      <c r="H82" s="12">
        <v>160154813</v>
      </c>
      <c r="K82" s="12">
        <v>146814730119</v>
      </c>
      <c r="L82" s="11">
        <f t="shared" si="5"/>
        <v>2.0605876757379186E-2</v>
      </c>
      <c r="Z82" s="11">
        <f t="shared" si="4"/>
        <v>2.580282630312002E-3</v>
      </c>
    </row>
    <row r="83" spans="1:26" x14ac:dyDescent="0.35">
      <c r="A83" s="11" t="s">
        <v>112</v>
      </c>
      <c r="B83" s="11">
        <v>2005</v>
      </c>
      <c r="C83" s="12">
        <v>483533206</v>
      </c>
      <c r="D83" s="12">
        <v>1079888607</v>
      </c>
      <c r="E83" s="12">
        <v>214080709</v>
      </c>
      <c r="F83" s="12">
        <v>904001553</v>
      </c>
      <c r="G83" s="12">
        <v>217205669</v>
      </c>
      <c r="H83" s="12">
        <v>182153760</v>
      </c>
      <c r="K83" s="12">
        <v>154846426833</v>
      </c>
      <c r="L83" s="11">
        <f t="shared" si="5"/>
        <v>1.9896251834875558E-2</v>
      </c>
      <c r="Z83" s="11">
        <f t="shared" si="4"/>
        <v>2.5790677716490307E-3</v>
      </c>
    </row>
    <row r="84" spans="1:26" x14ac:dyDescent="0.35">
      <c r="A84" s="11" t="s">
        <v>112</v>
      </c>
      <c r="B84" s="11">
        <v>2006</v>
      </c>
      <c r="C84" s="12">
        <v>600619054</v>
      </c>
      <c r="D84" s="12">
        <v>909602362</v>
      </c>
      <c r="E84" s="12">
        <v>226021349</v>
      </c>
      <c r="F84" s="12">
        <v>774563093</v>
      </c>
      <c r="G84" s="12">
        <v>229922603</v>
      </c>
      <c r="H84" s="12">
        <v>144360723</v>
      </c>
      <c r="K84" s="12">
        <v>170210935703</v>
      </c>
      <c r="L84" s="11">
        <f t="shared" si="5"/>
        <v>1.6950081215898926E-2</v>
      </c>
      <c r="Z84" s="11">
        <f t="shared" si="4"/>
        <v>2.1989381848712976E-3</v>
      </c>
    </row>
    <row r="85" spans="1:26" x14ac:dyDescent="0.35">
      <c r="A85" s="11" t="s">
        <v>112</v>
      </c>
      <c r="B85" s="11">
        <v>2007</v>
      </c>
      <c r="C85" s="12">
        <v>145678429</v>
      </c>
      <c r="D85" s="12">
        <v>403441571</v>
      </c>
      <c r="E85" s="12">
        <v>173459629</v>
      </c>
      <c r="F85" s="12">
        <v>637801732</v>
      </c>
      <c r="G85" s="12">
        <v>513170877</v>
      </c>
      <c r="H85" s="12">
        <v>266586378</v>
      </c>
      <c r="K85" s="12">
        <v>184821110393</v>
      </c>
      <c r="L85" s="11">
        <f t="shared" si="5"/>
        <v>1.1579513895621832E-2</v>
      </c>
      <c r="Z85" s="11">
        <f t="shared" si="4"/>
        <v>4.2189837153447426E-3</v>
      </c>
    </row>
    <row r="86" spans="1:26" x14ac:dyDescent="0.35">
      <c r="A86" s="11" t="s">
        <v>112</v>
      </c>
      <c r="B86" s="11">
        <v>2008</v>
      </c>
      <c r="C86" s="12">
        <v>216623835</v>
      </c>
      <c r="D86" s="12">
        <v>474895013</v>
      </c>
      <c r="E86" s="12">
        <v>142230043</v>
      </c>
      <c r="F86" s="12">
        <v>489510557</v>
      </c>
      <c r="G86" s="12">
        <v>431297961</v>
      </c>
      <c r="H86" s="12">
        <v>281161266</v>
      </c>
      <c r="K86" s="12">
        <v>191387815266</v>
      </c>
      <c r="L86" s="11">
        <f t="shared" si="5"/>
        <v>1.0636615879494001E-2</v>
      </c>
      <c r="Z86" s="11">
        <f t="shared" si="4"/>
        <v>3.722594492286721E-3</v>
      </c>
    </row>
    <row r="87" spans="1:26" x14ac:dyDescent="0.35">
      <c r="A87" s="11" t="s">
        <v>112</v>
      </c>
      <c r="B87" s="11">
        <v>2009</v>
      </c>
      <c r="C87" s="12">
        <v>170301786</v>
      </c>
      <c r="D87" s="12">
        <v>665391998</v>
      </c>
      <c r="E87" s="12">
        <v>118005418</v>
      </c>
      <c r="F87" s="12">
        <v>554892384</v>
      </c>
      <c r="G87" s="12">
        <v>375311915</v>
      </c>
      <c r="H87" s="12">
        <v>289323888</v>
      </c>
      <c r="K87" s="12">
        <v>162989969881</v>
      </c>
      <c r="L87" s="11">
        <f t="shared" si="5"/>
        <v>1.333350383822199E-2</v>
      </c>
      <c r="Z87" s="11">
        <f t="shared" si="4"/>
        <v>4.0777711873022293E-3</v>
      </c>
    </row>
    <row r="88" spans="1:26" x14ac:dyDescent="0.35">
      <c r="A88" s="11" t="s">
        <v>112</v>
      </c>
      <c r="B88" s="11">
        <v>2010</v>
      </c>
      <c r="C88" s="12">
        <v>120716910</v>
      </c>
      <c r="D88" s="12">
        <v>1404770737</v>
      </c>
      <c r="E88" s="12">
        <v>126023903</v>
      </c>
      <c r="F88" s="12">
        <v>573011544</v>
      </c>
      <c r="G88" s="12">
        <v>418072735</v>
      </c>
      <c r="H88" s="12">
        <v>255479794</v>
      </c>
      <c r="K88" s="12">
        <v>191911885215</v>
      </c>
      <c r="L88" s="11">
        <f t="shared" si="5"/>
        <v>1.5101074223481621E-2</v>
      </c>
      <c r="Z88" s="11">
        <f t="shared" si="4"/>
        <v>3.5096967978060097E-3</v>
      </c>
    </row>
    <row r="89" spans="1:26" x14ac:dyDescent="0.35">
      <c r="A89" s="11" t="s">
        <v>112</v>
      </c>
      <c r="B89" s="11">
        <v>2011</v>
      </c>
      <c r="C89" s="12">
        <v>146778067</v>
      </c>
      <c r="D89" s="12">
        <v>1016241200</v>
      </c>
      <c r="E89" s="12">
        <v>157309221</v>
      </c>
      <c r="F89" s="12">
        <v>583558056</v>
      </c>
      <c r="G89" s="12">
        <v>476149354</v>
      </c>
      <c r="H89" s="12">
        <v>286145626</v>
      </c>
      <c r="K89" s="12">
        <v>220223268398</v>
      </c>
      <c r="L89" s="11">
        <f t="shared" si="5"/>
        <v>1.2106720345197698E-2</v>
      </c>
      <c r="Z89" s="11">
        <f t="shared" si="4"/>
        <v>3.4614642927846173E-3</v>
      </c>
    </row>
    <row r="90" spans="1:26" x14ac:dyDescent="0.35">
      <c r="A90" s="11" t="s">
        <v>112</v>
      </c>
      <c r="B90" s="11">
        <v>2012</v>
      </c>
      <c r="C90" s="12">
        <v>213421400</v>
      </c>
      <c r="D90" s="12">
        <v>417361009</v>
      </c>
      <c r="E90" s="12">
        <v>176000399</v>
      </c>
      <c r="F90" s="12">
        <v>523966868</v>
      </c>
      <c r="G90" s="12">
        <v>561312521</v>
      </c>
      <c r="H90" s="12">
        <v>284221809</v>
      </c>
      <c r="K90" s="12">
        <v>229802325632</v>
      </c>
      <c r="L90" s="11">
        <f t="shared" si="5"/>
        <v>9.4702436105239835E-3</v>
      </c>
      <c r="Z90" s="11">
        <f t="shared" si="4"/>
        <v>3.6793984903095308E-3</v>
      </c>
    </row>
    <row r="91" spans="1:26" x14ac:dyDescent="0.35">
      <c r="A91" s="11" t="s">
        <v>112</v>
      </c>
      <c r="B91" s="11">
        <v>2013</v>
      </c>
      <c r="C91" s="12">
        <v>176313530</v>
      </c>
      <c r="D91" s="12">
        <v>260183468</v>
      </c>
      <c r="E91" s="12">
        <v>198883432</v>
      </c>
      <c r="F91" s="12">
        <v>544566023</v>
      </c>
      <c r="G91" s="12">
        <v>619682404</v>
      </c>
      <c r="H91" s="12">
        <v>410891633</v>
      </c>
      <c r="K91" s="12">
        <v>239310686689</v>
      </c>
      <c r="L91" s="11">
        <f t="shared" si="5"/>
        <v>9.237032079861594E-3</v>
      </c>
      <c r="Z91" s="11">
        <f t="shared" si="4"/>
        <v>4.3064271439716304E-3</v>
      </c>
    </row>
    <row r="92" spans="1:26" x14ac:dyDescent="0.35">
      <c r="A92" s="11" t="s">
        <v>112</v>
      </c>
      <c r="B92" s="11">
        <v>2014</v>
      </c>
      <c r="C92" s="12">
        <v>219970006</v>
      </c>
      <c r="D92" s="12">
        <v>240871291</v>
      </c>
      <c r="E92" s="12">
        <v>269477547</v>
      </c>
      <c r="F92" s="12">
        <v>493504510</v>
      </c>
      <c r="G92" s="12">
        <v>628201715</v>
      </c>
      <c r="H92" s="12">
        <v>357434971</v>
      </c>
      <c r="K92" s="12">
        <v>244287173829</v>
      </c>
      <c r="L92" s="11">
        <f t="shared" si="5"/>
        <v>9.0445192245197977E-3</v>
      </c>
      <c r="Z92" s="11">
        <f t="shared" si="4"/>
        <v>4.0347459530967501E-3</v>
      </c>
    </row>
    <row r="93" spans="1:26" x14ac:dyDescent="0.35">
      <c r="A93" s="11" t="s">
        <v>112</v>
      </c>
      <c r="B93" s="11">
        <v>2015</v>
      </c>
      <c r="C93" s="12">
        <v>223077246</v>
      </c>
      <c r="D93" s="12">
        <v>258875008</v>
      </c>
      <c r="E93" s="12">
        <v>245165806</v>
      </c>
      <c r="F93" s="12">
        <v>585651648</v>
      </c>
      <c r="G93" s="12">
        <v>627792649</v>
      </c>
      <c r="H93" s="12">
        <v>351207893</v>
      </c>
      <c r="K93" s="12">
        <v>254599445334</v>
      </c>
      <c r="L93" s="11">
        <f t="shared" si="5"/>
        <v>9.0014738523625133E-3</v>
      </c>
      <c r="Z93" s="11">
        <f t="shared" si="4"/>
        <v>3.8452579530001874E-3</v>
      </c>
    </row>
    <row r="94" spans="1:26" x14ac:dyDescent="0.35">
      <c r="A94" s="11" t="s">
        <v>112</v>
      </c>
      <c r="B94" s="11">
        <v>2016</v>
      </c>
      <c r="C94" s="12">
        <v>231172149</v>
      </c>
      <c r="D94" s="12">
        <v>390205907</v>
      </c>
      <c r="E94" s="12">
        <v>268561415</v>
      </c>
      <c r="F94" s="12">
        <v>605963090</v>
      </c>
      <c r="G94" s="12">
        <v>656657070</v>
      </c>
      <c r="H94" s="12">
        <v>341510470</v>
      </c>
      <c r="K94" s="12">
        <v>262041297932</v>
      </c>
      <c r="L94" s="11">
        <f t="shared" si="5"/>
        <v>9.5178512726158682E-3</v>
      </c>
      <c r="Z94" s="11">
        <f t="shared" si="4"/>
        <v>3.8091993432997936E-3</v>
      </c>
    </row>
    <row r="95" spans="1:26" x14ac:dyDescent="0.35">
      <c r="A95" s="11" t="s">
        <v>112</v>
      </c>
      <c r="B95" s="11">
        <v>2017</v>
      </c>
      <c r="C95" s="12">
        <v>279330931</v>
      </c>
      <c r="D95" s="12">
        <v>361561717</v>
      </c>
      <c r="E95" s="12">
        <v>269912372</v>
      </c>
      <c r="F95" s="12">
        <v>860832848</v>
      </c>
      <c r="G95" s="12">
        <v>724719945</v>
      </c>
      <c r="H95" s="12">
        <v>347125187</v>
      </c>
      <c r="K95" s="12">
        <v>283094637355</v>
      </c>
      <c r="L95" s="11">
        <f t="shared" si="5"/>
        <v>1.0044284224410366E-2</v>
      </c>
      <c r="Z95" s="11">
        <f t="shared" si="4"/>
        <v>3.7861725040588064E-3</v>
      </c>
    </row>
    <row r="96" spans="1:26" x14ac:dyDescent="0.35">
      <c r="A96" s="11" t="s">
        <v>112</v>
      </c>
      <c r="B96" s="11">
        <v>2018</v>
      </c>
      <c r="C96" s="12">
        <v>315412232</v>
      </c>
      <c r="D96" s="12">
        <v>390587992</v>
      </c>
      <c r="E96" s="12">
        <v>276676252</v>
      </c>
      <c r="F96" s="12">
        <v>777628704</v>
      </c>
      <c r="G96" s="12">
        <v>708150031</v>
      </c>
      <c r="H96" s="12">
        <v>420618840</v>
      </c>
      <c r="K96" s="12">
        <v>293458781580</v>
      </c>
      <c r="L96" s="11">
        <f t="shared" si="5"/>
        <v>9.8449057664761266E-3</v>
      </c>
      <c r="Z96" s="11">
        <f t="shared" si="4"/>
        <v>3.8464307148098941E-3</v>
      </c>
    </row>
    <row r="97" spans="1:26" x14ac:dyDescent="0.35">
      <c r="A97" s="11" t="s">
        <v>112</v>
      </c>
      <c r="B97" s="11">
        <v>2019</v>
      </c>
      <c r="C97" s="12">
        <v>321780318</v>
      </c>
      <c r="D97" s="12">
        <v>426382304</v>
      </c>
      <c r="E97" s="12">
        <v>253120797</v>
      </c>
      <c r="F97" s="12">
        <v>896647290</v>
      </c>
      <c r="G97" s="12">
        <v>699022140</v>
      </c>
      <c r="H97" s="12">
        <v>454632051</v>
      </c>
      <c r="K97" s="12">
        <v>298336951710</v>
      </c>
      <c r="L97" s="11">
        <f t="shared" si="5"/>
        <v>1.0228652141509809E-2</v>
      </c>
      <c r="Z97" s="11">
        <f t="shared" si="4"/>
        <v>3.8669503874311072E-3</v>
      </c>
    </row>
    <row r="98" spans="1:26" x14ac:dyDescent="0.35">
      <c r="A98" s="11" t="s">
        <v>112</v>
      </c>
      <c r="B98" s="11">
        <v>2020</v>
      </c>
      <c r="C98" s="12">
        <v>314345841</v>
      </c>
      <c r="D98" s="12">
        <v>446923470</v>
      </c>
      <c r="E98" s="12">
        <v>287218505</v>
      </c>
      <c r="F98" s="12">
        <v>894637078</v>
      </c>
      <c r="G98" s="12">
        <v>520580525</v>
      </c>
      <c r="H98" s="12">
        <v>387760386</v>
      </c>
      <c r="K98" s="12">
        <v>269520957338</v>
      </c>
      <c r="L98" s="11">
        <f t="shared" si="5"/>
        <v>1.0579755404415704E-2</v>
      </c>
      <c r="Z98" s="11">
        <f t="shared" si="4"/>
        <v>3.370205122345535E-3</v>
      </c>
    </row>
    <row r="99" spans="1:26" x14ac:dyDescent="0.35">
      <c r="A99" s="11" t="s">
        <v>112</v>
      </c>
      <c r="B99" s="11">
        <v>2021</v>
      </c>
      <c r="C99" s="12">
        <v>324790661</v>
      </c>
      <c r="D99" s="12">
        <v>512242464</v>
      </c>
      <c r="E99" s="12">
        <v>274078914</v>
      </c>
      <c r="F99" s="12">
        <v>1057123323</v>
      </c>
      <c r="G99" s="12">
        <v>577429083</v>
      </c>
      <c r="H99" s="12">
        <v>428891103</v>
      </c>
      <c r="K99" s="12">
        <v>321434913571</v>
      </c>
      <c r="L99" s="11">
        <f t="shared" si="5"/>
        <v>9.8762001698324848E-3</v>
      </c>
      <c r="Z99" s="11">
        <f t="shared" si="4"/>
        <v>3.1307121395750914E-3</v>
      </c>
    </row>
    <row r="100" spans="1:26" x14ac:dyDescent="0.35">
      <c r="A100" s="11" t="s">
        <v>112</v>
      </c>
      <c r="B100" s="11">
        <v>2022</v>
      </c>
      <c r="C100" s="12">
        <v>399272077</v>
      </c>
      <c r="D100" s="12">
        <v>640229627</v>
      </c>
      <c r="E100" s="12">
        <v>321986337</v>
      </c>
      <c r="F100" s="12">
        <v>975739026</v>
      </c>
      <c r="G100" s="12">
        <v>664978825</v>
      </c>
      <c r="H100" s="12">
        <v>493949239</v>
      </c>
      <c r="K100" s="12">
        <v>394896947052</v>
      </c>
      <c r="L100" s="11">
        <f t="shared" si="5"/>
        <v>8.8533354261146682E-3</v>
      </c>
      <c r="Z100" s="11">
        <f t="shared" si="4"/>
        <v>2.9347607588553789E-3</v>
      </c>
    </row>
    <row r="101" spans="1:26" x14ac:dyDescent="0.35">
      <c r="A101" s="11" t="s">
        <v>112</v>
      </c>
      <c r="B101" s="11">
        <v>2023</v>
      </c>
      <c r="C101" s="12">
        <v>496207707</v>
      </c>
      <c r="D101" s="12">
        <v>697597661</v>
      </c>
      <c r="E101" s="12">
        <v>333724732</v>
      </c>
      <c r="F101" s="12">
        <v>995486710</v>
      </c>
      <c r="G101" s="12">
        <v>701692797</v>
      </c>
      <c r="H101" s="12">
        <v>556049590</v>
      </c>
      <c r="K101" s="12">
        <v>390839979734</v>
      </c>
      <c r="L101" s="11">
        <f t="shared" si="5"/>
        <v>9.673419795930626E-3</v>
      </c>
      <c r="Z101" s="11">
        <f t="shared" si="4"/>
        <v>3.2180494632509222E-3</v>
      </c>
    </row>
    <row r="102" spans="1:26" x14ac:dyDescent="0.35">
      <c r="A102" s="11" t="s">
        <v>112</v>
      </c>
      <c r="B102" s="11">
        <v>2024</v>
      </c>
      <c r="C102" s="12">
        <v>521008696</v>
      </c>
      <c r="D102" s="12">
        <v>641670254</v>
      </c>
      <c r="E102" s="12">
        <v>358199186</v>
      </c>
      <c r="F102" s="12">
        <v>1058307592</v>
      </c>
      <c r="G102" s="12">
        <v>814934668</v>
      </c>
      <c r="H102" s="12">
        <v>552863130</v>
      </c>
      <c r="K102" s="12">
        <v>396086532643</v>
      </c>
      <c r="L102" s="11">
        <f t="shared" si="5"/>
        <v>9.9649526068524234E-3</v>
      </c>
      <c r="Z102" s="11">
        <f t="shared" si="4"/>
        <v>3.4532802437714314E-3</v>
      </c>
    </row>
    <row r="103" spans="1:26" x14ac:dyDescent="0.35">
      <c r="A103" s="11" t="s">
        <v>112</v>
      </c>
      <c r="B103" s="11">
        <v>2025</v>
      </c>
      <c r="C103" s="12">
        <v>566043216</v>
      </c>
      <c r="D103" s="12">
        <v>711234615</v>
      </c>
      <c r="E103" s="12">
        <v>350729133</v>
      </c>
      <c r="F103" s="12">
        <v>1152041600</v>
      </c>
      <c r="G103" s="12">
        <v>709123168</v>
      </c>
      <c r="H103" s="12">
        <v>608530107</v>
      </c>
      <c r="K103" s="12">
        <v>394380316852</v>
      </c>
      <c r="L103" s="11">
        <f t="shared" si="5"/>
        <v>1.0390229085742516E-2</v>
      </c>
      <c r="Z103" s="11">
        <f t="shared" si="4"/>
        <v>3.3410726111224227E-3</v>
      </c>
    </row>
    <row r="104" spans="1:26" x14ac:dyDescent="0.35">
      <c r="C104" s="12"/>
      <c r="D104" s="12"/>
      <c r="E104" s="12"/>
      <c r="F104" s="12"/>
      <c r="G104" s="12"/>
      <c r="H104" s="12"/>
      <c r="K104" s="12"/>
    </row>
    <row r="105" spans="1:26" x14ac:dyDescent="0.35">
      <c r="C105" s="12"/>
      <c r="D105" s="12"/>
      <c r="E105" s="12"/>
      <c r="F105" s="12"/>
      <c r="G105" s="12"/>
      <c r="H105" s="12"/>
      <c r="K105" s="12"/>
    </row>
    <row r="106" spans="1:26" x14ac:dyDescent="0.35">
      <c r="A106" s="11" t="s">
        <v>155</v>
      </c>
      <c r="B106" s="11">
        <v>2002</v>
      </c>
      <c r="C106" s="12">
        <v>911232792</v>
      </c>
      <c r="D106" s="12">
        <v>849200931</v>
      </c>
      <c r="E106" s="12">
        <v>248448774</v>
      </c>
      <c r="F106" s="12">
        <v>94981548</v>
      </c>
      <c r="G106" s="12">
        <v>274068709</v>
      </c>
      <c r="H106" s="12">
        <v>116070156</v>
      </c>
      <c r="K106" s="12">
        <v>47742334309</v>
      </c>
      <c r="L106" s="11">
        <f t="shared" ref="L106:L129" si="6">SUM(C106:H106)/K106</f>
        <v>5.2238813750877924E-2</v>
      </c>
      <c r="Z106" s="11">
        <f t="shared" si="4"/>
        <v>8.1717593127082211E-3</v>
      </c>
    </row>
    <row r="107" spans="1:26" x14ac:dyDescent="0.35">
      <c r="A107" s="11" t="s">
        <v>155</v>
      </c>
      <c r="B107" s="11">
        <v>2003</v>
      </c>
      <c r="C107" s="12">
        <v>905878004</v>
      </c>
      <c r="D107" s="12">
        <v>606864113</v>
      </c>
      <c r="E107" s="12">
        <v>216312418</v>
      </c>
      <c r="F107" s="12">
        <v>82416549</v>
      </c>
      <c r="G107" s="12">
        <v>218588804</v>
      </c>
      <c r="H107" s="12">
        <v>100896839</v>
      </c>
      <c r="K107" s="12">
        <v>47004146190</v>
      </c>
      <c r="L107" s="11">
        <f t="shared" si="6"/>
        <v>4.5335505476181912E-2</v>
      </c>
      <c r="Z107" s="11">
        <f t="shared" si="4"/>
        <v>6.7969672655807051E-3</v>
      </c>
    </row>
    <row r="108" spans="1:26" x14ac:dyDescent="0.35">
      <c r="A108" s="11" t="s">
        <v>155</v>
      </c>
      <c r="B108" s="11">
        <v>2004</v>
      </c>
      <c r="C108" s="12">
        <v>985971202</v>
      </c>
      <c r="D108" s="12">
        <v>915828379</v>
      </c>
      <c r="E108" s="12">
        <v>194307946</v>
      </c>
      <c r="F108" s="12">
        <v>185919451</v>
      </c>
      <c r="G108" s="12">
        <v>223344061</v>
      </c>
      <c r="H108" s="12">
        <v>113310859</v>
      </c>
      <c r="K108" s="12">
        <v>49457596095</v>
      </c>
      <c r="L108" s="11">
        <f t="shared" si="6"/>
        <v>5.2948022240505543E-2</v>
      </c>
      <c r="Z108" s="11">
        <f t="shared" si="4"/>
        <v>6.8069406235058546E-3</v>
      </c>
    </row>
    <row r="109" spans="1:26" x14ac:dyDescent="0.35">
      <c r="A109" s="11" t="s">
        <v>155</v>
      </c>
      <c r="B109" s="11">
        <v>2005</v>
      </c>
      <c r="C109" s="12">
        <v>919406274</v>
      </c>
      <c r="D109" s="12">
        <v>974756852</v>
      </c>
      <c r="E109" s="12">
        <v>261164657</v>
      </c>
      <c r="F109" s="12">
        <v>243283123</v>
      </c>
      <c r="G109" s="12">
        <v>236121244</v>
      </c>
      <c r="H109" s="12">
        <v>115754460</v>
      </c>
      <c r="K109" s="12">
        <v>52646585063</v>
      </c>
      <c r="L109" s="11">
        <f t="shared" si="6"/>
        <v>5.2244349879647579E-2</v>
      </c>
      <c r="Z109" s="11">
        <f t="shared" si="4"/>
        <v>6.6837327355406782E-3</v>
      </c>
    </row>
    <row r="110" spans="1:26" x14ac:dyDescent="0.35">
      <c r="A110" s="11" t="s">
        <v>155</v>
      </c>
      <c r="B110" s="11">
        <v>2006</v>
      </c>
      <c r="C110" s="12">
        <v>822607912</v>
      </c>
      <c r="D110" s="12">
        <v>750389703</v>
      </c>
      <c r="E110" s="12">
        <v>347222006</v>
      </c>
      <c r="F110" s="12">
        <v>281491935</v>
      </c>
      <c r="G110" s="12">
        <v>220082422</v>
      </c>
      <c r="H110" s="12">
        <v>78831878</v>
      </c>
      <c r="K110" s="12">
        <v>61489232025</v>
      </c>
      <c r="L110" s="11">
        <f t="shared" si="6"/>
        <v>4.0667703492919011E-2</v>
      </c>
      <c r="Z110" s="11">
        <f t="shared" si="4"/>
        <v>4.861246272818448E-3</v>
      </c>
    </row>
    <row r="111" spans="1:26" x14ac:dyDescent="0.35">
      <c r="A111" s="11" t="s">
        <v>155</v>
      </c>
      <c r="B111" s="11">
        <v>2007</v>
      </c>
      <c r="C111" s="12">
        <v>158065465</v>
      </c>
      <c r="D111" s="12">
        <v>135525218</v>
      </c>
      <c r="E111" s="12">
        <v>322486556</v>
      </c>
      <c r="F111" s="12">
        <v>190081304</v>
      </c>
      <c r="G111" s="12">
        <v>525577549</v>
      </c>
      <c r="H111" s="12">
        <v>244646018</v>
      </c>
      <c r="K111" s="12">
        <v>65687615885</v>
      </c>
      <c r="L111" s="11">
        <f t="shared" si="6"/>
        <v>2.3998162952964967E-2</v>
      </c>
      <c r="Z111" s="11">
        <f t="shared" si="4"/>
        <v>1.1725552170266591E-2</v>
      </c>
    </row>
    <row r="112" spans="1:26" x14ac:dyDescent="0.35">
      <c r="A112" s="11" t="s">
        <v>155</v>
      </c>
      <c r="B112" s="11">
        <v>2008</v>
      </c>
      <c r="C112" s="12">
        <v>144917203</v>
      </c>
      <c r="D112" s="12">
        <v>124143390</v>
      </c>
      <c r="E112" s="12">
        <v>245815190</v>
      </c>
      <c r="F112" s="12">
        <v>167464829</v>
      </c>
      <c r="G112" s="12">
        <v>756810427</v>
      </c>
      <c r="H112" s="12">
        <v>287619635</v>
      </c>
      <c r="K112" s="12">
        <v>65580218842</v>
      </c>
      <c r="L112" s="11">
        <f t="shared" si="6"/>
        <v>2.6330663491078685E-2</v>
      </c>
      <c r="Z112" s="11">
        <f t="shared" si="4"/>
        <v>1.5925992325769859E-2</v>
      </c>
    </row>
    <row r="113" spans="1:26" x14ac:dyDescent="0.35">
      <c r="A113" s="11" t="s">
        <v>155</v>
      </c>
      <c r="B113" s="11">
        <v>2009</v>
      </c>
      <c r="C113" s="12">
        <v>99880425</v>
      </c>
      <c r="D113" s="12">
        <v>90221045</v>
      </c>
      <c r="E113" s="12">
        <v>173149717</v>
      </c>
      <c r="F113" s="12">
        <v>132543120</v>
      </c>
      <c r="G113" s="12">
        <v>617860531</v>
      </c>
      <c r="H113" s="12">
        <v>210035561</v>
      </c>
      <c r="K113" s="12">
        <v>45063410169</v>
      </c>
      <c r="L113" s="11">
        <f t="shared" si="6"/>
        <v>2.9373950929053132E-2</v>
      </c>
      <c r="Z113" s="11">
        <f t="shared" si="4"/>
        <v>1.8371802952665262E-2</v>
      </c>
    </row>
    <row r="114" spans="1:26" x14ac:dyDescent="0.35">
      <c r="A114" s="11" t="s">
        <v>155</v>
      </c>
      <c r="B114" s="11">
        <v>2010</v>
      </c>
      <c r="C114" s="12">
        <v>119286497</v>
      </c>
      <c r="D114" s="12">
        <v>85307021</v>
      </c>
      <c r="E114" s="12">
        <v>199497932</v>
      </c>
      <c r="F114" s="12">
        <v>115405509</v>
      </c>
      <c r="G114" s="12">
        <v>728546300</v>
      </c>
      <c r="H114" s="12">
        <v>155248235</v>
      </c>
      <c r="K114" s="12">
        <v>52438586658</v>
      </c>
      <c r="L114" s="11">
        <f t="shared" si="6"/>
        <v>2.6760665827096901E-2</v>
      </c>
      <c r="Z114" s="11">
        <f t="shared" si="4"/>
        <v>1.6853896935934462E-2</v>
      </c>
    </row>
    <row r="115" spans="1:26" x14ac:dyDescent="0.35">
      <c r="A115" s="11" t="s">
        <v>155</v>
      </c>
      <c r="B115" s="11">
        <v>2011</v>
      </c>
      <c r="C115" s="12">
        <v>135868493</v>
      </c>
      <c r="D115" s="12">
        <v>90524160</v>
      </c>
      <c r="E115" s="12">
        <v>220978214</v>
      </c>
      <c r="F115" s="12">
        <v>123170544</v>
      </c>
      <c r="G115" s="12">
        <v>628328553</v>
      </c>
      <c r="H115" s="12">
        <v>156395743</v>
      </c>
      <c r="K115" s="12">
        <v>56855201762</v>
      </c>
      <c r="L115" s="11">
        <f t="shared" si="6"/>
        <v>2.3837145327058034E-2</v>
      </c>
      <c r="Z115" s="11">
        <f t="shared" si="4"/>
        <v>1.3802154801682225E-2</v>
      </c>
    </row>
    <row r="116" spans="1:26" x14ac:dyDescent="0.35">
      <c r="A116" s="11" t="s">
        <v>155</v>
      </c>
      <c r="B116" s="11">
        <v>2012</v>
      </c>
      <c r="C116" s="12">
        <v>150105168</v>
      </c>
      <c r="D116" s="12">
        <v>94184662</v>
      </c>
      <c r="E116" s="12">
        <v>217337525</v>
      </c>
      <c r="F116" s="12">
        <v>139009532</v>
      </c>
      <c r="G116" s="12">
        <v>713984903</v>
      </c>
      <c r="H116" s="12">
        <v>176126903</v>
      </c>
      <c r="K116" s="12">
        <v>56878038019</v>
      </c>
      <c r="L116" s="11">
        <f t="shared" si="6"/>
        <v>2.6209566027963521E-2</v>
      </c>
      <c r="Z116" s="11">
        <f t="shared" si="4"/>
        <v>1.5649481539828428E-2</v>
      </c>
    </row>
    <row r="117" spans="1:26" x14ac:dyDescent="0.35">
      <c r="A117" s="11" t="s">
        <v>155</v>
      </c>
      <c r="B117" s="11">
        <v>2013</v>
      </c>
      <c r="C117" s="12">
        <v>155025554</v>
      </c>
      <c r="D117" s="12">
        <v>102679322</v>
      </c>
      <c r="E117" s="12">
        <v>223209925</v>
      </c>
      <c r="F117" s="12">
        <v>137041951</v>
      </c>
      <c r="G117" s="12">
        <v>633360762</v>
      </c>
      <c r="H117" s="12">
        <v>183323420</v>
      </c>
      <c r="K117" s="12">
        <v>56047548977</v>
      </c>
      <c r="L117" s="11">
        <f t="shared" si="6"/>
        <v>2.5596854103088925E-2</v>
      </c>
      <c r="Z117" s="11">
        <f t="shared" si="4"/>
        <v>1.4571273800664135E-2</v>
      </c>
    </row>
    <row r="118" spans="1:26" x14ac:dyDescent="0.35">
      <c r="A118" s="11" t="s">
        <v>155</v>
      </c>
      <c r="B118" s="11">
        <v>2014</v>
      </c>
      <c r="C118" s="12">
        <v>217472555</v>
      </c>
      <c r="D118" s="12">
        <v>134514086</v>
      </c>
      <c r="E118" s="12">
        <v>224349947</v>
      </c>
      <c r="F118" s="12">
        <v>145076785</v>
      </c>
      <c r="G118" s="12">
        <v>522654881</v>
      </c>
      <c r="H118" s="12">
        <v>200353916</v>
      </c>
      <c r="K118" s="12">
        <v>55973290788</v>
      </c>
      <c r="L118" s="11">
        <f t="shared" si="6"/>
        <v>2.5805561003564698E-2</v>
      </c>
      <c r="Z118" s="11">
        <f t="shared" si="4"/>
        <v>1.2917032156254862E-2</v>
      </c>
    </row>
    <row r="119" spans="1:26" x14ac:dyDescent="0.35">
      <c r="A119" s="11" t="s">
        <v>155</v>
      </c>
      <c r="B119" s="11">
        <v>2015</v>
      </c>
      <c r="C119" s="12">
        <v>215129730</v>
      </c>
      <c r="D119" s="12">
        <v>146134713</v>
      </c>
      <c r="E119" s="12">
        <v>185270654</v>
      </c>
      <c r="F119" s="12">
        <v>139604586</v>
      </c>
      <c r="G119" s="12">
        <v>502672657</v>
      </c>
      <c r="H119" s="12">
        <v>225068988</v>
      </c>
      <c r="K119" s="12">
        <v>53951342335</v>
      </c>
      <c r="L119" s="11">
        <f t="shared" si="6"/>
        <v>2.6206601482142714E-2</v>
      </c>
      <c r="Z119" s="11">
        <f t="shared" si="4"/>
        <v>1.3488851500324769E-2</v>
      </c>
    </row>
    <row r="120" spans="1:26" x14ac:dyDescent="0.35">
      <c r="A120" s="11" t="s">
        <v>155</v>
      </c>
      <c r="B120" s="11">
        <v>2016</v>
      </c>
      <c r="C120" s="12">
        <v>288470129</v>
      </c>
      <c r="D120" s="12">
        <v>155044460</v>
      </c>
      <c r="E120" s="12">
        <v>137582872</v>
      </c>
      <c r="F120" s="12">
        <v>169122300</v>
      </c>
      <c r="G120" s="12">
        <v>426929809</v>
      </c>
      <c r="H120" s="12">
        <v>279620900</v>
      </c>
      <c r="K120" s="12">
        <v>52321322993</v>
      </c>
      <c r="L120" s="11">
        <f t="shared" si="6"/>
        <v>2.7842768238006889E-2</v>
      </c>
      <c r="Z120" s="11">
        <f t="shared" si="4"/>
        <v>1.3504068104213047E-2</v>
      </c>
    </row>
    <row r="121" spans="1:26" x14ac:dyDescent="0.35">
      <c r="A121" s="11" t="s">
        <v>155</v>
      </c>
      <c r="B121" s="11">
        <v>2017</v>
      </c>
      <c r="C121" s="12">
        <v>372092193</v>
      </c>
      <c r="D121" s="12">
        <v>150414826</v>
      </c>
      <c r="E121" s="12">
        <v>161186691</v>
      </c>
      <c r="F121" s="12">
        <v>160195092</v>
      </c>
      <c r="G121" s="12">
        <v>434393975</v>
      </c>
      <c r="H121" s="12">
        <v>224102772</v>
      </c>
      <c r="K121" s="12">
        <v>60239193331</v>
      </c>
      <c r="L121" s="11">
        <f t="shared" si="6"/>
        <v>2.4940333127383526E-2</v>
      </c>
      <c r="Z121" s="11">
        <f t="shared" si="4"/>
        <v>1.0931367280795369E-2</v>
      </c>
    </row>
    <row r="122" spans="1:26" x14ac:dyDescent="0.35">
      <c r="A122" s="11" t="s">
        <v>155</v>
      </c>
      <c r="B122" s="11">
        <v>2018</v>
      </c>
      <c r="C122" s="12">
        <v>348703938</v>
      </c>
      <c r="D122" s="12">
        <v>130594934</v>
      </c>
      <c r="E122" s="12">
        <v>172540677</v>
      </c>
      <c r="F122" s="12">
        <v>159599187</v>
      </c>
      <c r="G122" s="12">
        <v>431678646</v>
      </c>
      <c r="H122" s="12">
        <v>273733800</v>
      </c>
      <c r="K122" s="12">
        <v>64235762122</v>
      </c>
      <c r="L122" s="11">
        <f t="shared" si="6"/>
        <v>2.3613811557479696E-2</v>
      </c>
      <c r="Z122" s="11">
        <f t="shared" si="4"/>
        <v>1.0981615578254413E-2</v>
      </c>
    </row>
    <row r="123" spans="1:26" x14ac:dyDescent="0.35">
      <c r="A123" s="11" t="s">
        <v>155</v>
      </c>
      <c r="B123" s="11">
        <v>2019</v>
      </c>
      <c r="C123" s="12">
        <v>284077871</v>
      </c>
      <c r="D123" s="12">
        <v>102345028</v>
      </c>
      <c r="E123" s="12">
        <v>220699585</v>
      </c>
      <c r="F123" s="12">
        <v>202882116</v>
      </c>
      <c r="G123" s="12">
        <v>442340074</v>
      </c>
      <c r="H123" s="12">
        <v>306308091</v>
      </c>
      <c r="K123" s="12">
        <v>65615478371</v>
      </c>
      <c r="L123" s="11">
        <f t="shared" si="6"/>
        <v>2.3754345829609558E-2</v>
      </c>
      <c r="Z123" s="11">
        <f t="shared" si="4"/>
        <v>1.1409627477940925E-2</v>
      </c>
    </row>
    <row r="124" spans="1:26" x14ac:dyDescent="0.35">
      <c r="A124" s="11" t="s">
        <v>155</v>
      </c>
      <c r="B124" s="11">
        <v>2020</v>
      </c>
      <c r="C124" s="12">
        <v>234166708</v>
      </c>
      <c r="D124" s="12">
        <v>69796620</v>
      </c>
      <c r="E124" s="12">
        <v>189767706</v>
      </c>
      <c r="F124" s="12">
        <v>163344139</v>
      </c>
      <c r="G124" s="12">
        <v>484276936</v>
      </c>
      <c r="H124" s="12">
        <v>306898472</v>
      </c>
      <c r="K124" s="12">
        <v>57874462310</v>
      </c>
      <c r="L124" s="11">
        <f t="shared" si="6"/>
        <v>2.5024000624706624E-2</v>
      </c>
      <c r="Z124" s="11">
        <f t="shared" si="4"/>
        <v>1.367054442358585E-2</v>
      </c>
    </row>
    <row r="125" spans="1:26" x14ac:dyDescent="0.35">
      <c r="A125" s="11" t="s">
        <v>155</v>
      </c>
      <c r="B125" s="11">
        <v>2021</v>
      </c>
      <c r="C125" s="12">
        <v>325068191</v>
      </c>
      <c r="D125" s="12">
        <v>61355522</v>
      </c>
      <c r="E125" s="12">
        <v>264348529</v>
      </c>
      <c r="F125" s="12">
        <v>197260405</v>
      </c>
      <c r="G125" s="12">
        <v>506291790</v>
      </c>
      <c r="H125" s="12">
        <v>298718749</v>
      </c>
      <c r="K125" s="12">
        <v>69471294545</v>
      </c>
      <c r="L125" s="11">
        <f t="shared" si="6"/>
        <v>2.3794621891337322E-2</v>
      </c>
      <c r="Z125" s="11">
        <f t="shared" si="4"/>
        <v>1.1587671487517118E-2</v>
      </c>
    </row>
    <row r="126" spans="1:26" x14ac:dyDescent="0.35">
      <c r="A126" s="11" t="s">
        <v>155</v>
      </c>
      <c r="B126" s="11">
        <v>2022</v>
      </c>
      <c r="C126" s="12">
        <v>812979734</v>
      </c>
      <c r="D126" s="12">
        <v>102590014</v>
      </c>
      <c r="E126" s="12">
        <v>140854348</v>
      </c>
      <c r="F126" s="12">
        <v>257540930</v>
      </c>
      <c r="G126" s="12">
        <v>630502587</v>
      </c>
      <c r="H126" s="12">
        <v>400201657</v>
      </c>
      <c r="K126" s="12">
        <v>81884667895</v>
      </c>
      <c r="L126" s="11">
        <f t="shared" si="6"/>
        <v>2.8633800811240378E-2</v>
      </c>
      <c r="Z126" s="11">
        <f t="shared" si="4"/>
        <v>1.2587267806003232E-2</v>
      </c>
    </row>
    <row r="127" spans="1:26" x14ac:dyDescent="0.35">
      <c r="A127" s="11" t="s">
        <v>155</v>
      </c>
      <c r="B127" s="11">
        <v>2023</v>
      </c>
      <c r="C127" s="12">
        <v>626919173</v>
      </c>
      <c r="D127" s="12">
        <v>90778962</v>
      </c>
      <c r="E127" s="12">
        <v>97904749</v>
      </c>
      <c r="F127" s="12">
        <v>276125877</v>
      </c>
      <c r="G127" s="12">
        <v>592868776</v>
      </c>
      <c r="H127" s="12">
        <v>408554969</v>
      </c>
      <c r="K127" s="12">
        <v>76362024306</v>
      </c>
      <c r="L127" s="11">
        <f t="shared" si="6"/>
        <v>2.7410909087641024E-2</v>
      </c>
      <c r="Z127" s="11">
        <f t="shared" si="4"/>
        <v>1.3114159218554335E-2</v>
      </c>
    </row>
    <row r="128" spans="1:26" x14ac:dyDescent="0.35">
      <c r="A128" s="11" t="s">
        <v>155</v>
      </c>
      <c r="B128" s="11">
        <v>2024</v>
      </c>
      <c r="C128" s="12">
        <v>415374930</v>
      </c>
      <c r="D128" s="12">
        <v>98156736</v>
      </c>
      <c r="E128" s="12">
        <v>118553164</v>
      </c>
      <c r="F128" s="12">
        <v>205150021</v>
      </c>
      <c r="G128" s="12">
        <v>716666857</v>
      </c>
      <c r="H128" s="12">
        <v>459450601</v>
      </c>
      <c r="K128" s="12">
        <v>72126011126</v>
      </c>
      <c r="L128" s="11">
        <f t="shared" si="6"/>
        <v>2.791437204925681E-2</v>
      </c>
      <c r="Z128" s="11">
        <f t="shared" si="4"/>
        <v>1.6306425929272457E-2</v>
      </c>
    </row>
    <row r="129" spans="1:26" x14ac:dyDescent="0.35">
      <c r="A129" s="11" t="s">
        <v>155</v>
      </c>
      <c r="B129" s="11">
        <v>2025</v>
      </c>
      <c r="C129" s="12">
        <v>509718269</v>
      </c>
      <c r="D129" s="12">
        <v>107116902</v>
      </c>
      <c r="E129" s="12">
        <v>128815917</v>
      </c>
      <c r="F129" s="12">
        <v>225684117</v>
      </c>
      <c r="G129" s="12">
        <v>634323904</v>
      </c>
      <c r="H129" s="12">
        <v>507586580</v>
      </c>
      <c r="K129" s="12">
        <v>74279238204</v>
      </c>
      <c r="L129" s="11">
        <f t="shared" si="6"/>
        <v>2.8450018337509011E-2</v>
      </c>
      <c r="Z129" s="11">
        <f t="shared" si="4"/>
        <v>1.5373212106239764E-2</v>
      </c>
    </row>
    <row r="130" spans="1:26" x14ac:dyDescent="0.35">
      <c r="C130" s="12"/>
      <c r="D130" s="12"/>
      <c r="E130" s="12"/>
      <c r="F130" s="12"/>
      <c r="G130" s="12"/>
      <c r="H130" s="12"/>
      <c r="K130" s="12"/>
    </row>
    <row r="131" spans="1:26" x14ac:dyDescent="0.35">
      <c r="C131" s="12"/>
      <c r="D131" s="12"/>
      <c r="E131" s="12"/>
      <c r="F131" s="12"/>
      <c r="G131" s="12"/>
      <c r="H131" s="12"/>
      <c r="K131" s="12"/>
    </row>
    <row r="132" spans="1:26" x14ac:dyDescent="0.35">
      <c r="A132" s="11" t="s">
        <v>113</v>
      </c>
      <c r="B132" s="11">
        <v>2002</v>
      </c>
      <c r="C132" s="12">
        <v>4773352957</v>
      </c>
      <c r="D132" s="12">
        <v>3871962902</v>
      </c>
      <c r="E132" s="12">
        <v>2509316130</v>
      </c>
      <c r="F132" s="12">
        <v>5175774031</v>
      </c>
      <c r="G132" s="12">
        <v>909825939</v>
      </c>
      <c r="H132" s="12">
        <v>526697821</v>
      </c>
      <c r="K132" s="12">
        <v>350802851259</v>
      </c>
      <c r="L132" s="11">
        <f t="shared" ref="L132:L155" si="7">SUM(C132:H132)/K132</f>
        <v>5.0646480540953644E-2</v>
      </c>
      <c r="Z132" s="11">
        <f t="shared" ref="Z132:Z194" si="8">(G132+H132)/K132</f>
        <v>4.0949603312642555E-3</v>
      </c>
    </row>
    <row r="133" spans="1:26" x14ac:dyDescent="0.35">
      <c r="A133" s="11" t="s">
        <v>113</v>
      </c>
      <c r="B133" s="11">
        <v>2003</v>
      </c>
      <c r="C133" s="12">
        <v>4349100516</v>
      </c>
      <c r="D133" s="12">
        <v>3426888396</v>
      </c>
      <c r="E133" s="12">
        <v>2089665243</v>
      </c>
      <c r="F133" s="12">
        <v>4534392671</v>
      </c>
      <c r="G133" s="12">
        <v>742151709</v>
      </c>
      <c r="H133" s="12">
        <v>512739267</v>
      </c>
      <c r="K133" s="12">
        <v>346569333140</v>
      </c>
      <c r="L133" s="11">
        <f t="shared" si="7"/>
        <v>4.5171157125076723E-2</v>
      </c>
      <c r="Z133" s="11">
        <f t="shared" si="8"/>
        <v>3.6208944531542693E-3</v>
      </c>
    </row>
    <row r="134" spans="1:26" x14ac:dyDescent="0.35">
      <c r="A134" s="11" t="s">
        <v>113</v>
      </c>
      <c r="B134" s="11">
        <v>2004</v>
      </c>
      <c r="C134" s="12">
        <v>4051307985</v>
      </c>
      <c r="D134" s="12">
        <v>4169567937</v>
      </c>
      <c r="E134" s="12">
        <v>2085296949</v>
      </c>
      <c r="F134" s="12">
        <v>4373516773</v>
      </c>
      <c r="G134" s="12">
        <v>806954483</v>
      </c>
      <c r="H134" s="12">
        <v>570540922</v>
      </c>
      <c r="K134" s="12">
        <v>363458356637</v>
      </c>
      <c r="L134" s="11">
        <f t="shared" si="7"/>
        <v>4.4178885299470318E-2</v>
      </c>
      <c r="Z134" s="11">
        <f t="shared" si="8"/>
        <v>3.7899676258530994E-3</v>
      </c>
    </row>
    <row r="135" spans="1:26" x14ac:dyDescent="0.35">
      <c r="A135" s="11" t="s">
        <v>113</v>
      </c>
      <c r="B135" s="11">
        <v>2005</v>
      </c>
      <c r="C135" s="12">
        <v>4329834418</v>
      </c>
      <c r="D135" s="12">
        <v>3952172828</v>
      </c>
      <c r="E135" s="12">
        <v>1915336574</v>
      </c>
      <c r="F135" s="12">
        <v>3809169461</v>
      </c>
      <c r="G135" s="12">
        <v>862017235</v>
      </c>
      <c r="H135" s="12">
        <v>603784644</v>
      </c>
      <c r="K135" s="12">
        <v>372500568812</v>
      </c>
      <c r="L135" s="11">
        <f t="shared" si="7"/>
        <v>4.1536353110399771E-2</v>
      </c>
      <c r="Z135" s="11">
        <f t="shared" si="8"/>
        <v>3.9350325924999759E-3</v>
      </c>
    </row>
    <row r="136" spans="1:26" x14ac:dyDescent="0.35">
      <c r="A136" s="11" t="s">
        <v>113</v>
      </c>
      <c r="B136" s="11">
        <v>2006</v>
      </c>
      <c r="C136" s="12">
        <v>4571013005</v>
      </c>
      <c r="D136" s="12">
        <v>4367986057</v>
      </c>
      <c r="E136" s="12">
        <v>1956902546</v>
      </c>
      <c r="F136" s="12">
        <v>4292504574</v>
      </c>
      <c r="G136" s="12">
        <v>628405409</v>
      </c>
      <c r="H136" s="12">
        <v>642884239</v>
      </c>
      <c r="K136" s="12">
        <v>394925007723</v>
      </c>
      <c r="L136" s="11">
        <f t="shared" si="7"/>
        <v>4.1678028760196453E-2</v>
      </c>
      <c r="Z136" s="11">
        <f t="shared" si="8"/>
        <v>3.2190659571796E-3</v>
      </c>
    </row>
    <row r="137" spans="1:26" x14ac:dyDescent="0.35">
      <c r="A137" s="11" t="s">
        <v>113</v>
      </c>
      <c r="B137" s="11">
        <v>2007</v>
      </c>
      <c r="C137" s="12">
        <v>3410710258</v>
      </c>
      <c r="D137" s="12">
        <v>2989657064</v>
      </c>
      <c r="E137" s="12">
        <v>1705875587</v>
      </c>
      <c r="F137" s="12">
        <v>3763282347</v>
      </c>
      <c r="G137" s="12">
        <v>842192017</v>
      </c>
      <c r="H137" s="12">
        <v>790619813</v>
      </c>
      <c r="K137" s="12">
        <v>408326901218</v>
      </c>
      <c r="L137" s="11">
        <f t="shared" si="7"/>
        <v>3.3067468848424687E-2</v>
      </c>
      <c r="Z137" s="11">
        <f t="shared" si="8"/>
        <v>3.9987858383307073E-3</v>
      </c>
    </row>
    <row r="138" spans="1:26" x14ac:dyDescent="0.35">
      <c r="A138" s="11" t="s">
        <v>113</v>
      </c>
      <c r="B138" s="11">
        <v>2008</v>
      </c>
      <c r="C138" s="12">
        <v>3065160500</v>
      </c>
      <c r="D138" s="12">
        <v>2739975361</v>
      </c>
      <c r="E138" s="12">
        <v>1666351850</v>
      </c>
      <c r="F138" s="12">
        <v>3503019268</v>
      </c>
      <c r="G138" s="12">
        <v>935060877</v>
      </c>
      <c r="H138" s="12">
        <v>730544012</v>
      </c>
      <c r="K138" s="12">
        <v>418982950256</v>
      </c>
      <c r="L138" s="11">
        <f t="shared" si="7"/>
        <v>3.0168559031523476E-2</v>
      </c>
      <c r="Z138" s="11">
        <f t="shared" si="8"/>
        <v>3.9753524289766681E-3</v>
      </c>
    </row>
    <row r="139" spans="1:26" x14ac:dyDescent="0.35">
      <c r="A139" s="11" t="s">
        <v>113</v>
      </c>
      <c r="B139" s="11">
        <v>2009</v>
      </c>
      <c r="C139" s="12">
        <v>2358215600</v>
      </c>
      <c r="D139" s="12">
        <v>2450608281</v>
      </c>
      <c r="E139" s="12">
        <v>1424194504</v>
      </c>
      <c r="F139" s="12">
        <v>2241182702</v>
      </c>
      <c r="G139" s="12">
        <v>756178600</v>
      </c>
      <c r="H139" s="12">
        <v>560324908</v>
      </c>
      <c r="K139" s="12">
        <v>348035433650</v>
      </c>
      <c r="L139" s="11">
        <f t="shared" si="7"/>
        <v>2.8131344249407577E-2</v>
      </c>
      <c r="Z139" s="11">
        <f t="shared" si="8"/>
        <v>3.7826709027677188E-3</v>
      </c>
    </row>
    <row r="140" spans="1:26" x14ac:dyDescent="0.35">
      <c r="A140" s="11" t="s">
        <v>113</v>
      </c>
      <c r="B140" s="11">
        <v>2010</v>
      </c>
      <c r="C140" s="12">
        <v>3001824947</v>
      </c>
      <c r="D140" s="12">
        <v>4397619319</v>
      </c>
      <c r="E140" s="12">
        <v>1391211153</v>
      </c>
      <c r="F140" s="12">
        <v>2252582006</v>
      </c>
      <c r="G140" s="12">
        <v>810116479</v>
      </c>
      <c r="H140" s="12">
        <v>551188747</v>
      </c>
      <c r="K140" s="12">
        <v>395087153481</v>
      </c>
      <c r="L140" s="11">
        <f t="shared" si="7"/>
        <v>3.1396977962222059E-2</v>
      </c>
      <c r="Z140" s="11">
        <f t="shared" si="8"/>
        <v>3.4455821051277641E-3</v>
      </c>
    </row>
    <row r="141" spans="1:26" x14ac:dyDescent="0.35">
      <c r="A141" s="11" t="s">
        <v>113</v>
      </c>
      <c r="B141" s="11">
        <v>2011</v>
      </c>
      <c r="C141" s="12">
        <v>3100616687</v>
      </c>
      <c r="D141" s="12">
        <v>4825207207</v>
      </c>
      <c r="E141" s="12">
        <v>1595347364</v>
      </c>
      <c r="F141" s="12">
        <v>1974411487</v>
      </c>
      <c r="G141" s="12">
        <v>937799071</v>
      </c>
      <c r="H141" s="12">
        <v>645428034</v>
      </c>
      <c r="K141" s="12">
        <v>428500554560</v>
      </c>
      <c r="L141" s="11">
        <f t="shared" si="7"/>
        <v>3.0522270533418092E-2</v>
      </c>
      <c r="Z141" s="11">
        <f t="shared" si="8"/>
        <v>3.6948075986172652E-3</v>
      </c>
    </row>
    <row r="142" spans="1:26" x14ac:dyDescent="0.35">
      <c r="A142" s="11" t="s">
        <v>113</v>
      </c>
      <c r="B142" s="11">
        <v>2012</v>
      </c>
      <c r="C142" s="12">
        <v>2985277953</v>
      </c>
      <c r="D142" s="12">
        <v>4637128760</v>
      </c>
      <c r="E142" s="12">
        <v>1423876081</v>
      </c>
      <c r="F142" s="12">
        <v>1830698279</v>
      </c>
      <c r="G142" s="12">
        <v>1058052833</v>
      </c>
      <c r="H142" s="12">
        <v>608883375</v>
      </c>
      <c r="K142" s="12">
        <v>442643439523</v>
      </c>
      <c r="L142" s="11">
        <f t="shared" si="7"/>
        <v>2.8338649488440483E-2</v>
      </c>
      <c r="Z142" s="11">
        <f t="shared" si="8"/>
        <v>3.7658667432105587E-3</v>
      </c>
    </row>
    <row r="143" spans="1:26" x14ac:dyDescent="0.35">
      <c r="A143" s="11" t="s">
        <v>113</v>
      </c>
      <c r="B143" s="11">
        <v>2013</v>
      </c>
      <c r="C143" s="12">
        <v>2946131351</v>
      </c>
      <c r="D143" s="12">
        <v>4583189473</v>
      </c>
      <c r="E143" s="12">
        <v>1346925809</v>
      </c>
      <c r="F143" s="12">
        <v>1828175678</v>
      </c>
      <c r="G143" s="12">
        <v>1024228243</v>
      </c>
      <c r="H143" s="12">
        <v>527222048</v>
      </c>
      <c r="K143" s="12">
        <v>437150620881</v>
      </c>
      <c r="L143" s="11">
        <f t="shared" si="7"/>
        <v>2.8035811952641061E-2</v>
      </c>
      <c r="Z143" s="11">
        <f t="shared" si="8"/>
        <v>3.5490062621284296E-3</v>
      </c>
    </row>
    <row r="144" spans="1:26" x14ac:dyDescent="0.35">
      <c r="A144" s="11" t="s">
        <v>113</v>
      </c>
      <c r="B144" s="11">
        <v>2014</v>
      </c>
      <c r="C144" s="12">
        <v>2749690877</v>
      </c>
      <c r="D144" s="12">
        <v>4575188513</v>
      </c>
      <c r="E144" s="12">
        <v>1216477558</v>
      </c>
      <c r="F144" s="12">
        <v>1835716764</v>
      </c>
      <c r="G144" s="12">
        <v>931082716</v>
      </c>
      <c r="H144" s="12">
        <v>624415505</v>
      </c>
      <c r="K144" s="12">
        <v>437785899016</v>
      </c>
      <c r="L144" s="11">
        <f t="shared" si="7"/>
        <v>2.7256638370081201E-2</v>
      </c>
      <c r="Z144" s="11">
        <f t="shared" si="8"/>
        <v>3.5531026113363928E-3</v>
      </c>
    </row>
    <row r="145" spans="1:26" x14ac:dyDescent="0.35">
      <c r="A145" s="11" t="s">
        <v>113</v>
      </c>
      <c r="B145" s="11">
        <v>2015</v>
      </c>
      <c r="C145" s="12">
        <v>2991563456</v>
      </c>
      <c r="D145" s="12">
        <v>5157875968</v>
      </c>
      <c r="E145" s="12">
        <v>1345925415</v>
      </c>
      <c r="F145" s="12">
        <v>1714831893</v>
      </c>
      <c r="G145" s="12">
        <v>1029077985</v>
      </c>
      <c r="H145" s="12">
        <v>619828515</v>
      </c>
      <c r="K145" s="12">
        <v>456514671173</v>
      </c>
      <c r="L145" s="11">
        <f t="shared" si="7"/>
        <v>2.8167995562900401E-2</v>
      </c>
      <c r="Z145" s="11">
        <f t="shared" si="8"/>
        <v>3.6119463494200242E-3</v>
      </c>
    </row>
    <row r="146" spans="1:26" x14ac:dyDescent="0.35">
      <c r="A146" s="11" t="s">
        <v>113</v>
      </c>
      <c r="B146" s="11">
        <v>2016</v>
      </c>
      <c r="C146" s="12">
        <v>2595244916</v>
      </c>
      <c r="D146" s="12">
        <v>5283864245</v>
      </c>
      <c r="E146" s="12">
        <v>1300977604</v>
      </c>
      <c r="F146" s="12">
        <v>1696200557</v>
      </c>
      <c r="G146" s="12">
        <v>1059034919</v>
      </c>
      <c r="H146" s="12">
        <v>717022768</v>
      </c>
      <c r="K146" s="12">
        <v>453075791425</v>
      </c>
      <c r="L146" s="11">
        <f t="shared" si="7"/>
        <v>2.7925449226069297E-2</v>
      </c>
      <c r="Z146" s="11">
        <f t="shared" si="8"/>
        <v>3.9200012903227478E-3</v>
      </c>
    </row>
    <row r="147" spans="1:26" x14ac:dyDescent="0.35">
      <c r="A147" s="11" t="s">
        <v>113</v>
      </c>
      <c r="B147" s="11">
        <v>2017</v>
      </c>
      <c r="C147" s="12">
        <v>2491226849</v>
      </c>
      <c r="D147" s="12">
        <v>5014196215</v>
      </c>
      <c r="E147" s="12">
        <v>1389912538</v>
      </c>
      <c r="F147" s="12">
        <v>1998333186</v>
      </c>
      <c r="G147" s="12">
        <v>1186195766</v>
      </c>
      <c r="H147" s="12">
        <v>750938478</v>
      </c>
      <c r="K147" s="12">
        <v>473814777652</v>
      </c>
      <c r="L147" s="11">
        <f t="shared" si="7"/>
        <v>2.7079786526674702E-2</v>
      </c>
      <c r="Z147" s="11">
        <f t="shared" si="8"/>
        <v>4.0883786985275406E-3</v>
      </c>
    </row>
    <row r="148" spans="1:26" x14ac:dyDescent="0.35">
      <c r="A148" s="11" t="s">
        <v>113</v>
      </c>
      <c r="B148" s="11">
        <v>2018</v>
      </c>
      <c r="C148" s="12">
        <v>2690443429</v>
      </c>
      <c r="D148" s="12">
        <v>5562424477</v>
      </c>
      <c r="E148" s="12">
        <v>1463555220</v>
      </c>
      <c r="F148" s="12">
        <v>2314276585</v>
      </c>
      <c r="G148" s="12">
        <v>1145424206</v>
      </c>
      <c r="H148" s="12">
        <v>811676593</v>
      </c>
      <c r="K148" s="12">
        <v>492964099238</v>
      </c>
      <c r="L148" s="11">
        <f t="shared" si="7"/>
        <v>2.8374886795248709E-2</v>
      </c>
      <c r="Z148" s="11">
        <f t="shared" si="8"/>
        <v>3.9700676013226755E-3</v>
      </c>
    </row>
    <row r="149" spans="1:26" x14ac:dyDescent="0.35">
      <c r="A149" s="11" t="s">
        <v>113</v>
      </c>
      <c r="B149" s="11">
        <v>2019</v>
      </c>
      <c r="C149" s="12">
        <v>2864542461</v>
      </c>
      <c r="D149" s="12">
        <v>5726893056</v>
      </c>
      <c r="E149" s="12">
        <v>1442811303</v>
      </c>
      <c r="F149" s="12">
        <v>2153352181</v>
      </c>
      <c r="G149" s="12">
        <v>1157281228</v>
      </c>
      <c r="H149" s="12">
        <v>809297424</v>
      </c>
      <c r="K149" s="12">
        <v>509948158598</v>
      </c>
      <c r="L149" s="11">
        <f t="shared" si="7"/>
        <v>2.7756110919027667E-2</v>
      </c>
      <c r="Z149" s="11">
        <f t="shared" si="8"/>
        <v>3.856428577772911E-3</v>
      </c>
    </row>
    <row r="150" spans="1:26" x14ac:dyDescent="0.35">
      <c r="A150" s="11" t="s">
        <v>113</v>
      </c>
      <c r="B150" s="11">
        <v>2020</v>
      </c>
      <c r="C150" s="12">
        <v>2813273629</v>
      </c>
      <c r="D150" s="12">
        <v>4572344218</v>
      </c>
      <c r="E150" s="12">
        <v>1481936096</v>
      </c>
      <c r="F150" s="12">
        <v>1992181229</v>
      </c>
      <c r="G150" s="12">
        <v>1054503277</v>
      </c>
      <c r="H150" s="12">
        <v>644172967</v>
      </c>
      <c r="K150" s="12">
        <v>427236184153</v>
      </c>
      <c r="L150" s="11">
        <f t="shared" si="7"/>
        <v>2.9394540729028314E-2</v>
      </c>
      <c r="Z150" s="11">
        <f t="shared" si="8"/>
        <v>3.9759653021141988E-3</v>
      </c>
    </row>
    <row r="151" spans="1:26" x14ac:dyDescent="0.35">
      <c r="A151" s="11" t="s">
        <v>113</v>
      </c>
      <c r="B151" s="11">
        <v>2021</v>
      </c>
      <c r="C151" s="12">
        <v>2441162978</v>
      </c>
      <c r="D151" s="12">
        <v>5803017577</v>
      </c>
      <c r="E151" s="12">
        <v>1464199570</v>
      </c>
      <c r="F151" s="12">
        <v>2322907771</v>
      </c>
      <c r="G151" s="12">
        <v>1109287072</v>
      </c>
      <c r="H151" s="12">
        <v>791335447</v>
      </c>
      <c r="K151" s="12">
        <v>494948816197</v>
      </c>
      <c r="L151" s="11">
        <f t="shared" si="7"/>
        <v>2.8148184133558584E-2</v>
      </c>
      <c r="Z151" s="11">
        <f t="shared" si="8"/>
        <v>3.8400385187374857E-3</v>
      </c>
    </row>
    <row r="152" spans="1:26" x14ac:dyDescent="0.35">
      <c r="A152" s="11" t="s">
        <v>113</v>
      </c>
      <c r="B152" s="11">
        <v>2022</v>
      </c>
      <c r="C152" s="12">
        <v>2936888551</v>
      </c>
      <c r="D152" s="12">
        <v>8615726954</v>
      </c>
      <c r="E152" s="12">
        <v>1534243823</v>
      </c>
      <c r="F152" s="12">
        <v>2578457997</v>
      </c>
      <c r="G152" s="12">
        <v>1264307798</v>
      </c>
      <c r="H152" s="12">
        <v>1117299989</v>
      </c>
      <c r="K152" s="12">
        <v>589710183299</v>
      </c>
      <c r="L152" s="11">
        <f t="shared" si="7"/>
        <v>3.0603041329624946E-2</v>
      </c>
      <c r="Z152" s="11">
        <f t="shared" si="8"/>
        <v>4.0386071912081201E-3</v>
      </c>
    </row>
    <row r="153" spans="1:26" x14ac:dyDescent="0.35">
      <c r="A153" s="11" t="s">
        <v>113</v>
      </c>
      <c r="B153" s="11">
        <v>2023</v>
      </c>
      <c r="C153" s="12">
        <v>3487151688</v>
      </c>
      <c r="D153" s="12">
        <v>7350205887</v>
      </c>
      <c r="E153" s="12">
        <v>1614936575</v>
      </c>
      <c r="F153" s="12">
        <v>2260850826</v>
      </c>
      <c r="G153" s="12">
        <v>1277263793</v>
      </c>
      <c r="H153" s="12">
        <v>1114066636</v>
      </c>
      <c r="K153" s="12">
        <v>602223492411</v>
      </c>
      <c r="L153" s="11">
        <f t="shared" si="7"/>
        <v>2.8402205527589569E-2</v>
      </c>
      <c r="Z153" s="11">
        <f t="shared" si="8"/>
        <v>3.9708355106279824E-3</v>
      </c>
    </row>
    <row r="154" spans="1:26" x14ac:dyDescent="0.35">
      <c r="A154" s="11" t="s">
        <v>113</v>
      </c>
      <c r="B154" s="11">
        <v>2024</v>
      </c>
      <c r="C154" s="12">
        <v>3235193434</v>
      </c>
      <c r="D154" s="12">
        <v>4255459506</v>
      </c>
      <c r="E154" s="12">
        <v>1567113333</v>
      </c>
      <c r="F154" s="12">
        <v>2617639393</v>
      </c>
      <c r="G154" s="12">
        <v>1442613479</v>
      </c>
      <c r="H154" s="12">
        <v>979259844</v>
      </c>
      <c r="K154" s="12">
        <v>592226141641</v>
      </c>
      <c r="L154" s="11">
        <f t="shared" si="7"/>
        <v>2.3803878278553924E-2</v>
      </c>
      <c r="Z154" s="11">
        <f t="shared" si="8"/>
        <v>4.0894400849804243E-3</v>
      </c>
    </row>
    <row r="155" spans="1:26" x14ac:dyDescent="0.35">
      <c r="A155" s="11" t="s">
        <v>113</v>
      </c>
      <c r="B155" s="11">
        <v>2025</v>
      </c>
      <c r="C155" s="12">
        <v>3239166073</v>
      </c>
      <c r="D155" s="12">
        <v>4909933946</v>
      </c>
      <c r="E155" s="12">
        <v>1734525122</v>
      </c>
      <c r="F155" s="12">
        <v>2990286504</v>
      </c>
      <c r="G155" s="12">
        <v>1478960140</v>
      </c>
      <c r="H155" s="12">
        <v>1092360383</v>
      </c>
      <c r="K155" s="12">
        <v>606033418643</v>
      </c>
      <c r="L155" s="11">
        <f t="shared" si="7"/>
        <v>2.5485776349733646E-2</v>
      </c>
      <c r="Z155" s="11">
        <f t="shared" si="8"/>
        <v>4.2428691948334686E-3</v>
      </c>
    </row>
    <row r="156" spans="1:26" x14ac:dyDescent="0.35">
      <c r="C156" s="12"/>
      <c r="D156" s="12"/>
      <c r="E156" s="12"/>
      <c r="F156" s="12"/>
      <c r="G156" s="12"/>
      <c r="H156" s="12"/>
      <c r="K156" s="12"/>
    </row>
    <row r="157" spans="1:26" x14ac:dyDescent="0.35">
      <c r="C157" s="12"/>
      <c r="D157" s="12"/>
      <c r="E157" s="12"/>
      <c r="F157" s="12"/>
      <c r="G157" s="12"/>
      <c r="H157" s="12"/>
      <c r="K157" s="12"/>
    </row>
    <row r="158" spans="1:26" x14ac:dyDescent="0.35">
      <c r="A158" s="11" t="s">
        <v>156</v>
      </c>
      <c r="B158" s="11">
        <v>2002</v>
      </c>
      <c r="C158" s="12">
        <v>2516642479</v>
      </c>
      <c r="D158" s="12">
        <v>6428790525</v>
      </c>
      <c r="E158" s="12">
        <v>5480090158</v>
      </c>
      <c r="F158" s="12">
        <v>10760016417</v>
      </c>
      <c r="G158" s="12">
        <v>83403669</v>
      </c>
      <c r="H158" s="12">
        <v>17986379</v>
      </c>
      <c r="K158" s="12">
        <v>93343303504</v>
      </c>
      <c r="L158" s="11">
        <f t="shared" ref="L158:L181" si="9">SUM(C158:H158)/K158</f>
        <v>0.27090245017861825</v>
      </c>
      <c r="Z158" s="11">
        <f t="shared" si="8"/>
        <v>1.086205910803823E-3</v>
      </c>
    </row>
    <row r="159" spans="1:26" x14ac:dyDescent="0.35">
      <c r="A159" s="11" t="s">
        <v>156</v>
      </c>
      <c r="B159" s="11">
        <v>2003</v>
      </c>
      <c r="C159" s="12">
        <v>2353355628</v>
      </c>
      <c r="D159" s="12">
        <v>1293263593</v>
      </c>
      <c r="E159" s="12">
        <v>4595123647</v>
      </c>
      <c r="F159" s="12">
        <v>9958379315</v>
      </c>
      <c r="G159" s="12">
        <v>52995610</v>
      </c>
      <c r="H159" s="12">
        <v>11771881</v>
      </c>
      <c r="K159" s="12">
        <v>81997311685</v>
      </c>
      <c r="L159" s="11">
        <f t="shared" si="9"/>
        <v>0.22274985970474503</v>
      </c>
      <c r="Z159" s="11">
        <f t="shared" si="8"/>
        <v>7.8987334668739024E-4</v>
      </c>
    </row>
    <row r="160" spans="1:26" x14ac:dyDescent="0.35">
      <c r="A160" s="11" t="s">
        <v>156</v>
      </c>
      <c r="B160" s="11">
        <v>2004</v>
      </c>
      <c r="C160" s="12">
        <v>2983042924</v>
      </c>
      <c r="D160" s="12">
        <v>1399707387</v>
      </c>
      <c r="E160" s="12">
        <v>3572212397</v>
      </c>
      <c r="F160" s="12">
        <v>9476578267</v>
      </c>
      <c r="G160" s="12">
        <v>51355155</v>
      </c>
      <c r="H160" s="12">
        <v>19687864</v>
      </c>
      <c r="K160" s="12">
        <v>84241578253</v>
      </c>
      <c r="L160" s="11">
        <f t="shared" si="9"/>
        <v>0.20776657271822541</v>
      </c>
      <c r="Z160" s="11">
        <f t="shared" si="8"/>
        <v>8.4332488152867699E-4</v>
      </c>
    </row>
    <row r="161" spans="1:26" x14ac:dyDescent="0.35">
      <c r="A161" s="11" t="s">
        <v>156</v>
      </c>
      <c r="B161" s="11">
        <v>2005</v>
      </c>
      <c r="C161" s="12">
        <v>3163523062</v>
      </c>
      <c r="D161" s="12">
        <v>1148913650</v>
      </c>
      <c r="E161" s="12">
        <v>3680829406</v>
      </c>
      <c r="F161" s="12">
        <v>9913028462</v>
      </c>
      <c r="G161" s="12">
        <v>43956487</v>
      </c>
      <c r="H161" s="12">
        <v>22840942</v>
      </c>
      <c r="K161" s="12">
        <v>88141991308</v>
      </c>
      <c r="L161" s="11">
        <f t="shared" si="9"/>
        <v>0.20391066439826069</v>
      </c>
      <c r="Z161" s="11">
        <f t="shared" si="8"/>
        <v>7.578388916423004E-4</v>
      </c>
    </row>
    <row r="162" spans="1:26" x14ac:dyDescent="0.35">
      <c r="A162" s="11" t="s">
        <v>156</v>
      </c>
      <c r="B162" s="11">
        <v>2006</v>
      </c>
      <c r="C162" s="12">
        <v>2950817324</v>
      </c>
      <c r="D162" s="12">
        <v>1006659006</v>
      </c>
      <c r="E162" s="12">
        <v>3764302259</v>
      </c>
      <c r="F162" s="12">
        <v>9832409661</v>
      </c>
      <c r="G162" s="12">
        <v>66029665</v>
      </c>
      <c r="H162" s="12">
        <v>17026341</v>
      </c>
      <c r="K162" s="12">
        <v>86592595875</v>
      </c>
      <c r="L162" s="11">
        <f t="shared" si="9"/>
        <v>0.2036807428831455</v>
      </c>
      <c r="Z162" s="11">
        <f t="shared" si="8"/>
        <v>9.5915828785055458E-4</v>
      </c>
    </row>
    <row r="163" spans="1:26" x14ac:dyDescent="0.35">
      <c r="A163" s="11" t="s">
        <v>156</v>
      </c>
      <c r="B163" s="11">
        <v>2007</v>
      </c>
      <c r="C163" s="12">
        <v>2868617532</v>
      </c>
      <c r="D163" s="12">
        <v>462952597</v>
      </c>
      <c r="E163" s="12">
        <v>2672019387</v>
      </c>
      <c r="F163" s="12">
        <v>8664908892</v>
      </c>
      <c r="G163" s="12">
        <v>71316778</v>
      </c>
      <c r="H163" s="12">
        <v>57899393</v>
      </c>
      <c r="K163" s="12">
        <v>88685503864</v>
      </c>
      <c r="L163" s="11">
        <f t="shared" si="9"/>
        <v>0.16685606930409311</v>
      </c>
      <c r="Z163" s="11">
        <f t="shared" si="8"/>
        <v>1.4570156944493898E-3</v>
      </c>
    </row>
    <row r="164" spans="1:26" x14ac:dyDescent="0.35">
      <c r="A164" s="11" t="s">
        <v>156</v>
      </c>
      <c r="B164" s="11">
        <v>2008</v>
      </c>
      <c r="C164" s="12">
        <v>2917074875</v>
      </c>
      <c r="D164" s="12">
        <v>571303968</v>
      </c>
      <c r="E164" s="12">
        <v>2345003068</v>
      </c>
      <c r="F164" s="12">
        <v>5930592286</v>
      </c>
      <c r="G164" s="12">
        <v>56388827</v>
      </c>
      <c r="H164" s="12">
        <v>35406187</v>
      </c>
      <c r="K164" s="12">
        <v>85476843450</v>
      </c>
      <c r="L164" s="11">
        <f t="shared" si="9"/>
        <v>0.13870153286527334</v>
      </c>
      <c r="Z164" s="11">
        <f t="shared" si="8"/>
        <v>1.0739167509583557E-3</v>
      </c>
    </row>
    <row r="165" spans="1:26" x14ac:dyDescent="0.35">
      <c r="A165" s="11" t="s">
        <v>156</v>
      </c>
      <c r="B165" s="11">
        <v>2009</v>
      </c>
      <c r="C165" s="12">
        <v>1943777106</v>
      </c>
      <c r="D165" s="12">
        <v>310210360</v>
      </c>
      <c r="E165" s="12">
        <v>2273822738</v>
      </c>
      <c r="F165" s="12">
        <v>3438862946</v>
      </c>
      <c r="G165" s="12">
        <v>47701025</v>
      </c>
      <c r="H165" s="12">
        <v>41260627</v>
      </c>
      <c r="K165" s="12">
        <v>83114389074</v>
      </c>
      <c r="L165" s="11">
        <f t="shared" si="9"/>
        <v>9.6922264504979427E-2</v>
      </c>
      <c r="Z165" s="11">
        <f t="shared" si="8"/>
        <v>1.0703519930922425E-3</v>
      </c>
    </row>
    <row r="166" spans="1:26" x14ac:dyDescent="0.35">
      <c r="A166" s="11" t="s">
        <v>156</v>
      </c>
      <c r="B166" s="11">
        <v>2010</v>
      </c>
      <c r="C166" s="12">
        <v>1435849219</v>
      </c>
      <c r="D166" s="12">
        <v>171285266</v>
      </c>
      <c r="E166" s="12">
        <v>1298782963</v>
      </c>
      <c r="F166" s="12">
        <v>2156350935</v>
      </c>
      <c r="G166" s="12">
        <v>40843091</v>
      </c>
      <c r="H166" s="12">
        <v>61012410</v>
      </c>
      <c r="K166" s="12">
        <v>88660234695</v>
      </c>
      <c r="L166" s="11">
        <f t="shared" si="9"/>
        <v>5.8246223933030389E-2</v>
      </c>
      <c r="Z166" s="11">
        <f t="shared" si="8"/>
        <v>1.1488295891657972E-3</v>
      </c>
    </row>
    <row r="167" spans="1:26" x14ac:dyDescent="0.35">
      <c r="A167" s="11" t="s">
        <v>156</v>
      </c>
      <c r="B167" s="11">
        <v>2011</v>
      </c>
      <c r="C167" s="12">
        <v>1330714429</v>
      </c>
      <c r="D167" s="12">
        <v>117347376</v>
      </c>
      <c r="E167" s="12">
        <v>1099118525</v>
      </c>
      <c r="F167" s="12">
        <v>1728132782</v>
      </c>
      <c r="G167" s="12">
        <v>49496252</v>
      </c>
      <c r="H167" s="12">
        <v>97643527</v>
      </c>
      <c r="K167" s="12">
        <v>91554495094</v>
      </c>
      <c r="L167" s="11">
        <f t="shared" si="9"/>
        <v>4.8304049806177397E-2</v>
      </c>
      <c r="Z167" s="11">
        <f t="shared" si="8"/>
        <v>1.6071278515481953E-3</v>
      </c>
    </row>
    <row r="168" spans="1:26" x14ac:dyDescent="0.35">
      <c r="A168" s="11" t="s">
        <v>156</v>
      </c>
      <c r="B168" s="11">
        <v>2012</v>
      </c>
      <c r="C168" s="12">
        <v>1107128985</v>
      </c>
      <c r="D168" s="12">
        <v>137348478</v>
      </c>
      <c r="E168" s="12">
        <v>1119033178</v>
      </c>
      <c r="F168" s="12">
        <v>1691333667</v>
      </c>
      <c r="G168" s="12">
        <v>32406702</v>
      </c>
      <c r="H168" s="12">
        <v>89625403</v>
      </c>
      <c r="K168" s="12">
        <v>92480320505</v>
      </c>
      <c r="L168" s="11">
        <f t="shared" si="9"/>
        <v>4.5165029599720893E-2</v>
      </c>
      <c r="Z168" s="11">
        <f t="shared" si="8"/>
        <v>1.3195467352797752E-3</v>
      </c>
    </row>
    <row r="169" spans="1:26" x14ac:dyDescent="0.35">
      <c r="A169" s="11" t="s">
        <v>156</v>
      </c>
      <c r="B169" s="11">
        <v>2013</v>
      </c>
      <c r="C169" s="12">
        <v>832743464</v>
      </c>
      <c r="D169" s="12">
        <v>91505154</v>
      </c>
      <c r="E169" s="12">
        <v>1268326076</v>
      </c>
      <c r="F169" s="12">
        <v>2068707408</v>
      </c>
      <c r="G169" s="12">
        <v>43506037</v>
      </c>
      <c r="H169" s="12">
        <v>97964000</v>
      </c>
      <c r="K169" s="12">
        <v>87933847280</v>
      </c>
      <c r="L169" s="11">
        <f t="shared" si="9"/>
        <v>5.0068912883803482E-2</v>
      </c>
      <c r="Z169" s="11">
        <f t="shared" si="8"/>
        <v>1.6088234664580229E-3</v>
      </c>
    </row>
    <row r="170" spans="1:26" x14ac:dyDescent="0.35">
      <c r="A170" s="11" t="s">
        <v>156</v>
      </c>
      <c r="B170" s="11">
        <v>2014</v>
      </c>
      <c r="C170" s="12">
        <v>625031484</v>
      </c>
      <c r="D170" s="12">
        <v>83765785</v>
      </c>
      <c r="E170" s="12">
        <v>1402103187</v>
      </c>
      <c r="F170" s="12">
        <v>2068571316</v>
      </c>
      <c r="G170" s="12">
        <v>80123591</v>
      </c>
      <c r="H170" s="12">
        <v>112705045</v>
      </c>
      <c r="K170" s="12">
        <v>91217207790</v>
      </c>
      <c r="L170" s="11">
        <f t="shared" si="9"/>
        <v>4.7932846377691123E-2</v>
      </c>
      <c r="Z170" s="11">
        <f t="shared" si="8"/>
        <v>2.1139502147876476E-3</v>
      </c>
    </row>
    <row r="171" spans="1:26" x14ac:dyDescent="0.35">
      <c r="A171" s="11" t="s">
        <v>156</v>
      </c>
      <c r="B171" s="11">
        <v>2015</v>
      </c>
      <c r="C171" s="12">
        <v>1481199142</v>
      </c>
      <c r="D171" s="12">
        <v>70508280</v>
      </c>
      <c r="E171" s="12">
        <v>1676127769</v>
      </c>
      <c r="F171" s="12">
        <v>2389983018</v>
      </c>
      <c r="G171" s="12">
        <v>81907626</v>
      </c>
      <c r="H171" s="12">
        <v>139629037</v>
      </c>
      <c r="K171" s="12">
        <v>111259139473</v>
      </c>
      <c r="L171" s="11">
        <f t="shared" si="9"/>
        <v>5.2484271401515514E-2</v>
      </c>
      <c r="Z171" s="11">
        <f t="shared" si="8"/>
        <v>1.9911772106934351E-3</v>
      </c>
    </row>
    <row r="172" spans="1:26" x14ac:dyDescent="0.35">
      <c r="A172" s="11" t="s">
        <v>156</v>
      </c>
      <c r="B172" s="11">
        <v>2016</v>
      </c>
      <c r="C172" s="12">
        <v>5739843671</v>
      </c>
      <c r="D172" s="12">
        <v>66563742</v>
      </c>
      <c r="E172" s="12">
        <v>1633916589</v>
      </c>
      <c r="F172" s="12">
        <v>2077859978</v>
      </c>
      <c r="G172" s="12">
        <v>60429199</v>
      </c>
      <c r="H172" s="12">
        <v>148291407</v>
      </c>
      <c r="K172" s="12">
        <v>118230301290</v>
      </c>
      <c r="L172" s="11">
        <f t="shared" si="9"/>
        <v>8.2270826343759887E-2</v>
      </c>
      <c r="Z172" s="11">
        <f t="shared" si="8"/>
        <v>1.7653732057067314E-3</v>
      </c>
    </row>
    <row r="173" spans="1:26" x14ac:dyDescent="0.35">
      <c r="A173" s="11" t="s">
        <v>156</v>
      </c>
      <c r="B173" s="11">
        <v>2017</v>
      </c>
      <c r="C173" s="12">
        <v>4868603268</v>
      </c>
      <c r="D173" s="12">
        <v>67053348</v>
      </c>
      <c r="E173" s="12">
        <v>1453153744</v>
      </c>
      <c r="F173" s="12">
        <v>2049725604</v>
      </c>
      <c r="G173" s="12">
        <v>69400936</v>
      </c>
      <c r="H173" s="12">
        <v>153243273</v>
      </c>
      <c r="K173" s="12">
        <v>121759700579</v>
      </c>
      <c r="L173" s="11">
        <f t="shared" si="9"/>
        <v>7.113338922331254E-2</v>
      </c>
      <c r="Z173" s="11">
        <f t="shared" si="8"/>
        <v>1.8285541763101184E-3</v>
      </c>
    </row>
    <row r="174" spans="1:26" x14ac:dyDescent="0.35">
      <c r="A174" s="11" t="s">
        <v>156</v>
      </c>
      <c r="B174" s="11">
        <v>2018</v>
      </c>
      <c r="C174" s="12">
        <v>3609109670</v>
      </c>
      <c r="D174" s="12">
        <v>77060233</v>
      </c>
      <c r="E174" s="12">
        <v>1701427297</v>
      </c>
      <c r="F174" s="12">
        <v>2668366305</v>
      </c>
      <c r="G174" s="12">
        <v>93290230</v>
      </c>
      <c r="H174" s="12">
        <v>215776171</v>
      </c>
      <c r="K174" s="12">
        <v>139637126173</v>
      </c>
      <c r="L174" s="11">
        <f t="shared" si="9"/>
        <v>5.9905485992574434E-2</v>
      </c>
      <c r="Z174" s="11">
        <f t="shared" si="8"/>
        <v>2.2133540661463465E-3</v>
      </c>
    </row>
    <row r="175" spans="1:26" x14ac:dyDescent="0.35">
      <c r="A175" s="11" t="s">
        <v>156</v>
      </c>
      <c r="B175" s="11">
        <v>2019</v>
      </c>
      <c r="C175" s="12">
        <v>6525196777</v>
      </c>
      <c r="D175" s="12">
        <v>66749023</v>
      </c>
      <c r="E175" s="12">
        <v>2403375425</v>
      </c>
      <c r="F175" s="12">
        <v>2836747798</v>
      </c>
      <c r="G175" s="12">
        <v>112961466</v>
      </c>
      <c r="H175" s="12">
        <v>146458562</v>
      </c>
      <c r="K175" s="12">
        <v>151515579063</v>
      </c>
      <c r="L175" s="11">
        <f t="shared" si="9"/>
        <v>7.9803602545533439E-2</v>
      </c>
      <c r="Z175" s="11">
        <f t="shared" si="8"/>
        <v>1.7121673533791099E-3</v>
      </c>
    </row>
    <row r="176" spans="1:26" x14ac:dyDescent="0.35">
      <c r="A176" s="11" t="s">
        <v>156</v>
      </c>
      <c r="B176" s="11">
        <v>2020</v>
      </c>
      <c r="C176" s="12">
        <v>7269420162</v>
      </c>
      <c r="D176" s="12">
        <v>87717238</v>
      </c>
      <c r="E176" s="12">
        <v>2874352623</v>
      </c>
      <c r="F176" s="12">
        <v>1945487101</v>
      </c>
      <c r="G176" s="12">
        <v>135395786</v>
      </c>
      <c r="H176" s="12">
        <v>97106590</v>
      </c>
      <c r="K176" s="12">
        <v>157828328620</v>
      </c>
      <c r="L176" s="11">
        <f t="shared" si="9"/>
        <v>7.8626439299614242E-2</v>
      </c>
      <c r="Z176" s="11">
        <f t="shared" si="8"/>
        <v>1.4731346269261404E-3</v>
      </c>
    </row>
    <row r="177" spans="1:26" x14ac:dyDescent="0.35">
      <c r="A177" s="11" t="s">
        <v>156</v>
      </c>
      <c r="B177" s="11">
        <v>2021</v>
      </c>
      <c r="C177" s="12">
        <v>9386632207</v>
      </c>
      <c r="D177" s="12">
        <v>229681149</v>
      </c>
      <c r="E177" s="12">
        <v>1612578116</v>
      </c>
      <c r="F177" s="12">
        <v>2404933306</v>
      </c>
      <c r="G177" s="12">
        <v>163654686</v>
      </c>
      <c r="H177" s="12">
        <v>87553995</v>
      </c>
      <c r="K177" s="12">
        <v>161204860324</v>
      </c>
      <c r="L177" s="11">
        <f t="shared" si="9"/>
        <v>8.6132846311785874E-2</v>
      </c>
      <c r="Z177" s="11">
        <f t="shared" si="8"/>
        <v>1.5583195227185116E-3</v>
      </c>
    </row>
    <row r="178" spans="1:26" x14ac:dyDescent="0.35">
      <c r="A178" s="11" t="s">
        <v>156</v>
      </c>
      <c r="B178" s="11">
        <v>2022</v>
      </c>
      <c r="C178" s="12">
        <v>11417000917</v>
      </c>
      <c r="D178" s="12">
        <v>178043020</v>
      </c>
      <c r="E178" s="12">
        <v>1973884001</v>
      </c>
      <c r="F178" s="12">
        <v>2852859169</v>
      </c>
      <c r="G178" s="12">
        <v>170470654</v>
      </c>
      <c r="H178" s="12">
        <v>129853608</v>
      </c>
      <c r="K178" s="12">
        <v>203431809932</v>
      </c>
      <c r="L178" s="11">
        <f t="shared" si="9"/>
        <v>8.2200081563397615E-2</v>
      </c>
      <c r="Z178" s="11">
        <f t="shared" si="8"/>
        <v>1.476289583720401E-3</v>
      </c>
    </row>
    <row r="179" spans="1:26" x14ac:dyDescent="0.35">
      <c r="A179" s="11" t="s">
        <v>156</v>
      </c>
      <c r="B179" s="11">
        <v>2023</v>
      </c>
      <c r="C179" s="12">
        <v>5581164655</v>
      </c>
      <c r="D179" s="12">
        <v>96854406</v>
      </c>
      <c r="E179" s="12">
        <v>1654977374</v>
      </c>
      <c r="F179" s="12">
        <v>2514212359</v>
      </c>
      <c r="G179" s="12">
        <v>152270101</v>
      </c>
      <c r="H179" s="12">
        <v>209255272</v>
      </c>
      <c r="K179" s="12">
        <v>192695314572</v>
      </c>
      <c r="L179" s="11">
        <f t="shared" si="9"/>
        <v>5.2978632042376614E-2</v>
      </c>
      <c r="Z179" s="11">
        <f t="shared" si="8"/>
        <v>1.8761503039292488E-3</v>
      </c>
    </row>
    <row r="180" spans="1:26" x14ac:dyDescent="0.35">
      <c r="A180" s="11" t="s">
        <v>156</v>
      </c>
      <c r="B180" s="11">
        <v>2024</v>
      </c>
      <c r="C180" s="12">
        <v>7949511227</v>
      </c>
      <c r="D180" s="12">
        <v>86305738</v>
      </c>
      <c r="E180" s="12">
        <v>2293358295</v>
      </c>
      <c r="F180" s="12">
        <v>2648736899</v>
      </c>
      <c r="G180" s="12">
        <v>221285517</v>
      </c>
      <c r="H180" s="12">
        <v>231744680</v>
      </c>
      <c r="K180" s="12">
        <v>222748336891</v>
      </c>
      <c r="L180" s="11">
        <f t="shared" si="9"/>
        <v>6.0296487702048783E-2</v>
      </c>
      <c r="Z180" s="11">
        <f t="shared" si="8"/>
        <v>2.0338207832352366E-3</v>
      </c>
    </row>
    <row r="181" spans="1:26" x14ac:dyDescent="0.35">
      <c r="A181" s="11" t="s">
        <v>156</v>
      </c>
      <c r="B181" s="11">
        <v>2025</v>
      </c>
      <c r="C181" s="12">
        <v>7963715596</v>
      </c>
      <c r="D181" s="12">
        <v>104085451</v>
      </c>
      <c r="E181" s="12">
        <v>3798157638</v>
      </c>
      <c r="F181" s="12">
        <v>4182466490</v>
      </c>
      <c r="G181" s="12">
        <v>232541810</v>
      </c>
      <c r="H181" s="12">
        <v>168005563</v>
      </c>
      <c r="K181" s="12">
        <v>258255172371</v>
      </c>
      <c r="L181" s="11">
        <f t="shared" si="9"/>
        <v>6.3692712897033502E-2</v>
      </c>
      <c r="Z181" s="11">
        <f t="shared" si="8"/>
        <v>1.5509752208354155E-3</v>
      </c>
    </row>
    <row r="182" spans="1:26" x14ac:dyDescent="0.35">
      <c r="C182" s="12"/>
      <c r="D182" s="12"/>
      <c r="E182" s="12"/>
      <c r="F182" s="12"/>
      <c r="G182" s="12"/>
      <c r="H182" s="12"/>
      <c r="K182" s="12"/>
    </row>
    <row r="183" spans="1:26" x14ac:dyDescent="0.35">
      <c r="C183" s="12"/>
      <c r="D183" s="12"/>
      <c r="E183" s="12"/>
      <c r="F183" s="12"/>
      <c r="G183" s="12"/>
      <c r="H183" s="12"/>
      <c r="K183" s="12"/>
    </row>
    <row r="184" spans="1:26" x14ac:dyDescent="0.35">
      <c r="A184" s="11" t="s">
        <v>114</v>
      </c>
      <c r="B184" s="11">
        <v>2002</v>
      </c>
      <c r="C184" s="12">
        <v>2589848625</v>
      </c>
      <c r="D184" s="12">
        <v>1777419151</v>
      </c>
      <c r="E184" s="12">
        <v>978745054</v>
      </c>
      <c r="F184" s="12">
        <v>1609315060</v>
      </c>
      <c r="G184" s="12">
        <v>2173929151</v>
      </c>
      <c r="H184" s="12">
        <v>943207411</v>
      </c>
      <c r="K184" s="12">
        <v>269063520444</v>
      </c>
      <c r="L184" s="11">
        <f t="shared" ref="L184:L207" si="10">SUM(C184:H184)/K184</f>
        <v>3.7435265975033487E-2</v>
      </c>
      <c r="Z184" s="11">
        <f t="shared" si="8"/>
        <v>1.1585132599380998E-2</v>
      </c>
    </row>
    <row r="185" spans="1:26" x14ac:dyDescent="0.35">
      <c r="A185" s="11" t="s">
        <v>114</v>
      </c>
      <c r="B185" s="11">
        <v>2003</v>
      </c>
      <c r="C185" s="12">
        <v>2615673872</v>
      </c>
      <c r="D185" s="12">
        <v>1502152568</v>
      </c>
      <c r="E185" s="12">
        <v>902795627</v>
      </c>
      <c r="F185" s="12">
        <v>1402154932</v>
      </c>
      <c r="G185" s="12">
        <v>2030206618</v>
      </c>
      <c r="H185" s="12">
        <v>952042094</v>
      </c>
      <c r="K185" s="12">
        <v>264615606357</v>
      </c>
      <c r="L185" s="11">
        <f t="shared" si="10"/>
        <v>3.554221854289058E-2</v>
      </c>
      <c r="Z185" s="11">
        <f t="shared" si="8"/>
        <v>1.1270116502412818E-2</v>
      </c>
    </row>
    <row r="186" spans="1:26" x14ac:dyDescent="0.35">
      <c r="A186" s="11" t="s">
        <v>114</v>
      </c>
      <c r="B186" s="11">
        <v>2004</v>
      </c>
      <c r="C186" s="12">
        <v>2657428739</v>
      </c>
      <c r="D186" s="12">
        <v>1810619913</v>
      </c>
      <c r="E186" s="12">
        <v>660490982</v>
      </c>
      <c r="F186" s="12">
        <v>1329192926</v>
      </c>
      <c r="G186" s="12">
        <v>2161567023</v>
      </c>
      <c r="H186" s="12">
        <v>961357926</v>
      </c>
      <c r="K186" s="12">
        <v>284413361016</v>
      </c>
      <c r="L186" s="11">
        <f t="shared" si="10"/>
        <v>3.3685680147990761E-2</v>
      </c>
      <c r="Z186" s="11">
        <f t="shared" si="8"/>
        <v>1.0980232918186696E-2</v>
      </c>
    </row>
    <row r="187" spans="1:26" x14ac:dyDescent="0.35">
      <c r="A187" s="11" t="s">
        <v>114</v>
      </c>
      <c r="B187" s="11">
        <v>2005</v>
      </c>
      <c r="C187" s="12">
        <v>1721988180</v>
      </c>
      <c r="D187" s="12">
        <v>2471678718</v>
      </c>
      <c r="E187" s="12">
        <v>554734850</v>
      </c>
      <c r="F187" s="12">
        <v>1405923829</v>
      </c>
      <c r="G187" s="12">
        <v>2338629226</v>
      </c>
      <c r="H187" s="12">
        <v>1185462118</v>
      </c>
      <c r="K187" s="12">
        <v>299923416151</v>
      </c>
      <c r="L187" s="11">
        <f t="shared" si="10"/>
        <v>3.2269627510935282E-2</v>
      </c>
      <c r="Z187" s="11">
        <f t="shared" si="8"/>
        <v>1.1749970673265987E-2</v>
      </c>
    </row>
    <row r="188" spans="1:26" x14ac:dyDescent="0.35">
      <c r="A188" s="11" t="s">
        <v>114</v>
      </c>
      <c r="B188" s="11">
        <v>2006</v>
      </c>
      <c r="C188" s="12">
        <v>1922845529</v>
      </c>
      <c r="D188" s="12">
        <v>2656663392</v>
      </c>
      <c r="E188" s="12">
        <v>529367292</v>
      </c>
      <c r="F188" s="12">
        <v>1074229915</v>
      </c>
      <c r="G188" s="12">
        <v>1426400127</v>
      </c>
      <c r="H188" s="12">
        <v>1004808429</v>
      </c>
      <c r="K188" s="12">
        <v>332012884964</v>
      </c>
      <c r="L188" s="11">
        <f t="shared" si="10"/>
        <v>2.5945724018915851E-2</v>
      </c>
      <c r="Z188" s="11">
        <f t="shared" si="8"/>
        <v>7.3226331449865716E-3</v>
      </c>
    </row>
    <row r="189" spans="1:26" x14ac:dyDescent="0.35">
      <c r="A189" s="11" t="s">
        <v>114</v>
      </c>
      <c r="B189" s="11">
        <v>2007</v>
      </c>
      <c r="C189" s="12">
        <v>989271937</v>
      </c>
      <c r="D189" s="12">
        <v>1486666560</v>
      </c>
      <c r="E189" s="12">
        <v>458995140</v>
      </c>
      <c r="F189" s="12">
        <v>899745755</v>
      </c>
      <c r="G189" s="12">
        <v>3943301791</v>
      </c>
      <c r="H189" s="12">
        <v>2160656316</v>
      </c>
      <c r="K189" s="12">
        <v>364743919186</v>
      </c>
      <c r="L189" s="11">
        <f t="shared" si="10"/>
        <v>2.7248260974933002E-2</v>
      </c>
      <c r="Z189" s="11">
        <f t="shared" si="8"/>
        <v>1.6734913965453405E-2</v>
      </c>
    </row>
    <row r="190" spans="1:26" x14ac:dyDescent="0.35">
      <c r="A190" s="11" t="s">
        <v>114</v>
      </c>
      <c r="B190" s="11">
        <v>2008</v>
      </c>
      <c r="C190" s="12">
        <v>866721157</v>
      </c>
      <c r="D190" s="12">
        <v>1190585808</v>
      </c>
      <c r="E190" s="12">
        <v>432207012</v>
      </c>
      <c r="F190" s="12">
        <v>799948757</v>
      </c>
      <c r="G190" s="12">
        <v>4167903151</v>
      </c>
      <c r="H190" s="12">
        <v>1932677015</v>
      </c>
      <c r="K190" s="12">
        <v>369015556090</v>
      </c>
      <c r="L190" s="11">
        <f t="shared" si="10"/>
        <v>2.5446197985512141E-2</v>
      </c>
      <c r="Z190" s="11">
        <f t="shared" si="8"/>
        <v>1.653204062896502E-2</v>
      </c>
    </row>
    <row r="191" spans="1:26" x14ac:dyDescent="0.35">
      <c r="A191" s="11" t="s">
        <v>114</v>
      </c>
      <c r="B191" s="11">
        <v>2009</v>
      </c>
      <c r="C191" s="12">
        <v>639801938</v>
      </c>
      <c r="D191" s="12">
        <v>970115632</v>
      </c>
      <c r="E191" s="12">
        <v>331656125</v>
      </c>
      <c r="F191" s="12">
        <v>804469247</v>
      </c>
      <c r="G191" s="12">
        <v>3192117685</v>
      </c>
      <c r="H191" s="12">
        <v>1365292636</v>
      </c>
      <c r="K191" s="12">
        <v>291733117417</v>
      </c>
      <c r="L191" s="11">
        <f t="shared" si="10"/>
        <v>2.5034707501378827E-2</v>
      </c>
      <c r="Z191" s="11">
        <f t="shared" si="8"/>
        <v>1.5621847671430766E-2</v>
      </c>
    </row>
    <row r="192" spans="1:26" x14ac:dyDescent="0.35">
      <c r="A192" s="11" t="s">
        <v>114</v>
      </c>
      <c r="B192" s="11">
        <v>2010</v>
      </c>
      <c r="C192" s="12">
        <v>763849635</v>
      </c>
      <c r="D192" s="12">
        <v>1324175774</v>
      </c>
      <c r="E192" s="12">
        <v>421293923</v>
      </c>
      <c r="F192" s="12">
        <v>920734849</v>
      </c>
      <c r="G192" s="12">
        <v>3841982534</v>
      </c>
      <c r="H192" s="12">
        <v>1500661433</v>
      </c>
      <c r="K192" s="12">
        <v>337407352110</v>
      </c>
      <c r="L192" s="11">
        <f t="shared" si="10"/>
        <v>2.6000317103759982E-2</v>
      </c>
      <c r="Z192" s="11">
        <f t="shared" si="8"/>
        <v>1.5834402936359893E-2</v>
      </c>
    </row>
    <row r="193" spans="1:26" x14ac:dyDescent="0.35">
      <c r="A193" s="11" t="s">
        <v>114</v>
      </c>
      <c r="B193" s="11">
        <v>2011</v>
      </c>
      <c r="C193" s="12">
        <v>709564135</v>
      </c>
      <c r="D193" s="12">
        <v>1412481317</v>
      </c>
      <c r="E193" s="12">
        <v>799294738</v>
      </c>
      <c r="F193" s="12">
        <v>1307333329</v>
      </c>
      <c r="G193" s="12">
        <v>4574182580</v>
      </c>
      <c r="H193" s="12">
        <v>1698170965</v>
      </c>
      <c r="K193" s="12">
        <v>375903831853</v>
      </c>
      <c r="L193" s="11">
        <f t="shared" si="10"/>
        <v>2.7935408405484159E-2</v>
      </c>
      <c r="Z193" s="11">
        <f t="shared" si="8"/>
        <v>1.6686059075484101E-2</v>
      </c>
    </row>
    <row r="194" spans="1:26" x14ac:dyDescent="0.35">
      <c r="A194" s="11" t="s">
        <v>114</v>
      </c>
      <c r="B194" s="11">
        <v>2012</v>
      </c>
      <c r="C194" s="12">
        <v>602541028</v>
      </c>
      <c r="D194" s="12">
        <v>1524631941</v>
      </c>
      <c r="E194" s="12">
        <v>897001405</v>
      </c>
      <c r="F194" s="12">
        <v>1370145955</v>
      </c>
      <c r="G194" s="12">
        <v>3840868969</v>
      </c>
      <c r="H194" s="12">
        <v>1745956053</v>
      </c>
      <c r="K194" s="12">
        <v>390182091869</v>
      </c>
      <c r="L194" s="11">
        <f t="shared" si="10"/>
        <v>2.5580736684222494E-2</v>
      </c>
      <c r="Z194" s="11">
        <f t="shared" si="8"/>
        <v>1.4318507021269763E-2</v>
      </c>
    </row>
    <row r="195" spans="1:26" x14ac:dyDescent="0.35">
      <c r="A195" s="11" t="s">
        <v>114</v>
      </c>
      <c r="B195" s="11">
        <v>2013</v>
      </c>
      <c r="C195" s="12">
        <v>529966577</v>
      </c>
      <c r="D195" s="12">
        <v>1451948419</v>
      </c>
      <c r="E195" s="12">
        <v>892371384</v>
      </c>
      <c r="F195" s="12">
        <v>1254504026</v>
      </c>
      <c r="G195" s="12">
        <v>3781082559</v>
      </c>
      <c r="H195" s="12">
        <v>1691131533</v>
      </c>
      <c r="K195" s="12">
        <v>390232593094</v>
      </c>
      <c r="L195" s="11">
        <f t="shared" si="10"/>
        <v>2.4603287034220874E-2</v>
      </c>
      <c r="Z195" s="11">
        <f t="shared" ref="Z195:Z258" si="11">(G195+H195)/K195</f>
        <v>1.4022954998743127E-2</v>
      </c>
    </row>
    <row r="196" spans="1:26" x14ac:dyDescent="0.35">
      <c r="A196" s="11" t="s">
        <v>114</v>
      </c>
      <c r="B196" s="11">
        <v>2014</v>
      </c>
      <c r="C196" s="12">
        <v>386625161</v>
      </c>
      <c r="D196" s="12">
        <v>1221010611</v>
      </c>
      <c r="E196" s="12">
        <v>845177750</v>
      </c>
      <c r="F196" s="12">
        <v>1215471756</v>
      </c>
      <c r="G196" s="12">
        <v>4020968509</v>
      </c>
      <c r="H196" s="12">
        <v>1922994891</v>
      </c>
      <c r="K196" s="12">
        <v>398870413894</v>
      </c>
      <c r="L196" s="11">
        <f t="shared" si="10"/>
        <v>2.4098675517594193E-2</v>
      </c>
      <c r="Z196" s="11">
        <f t="shared" si="11"/>
        <v>1.4901991205543792E-2</v>
      </c>
    </row>
    <row r="197" spans="1:26" x14ac:dyDescent="0.35">
      <c r="A197" s="11" t="s">
        <v>114</v>
      </c>
      <c r="B197" s="11">
        <v>2015</v>
      </c>
      <c r="C197" s="12">
        <v>525243042</v>
      </c>
      <c r="D197" s="12">
        <v>1299885958</v>
      </c>
      <c r="E197" s="12">
        <v>922334950</v>
      </c>
      <c r="F197" s="12">
        <v>1274661313</v>
      </c>
      <c r="G197" s="12">
        <v>3977685154</v>
      </c>
      <c r="H197" s="12">
        <v>2157790455</v>
      </c>
      <c r="K197" s="12">
        <v>412291286364</v>
      </c>
      <c r="L197" s="11">
        <f t="shared" si="10"/>
        <v>2.4636952581704938E-2</v>
      </c>
      <c r="Z197" s="11">
        <f t="shared" si="11"/>
        <v>1.4881409847656025E-2</v>
      </c>
    </row>
    <row r="198" spans="1:26" x14ac:dyDescent="0.35">
      <c r="A198" s="11" t="s">
        <v>114</v>
      </c>
      <c r="B198" s="11">
        <v>2016</v>
      </c>
      <c r="C198" s="12">
        <v>939465219</v>
      </c>
      <c r="D198" s="12">
        <v>953414711</v>
      </c>
      <c r="E198" s="12">
        <v>836598087</v>
      </c>
      <c r="F198" s="12">
        <v>1342415319</v>
      </c>
      <c r="G198" s="12">
        <v>3903713224</v>
      </c>
      <c r="H198" s="12">
        <v>2358081138</v>
      </c>
      <c r="K198" s="12">
        <v>417268909969</v>
      </c>
      <c r="L198" s="11">
        <f t="shared" si="10"/>
        <v>2.4765055462118463E-2</v>
      </c>
      <c r="Z198" s="11">
        <f t="shared" si="11"/>
        <v>1.5006616147043414E-2</v>
      </c>
    </row>
    <row r="199" spans="1:26" x14ac:dyDescent="0.35">
      <c r="A199" s="11" t="s">
        <v>114</v>
      </c>
      <c r="B199" s="11">
        <v>2017</v>
      </c>
      <c r="C199" s="12">
        <v>1240852837</v>
      </c>
      <c r="D199" s="12">
        <v>802702025</v>
      </c>
      <c r="E199" s="12">
        <v>859193948</v>
      </c>
      <c r="F199" s="12">
        <v>1536692479</v>
      </c>
      <c r="G199" s="12">
        <v>3991964299</v>
      </c>
      <c r="H199" s="12">
        <v>2477231148</v>
      </c>
      <c r="K199" s="12">
        <v>449129030906</v>
      </c>
      <c r="L199" s="11">
        <f t="shared" si="10"/>
        <v>2.4288424896503989E-2</v>
      </c>
      <c r="Z199" s="11">
        <f t="shared" si="11"/>
        <v>1.4403868380429773E-2</v>
      </c>
    </row>
    <row r="200" spans="1:26" x14ac:dyDescent="0.35">
      <c r="A200" s="11" t="s">
        <v>114</v>
      </c>
      <c r="B200" s="11">
        <v>2018</v>
      </c>
      <c r="C200" s="12">
        <v>1350687995</v>
      </c>
      <c r="D200" s="12">
        <v>855289556</v>
      </c>
      <c r="E200" s="12">
        <v>773937210</v>
      </c>
      <c r="F200" s="12">
        <v>1497304404</v>
      </c>
      <c r="G200" s="12">
        <v>4121858894</v>
      </c>
      <c r="H200" s="12">
        <v>2558418777</v>
      </c>
      <c r="K200" s="12">
        <v>465325415456</v>
      </c>
      <c r="L200" s="11">
        <f t="shared" si="10"/>
        <v>2.3977836725436772E-2</v>
      </c>
      <c r="Z200" s="11">
        <f t="shared" si="11"/>
        <v>1.4356141850652192E-2</v>
      </c>
    </row>
    <row r="201" spans="1:26" x14ac:dyDescent="0.35">
      <c r="A201" s="11" t="s">
        <v>114</v>
      </c>
      <c r="B201" s="11">
        <v>2019</v>
      </c>
      <c r="C201" s="12">
        <v>1411185554</v>
      </c>
      <c r="D201" s="12">
        <v>816746436</v>
      </c>
      <c r="E201" s="12">
        <v>867583509</v>
      </c>
      <c r="F201" s="12">
        <v>1548151784</v>
      </c>
      <c r="G201" s="12">
        <v>4103053202</v>
      </c>
      <c r="H201" s="12">
        <v>2575386404</v>
      </c>
      <c r="K201" s="12">
        <v>480352083928</v>
      </c>
      <c r="L201" s="11">
        <f t="shared" si="10"/>
        <v>2.3570433579501386E-2</v>
      </c>
      <c r="Z201" s="11">
        <f t="shared" si="11"/>
        <v>1.3903217721859684E-2</v>
      </c>
    </row>
    <row r="202" spans="1:26" x14ac:dyDescent="0.35">
      <c r="A202" s="11" t="s">
        <v>114</v>
      </c>
      <c r="B202" s="11">
        <v>2020</v>
      </c>
      <c r="C202" s="12">
        <v>1430076968</v>
      </c>
      <c r="D202" s="12">
        <v>651080723</v>
      </c>
      <c r="E202" s="12">
        <v>859246218</v>
      </c>
      <c r="F202" s="12">
        <v>1462751144</v>
      </c>
      <c r="G202" s="12">
        <v>3704031648</v>
      </c>
      <c r="H202" s="12">
        <v>2039088044</v>
      </c>
      <c r="K202" s="12">
        <v>436717838010</v>
      </c>
      <c r="L202" s="11">
        <f t="shared" si="10"/>
        <v>2.3233021099467135E-2</v>
      </c>
      <c r="Z202" s="11">
        <f t="shared" si="11"/>
        <v>1.315064142598291E-2</v>
      </c>
    </row>
    <row r="203" spans="1:26" x14ac:dyDescent="0.35">
      <c r="A203" s="11" t="s">
        <v>114</v>
      </c>
      <c r="B203" s="11">
        <v>2021</v>
      </c>
      <c r="C203" s="12">
        <v>1662062720</v>
      </c>
      <c r="D203" s="12">
        <v>680585567</v>
      </c>
      <c r="E203" s="12">
        <v>942672980</v>
      </c>
      <c r="F203" s="12">
        <v>1636760618</v>
      </c>
      <c r="G203" s="12">
        <v>3986015422</v>
      </c>
      <c r="H203" s="12">
        <v>2422024050</v>
      </c>
      <c r="K203" s="12">
        <v>520771098751</v>
      </c>
      <c r="L203" s="11">
        <f t="shared" si="10"/>
        <v>2.1756432690242959E-2</v>
      </c>
      <c r="Z203" s="11">
        <f t="shared" si="11"/>
        <v>1.2304906104368749E-2</v>
      </c>
    </row>
    <row r="204" spans="1:26" x14ac:dyDescent="0.35">
      <c r="A204" s="11" t="s">
        <v>114</v>
      </c>
      <c r="B204" s="11">
        <v>2022</v>
      </c>
      <c r="C204" s="12">
        <v>2183066716</v>
      </c>
      <c r="D204" s="12">
        <v>901051883</v>
      </c>
      <c r="E204" s="12">
        <v>1106885803</v>
      </c>
      <c r="F204" s="12">
        <v>1686289892</v>
      </c>
      <c r="G204" s="12">
        <v>4555465663</v>
      </c>
      <c r="H204" s="12">
        <v>2584546266</v>
      </c>
      <c r="K204" s="12">
        <v>626169442832</v>
      </c>
      <c r="L204" s="11">
        <f t="shared" si="10"/>
        <v>2.0788791870976875E-2</v>
      </c>
      <c r="Z204" s="11">
        <f t="shared" si="11"/>
        <v>1.1402683428158998E-2</v>
      </c>
    </row>
    <row r="205" spans="1:26" x14ac:dyDescent="0.35">
      <c r="A205" s="11" t="s">
        <v>114</v>
      </c>
      <c r="B205" s="11">
        <v>2023</v>
      </c>
      <c r="C205" s="12">
        <v>2440433496</v>
      </c>
      <c r="D205" s="12">
        <v>897852946</v>
      </c>
      <c r="E205" s="12">
        <v>993796786</v>
      </c>
      <c r="F205" s="12">
        <v>1497250344</v>
      </c>
      <c r="G205" s="12">
        <v>4751203906</v>
      </c>
      <c r="H205" s="12">
        <v>2791516762</v>
      </c>
      <c r="K205" s="12">
        <v>625949746357</v>
      </c>
      <c r="L205" s="11">
        <f t="shared" si="10"/>
        <v>2.1362823961228145E-2</v>
      </c>
      <c r="Z205" s="11">
        <f t="shared" si="11"/>
        <v>1.2050041895373075E-2</v>
      </c>
    </row>
    <row r="206" spans="1:26" x14ac:dyDescent="0.35">
      <c r="A206" s="11" t="s">
        <v>114</v>
      </c>
      <c r="B206" s="11">
        <v>2024</v>
      </c>
      <c r="C206" s="12">
        <v>2539937564</v>
      </c>
      <c r="D206" s="12">
        <v>806396974</v>
      </c>
      <c r="E206" s="12">
        <v>1044478875</v>
      </c>
      <c r="F206" s="12">
        <v>1653918907</v>
      </c>
      <c r="G206" s="12">
        <v>4649116569</v>
      </c>
      <c r="H206" s="12">
        <v>2763739374</v>
      </c>
      <c r="K206" s="12">
        <v>622606972884</v>
      </c>
      <c r="L206" s="11">
        <f t="shared" si="10"/>
        <v>2.1614901292644741E-2</v>
      </c>
      <c r="Z206" s="11">
        <f t="shared" si="11"/>
        <v>1.1906156316660968E-2</v>
      </c>
    </row>
    <row r="207" spans="1:26" x14ac:dyDescent="0.35">
      <c r="A207" s="11" t="s">
        <v>114</v>
      </c>
      <c r="B207" s="11">
        <v>2025</v>
      </c>
      <c r="C207" s="12">
        <v>2200639861</v>
      </c>
      <c r="D207" s="12">
        <v>836361115</v>
      </c>
      <c r="E207" s="12">
        <v>1093655260</v>
      </c>
      <c r="F207" s="12">
        <v>1878121582</v>
      </c>
      <c r="G207" s="12">
        <v>4575571443</v>
      </c>
      <c r="H207" s="12">
        <v>2787403138</v>
      </c>
      <c r="K207" s="12">
        <v>643153265752</v>
      </c>
      <c r="L207" s="11">
        <f t="shared" si="10"/>
        <v>2.0790926690491453E-2</v>
      </c>
      <c r="Z207" s="11">
        <f t="shared" si="11"/>
        <v>1.1448242546651647E-2</v>
      </c>
    </row>
    <row r="208" spans="1:26" x14ac:dyDescent="0.35">
      <c r="C208" s="12"/>
      <c r="D208" s="12"/>
      <c r="E208" s="12"/>
      <c r="F208" s="12"/>
      <c r="G208" s="12"/>
      <c r="H208" s="12"/>
      <c r="K208" s="12"/>
    </row>
    <row r="209" spans="1:26" x14ac:dyDescent="0.35">
      <c r="C209" s="12"/>
      <c r="D209" s="12"/>
      <c r="E209" s="12"/>
      <c r="F209" s="12"/>
      <c r="G209" s="12"/>
      <c r="H209" s="12"/>
      <c r="K209" s="12"/>
    </row>
    <row r="210" spans="1:26" x14ac:dyDescent="0.35">
      <c r="A210" s="11" t="s">
        <v>115</v>
      </c>
      <c r="B210" s="11">
        <v>2002</v>
      </c>
      <c r="C210" s="12">
        <v>2063978261</v>
      </c>
      <c r="D210" s="12">
        <v>7371042141</v>
      </c>
      <c r="E210" s="12">
        <v>5437196803</v>
      </c>
      <c r="F210" s="12">
        <v>21793371470</v>
      </c>
      <c r="G210" s="12">
        <v>624433898</v>
      </c>
      <c r="H210" s="12">
        <v>552614924</v>
      </c>
      <c r="K210" s="12">
        <v>258099027139</v>
      </c>
      <c r="L210" s="11">
        <f t="shared" ref="L210:L233" si="12">SUM(C210:H210)/K210</f>
        <v>0.14662061270234752</v>
      </c>
      <c r="Z210" s="11">
        <f t="shared" si="11"/>
        <v>4.5604543149482578E-3</v>
      </c>
    </row>
    <row r="211" spans="1:26" x14ac:dyDescent="0.35">
      <c r="A211" s="11" t="s">
        <v>115</v>
      </c>
      <c r="B211" s="11">
        <v>2003</v>
      </c>
      <c r="C211" s="12">
        <v>2317325221</v>
      </c>
      <c r="D211" s="12">
        <v>7864821353</v>
      </c>
      <c r="E211" s="12">
        <v>5253748668</v>
      </c>
      <c r="F211" s="12">
        <v>20828817992</v>
      </c>
      <c r="G211" s="12">
        <v>564062306</v>
      </c>
      <c r="H211" s="12">
        <v>618296990</v>
      </c>
      <c r="K211" s="12">
        <v>261679875131</v>
      </c>
      <c r="L211" s="11">
        <f t="shared" si="12"/>
        <v>0.14310260776169187</v>
      </c>
      <c r="Z211" s="11">
        <f t="shared" si="11"/>
        <v>4.5183424801318681E-3</v>
      </c>
    </row>
    <row r="212" spans="1:26" x14ac:dyDescent="0.35">
      <c r="A212" s="11" t="s">
        <v>115</v>
      </c>
      <c r="B212" s="11">
        <v>2004</v>
      </c>
      <c r="C212" s="12">
        <v>3207053821</v>
      </c>
      <c r="D212" s="12">
        <v>9345659209</v>
      </c>
      <c r="E212" s="12">
        <v>4506560329</v>
      </c>
      <c r="F212" s="12">
        <v>24008709466</v>
      </c>
      <c r="G212" s="12">
        <v>673717659</v>
      </c>
      <c r="H212" s="12">
        <v>576355668</v>
      </c>
      <c r="K212" s="12">
        <v>287335881762</v>
      </c>
      <c r="L212" s="11">
        <f t="shared" si="12"/>
        <v>0.1472773114603626</v>
      </c>
      <c r="Z212" s="11">
        <f t="shared" si="11"/>
        <v>4.3505646400105171E-3</v>
      </c>
    </row>
    <row r="213" spans="1:26" x14ac:dyDescent="0.35">
      <c r="A213" s="11" t="s">
        <v>115</v>
      </c>
      <c r="B213" s="11">
        <v>2005</v>
      </c>
      <c r="C213" s="12">
        <v>2625799426</v>
      </c>
      <c r="D213" s="12">
        <v>9829753438</v>
      </c>
      <c r="E213" s="12">
        <v>6338652675</v>
      </c>
      <c r="F213" s="12">
        <v>29435643798</v>
      </c>
      <c r="G213" s="12">
        <v>655897468</v>
      </c>
      <c r="H213" s="12">
        <v>703926407</v>
      </c>
      <c r="K213" s="12">
        <v>326639698414</v>
      </c>
      <c r="L213" s="11">
        <f t="shared" si="12"/>
        <v>0.15181765551702014</v>
      </c>
      <c r="Z213" s="11">
        <f t="shared" si="11"/>
        <v>4.163069833834126E-3</v>
      </c>
    </row>
    <row r="214" spans="1:26" x14ac:dyDescent="0.35">
      <c r="A214" s="11" t="s">
        <v>115</v>
      </c>
      <c r="B214" s="11">
        <v>2006</v>
      </c>
      <c r="C214" s="12">
        <v>2726038234</v>
      </c>
      <c r="D214" s="12">
        <v>8344736176</v>
      </c>
      <c r="E214" s="12">
        <v>6569131181</v>
      </c>
      <c r="F214" s="12">
        <v>32973616274</v>
      </c>
      <c r="G214" s="12">
        <v>488022380</v>
      </c>
      <c r="H214" s="12">
        <v>688923191</v>
      </c>
      <c r="K214" s="12">
        <v>369249324376</v>
      </c>
      <c r="L214" s="11">
        <f t="shared" si="12"/>
        <v>0.14025880080761555</v>
      </c>
      <c r="Z214" s="11">
        <f t="shared" si="11"/>
        <v>3.1874007433566414E-3</v>
      </c>
    </row>
    <row r="215" spans="1:26" x14ac:dyDescent="0.35">
      <c r="A215" s="11" t="s">
        <v>115</v>
      </c>
      <c r="B215" s="11">
        <v>2007</v>
      </c>
      <c r="C215" s="12">
        <v>1094343164</v>
      </c>
      <c r="D215" s="12">
        <v>6800669731</v>
      </c>
      <c r="E215" s="12">
        <v>6094342486</v>
      </c>
      <c r="F215" s="12">
        <v>24776421087</v>
      </c>
      <c r="G215" s="12">
        <v>4504308187</v>
      </c>
      <c r="H215" s="12">
        <v>1469663224</v>
      </c>
      <c r="K215" s="12">
        <v>401900754138</v>
      </c>
      <c r="L215" s="11">
        <f t="shared" si="12"/>
        <v>0.11132038797727109</v>
      </c>
      <c r="Z215" s="11">
        <f t="shared" si="11"/>
        <v>1.4864295101443695E-2</v>
      </c>
    </row>
    <row r="216" spans="1:26" x14ac:dyDescent="0.35">
      <c r="A216" s="11" t="s">
        <v>115</v>
      </c>
      <c r="B216" s="11">
        <v>2008</v>
      </c>
      <c r="C216" s="12">
        <v>785225173</v>
      </c>
      <c r="D216" s="12">
        <v>6347953512</v>
      </c>
      <c r="E216" s="12">
        <v>5164047154</v>
      </c>
      <c r="F216" s="12">
        <v>23128811329</v>
      </c>
      <c r="G216" s="12">
        <v>3800938242</v>
      </c>
      <c r="H216" s="12">
        <v>1432158628</v>
      </c>
      <c r="K216" s="12">
        <v>433721726540</v>
      </c>
      <c r="L216" s="11">
        <f t="shared" si="12"/>
        <v>9.3744748187638255E-2</v>
      </c>
      <c r="Z216" s="11">
        <f t="shared" si="11"/>
        <v>1.2065563124418158E-2</v>
      </c>
    </row>
    <row r="217" spans="1:26" x14ac:dyDescent="0.35">
      <c r="A217" s="11" t="s">
        <v>115</v>
      </c>
      <c r="B217" s="11">
        <v>2009</v>
      </c>
      <c r="C217" s="12">
        <v>765740650</v>
      </c>
      <c r="D217" s="12">
        <v>5695200765</v>
      </c>
      <c r="E217" s="12">
        <v>4947465451</v>
      </c>
      <c r="F217" s="12">
        <v>22304903408</v>
      </c>
      <c r="G217" s="12">
        <v>2351927206</v>
      </c>
      <c r="H217" s="12">
        <v>1023027150</v>
      </c>
      <c r="K217" s="12">
        <v>356962270485</v>
      </c>
      <c r="L217" s="11">
        <f t="shared" si="12"/>
        <v>0.10389967707121724</v>
      </c>
      <c r="Z217" s="11">
        <f t="shared" si="11"/>
        <v>9.4546528724576227E-3</v>
      </c>
    </row>
    <row r="218" spans="1:26" x14ac:dyDescent="0.35">
      <c r="A218" s="11" t="s">
        <v>115</v>
      </c>
      <c r="B218" s="11">
        <v>2010</v>
      </c>
      <c r="C218" s="12">
        <v>928868740</v>
      </c>
      <c r="D218" s="12">
        <v>8909127161</v>
      </c>
      <c r="E218" s="12">
        <v>5712991495</v>
      </c>
      <c r="F218" s="12">
        <v>26201832797</v>
      </c>
      <c r="G218" s="12">
        <v>5620652688</v>
      </c>
      <c r="H218" s="12">
        <v>1068969559</v>
      </c>
      <c r="K218" s="12">
        <v>433173089757</v>
      </c>
      <c r="L218" s="11">
        <f t="shared" si="12"/>
        <v>0.11183160631509931</v>
      </c>
      <c r="Z218" s="11">
        <f t="shared" si="11"/>
        <v>1.5443300623205199E-2</v>
      </c>
    </row>
    <row r="219" spans="1:26" x14ac:dyDescent="0.35">
      <c r="A219" s="11" t="s">
        <v>115</v>
      </c>
      <c r="B219" s="11">
        <v>2011</v>
      </c>
      <c r="C219" s="12">
        <v>662941367</v>
      </c>
      <c r="D219" s="12">
        <v>8604604035</v>
      </c>
      <c r="E219" s="12">
        <v>5886655423</v>
      </c>
      <c r="F219" s="12">
        <v>26444562862</v>
      </c>
      <c r="G219" s="12">
        <v>7233304972</v>
      </c>
      <c r="H219" s="12">
        <v>1346855708</v>
      </c>
      <c r="K219" s="12">
        <v>479239418648</v>
      </c>
      <c r="L219" s="11">
        <f t="shared" si="12"/>
        <v>0.10470533602716073</v>
      </c>
      <c r="Z219" s="11">
        <f t="shared" si="11"/>
        <v>1.7903703965349526E-2</v>
      </c>
    </row>
    <row r="220" spans="1:26" x14ac:dyDescent="0.35">
      <c r="A220" s="11" t="s">
        <v>115</v>
      </c>
      <c r="B220" s="11">
        <v>2012</v>
      </c>
      <c r="C220" s="12">
        <v>905832070</v>
      </c>
      <c r="D220" s="12">
        <v>7485244611</v>
      </c>
      <c r="E220" s="12">
        <v>6647259752</v>
      </c>
      <c r="F220" s="12">
        <v>28055368299</v>
      </c>
      <c r="G220" s="12">
        <v>5406747802</v>
      </c>
      <c r="H220" s="12">
        <v>965470841</v>
      </c>
      <c r="K220" s="12">
        <v>510097962235</v>
      </c>
      <c r="L220" s="11">
        <f t="shared" si="12"/>
        <v>9.6973379698018197E-2</v>
      </c>
      <c r="Z220" s="11">
        <f t="shared" si="11"/>
        <v>1.2492146832110546E-2</v>
      </c>
    </row>
    <row r="221" spans="1:26" x14ac:dyDescent="0.35">
      <c r="A221" s="11" t="s">
        <v>115</v>
      </c>
      <c r="B221" s="11">
        <v>2013</v>
      </c>
      <c r="C221" s="12">
        <v>935798465</v>
      </c>
      <c r="D221" s="12">
        <v>5586699271</v>
      </c>
      <c r="E221" s="12">
        <v>6191417025</v>
      </c>
      <c r="F221" s="12">
        <v>26890129356</v>
      </c>
      <c r="G221" s="12">
        <v>5818406545</v>
      </c>
      <c r="H221" s="12">
        <v>995316677</v>
      </c>
      <c r="K221" s="12">
        <v>505651479965</v>
      </c>
      <c r="L221" s="11">
        <f t="shared" si="12"/>
        <v>9.1797946170775427E-2</v>
      </c>
      <c r="Z221" s="11">
        <f t="shared" si="11"/>
        <v>1.3475137504732766E-2</v>
      </c>
    </row>
    <row r="222" spans="1:26" x14ac:dyDescent="0.35">
      <c r="A222" s="11" t="s">
        <v>115</v>
      </c>
      <c r="B222" s="11">
        <v>2014</v>
      </c>
      <c r="C222" s="12">
        <v>1091904971</v>
      </c>
      <c r="D222" s="12">
        <v>5640259711</v>
      </c>
      <c r="E222" s="12">
        <v>5508861290</v>
      </c>
      <c r="F222" s="12">
        <v>28113555895</v>
      </c>
      <c r="G222" s="12">
        <v>6767908969</v>
      </c>
      <c r="H222" s="12">
        <v>982978848</v>
      </c>
      <c r="K222" s="12">
        <v>506338920775</v>
      </c>
      <c r="L222" s="11">
        <f t="shared" si="12"/>
        <v>9.5006462490321686E-2</v>
      </c>
      <c r="Z222" s="11">
        <f t="shared" si="11"/>
        <v>1.5307706950784126E-2</v>
      </c>
    </row>
    <row r="223" spans="1:26" x14ac:dyDescent="0.35">
      <c r="A223" s="11" t="s">
        <v>115</v>
      </c>
      <c r="B223" s="11">
        <v>2015</v>
      </c>
      <c r="C223" s="12">
        <v>1381948528</v>
      </c>
      <c r="D223" s="12">
        <v>6417299532</v>
      </c>
      <c r="E223" s="12">
        <v>4556583541</v>
      </c>
      <c r="F223" s="12">
        <v>28253535503</v>
      </c>
      <c r="G223" s="12">
        <v>6745010436</v>
      </c>
      <c r="H223" s="12">
        <v>1059960853</v>
      </c>
      <c r="K223" s="12">
        <v>514309061000</v>
      </c>
      <c r="L223" s="11">
        <f t="shared" si="12"/>
        <v>9.4134717943458512E-2</v>
      </c>
      <c r="Z223" s="11">
        <f t="shared" si="11"/>
        <v>1.5175644142501311E-2</v>
      </c>
    </row>
    <row r="224" spans="1:26" x14ac:dyDescent="0.35">
      <c r="A224" s="11" t="s">
        <v>115</v>
      </c>
      <c r="B224" s="11">
        <v>2016</v>
      </c>
      <c r="C224" s="12">
        <v>1378012559</v>
      </c>
      <c r="D224" s="12">
        <v>7102220651</v>
      </c>
      <c r="E224" s="12">
        <v>4694535728</v>
      </c>
      <c r="F224" s="12">
        <v>29836891486</v>
      </c>
      <c r="G224" s="12">
        <v>6447350267</v>
      </c>
      <c r="H224" s="12">
        <v>1366513995</v>
      </c>
      <c r="K224" s="12">
        <v>515934642422</v>
      </c>
      <c r="L224" s="11">
        <f t="shared" si="12"/>
        <v>9.8511556516935966E-2</v>
      </c>
      <c r="Z224" s="11">
        <f t="shared" si="11"/>
        <v>1.5145066098524902E-2</v>
      </c>
    </row>
    <row r="225" spans="1:26" x14ac:dyDescent="0.35">
      <c r="A225" s="11" t="s">
        <v>115</v>
      </c>
      <c r="B225" s="11">
        <v>2017</v>
      </c>
      <c r="C225" s="12">
        <v>2266430163</v>
      </c>
      <c r="D225" s="12">
        <v>11895712795</v>
      </c>
      <c r="E225" s="12">
        <v>4941116577</v>
      </c>
      <c r="F225" s="12">
        <v>28695052758</v>
      </c>
      <c r="G225" s="12">
        <v>9362685613</v>
      </c>
      <c r="H225" s="12">
        <v>1479678949</v>
      </c>
      <c r="K225" s="12">
        <v>577087073690</v>
      </c>
      <c r="L225" s="11">
        <f t="shared" si="12"/>
        <v>0.10161495470699217</v>
      </c>
      <c r="Z225" s="11">
        <f t="shared" si="11"/>
        <v>1.8788091184701025E-2</v>
      </c>
    </row>
    <row r="226" spans="1:26" x14ac:dyDescent="0.35">
      <c r="A226" s="11" t="s">
        <v>115</v>
      </c>
      <c r="B226" s="11">
        <v>2018</v>
      </c>
      <c r="C226" s="12">
        <v>2526042974</v>
      </c>
      <c r="D226" s="12">
        <v>12990231901</v>
      </c>
      <c r="E226" s="12">
        <v>5386991877</v>
      </c>
      <c r="F226" s="12">
        <v>30519084681</v>
      </c>
      <c r="G226" s="12">
        <v>12406532970</v>
      </c>
      <c r="H226" s="12">
        <v>1588887613</v>
      </c>
      <c r="K226" s="12">
        <v>615600685103</v>
      </c>
      <c r="L226" s="11">
        <f t="shared" si="12"/>
        <v>0.1062665679214677</v>
      </c>
      <c r="Z226" s="11">
        <f t="shared" si="11"/>
        <v>2.2734576035532413E-2</v>
      </c>
    </row>
    <row r="227" spans="1:26" x14ac:dyDescent="0.35">
      <c r="A227" s="11" t="s">
        <v>115</v>
      </c>
      <c r="B227" s="11">
        <v>2019</v>
      </c>
      <c r="C227" s="12">
        <v>2834686989</v>
      </c>
      <c r="D227" s="12">
        <v>13853179568</v>
      </c>
      <c r="E227" s="12">
        <v>5671282618</v>
      </c>
      <c r="F227" s="12">
        <v>30625378521</v>
      </c>
      <c r="G227" s="12">
        <v>13244545674</v>
      </c>
      <c r="H227" s="12">
        <v>1709885544</v>
      </c>
      <c r="K227" s="12">
        <v>633056944231</v>
      </c>
      <c r="L227" s="11">
        <f t="shared" si="12"/>
        <v>0.10731887476019747</v>
      </c>
      <c r="Z227" s="11">
        <f t="shared" si="11"/>
        <v>2.3622568797765506E-2</v>
      </c>
    </row>
    <row r="228" spans="1:26" x14ac:dyDescent="0.35">
      <c r="A228" s="11" t="s">
        <v>115</v>
      </c>
      <c r="B228" s="11">
        <v>2020</v>
      </c>
      <c r="C228" s="12">
        <v>3647533391</v>
      </c>
      <c r="D228" s="12">
        <v>12801360640</v>
      </c>
      <c r="E228" s="12">
        <v>9364094948</v>
      </c>
      <c r="F228" s="12">
        <v>30832793027</v>
      </c>
      <c r="G228" s="12">
        <v>14157336327</v>
      </c>
      <c r="H228" s="12">
        <v>1432532840</v>
      </c>
      <c r="K228" s="12">
        <v>590233153936</v>
      </c>
      <c r="L228" s="11">
        <f t="shared" si="12"/>
        <v>0.12238494346055091</v>
      </c>
      <c r="Z228" s="11">
        <f t="shared" si="11"/>
        <v>2.641306924736125E-2</v>
      </c>
    </row>
    <row r="229" spans="1:26" x14ac:dyDescent="0.35">
      <c r="A229" s="11" t="s">
        <v>115</v>
      </c>
      <c r="B229" s="11">
        <v>2021</v>
      </c>
      <c r="C229" s="12">
        <v>4387251023</v>
      </c>
      <c r="D229" s="12">
        <v>14907739465</v>
      </c>
      <c r="E229" s="12">
        <v>8740654689</v>
      </c>
      <c r="F229" s="12">
        <v>35829825081</v>
      </c>
      <c r="G229" s="12">
        <v>17954236146</v>
      </c>
      <c r="H229" s="12">
        <v>1656100951</v>
      </c>
      <c r="K229" s="12">
        <v>711069847525</v>
      </c>
      <c r="L229" s="11">
        <f t="shared" si="12"/>
        <v>0.11739466614363103</v>
      </c>
      <c r="Z229" s="11">
        <f t="shared" si="11"/>
        <v>2.7578636845954199E-2</v>
      </c>
    </row>
    <row r="230" spans="1:26" x14ac:dyDescent="0.35">
      <c r="A230" s="11" t="s">
        <v>115</v>
      </c>
      <c r="B230" s="11">
        <v>2022</v>
      </c>
      <c r="C230" s="12">
        <v>5944661774</v>
      </c>
      <c r="D230" s="12">
        <v>21089618097</v>
      </c>
      <c r="E230" s="12">
        <v>10450470941</v>
      </c>
      <c r="F230" s="12">
        <v>38353576454</v>
      </c>
      <c r="G230" s="12">
        <v>20845410182</v>
      </c>
      <c r="H230" s="12">
        <v>2277676406</v>
      </c>
      <c r="K230" s="12">
        <v>917539930190</v>
      </c>
      <c r="L230" s="11">
        <f t="shared" si="12"/>
        <v>0.10785515768617014</v>
      </c>
      <c r="Z230" s="11">
        <f t="shared" si="11"/>
        <v>2.520117743890642E-2</v>
      </c>
    </row>
    <row r="231" spans="1:26" x14ac:dyDescent="0.35">
      <c r="A231" s="11" t="s">
        <v>115</v>
      </c>
      <c r="B231" s="11">
        <v>2023</v>
      </c>
      <c r="C231" s="12">
        <v>5676913895</v>
      </c>
      <c r="D231" s="12">
        <v>19995827563</v>
      </c>
      <c r="E231" s="12">
        <v>14393577962</v>
      </c>
      <c r="F231" s="12">
        <v>33685927135</v>
      </c>
      <c r="G231" s="12">
        <v>22124570153</v>
      </c>
      <c r="H231" s="12">
        <v>3361420694</v>
      </c>
      <c r="K231" s="12">
        <v>864928867642</v>
      </c>
      <c r="L231" s="11">
        <f t="shared" si="12"/>
        <v>0.11473572118427129</v>
      </c>
      <c r="Z231" s="11">
        <f t="shared" si="11"/>
        <v>2.9465996338497544E-2</v>
      </c>
    </row>
    <row r="232" spans="1:26" x14ac:dyDescent="0.35">
      <c r="A232" s="11" t="s">
        <v>115</v>
      </c>
      <c r="B232" s="11">
        <v>2024</v>
      </c>
      <c r="C232" s="12">
        <v>4518248417</v>
      </c>
      <c r="D232" s="12">
        <v>15171683702</v>
      </c>
      <c r="E232" s="12">
        <v>11501395050</v>
      </c>
      <c r="F232" s="12">
        <v>38581043094</v>
      </c>
      <c r="G232" s="12">
        <v>24468521225</v>
      </c>
      <c r="H232" s="12">
        <v>2876774973</v>
      </c>
      <c r="K232" s="12">
        <v>850696780925</v>
      </c>
      <c r="L232" s="11">
        <f t="shared" si="12"/>
        <v>0.11416249436773429</v>
      </c>
      <c r="Z232" s="11">
        <f t="shared" si="11"/>
        <v>3.2144586427453339E-2</v>
      </c>
    </row>
    <row r="233" spans="1:26" x14ac:dyDescent="0.35">
      <c r="A233" s="11" t="s">
        <v>115</v>
      </c>
      <c r="B233" s="11">
        <v>2025</v>
      </c>
      <c r="C233" s="12">
        <v>4824619783</v>
      </c>
      <c r="D233" s="12">
        <v>13083221581</v>
      </c>
      <c r="E233" s="12">
        <v>14356512036</v>
      </c>
      <c r="F233" s="12">
        <v>43036584124</v>
      </c>
      <c r="G233" s="12">
        <v>26897802880</v>
      </c>
      <c r="H233" s="12">
        <v>2245939265</v>
      </c>
      <c r="K233" s="12">
        <v>875641064742</v>
      </c>
      <c r="L233" s="11">
        <f t="shared" si="12"/>
        <v>0.11927795974229888</v>
      </c>
      <c r="Z233" s="11">
        <f t="shared" si="11"/>
        <v>3.3282749426086986E-2</v>
      </c>
    </row>
    <row r="234" spans="1:26" x14ac:dyDescent="0.35">
      <c r="C234" s="12"/>
      <c r="D234" s="12"/>
      <c r="E234" s="12"/>
      <c r="F234" s="12"/>
      <c r="G234" s="12"/>
      <c r="H234" s="12"/>
      <c r="K234" s="12"/>
    </row>
    <row r="235" spans="1:26" x14ac:dyDescent="0.35">
      <c r="C235" s="12"/>
      <c r="D235" s="12"/>
      <c r="E235" s="12"/>
      <c r="F235" s="12"/>
      <c r="G235" s="12"/>
      <c r="H235" s="12"/>
      <c r="K235" s="12"/>
    </row>
    <row r="236" spans="1:26" x14ac:dyDescent="0.35">
      <c r="A236" s="11" t="s">
        <v>157</v>
      </c>
      <c r="B236" s="11">
        <v>2002</v>
      </c>
      <c r="C236" s="12">
        <v>340389691</v>
      </c>
      <c r="D236" s="12">
        <v>288948769</v>
      </c>
      <c r="E236" s="12">
        <v>135445152</v>
      </c>
      <c r="F236" s="12">
        <v>203717871</v>
      </c>
      <c r="G236" s="12">
        <v>35854610</v>
      </c>
      <c r="H236" s="12">
        <v>29879826</v>
      </c>
      <c r="K236" s="12">
        <v>27398284109</v>
      </c>
      <c r="L236" s="11">
        <f t="shared" ref="L236:L259" si="13">SUM(C236:H236)/K236</f>
        <v>3.7748200394062861E-2</v>
      </c>
      <c r="Z236" s="11">
        <f t="shared" si="11"/>
        <v>2.3992172553027524E-3</v>
      </c>
    </row>
    <row r="237" spans="1:26" x14ac:dyDescent="0.35">
      <c r="A237" s="11" t="s">
        <v>157</v>
      </c>
      <c r="B237" s="11">
        <v>2003</v>
      </c>
      <c r="C237" s="12">
        <v>505815928</v>
      </c>
      <c r="D237" s="12">
        <v>302565555</v>
      </c>
      <c r="E237" s="12">
        <v>164487163</v>
      </c>
      <c r="F237" s="12">
        <v>255343889</v>
      </c>
      <c r="G237" s="12">
        <v>35611943</v>
      </c>
      <c r="H237" s="12">
        <v>26457358</v>
      </c>
      <c r="K237" s="12">
        <v>28074032292</v>
      </c>
      <c r="L237" s="11">
        <f t="shared" si="13"/>
        <v>4.5959975488369005E-2</v>
      </c>
      <c r="Z237" s="11">
        <f t="shared" si="11"/>
        <v>2.2109150675048315E-3</v>
      </c>
    </row>
    <row r="238" spans="1:26" x14ac:dyDescent="0.35">
      <c r="A238" s="11" t="s">
        <v>157</v>
      </c>
      <c r="B238" s="11">
        <v>2004</v>
      </c>
      <c r="C238" s="12">
        <v>412774578</v>
      </c>
      <c r="D238" s="12">
        <v>254504671</v>
      </c>
      <c r="E238" s="12">
        <v>272600830</v>
      </c>
      <c r="F238" s="12">
        <v>241620233</v>
      </c>
      <c r="G238" s="12">
        <v>32721576</v>
      </c>
      <c r="H238" s="12">
        <v>29053451</v>
      </c>
      <c r="K238" s="12">
        <v>28769839148</v>
      </c>
      <c r="L238" s="11">
        <f t="shared" si="13"/>
        <v>4.321453910827406E-2</v>
      </c>
      <c r="Z238" s="11">
        <f t="shared" si="11"/>
        <v>2.1472148899481917E-3</v>
      </c>
    </row>
    <row r="239" spans="1:26" x14ac:dyDescent="0.35">
      <c r="A239" s="11" t="s">
        <v>157</v>
      </c>
      <c r="B239" s="11">
        <v>2005</v>
      </c>
      <c r="C239" s="12">
        <v>546694208</v>
      </c>
      <c r="D239" s="12">
        <v>242607452</v>
      </c>
      <c r="E239" s="12">
        <v>388427058</v>
      </c>
      <c r="F239" s="12">
        <v>325143461</v>
      </c>
      <c r="G239" s="12">
        <v>38305676</v>
      </c>
      <c r="H239" s="12">
        <v>41418582</v>
      </c>
      <c r="K239" s="12">
        <v>31137084365</v>
      </c>
      <c r="L239" s="11">
        <f t="shared" si="13"/>
        <v>5.0826738253596272E-2</v>
      </c>
      <c r="Z239" s="11">
        <f t="shared" si="11"/>
        <v>2.5604278507725333E-3</v>
      </c>
    </row>
    <row r="240" spans="1:26" x14ac:dyDescent="0.35">
      <c r="A240" s="11" t="s">
        <v>157</v>
      </c>
      <c r="B240" s="11">
        <v>2006</v>
      </c>
      <c r="C240" s="12">
        <v>1059038863</v>
      </c>
      <c r="D240" s="12">
        <v>248505067</v>
      </c>
      <c r="E240" s="12">
        <v>346641126</v>
      </c>
      <c r="F240" s="12">
        <v>273674762</v>
      </c>
      <c r="G240" s="12">
        <v>36540709</v>
      </c>
      <c r="H240" s="12">
        <v>37158853</v>
      </c>
      <c r="K240" s="12">
        <v>35640473472</v>
      </c>
      <c r="L240" s="11">
        <f t="shared" si="13"/>
        <v>5.6159730357467685E-2</v>
      </c>
      <c r="Z240" s="11">
        <f t="shared" si="11"/>
        <v>2.0678614737792448E-3</v>
      </c>
    </row>
    <row r="241" spans="1:26" x14ac:dyDescent="0.35">
      <c r="A241" s="11" t="s">
        <v>157</v>
      </c>
      <c r="B241" s="11">
        <v>2007</v>
      </c>
      <c r="C241" s="12">
        <v>1249946425</v>
      </c>
      <c r="D241" s="12">
        <v>115814276</v>
      </c>
      <c r="E241" s="12">
        <v>355642481</v>
      </c>
      <c r="F241" s="12">
        <v>83933560</v>
      </c>
      <c r="G241" s="12">
        <v>75951007</v>
      </c>
      <c r="H241" s="12">
        <v>71793162</v>
      </c>
      <c r="K241" s="12">
        <v>38294061544</v>
      </c>
      <c r="L241" s="11">
        <f t="shared" si="13"/>
        <v>5.1002187604360108E-2</v>
      </c>
      <c r="Z241" s="11">
        <f t="shared" si="11"/>
        <v>3.8581483144649329E-3</v>
      </c>
    </row>
    <row r="242" spans="1:26" x14ac:dyDescent="0.35">
      <c r="A242" s="11" t="s">
        <v>157</v>
      </c>
      <c r="B242" s="11">
        <v>2008</v>
      </c>
      <c r="C242" s="12">
        <v>1223037285</v>
      </c>
      <c r="D242" s="12">
        <v>102404286</v>
      </c>
      <c r="E242" s="12">
        <v>217333385</v>
      </c>
      <c r="F242" s="12">
        <v>47667681</v>
      </c>
      <c r="G242" s="12">
        <v>75748805</v>
      </c>
      <c r="H242" s="12">
        <v>78266958</v>
      </c>
      <c r="K242" s="12">
        <v>38847346198</v>
      </c>
      <c r="L242" s="11">
        <f t="shared" si="13"/>
        <v>4.4905471563198081E-2</v>
      </c>
      <c r="Z242" s="11">
        <f t="shared" si="11"/>
        <v>3.9646405243488492E-3</v>
      </c>
    </row>
    <row r="243" spans="1:26" x14ac:dyDescent="0.35">
      <c r="A243" s="11" t="s">
        <v>157</v>
      </c>
      <c r="B243" s="11">
        <v>2009</v>
      </c>
      <c r="C243" s="12">
        <v>71201929</v>
      </c>
      <c r="D243" s="12">
        <v>99567504</v>
      </c>
      <c r="E243" s="12">
        <v>135178711</v>
      </c>
      <c r="F243" s="12">
        <v>53894251</v>
      </c>
      <c r="G243" s="12">
        <v>67671010</v>
      </c>
      <c r="H243" s="12">
        <v>44681228</v>
      </c>
      <c r="K243" s="12">
        <v>31696763402</v>
      </c>
      <c r="L243" s="11">
        <f t="shared" si="13"/>
        <v>1.4897250770096151E-2</v>
      </c>
      <c r="Z243" s="11">
        <f t="shared" si="11"/>
        <v>3.5445965436619567E-3</v>
      </c>
    </row>
    <row r="244" spans="1:26" x14ac:dyDescent="0.35">
      <c r="A244" s="11" t="s">
        <v>157</v>
      </c>
      <c r="B244" s="11">
        <v>2010</v>
      </c>
      <c r="C244" s="12">
        <v>44952025</v>
      </c>
      <c r="D244" s="12">
        <v>91079619</v>
      </c>
      <c r="E244" s="12">
        <v>61675789</v>
      </c>
      <c r="F244" s="12">
        <v>56943675</v>
      </c>
      <c r="G244" s="12">
        <v>62973098</v>
      </c>
      <c r="H244" s="12">
        <v>54155643</v>
      </c>
      <c r="K244" s="12">
        <v>37267906508</v>
      </c>
      <c r="L244" s="11">
        <f t="shared" si="13"/>
        <v>9.9758715698235693E-3</v>
      </c>
      <c r="Z244" s="11">
        <f t="shared" si="11"/>
        <v>3.1428849102338743E-3</v>
      </c>
    </row>
    <row r="245" spans="1:26" x14ac:dyDescent="0.35">
      <c r="A245" s="11" t="s">
        <v>157</v>
      </c>
      <c r="B245" s="11">
        <v>2011</v>
      </c>
      <c r="C245" s="12">
        <v>87135067</v>
      </c>
      <c r="D245" s="12">
        <v>110813114</v>
      </c>
      <c r="E245" s="12">
        <v>74557516</v>
      </c>
      <c r="F245" s="12">
        <v>43585487</v>
      </c>
      <c r="G245" s="12">
        <v>81266113</v>
      </c>
      <c r="H245" s="12">
        <v>65507127</v>
      </c>
      <c r="K245" s="12">
        <v>42828033392</v>
      </c>
      <c r="L245" s="11">
        <f t="shared" si="13"/>
        <v>1.0807510579891816E-2</v>
      </c>
      <c r="Z245" s="11">
        <f t="shared" si="11"/>
        <v>3.4270366480898535E-3</v>
      </c>
    </row>
    <row r="246" spans="1:26" x14ac:dyDescent="0.35">
      <c r="A246" s="11" t="s">
        <v>157</v>
      </c>
      <c r="B246" s="11">
        <v>2012</v>
      </c>
      <c r="C246" s="12">
        <v>16024603</v>
      </c>
      <c r="D246" s="12">
        <v>191096604</v>
      </c>
      <c r="E246" s="12">
        <v>96124879</v>
      </c>
      <c r="F246" s="12">
        <v>70539075</v>
      </c>
      <c r="G246" s="12">
        <v>91033194</v>
      </c>
      <c r="H246" s="12">
        <v>71527672</v>
      </c>
      <c r="K246" s="12">
        <v>45213015628</v>
      </c>
      <c r="L246" s="11">
        <f t="shared" si="13"/>
        <v>1.1862646619568679E-2</v>
      </c>
      <c r="Z246" s="11">
        <f t="shared" si="11"/>
        <v>3.595444005272844E-3</v>
      </c>
    </row>
    <row r="247" spans="1:26" x14ac:dyDescent="0.35">
      <c r="A247" s="11" t="s">
        <v>157</v>
      </c>
      <c r="B247" s="11">
        <v>2013</v>
      </c>
      <c r="C247" s="12">
        <v>13094812</v>
      </c>
      <c r="D247" s="12">
        <v>160454546</v>
      </c>
      <c r="E247" s="12">
        <v>81368719</v>
      </c>
      <c r="F247" s="12">
        <v>41271861</v>
      </c>
      <c r="G247" s="12">
        <v>86856324</v>
      </c>
      <c r="H247" s="12">
        <v>67425986</v>
      </c>
      <c r="K247" s="12">
        <v>47302913319</v>
      </c>
      <c r="L247" s="11">
        <f t="shared" si="13"/>
        <v>9.5231396206427801E-3</v>
      </c>
      <c r="Z247" s="11">
        <f t="shared" si="11"/>
        <v>3.2615815638997853E-3</v>
      </c>
    </row>
    <row r="248" spans="1:26" x14ac:dyDescent="0.35">
      <c r="A248" s="11" t="s">
        <v>157</v>
      </c>
      <c r="B248" s="11">
        <v>2014</v>
      </c>
      <c r="C248" s="12">
        <v>18624968</v>
      </c>
      <c r="D248" s="12">
        <v>88837461</v>
      </c>
      <c r="E248" s="12">
        <v>72261504</v>
      </c>
      <c r="F248" s="12">
        <v>42774689</v>
      </c>
      <c r="G248" s="12">
        <v>87683249</v>
      </c>
      <c r="H248" s="12">
        <v>83495362</v>
      </c>
      <c r="K248" s="12">
        <v>48053695644</v>
      </c>
      <c r="L248" s="11">
        <f t="shared" si="13"/>
        <v>8.1924444670501556E-3</v>
      </c>
      <c r="Z248" s="11">
        <f t="shared" si="11"/>
        <v>3.5622361340979071E-3</v>
      </c>
    </row>
    <row r="249" spans="1:26" x14ac:dyDescent="0.35">
      <c r="A249" s="11" t="s">
        <v>157</v>
      </c>
      <c r="B249" s="11">
        <v>2015</v>
      </c>
      <c r="C249" s="12">
        <v>30422716</v>
      </c>
      <c r="D249" s="12">
        <v>75074895</v>
      </c>
      <c r="E249" s="12">
        <v>71367210</v>
      </c>
      <c r="F249" s="12">
        <v>56158558</v>
      </c>
      <c r="G249" s="12">
        <v>84761485</v>
      </c>
      <c r="H249" s="12">
        <v>80864917</v>
      </c>
      <c r="K249" s="12">
        <v>49634001363</v>
      </c>
      <c r="L249" s="11">
        <f t="shared" si="13"/>
        <v>8.031788089871315E-3</v>
      </c>
      <c r="Z249" s="11">
        <f t="shared" si="11"/>
        <v>3.3369544556499796E-3</v>
      </c>
    </row>
    <row r="250" spans="1:26" x14ac:dyDescent="0.35">
      <c r="A250" s="11" t="s">
        <v>157</v>
      </c>
      <c r="B250" s="11">
        <v>2016</v>
      </c>
      <c r="C250" s="12">
        <v>139868879</v>
      </c>
      <c r="D250" s="12">
        <v>116746742</v>
      </c>
      <c r="E250" s="12">
        <v>61353573</v>
      </c>
      <c r="F250" s="12">
        <v>65222274</v>
      </c>
      <c r="G250" s="12">
        <v>75349568</v>
      </c>
      <c r="H250" s="12">
        <v>118699393</v>
      </c>
      <c r="K250" s="12">
        <v>50038841230</v>
      </c>
      <c r="L250" s="11">
        <f t="shared" si="13"/>
        <v>1.15358472500743E-2</v>
      </c>
      <c r="Z250" s="11">
        <f t="shared" si="11"/>
        <v>3.8779667200538807E-3</v>
      </c>
    </row>
    <row r="251" spans="1:26" x14ac:dyDescent="0.35">
      <c r="A251" s="11" t="s">
        <v>157</v>
      </c>
      <c r="B251" s="11">
        <v>2017</v>
      </c>
      <c r="C251" s="12">
        <v>250621916</v>
      </c>
      <c r="D251" s="12">
        <v>69600186</v>
      </c>
      <c r="E251" s="12">
        <v>58601904</v>
      </c>
      <c r="F251" s="12">
        <v>77591640</v>
      </c>
      <c r="G251" s="12">
        <v>66869616</v>
      </c>
      <c r="H251" s="12">
        <v>134445412</v>
      </c>
      <c r="K251" s="12">
        <v>55017987697</v>
      </c>
      <c r="L251" s="11">
        <f t="shared" si="13"/>
        <v>1.1954829711735613E-2</v>
      </c>
      <c r="Z251" s="11">
        <f t="shared" si="11"/>
        <v>3.6590765389076059E-3</v>
      </c>
    </row>
    <row r="252" spans="1:26" x14ac:dyDescent="0.35">
      <c r="A252" s="11" t="s">
        <v>157</v>
      </c>
      <c r="B252" s="11">
        <v>2018</v>
      </c>
      <c r="C252" s="12">
        <v>244938109</v>
      </c>
      <c r="D252" s="12">
        <v>69870524</v>
      </c>
      <c r="E252" s="12">
        <v>47412394</v>
      </c>
      <c r="F252" s="12">
        <v>65783327</v>
      </c>
      <c r="G252" s="12">
        <v>82632638</v>
      </c>
      <c r="H252" s="12">
        <v>153727951</v>
      </c>
      <c r="K252" s="12">
        <v>57849991618</v>
      </c>
      <c r="L252" s="11">
        <f t="shared" si="13"/>
        <v>1.1484270341592983E-2</v>
      </c>
      <c r="Z252" s="11">
        <f t="shared" si="11"/>
        <v>4.08574975361719E-3</v>
      </c>
    </row>
    <row r="253" spans="1:26" x14ac:dyDescent="0.35">
      <c r="A253" s="11" t="s">
        <v>157</v>
      </c>
      <c r="B253" s="11">
        <v>2019</v>
      </c>
      <c r="C253" s="12">
        <v>244475988</v>
      </c>
      <c r="D253" s="12">
        <v>319718786</v>
      </c>
      <c r="E253" s="12">
        <v>52857022</v>
      </c>
      <c r="F253" s="12">
        <v>103229320</v>
      </c>
      <c r="G253" s="12">
        <v>63288607</v>
      </c>
      <c r="H253" s="12">
        <v>164921668</v>
      </c>
      <c r="K253" s="12">
        <v>59902809944</v>
      </c>
      <c r="L253" s="11">
        <f t="shared" si="13"/>
        <v>1.5833838043435609E-2</v>
      </c>
      <c r="Z253" s="11">
        <f t="shared" si="11"/>
        <v>3.8096756264579547E-3</v>
      </c>
    </row>
    <row r="254" spans="1:26" x14ac:dyDescent="0.35">
      <c r="A254" s="11" t="s">
        <v>157</v>
      </c>
      <c r="B254" s="11">
        <v>2020</v>
      </c>
      <c r="C254" s="12">
        <v>264296821</v>
      </c>
      <c r="D254" s="12">
        <v>345194908</v>
      </c>
      <c r="E254" s="12">
        <v>61470126</v>
      </c>
      <c r="F254" s="12">
        <v>118277319</v>
      </c>
      <c r="G254" s="12">
        <v>66185976</v>
      </c>
      <c r="H254" s="12">
        <v>138390312</v>
      </c>
      <c r="K254" s="12">
        <v>53757392564</v>
      </c>
      <c r="L254" s="11">
        <f t="shared" si="13"/>
        <v>1.8487047354776909E-2</v>
      </c>
      <c r="Z254" s="11">
        <f t="shared" si="11"/>
        <v>3.8055470744129747E-3</v>
      </c>
    </row>
    <row r="255" spans="1:26" x14ac:dyDescent="0.35">
      <c r="A255" s="11" t="s">
        <v>157</v>
      </c>
      <c r="B255" s="11">
        <v>2021</v>
      </c>
      <c r="C255" s="12">
        <v>142204696</v>
      </c>
      <c r="D255" s="12">
        <v>476790869</v>
      </c>
      <c r="E255" s="12">
        <v>95219559</v>
      </c>
      <c r="F255" s="12">
        <v>136683859</v>
      </c>
      <c r="G255" s="12">
        <v>66282555</v>
      </c>
      <c r="H255" s="12">
        <v>125786776</v>
      </c>
      <c r="K255" s="12">
        <v>63618525288</v>
      </c>
      <c r="L255" s="11">
        <f t="shared" si="13"/>
        <v>1.6394097619812781E-2</v>
      </c>
      <c r="Z255" s="11">
        <f t="shared" si="11"/>
        <v>3.0190786430604193E-3</v>
      </c>
    </row>
    <row r="256" spans="1:26" x14ac:dyDescent="0.35">
      <c r="A256" s="11" t="s">
        <v>157</v>
      </c>
      <c r="B256" s="11">
        <v>2022</v>
      </c>
      <c r="C256" s="12">
        <v>214395550</v>
      </c>
      <c r="D256" s="12">
        <v>1082194597</v>
      </c>
      <c r="E256" s="12">
        <v>86604486</v>
      </c>
      <c r="F256" s="12">
        <v>149209232</v>
      </c>
      <c r="G256" s="12">
        <v>89565799</v>
      </c>
      <c r="H256" s="12">
        <v>129727053</v>
      </c>
      <c r="K256" s="12">
        <v>78402700313</v>
      </c>
      <c r="L256" s="11">
        <f t="shared" si="13"/>
        <v>2.2342300839216761E-2</v>
      </c>
      <c r="Z256" s="11">
        <f t="shared" si="11"/>
        <v>2.7970063674406238E-3</v>
      </c>
    </row>
    <row r="257" spans="1:26" x14ac:dyDescent="0.35">
      <c r="A257" s="11" t="s">
        <v>157</v>
      </c>
      <c r="B257" s="11">
        <v>2023</v>
      </c>
      <c r="C257" s="12">
        <v>200145765</v>
      </c>
      <c r="D257" s="12">
        <v>812961795</v>
      </c>
      <c r="E257" s="12">
        <v>71332770</v>
      </c>
      <c r="F257" s="12">
        <v>154468375</v>
      </c>
      <c r="G257" s="12">
        <v>95292576</v>
      </c>
      <c r="H257" s="12">
        <v>144605769</v>
      </c>
      <c r="K257" s="12">
        <v>77340132974</v>
      </c>
      <c r="L257" s="11">
        <f t="shared" si="13"/>
        <v>1.9120823731931538E-2</v>
      </c>
      <c r="Z257" s="11">
        <f t="shared" si="11"/>
        <v>3.1018610361149544E-3</v>
      </c>
    </row>
    <row r="258" spans="1:26" x14ac:dyDescent="0.35">
      <c r="A258" s="11" t="s">
        <v>157</v>
      </c>
      <c r="B258" s="11">
        <v>2024</v>
      </c>
      <c r="C258" s="12">
        <v>230450720</v>
      </c>
      <c r="D258" s="12">
        <v>876276155</v>
      </c>
      <c r="E258" s="12">
        <v>71239636</v>
      </c>
      <c r="F258" s="12">
        <v>129515389</v>
      </c>
      <c r="G258" s="12">
        <v>96384612</v>
      </c>
      <c r="H258" s="12">
        <v>147810973</v>
      </c>
      <c r="K258" s="12">
        <v>78895039661</v>
      </c>
      <c r="L258" s="11">
        <f t="shared" si="13"/>
        <v>1.9667617782655571E-2</v>
      </c>
      <c r="Z258" s="11">
        <f t="shared" si="11"/>
        <v>3.095195668184861E-3</v>
      </c>
    </row>
    <row r="259" spans="1:26" x14ac:dyDescent="0.35">
      <c r="A259" s="11" t="s">
        <v>157</v>
      </c>
      <c r="B259" s="11">
        <v>2025</v>
      </c>
      <c r="C259" s="12">
        <v>345747963</v>
      </c>
      <c r="D259" s="12">
        <v>718725956</v>
      </c>
      <c r="E259" s="12">
        <v>65855892</v>
      </c>
      <c r="F259" s="12">
        <v>147241712</v>
      </c>
      <c r="G259" s="12">
        <v>81760398</v>
      </c>
      <c r="H259" s="12">
        <v>137576409</v>
      </c>
      <c r="K259" s="12">
        <v>78967527509</v>
      </c>
      <c r="L259" s="11">
        <f t="shared" si="13"/>
        <v>1.895599846189177E-2</v>
      </c>
      <c r="Z259" s="11">
        <f t="shared" ref="Z259" si="14">(G259+H259)/K259</f>
        <v>2.7775569771385077E-3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E448-E3C8-4EEB-B2C6-9340F2998EB1}">
  <dimension ref="A1:AC1166"/>
  <sheetViews>
    <sheetView topLeftCell="X1" workbookViewId="0">
      <selection activeCell="AK9" sqref="AK9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128</v>
      </c>
      <c r="E1" t="s">
        <v>129</v>
      </c>
      <c r="F1" t="s">
        <v>123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</row>
    <row r="2" spans="1:29" x14ac:dyDescent="0.35">
      <c r="A2" t="s">
        <v>3</v>
      </c>
      <c r="B2" t="s">
        <v>4</v>
      </c>
      <c r="C2">
        <v>62064.4</v>
      </c>
      <c r="F2">
        <v>5832.3329999999996</v>
      </c>
      <c r="G2">
        <v>-3714.5931994258599</v>
      </c>
      <c r="H2">
        <v>-3714.5931994258599</v>
      </c>
      <c r="M2">
        <v>0</v>
      </c>
      <c r="N2">
        <v>0</v>
      </c>
      <c r="AB2" t="s">
        <v>147</v>
      </c>
    </row>
    <row r="3" spans="1:29" x14ac:dyDescent="0.35">
      <c r="A3" t="s">
        <v>3</v>
      </c>
      <c r="B3" t="s">
        <v>5</v>
      </c>
      <c r="C3">
        <v>62773.5</v>
      </c>
      <c r="F3">
        <v>5569.9409999999998</v>
      </c>
      <c r="G3">
        <v>-1919.831103877337</v>
      </c>
      <c r="H3">
        <v>-1919.831103877337</v>
      </c>
      <c r="M3">
        <v>0</v>
      </c>
      <c r="N3">
        <v>0</v>
      </c>
      <c r="AB3" t="s">
        <v>148</v>
      </c>
      <c r="AC3" t="s">
        <v>149</v>
      </c>
    </row>
    <row r="4" spans="1:29" x14ac:dyDescent="0.35">
      <c r="A4" t="s">
        <v>3</v>
      </c>
      <c r="B4" t="s">
        <v>6</v>
      </c>
      <c r="C4">
        <v>63658.5</v>
      </c>
      <c r="F4">
        <v>13816.67</v>
      </c>
      <c r="G4">
        <v>6474.4940275934759</v>
      </c>
      <c r="H4">
        <v>6474.4940275934759</v>
      </c>
      <c r="M4">
        <v>0</v>
      </c>
      <c r="N4">
        <v>0</v>
      </c>
      <c r="AA4" s="1" t="s">
        <v>3</v>
      </c>
      <c r="AB4" s="2">
        <f>AVERAGE(E10:E107)</f>
        <v>0.64612645280494518</v>
      </c>
      <c r="AC4" s="2">
        <f>AVERAGE(E82:E107)</f>
        <v>0.62054625643437888</v>
      </c>
    </row>
    <row r="5" spans="1:29" x14ac:dyDescent="0.35">
      <c r="A5" t="s">
        <v>3</v>
      </c>
      <c r="B5" t="s">
        <v>7</v>
      </c>
      <c r="C5">
        <v>64086.5</v>
      </c>
      <c r="F5">
        <v>11881.05</v>
      </c>
      <c r="G5">
        <v>-3395.2229350538159</v>
      </c>
      <c r="H5">
        <v>-3395.2229350538159</v>
      </c>
      <c r="M5">
        <v>0</v>
      </c>
      <c r="N5">
        <v>0</v>
      </c>
      <c r="AA5" s="1" t="s">
        <v>110</v>
      </c>
      <c r="AB5" s="2">
        <f>AVERAGE(E116:E212)</f>
        <v>0.60388411490457605</v>
      </c>
      <c r="AC5" s="2">
        <f>AVERAGE(E188:E212)</f>
        <v>0.59272125464094505</v>
      </c>
    </row>
    <row r="6" spans="1:29" x14ac:dyDescent="0.35">
      <c r="A6" t="s">
        <v>3</v>
      </c>
      <c r="B6" t="s">
        <v>8</v>
      </c>
      <c r="C6">
        <v>63894.8</v>
      </c>
      <c r="D6">
        <v>2.9065425283505522</v>
      </c>
      <c r="F6">
        <v>22324.51</v>
      </c>
      <c r="G6">
        <v>9331.4609908810216</v>
      </c>
      <c r="H6">
        <v>9331.4609908810216</v>
      </c>
      <c r="M6">
        <v>0</v>
      </c>
      <c r="N6">
        <v>0</v>
      </c>
      <c r="Q6">
        <v>0</v>
      </c>
      <c r="R6">
        <v>1</v>
      </c>
      <c r="S6">
        <v>0</v>
      </c>
      <c r="U6">
        <v>0</v>
      </c>
      <c r="V6">
        <v>0</v>
      </c>
      <c r="AA6" s="1" t="s">
        <v>111</v>
      </c>
      <c r="AB6" s="2">
        <f>AVERAGE(E221:E318)</f>
        <v>0.7010314946762255</v>
      </c>
      <c r="AC6" s="2">
        <f>AVERAGE(E293:E318)</f>
        <v>0.67335462029791171</v>
      </c>
    </row>
    <row r="7" spans="1:29" x14ac:dyDescent="0.35">
      <c r="A7" t="s">
        <v>3</v>
      </c>
      <c r="B7" t="s">
        <v>9</v>
      </c>
      <c r="C7">
        <v>63711.5</v>
      </c>
      <c r="D7">
        <v>1.4832070140265861</v>
      </c>
      <c r="F7">
        <v>13179.21</v>
      </c>
      <c r="G7">
        <v>-9943.8528374191192</v>
      </c>
      <c r="H7">
        <v>-9943.8528374191192</v>
      </c>
      <c r="K7">
        <v>2.9065425283505522</v>
      </c>
      <c r="M7">
        <v>0</v>
      </c>
      <c r="N7">
        <v>0</v>
      </c>
      <c r="Q7">
        <v>0</v>
      </c>
      <c r="R7">
        <v>1</v>
      </c>
      <c r="S7">
        <v>0</v>
      </c>
      <c r="U7">
        <v>0</v>
      </c>
      <c r="V7">
        <v>0</v>
      </c>
      <c r="AA7" s="1" t="s">
        <v>112</v>
      </c>
      <c r="AB7" s="2">
        <f>AVERAGE(E324:E424)</f>
        <v>0.58075525092987967</v>
      </c>
      <c r="AC7" s="2">
        <f>AVERAGE(E399:E424)</f>
        <v>0.57843776685538395</v>
      </c>
    </row>
    <row r="8" spans="1:29" x14ac:dyDescent="0.35">
      <c r="A8" t="s">
        <v>3</v>
      </c>
      <c r="B8" t="s">
        <v>10</v>
      </c>
      <c r="C8">
        <v>63972.3</v>
      </c>
      <c r="D8">
        <v>0.49173182696848988</v>
      </c>
      <c r="F8">
        <v>25155.95</v>
      </c>
      <c r="G8">
        <v>11353.658528725049</v>
      </c>
      <c r="H8">
        <v>11353.658528725049</v>
      </c>
      <c r="K8">
        <v>1.4832070140265861</v>
      </c>
      <c r="M8">
        <v>0</v>
      </c>
      <c r="N8">
        <v>0</v>
      </c>
      <c r="Q8">
        <v>0</v>
      </c>
      <c r="R8">
        <v>1</v>
      </c>
      <c r="S8">
        <v>0</v>
      </c>
      <c r="U8">
        <v>0</v>
      </c>
      <c r="V8">
        <v>0</v>
      </c>
      <c r="AA8" s="1" t="s">
        <v>113</v>
      </c>
      <c r="AB8" s="2">
        <f>AVERAGE(E430:E530)</f>
        <v>0.6679515790292756</v>
      </c>
      <c r="AC8" s="2">
        <f>AVERAGE(E505:E530)</f>
        <v>0.66675647008638406</v>
      </c>
    </row>
    <row r="9" spans="1:29" x14ac:dyDescent="0.35">
      <c r="A9" t="s">
        <v>3</v>
      </c>
      <c r="B9" t="s">
        <v>11</v>
      </c>
      <c r="C9">
        <v>64120.800000000003</v>
      </c>
      <c r="D9">
        <v>5.3507094866438093E-2</v>
      </c>
      <c r="F9">
        <v>23448.18</v>
      </c>
      <c r="G9">
        <v>-2327.5821782993439</v>
      </c>
      <c r="H9">
        <v>-2327.5821782993439</v>
      </c>
      <c r="K9">
        <v>0.49173182696848988</v>
      </c>
      <c r="M9">
        <v>0</v>
      </c>
      <c r="N9">
        <v>0</v>
      </c>
      <c r="Q9">
        <v>0</v>
      </c>
      <c r="R9">
        <v>1</v>
      </c>
      <c r="S9">
        <v>0</v>
      </c>
      <c r="U9">
        <v>0</v>
      </c>
      <c r="V9">
        <v>0</v>
      </c>
      <c r="AA9" s="1" t="s">
        <v>114</v>
      </c>
      <c r="AB9" s="2">
        <f>AVERAGE(E539:E636)</f>
        <v>0.63938045859696901</v>
      </c>
      <c r="AC9" s="2">
        <f>AVERAGE(E611:E636)</f>
        <v>0.69053640090348223</v>
      </c>
    </row>
    <row r="10" spans="1:29" x14ac:dyDescent="0.35">
      <c r="A10" t="s">
        <v>3</v>
      </c>
      <c r="B10" t="s">
        <v>12</v>
      </c>
      <c r="C10">
        <v>64828.800000000003</v>
      </c>
      <c r="D10">
        <v>1.4511968146105969</v>
      </c>
      <c r="E10">
        <v>0.73188060370990049</v>
      </c>
      <c r="F10">
        <v>22597.360000000001</v>
      </c>
      <c r="G10">
        <v>-922.17355643885821</v>
      </c>
      <c r="H10">
        <v>-922.17355643885821</v>
      </c>
      <c r="I10">
        <v>0.25158266819873959</v>
      </c>
      <c r="J10">
        <v>0.62320290815578172</v>
      </c>
      <c r="K10">
        <v>5.3507094866438093E-2</v>
      </c>
      <c r="L10">
        <v>-574.70124219705633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AA10" s="1" t="s">
        <v>115</v>
      </c>
      <c r="AB10" s="2">
        <f>AVERAGE(E645:E742)</f>
        <v>0.72698071142974674</v>
      </c>
      <c r="AC10" s="2">
        <f>AVERAGE(E717:E742)</f>
        <v>0.81952708707409438</v>
      </c>
    </row>
    <row r="11" spans="1:29" x14ac:dyDescent="0.35">
      <c r="A11" t="s">
        <v>3</v>
      </c>
      <c r="B11" t="s">
        <v>13</v>
      </c>
      <c r="C11">
        <v>64997.4</v>
      </c>
      <c r="D11">
        <v>1.9982189059792519</v>
      </c>
      <c r="E11">
        <v>0.75781470015440444</v>
      </c>
      <c r="F11">
        <v>17938.45</v>
      </c>
      <c r="G11">
        <v>-4851.7453407365683</v>
      </c>
      <c r="H11">
        <v>-4851.7453407365683</v>
      </c>
      <c r="I11">
        <v>0.33364396344844383</v>
      </c>
      <c r="J11">
        <v>0.66089561492626592</v>
      </c>
      <c r="K11">
        <v>1.4511968146105969</v>
      </c>
      <c r="L11">
        <v>-3206.4972204317401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AA11" s="1" t="s">
        <v>155</v>
      </c>
      <c r="AB11" s="2">
        <f>AVERAGE(E743:E848)</f>
        <v>0.57037267357179189</v>
      </c>
      <c r="AC11" s="2">
        <f>AVERAGE(E823:E848)</f>
        <v>0.5865708812884457</v>
      </c>
    </row>
    <row r="12" spans="1:29" x14ac:dyDescent="0.35">
      <c r="A12" t="s">
        <v>3</v>
      </c>
      <c r="B12" t="s">
        <v>14</v>
      </c>
      <c r="C12">
        <v>64993.599999999999</v>
      </c>
      <c r="D12">
        <v>1.5838626340212709</v>
      </c>
      <c r="E12">
        <v>0.82326703179949645</v>
      </c>
      <c r="F12">
        <v>14136.45</v>
      </c>
      <c r="G12">
        <v>-4222.8378093282299</v>
      </c>
      <c r="H12">
        <v>-4222.8378093282299</v>
      </c>
      <c r="I12">
        <v>0.54074981436571024</v>
      </c>
      <c r="J12">
        <v>0.74677766923529421</v>
      </c>
      <c r="K12">
        <v>1.9982189059792519</v>
      </c>
      <c r="L12">
        <v>-3153.5209768088112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AA12" s="1" t="s">
        <v>156</v>
      </c>
      <c r="AB12" s="2">
        <f>AVERAGE(E955:E1060)</f>
        <v>0.63328456531058652</v>
      </c>
      <c r="AC12" s="2">
        <f>AVERAGE(E1035:E1060)</f>
        <v>0.72076768278638115</v>
      </c>
    </row>
    <row r="13" spans="1:29" x14ac:dyDescent="0.35">
      <c r="A13" t="s">
        <v>3</v>
      </c>
      <c r="B13" t="s">
        <v>15</v>
      </c>
      <c r="C13">
        <v>64671.4</v>
      </c>
      <c r="D13">
        <v>0.85502593229365553</v>
      </c>
      <c r="E13">
        <v>0.82257955157880291</v>
      </c>
      <c r="F13">
        <v>27832.880000000001</v>
      </c>
      <c r="G13">
        <v>12885.617455236321</v>
      </c>
      <c r="H13">
        <v>12885.617455236321</v>
      </c>
      <c r="I13">
        <v>0.5385744728229892</v>
      </c>
      <c r="J13">
        <v>0.74595406870097747</v>
      </c>
      <c r="K13">
        <v>1.5838626340212709</v>
      </c>
      <c r="L13">
        <v>9612.0787684578718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AA13" s="1" t="s">
        <v>157</v>
      </c>
      <c r="AB13" s="2">
        <f>AVERAGE(E1060:E1166)</f>
        <v>0.45433252306800165</v>
      </c>
      <c r="AC13" s="2">
        <f>AVERAGE(E1141:E1166)</f>
        <v>0.39684417032587227</v>
      </c>
    </row>
    <row r="14" spans="1:29" x14ac:dyDescent="0.35">
      <c r="A14" t="s">
        <v>3</v>
      </c>
      <c r="B14" t="s">
        <v>16</v>
      </c>
      <c r="C14">
        <v>64977.599999999999</v>
      </c>
      <c r="D14">
        <v>0.22926460509988719</v>
      </c>
      <c r="E14">
        <v>0.87347977461943171</v>
      </c>
      <c r="F14">
        <v>25718.62</v>
      </c>
      <c r="G14">
        <v>-2578.9762101676129</v>
      </c>
      <c r="H14">
        <v>-2578.9762101676129</v>
      </c>
      <c r="I14">
        <v>0.69963418971542113</v>
      </c>
      <c r="J14">
        <v>0.80206776575585126</v>
      </c>
      <c r="K14">
        <v>0.85502593229365553</v>
      </c>
      <c r="L14">
        <v>-2068.51368682663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9" x14ac:dyDescent="0.35">
      <c r="A15" t="s">
        <v>3</v>
      </c>
      <c r="B15" t="s">
        <v>17</v>
      </c>
      <c r="C15">
        <v>65424</v>
      </c>
      <c r="D15">
        <v>0.65418945266706297</v>
      </c>
      <c r="E15">
        <v>0.89083436422290818</v>
      </c>
      <c r="F15">
        <v>34454.82</v>
      </c>
      <c r="G15">
        <v>8892.3153268391106</v>
      </c>
      <c r="H15">
        <v>8892.3153268391106</v>
      </c>
      <c r="I15">
        <v>0.75454800190223958</v>
      </c>
      <c r="J15">
        <v>0.81892719601660657</v>
      </c>
      <c r="K15">
        <v>0.22926460509988719</v>
      </c>
      <c r="L15">
        <v>7282.1588567038471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9" x14ac:dyDescent="0.35">
      <c r="A16" t="s">
        <v>3</v>
      </c>
      <c r="B16" t="s">
        <v>18</v>
      </c>
      <c r="C16">
        <v>65914.600000000006</v>
      </c>
      <c r="D16">
        <v>1.4071161260548559</v>
      </c>
      <c r="E16">
        <v>0.84805839572906494</v>
      </c>
      <c r="F16">
        <v>23886.34</v>
      </c>
      <c r="G16">
        <v>-10175.62221530782</v>
      </c>
      <c r="H16">
        <v>-10175.62221530782</v>
      </c>
      <c r="I16">
        <v>0.61919524775185486</v>
      </c>
      <c r="J16">
        <v>0.77528373246495597</v>
      </c>
      <c r="K16">
        <v>0.65418945266706297</v>
      </c>
      <c r="L16">
        <v>-7888.9943712371678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-10175.62221530782</v>
      </c>
      <c r="T16">
        <v>-7888.9943712371678</v>
      </c>
      <c r="U16">
        <v>0</v>
      </c>
      <c r="V16">
        <v>0</v>
      </c>
      <c r="W16">
        <v>0</v>
      </c>
    </row>
    <row r="17" spans="1:23" x14ac:dyDescent="0.35">
      <c r="A17" t="s">
        <v>3</v>
      </c>
      <c r="B17" t="s">
        <v>19</v>
      </c>
      <c r="C17">
        <v>66116</v>
      </c>
      <c r="D17">
        <v>2.2091711462287158</v>
      </c>
      <c r="E17">
        <v>0.89628390176677364</v>
      </c>
      <c r="F17">
        <v>12058.21</v>
      </c>
      <c r="G17">
        <v>-11403.891117199109</v>
      </c>
      <c r="H17">
        <v>-11403.891117199109</v>
      </c>
      <c r="I17">
        <v>0.77179156040902774</v>
      </c>
      <c r="J17">
        <v>0.82398500197782665</v>
      </c>
      <c r="K17">
        <v>1.4071161260548559</v>
      </c>
      <c r="L17">
        <v>-9396.6352447602312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-11403.891117199109</v>
      </c>
      <c r="T17">
        <v>-9396.6352447602312</v>
      </c>
      <c r="U17">
        <v>0</v>
      </c>
      <c r="V17">
        <v>0</v>
      </c>
      <c r="W17">
        <v>0</v>
      </c>
    </row>
    <row r="18" spans="1:23" x14ac:dyDescent="0.35">
      <c r="A18" t="s">
        <v>3</v>
      </c>
      <c r="B18" t="s">
        <v>20</v>
      </c>
      <c r="C18">
        <v>66241.8</v>
      </c>
      <c r="D18">
        <v>1.9269088503349361</v>
      </c>
      <c r="E18">
        <v>0.74695124566546778</v>
      </c>
      <c r="F18">
        <v>16122.31</v>
      </c>
      <c r="G18">
        <v>3477.0160780143342</v>
      </c>
      <c r="H18">
        <v>3477.0160780143342</v>
      </c>
      <c r="I18">
        <v>0.29926955799514421</v>
      </c>
      <c r="J18">
        <v>0.64532200791236805</v>
      </c>
      <c r="K18">
        <v>2.2091711462287158</v>
      </c>
      <c r="L18">
        <v>2243.7949970077971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3477.0160780143342</v>
      </c>
      <c r="T18">
        <v>2243.7949970077971</v>
      </c>
      <c r="U18">
        <v>0</v>
      </c>
      <c r="V18">
        <v>0</v>
      </c>
      <c r="W18">
        <v>0</v>
      </c>
    </row>
    <row r="19" spans="1:23" x14ac:dyDescent="0.35">
      <c r="A19" t="s">
        <v>3</v>
      </c>
      <c r="B19" t="s">
        <v>21</v>
      </c>
      <c r="C19">
        <v>66924.5</v>
      </c>
      <c r="D19">
        <v>2.2675954706538901</v>
      </c>
      <c r="E19">
        <v>0.72881595823415368</v>
      </c>
      <c r="F19">
        <v>9975.3389999999999</v>
      </c>
      <c r="G19">
        <v>-7181.6860400218247</v>
      </c>
      <c r="H19">
        <v>-7181.6860400218247</v>
      </c>
      <c r="I19">
        <v>0.24188544285838179</v>
      </c>
      <c r="J19">
        <v>0.61863791827332715</v>
      </c>
      <c r="K19">
        <v>1.9269088503349361</v>
      </c>
      <c r="L19">
        <v>-4442.8633014917159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-7181.6860400218247</v>
      </c>
      <c r="T19">
        <v>-4442.8633014917159</v>
      </c>
      <c r="U19">
        <v>0</v>
      </c>
      <c r="V19">
        <v>0</v>
      </c>
      <c r="W19">
        <v>0</v>
      </c>
    </row>
    <row r="20" spans="1:23" x14ac:dyDescent="0.35">
      <c r="A20" t="s">
        <v>3</v>
      </c>
      <c r="B20" t="s">
        <v>22</v>
      </c>
      <c r="C20">
        <v>67691.100000000006</v>
      </c>
      <c r="D20">
        <v>2.659474417240522</v>
      </c>
      <c r="E20">
        <v>0.2221886495051652</v>
      </c>
      <c r="F20">
        <v>14397.81</v>
      </c>
      <c r="G20">
        <v>3353.6931959349681</v>
      </c>
      <c r="H20">
        <v>3353.6931959349681</v>
      </c>
      <c r="I20">
        <v>-1.361196941451295</v>
      </c>
      <c r="J20">
        <v>6.166480536163961E-2</v>
      </c>
      <c r="K20">
        <v>2.2675954706538901</v>
      </c>
      <c r="L20">
        <v>206.80483816998489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 t="s">
        <v>3</v>
      </c>
      <c r="B21" t="s">
        <v>23</v>
      </c>
      <c r="C21">
        <v>67932.2</v>
      </c>
      <c r="D21">
        <v>2.7099373903673549</v>
      </c>
      <c r="E21">
        <v>0.3164506543855744</v>
      </c>
      <c r="F21">
        <v>13202.73</v>
      </c>
      <c r="G21">
        <v>-2405.1200373209231</v>
      </c>
      <c r="H21">
        <v>-2405.1200373209231</v>
      </c>
      <c r="I21">
        <v>-1.0629308256499259</v>
      </c>
      <c r="J21">
        <v>0.1066084997589228</v>
      </c>
      <c r="K21">
        <v>2.659474417240522</v>
      </c>
      <c r="L21">
        <v>-256.40623891890789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 t="s">
        <v>3</v>
      </c>
      <c r="B22" t="s">
        <v>24</v>
      </c>
      <c r="C22">
        <v>68082.5</v>
      </c>
      <c r="D22">
        <v>2.7408521474169869</v>
      </c>
      <c r="E22">
        <v>0.34295312684390539</v>
      </c>
      <c r="F22">
        <v>11537.9</v>
      </c>
      <c r="G22">
        <v>-2694.6719418449161</v>
      </c>
      <c r="H22">
        <v>-2694.6719418449161</v>
      </c>
      <c r="I22">
        <v>-0.97907106126969612</v>
      </c>
      <c r="J22">
        <v>0.123668253214195</v>
      </c>
      <c r="K22">
        <v>2.7099373903673549</v>
      </c>
      <c r="L22">
        <v>-333.24537203326372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 t="s">
        <v>3</v>
      </c>
      <c r="B23" t="s">
        <v>25</v>
      </c>
      <c r="C23">
        <v>68636.800000000003</v>
      </c>
      <c r="D23">
        <v>2.5263715717513402</v>
      </c>
      <c r="E23">
        <v>0.31406466188966098</v>
      </c>
      <c r="F23">
        <v>11866.98</v>
      </c>
      <c r="G23">
        <v>-828.06583405836682</v>
      </c>
      <c r="H23">
        <v>-828.06583405836682</v>
      </c>
      <c r="I23">
        <v>-1.070480640816601</v>
      </c>
      <c r="J23">
        <v>0.1051788829224756</v>
      </c>
      <c r="K23">
        <v>2.7408521474169869</v>
      </c>
      <c r="L23">
        <v>-87.0950394125271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t="s">
        <v>3</v>
      </c>
      <c r="B24" t="s">
        <v>26</v>
      </c>
      <c r="C24">
        <v>68758.399999999994</v>
      </c>
      <c r="D24">
        <v>1.5644201958798389</v>
      </c>
      <c r="E24">
        <v>0.59362013246779111</v>
      </c>
      <c r="F24">
        <v>20193.73</v>
      </c>
      <c r="G24">
        <v>7096.9915636258847</v>
      </c>
      <c r="H24">
        <v>7096.9915636258847</v>
      </c>
      <c r="I24">
        <v>-0.1859044590756101</v>
      </c>
      <c r="J24">
        <v>0.40810399558953442</v>
      </c>
      <c r="K24">
        <v>2.5263715717513402</v>
      </c>
      <c r="L24">
        <v>2896.31061378094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7096.9915636258847</v>
      </c>
      <c r="T24">
        <v>2896.31061378094</v>
      </c>
      <c r="U24">
        <v>0</v>
      </c>
      <c r="V24">
        <v>0</v>
      </c>
      <c r="W24">
        <v>0</v>
      </c>
    </row>
    <row r="25" spans="1:23" x14ac:dyDescent="0.35">
      <c r="A25" t="s">
        <v>3</v>
      </c>
      <c r="B25" t="s">
        <v>27</v>
      </c>
      <c r="C25">
        <v>69835.600000000006</v>
      </c>
      <c r="D25">
        <v>2.7633759442435579</v>
      </c>
      <c r="E25">
        <v>0.57634958989664242</v>
      </c>
      <c r="F25">
        <v>12165.63</v>
      </c>
      <c r="G25">
        <v>-8911.6409368498116</v>
      </c>
      <c r="H25">
        <v>-8911.6409368498116</v>
      </c>
      <c r="I25">
        <v>-0.24055232760985251</v>
      </c>
      <c r="J25">
        <v>0.38199131093746769</v>
      </c>
      <c r="K25">
        <v>1.5644201958798389</v>
      </c>
      <c r="L25">
        <v>-3404.1694040712632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 t="s">
        <v>3</v>
      </c>
      <c r="B26" t="s">
        <v>28</v>
      </c>
      <c r="C26">
        <v>70476.5</v>
      </c>
      <c r="D26">
        <v>3.45591158219717</v>
      </c>
      <c r="E26">
        <v>0.78602305324328015</v>
      </c>
      <c r="F26">
        <v>11552.83</v>
      </c>
      <c r="G26">
        <v>-1385.556303605184</v>
      </c>
      <c r="H26">
        <v>-1385.556303605184</v>
      </c>
      <c r="I26">
        <v>0.42290151658076802</v>
      </c>
      <c r="J26">
        <v>0.69968599246367791</v>
      </c>
      <c r="K26">
        <v>2.7633759442435579</v>
      </c>
      <c r="L26">
        <v>-969.45433740229851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-1385.556303605184</v>
      </c>
      <c r="T26">
        <v>-969.45433740229851</v>
      </c>
      <c r="U26">
        <v>0</v>
      </c>
      <c r="V26">
        <v>0</v>
      </c>
      <c r="W26">
        <v>0</v>
      </c>
    </row>
    <row r="27" spans="1:23" x14ac:dyDescent="0.35">
      <c r="A27" t="s">
        <v>3</v>
      </c>
      <c r="B27" t="s">
        <v>29</v>
      </c>
      <c r="C27">
        <v>70805.3</v>
      </c>
      <c r="D27">
        <v>3.1105022608620709</v>
      </c>
      <c r="E27">
        <v>0.72824292901263366</v>
      </c>
      <c r="F27">
        <v>8235.1579999999994</v>
      </c>
      <c r="G27">
        <v>-4527.5681324086381</v>
      </c>
      <c r="H27">
        <v>-4527.5681324086381</v>
      </c>
      <c r="I27">
        <v>0.2400722499355249</v>
      </c>
      <c r="J27">
        <v>0.61778199572897619</v>
      </c>
      <c r="K27">
        <v>3.45591158219717</v>
      </c>
      <c r="L27">
        <v>-2797.050076638322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5">
      <c r="A28" t="s">
        <v>3</v>
      </c>
      <c r="B28" t="s">
        <v>30</v>
      </c>
      <c r="C28">
        <v>71231.399999999994</v>
      </c>
      <c r="D28">
        <v>3.5334821535739418</v>
      </c>
      <c r="E28">
        <v>0.80975283844463219</v>
      </c>
      <c r="F28">
        <v>11854.69</v>
      </c>
      <c r="G28">
        <v>2246.9163671678002</v>
      </c>
      <c r="H28">
        <v>2246.9163671678002</v>
      </c>
      <c r="I28">
        <v>0.49798787687819362</v>
      </c>
      <c r="J28">
        <v>0.73026662848073387</v>
      </c>
      <c r="K28">
        <v>3.1105022608620709</v>
      </c>
      <c r="L28">
        <v>1640.848039929808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5">
      <c r="A29" t="s">
        <v>3</v>
      </c>
      <c r="B29" t="s">
        <v>31</v>
      </c>
      <c r="C29">
        <v>72308.800000000003</v>
      </c>
      <c r="D29">
        <v>3.4801928432896099</v>
      </c>
      <c r="E29">
        <v>0.74515613745883535</v>
      </c>
      <c r="F29">
        <v>9051.4310000000005</v>
      </c>
      <c r="G29">
        <v>-4203.3719888323176</v>
      </c>
      <c r="H29">
        <v>-4203.3719888323176</v>
      </c>
      <c r="I29">
        <v>0.29358943318860398</v>
      </c>
      <c r="J29">
        <v>0.64271758516417443</v>
      </c>
      <c r="K29">
        <v>3.5334821535739418</v>
      </c>
      <c r="L29">
        <v>-2701.5810942090402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 t="s">
        <v>3</v>
      </c>
      <c r="B30" t="s">
        <v>32</v>
      </c>
      <c r="C30">
        <v>73110.600000000006</v>
      </c>
      <c r="D30">
        <v>3.6694042166217198</v>
      </c>
      <c r="E30">
        <v>0.78195977737617195</v>
      </c>
      <c r="F30">
        <v>13357.51</v>
      </c>
      <c r="G30">
        <v>2981.2693730277952</v>
      </c>
      <c r="H30">
        <v>2981.2693730277952</v>
      </c>
      <c r="I30">
        <v>0.41004440080172849</v>
      </c>
      <c r="J30">
        <v>0.69425518989854029</v>
      </c>
      <c r="K30">
        <v>3.4801928432896099</v>
      </c>
      <c r="L30">
        <v>2069.7617347101141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5">
      <c r="A31" t="s">
        <v>3</v>
      </c>
      <c r="B31" t="s">
        <v>33</v>
      </c>
      <c r="C31">
        <v>73817.600000000006</v>
      </c>
      <c r="D31">
        <v>4.1663328903887784</v>
      </c>
      <c r="E31">
        <v>0.80757365871477227</v>
      </c>
      <c r="F31">
        <v>18459.61</v>
      </c>
      <c r="G31">
        <v>3803.4009892178929</v>
      </c>
      <c r="H31">
        <v>3803.4009892178929</v>
      </c>
      <c r="I31">
        <v>0.49109246366814119</v>
      </c>
      <c r="J31">
        <v>0.72754153848962844</v>
      </c>
      <c r="K31">
        <v>3.6694042166217198</v>
      </c>
      <c r="L31">
        <v>2767.1322071885611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3803.4009892178929</v>
      </c>
      <c r="T31">
        <v>2767.1322071885611</v>
      </c>
      <c r="U31">
        <v>0</v>
      </c>
      <c r="V31">
        <v>0</v>
      </c>
      <c r="W31">
        <v>0</v>
      </c>
    </row>
    <row r="32" spans="1:23" x14ac:dyDescent="0.35">
      <c r="A32" t="s">
        <v>3</v>
      </c>
      <c r="B32" t="s">
        <v>34</v>
      </c>
      <c r="C32">
        <v>74245</v>
      </c>
      <c r="D32">
        <v>4.1436702911013343</v>
      </c>
      <c r="E32">
        <v>0.71132536040379901</v>
      </c>
      <c r="F32">
        <v>21867.71</v>
      </c>
      <c r="G32">
        <v>2532.642848660435</v>
      </c>
      <c r="H32">
        <v>2532.642848660435</v>
      </c>
      <c r="I32">
        <v>0.1865412701503813</v>
      </c>
      <c r="J32">
        <v>0.59220361832224688</v>
      </c>
      <c r="K32">
        <v>4.1663328903887784</v>
      </c>
      <c r="L32">
        <v>1499.8402588946719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5">
      <c r="A33" t="s">
        <v>3</v>
      </c>
      <c r="B33" t="s">
        <v>35</v>
      </c>
      <c r="C33">
        <v>74175.199999999997</v>
      </c>
      <c r="D33">
        <v>2.548402566539373</v>
      </c>
      <c r="E33">
        <v>0.54637610581272456</v>
      </c>
      <c r="F33">
        <v>13843.68</v>
      </c>
      <c r="G33">
        <v>-8502.2952960938928</v>
      </c>
      <c r="H33">
        <v>-8502.2952960938928</v>
      </c>
      <c r="I33">
        <v>-0.33539515093073019</v>
      </c>
      <c r="J33">
        <v>0.3383199015819251</v>
      </c>
      <c r="K33">
        <v>4.1436702911013343</v>
      </c>
      <c r="L33">
        <v>-2876.4957077949512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 t="s">
        <v>3</v>
      </c>
      <c r="B34" t="s">
        <v>36</v>
      </c>
      <c r="C34">
        <v>75723.899999999994</v>
      </c>
      <c r="D34">
        <v>3.512046747830551</v>
      </c>
      <c r="E34">
        <v>0.64695163421235891</v>
      </c>
      <c r="F34">
        <v>13176.87</v>
      </c>
      <c r="G34">
        <v>-1287.1085488489391</v>
      </c>
      <c r="H34">
        <v>-1287.1085488489391</v>
      </c>
      <c r="I34">
        <v>-1.7151631301710109E-2</v>
      </c>
      <c r="J34">
        <v>0.49142502519027209</v>
      </c>
      <c r="K34">
        <v>2.548402566539373</v>
      </c>
      <c r="L34">
        <v>-632.5173510407044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5">
      <c r="A35" t="s">
        <v>3</v>
      </c>
      <c r="B35" t="s">
        <v>37</v>
      </c>
      <c r="C35">
        <v>75537.899999999994</v>
      </c>
      <c r="D35">
        <v>2.3037331497897018</v>
      </c>
      <c r="E35">
        <v>0.61865822642665358</v>
      </c>
      <c r="F35">
        <v>18019.05</v>
      </c>
      <c r="G35">
        <v>3782.8150578267828</v>
      </c>
      <c r="H35">
        <v>3782.8150578267828</v>
      </c>
      <c r="I35">
        <v>-0.106678316563</v>
      </c>
      <c r="J35">
        <v>0.4468622627654919</v>
      </c>
      <c r="K35">
        <v>3.512046747830551</v>
      </c>
      <c r="L35">
        <v>1690.397296363851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5">
      <c r="A36" t="s">
        <v>3</v>
      </c>
      <c r="B36" t="s">
        <v>38</v>
      </c>
      <c r="C36">
        <v>75012.800000000003</v>
      </c>
      <c r="D36">
        <v>1.0288330293053569</v>
      </c>
      <c r="E36">
        <v>0.69595329854778842</v>
      </c>
      <c r="F36">
        <v>14048.15</v>
      </c>
      <c r="G36">
        <v>-4873.0704452221198</v>
      </c>
      <c r="H36">
        <v>-4873.0704452221198</v>
      </c>
      <c r="I36">
        <v>0.1379006202144113</v>
      </c>
      <c r="J36">
        <v>0.56851654292916509</v>
      </c>
      <c r="K36">
        <v>2.3037331497897018</v>
      </c>
      <c r="L36">
        <v>-2770.4211629679671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5">
      <c r="A37" t="s">
        <v>3</v>
      </c>
      <c r="B37" t="s">
        <v>39</v>
      </c>
      <c r="C37">
        <v>73103.899999999994</v>
      </c>
      <c r="D37">
        <v>-1.454814559373024</v>
      </c>
      <c r="E37">
        <v>0.83256097533933326</v>
      </c>
      <c r="F37">
        <v>13245.42</v>
      </c>
      <c r="G37">
        <v>-1612.889016524221</v>
      </c>
      <c r="H37">
        <v>-1612.889016524221</v>
      </c>
      <c r="I37">
        <v>0.5701579353113797</v>
      </c>
      <c r="J37">
        <v>0.7577376285097922</v>
      </c>
      <c r="K37">
        <v>1.0288330293053569</v>
      </c>
      <c r="L37">
        <v>-1222.1466984305539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 t="s">
        <v>3</v>
      </c>
      <c r="B38" t="s">
        <v>40</v>
      </c>
      <c r="C38">
        <v>72305.600000000006</v>
      </c>
      <c r="D38">
        <v>-4.6192249347866943</v>
      </c>
      <c r="E38">
        <v>0.81500143343111031</v>
      </c>
      <c r="F38">
        <v>21794.11</v>
      </c>
      <c r="G38">
        <v>7502.5523747752904</v>
      </c>
      <c r="H38">
        <v>7502.5523747752904</v>
      </c>
      <c r="I38">
        <v>0.51459560808460603</v>
      </c>
      <c r="J38">
        <v>0.7367590661757959</v>
      </c>
      <c r="K38">
        <v>-1.454814559373024</v>
      </c>
      <c r="L38">
        <v>5527.5734815744427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5">
      <c r="A39" t="s">
        <v>3</v>
      </c>
      <c r="B39" t="s">
        <v>41</v>
      </c>
      <c r="C39">
        <v>71914.2</v>
      </c>
      <c r="D39">
        <v>-4.9160775306665609</v>
      </c>
      <c r="E39">
        <v>0.83981450753785247</v>
      </c>
      <c r="F39">
        <v>18972.07</v>
      </c>
      <c r="G39">
        <v>-3571.395125890052</v>
      </c>
      <c r="H39">
        <v>-3571.395125890052</v>
      </c>
      <c r="I39">
        <v>0.59310973733847772</v>
      </c>
      <c r="J39">
        <v>0.76606423856201022</v>
      </c>
      <c r="K39">
        <v>-4.6192249347866943</v>
      </c>
      <c r="L39">
        <v>-2735.9180877190379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5">
      <c r="A40" t="s">
        <v>3</v>
      </c>
      <c r="B40" t="s">
        <v>42</v>
      </c>
      <c r="C40">
        <v>72159.7</v>
      </c>
      <c r="D40">
        <v>-3.877704732329029</v>
      </c>
      <c r="E40">
        <v>0.88267537406100771</v>
      </c>
      <c r="F40">
        <v>14507.25</v>
      </c>
      <c r="G40">
        <v>-4886.0951899900501</v>
      </c>
      <c r="H40">
        <v>-4886.0951899900501</v>
      </c>
      <c r="I40">
        <v>0.72873112788667938</v>
      </c>
      <c r="J40">
        <v>0.81114422652884921</v>
      </c>
      <c r="K40">
        <v>-4.9160775306665609</v>
      </c>
      <c r="L40">
        <v>-3963.3279036308099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5">
      <c r="A41" t="s">
        <v>3</v>
      </c>
      <c r="B41" t="s">
        <v>43</v>
      </c>
      <c r="C41">
        <v>72341.100000000006</v>
      </c>
      <c r="D41">
        <v>-1.0489284525633451</v>
      </c>
      <c r="E41">
        <v>0.94243576378389882</v>
      </c>
      <c r="F41">
        <v>18951.79</v>
      </c>
      <c r="G41">
        <v>3701.552958534176</v>
      </c>
      <c r="H41">
        <v>3701.552958534176</v>
      </c>
      <c r="I41">
        <v>0.91782639850008174</v>
      </c>
      <c r="J41">
        <v>0.86243375971561609</v>
      </c>
      <c r="K41">
        <v>-3.877704732329029</v>
      </c>
      <c r="L41">
        <v>3192.3442348150911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3701.552958534176</v>
      </c>
      <c r="T41">
        <v>3192.3442348150911</v>
      </c>
      <c r="U41">
        <v>0</v>
      </c>
      <c r="V41">
        <v>0</v>
      </c>
      <c r="W41">
        <v>0</v>
      </c>
    </row>
    <row r="42" spans="1:23" x14ac:dyDescent="0.35">
      <c r="A42" t="s">
        <v>3</v>
      </c>
      <c r="B42" t="s">
        <v>44</v>
      </c>
      <c r="C42">
        <v>72086.100000000006</v>
      </c>
      <c r="D42">
        <v>-0.30403433034229049</v>
      </c>
      <c r="E42">
        <v>0.94014025970011306</v>
      </c>
      <c r="F42">
        <v>19711.91</v>
      </c>
      <c r="G42">
        <v>-36.739168690150109</v>
      </c>
      <c r="H42">
        <v>-36.739168690150109</v>
      </c>
      <c r="I42">
        <v>0.91056290895574621</v>
      </c>
      <c r="J42">
        <v>0.86070116142876174</v>
      </c>
      <c r="K42">
        <v>-1.0489284525633451</v>
      </c>
      <c r="L42">
        <v>-31.621445161539398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-36.739168690150109</v>
      </c>
      <c r="T42">
        <v>-31.621445161539398</v>
      </c>
      <c r="U42">
        <v>0</v>
      </c>
      <c r="V42">
        <v>0</v>
      </c>
      <c r="W42">
        <v>0</v>
      </c>
    </row>
    <row r="43" spans="1:23" x14ac:dyDescent="0.35">
      <c r="A43" t="s">
        <v>3</v>
      </c>
      <c r="B43" t="s">
        <v>45</v>
      </c>
      <c r="C43">
        <v>73041.399999999994</v>
      </c>
      <c r="D43">
        <v>1.5552661932347189</v>
      </c>
      <c r="E43">
        <v>0.93915453861894904</v>
      </c>
      <c r="F43">
        <v>21449.03</v>
      </c>
      <c r="G43">
        <v>1198.9148978520791</v>
      </c>
      <c r="H43">
        <v>1198.9148978520791</v>
      </c>
      <c r="I43">
        <v>0.90744386646863462</v>
      </c>
      <c r="J43">
        <v>0.85995156404932926</v>
      </c>
      <c r="K43">
        <v>-0.30403433034229049</v>
      </c>
      <c r="L43">
        <v>1031.008741569937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1198.9148978520791</v>
      </c>
      <c r="T43">
        <v>1031.008741569937</v>
      </c>
      <c r="U43">
        <v>0</v>
      </c>
      <c r="V43">
        <v>0</v>
      </c>
      <c r="W43">
        <v>0</v>
      </c>
    </row>
    <row r="44" spans="1:23" x14ac:dyDescent="0.35">
      <c r="A44" t="s">
        <v>3</v>
      </c>
      <c r="B44" t="s">
        <v>46</v>
      </c>
      <c r="C44">
        <v>73906.7</v>
      </c>
      <c r="D44">
        <v>2.3921768584907919</v>
      </c>
      <c r="E44">
        <v>0.92694067491514009</v>
      </c>
      <c r="F44">
        <v>19653.439999999999</v>
      </c>
      <c r="G44">
        <v>-2226.0035218636149</v>
      </c>
      <c r="H44">
        <v>-2226.0035218636149</v>
      </c>
      <c r="I44">
        <v>0.86879646351466278</v>
      </c>
      <c r="J44">
        <v>0.85038106431657112</v>
      </c>
      <c r="K44">
        <v>1.5552661932347189</v>
      </c>
      <c r="L44">
        <v>-1892.951244094817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5">
      <c r="A45" t="s">
        <v>3</v>
      </c>
      <c r="B45" t="s">
        <v>47</v>
      </c>
      <c r="C45">
        <v>74629.399999999994</v>
      </c>
      <c r="D45">
        <v>3.114209906850145</v>
      </c>
      <c r="E45">
        <v>0.77585414765684779</v>
      </c>
      <c r="F45">
        <v>14901.64</v>
      </c>
      <c r="G45">
        <v>-5163.8778878903649</v>
      </c>
      <c r="H45">
        <v>-5163.8778878903649</v>
      </c>
      <c r="I45">
        <v>0.39072481956414851</v>
      </c>
      <c r="J45">
        <v>0.68599246023161953</v>
      </c>
      <c r="K45">
        <v>2.3921768584907919</v>
      </c>
      <c r="L45">
        <v>-3542.3812966495711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-5163.8778878903649</v>
      </c>
      <c r="T45">
        <v>-3542.3812966495711</v>
      </c>
      <c r="U45">
        <v>0</v>
      </c>
      <c r="V45">
        <v>0</v>
      </c>
      <c r="W45">
        <v>0</v>
      </c>
    </row>
    <row r="46" spans="1:23" x14ac:dyDescent="0.35">
      <c r="A46" t="s">
        <v>3</v>
      </c>
      <c r="B46" t="s">
        <v>48</v>
      </c>
      <c r="C46">
        <v>75375.3</v>
      </c>
      <c r="D46">
        <v>4.4618397228713267</v>
      </c>
      <c r="E46">
        <v>0.80719481730442888</v>
      </c>
      <c r="F46">
        <v>13397.83</v>
      </c>
      <c r="G46">
        <v>-2196.1557660518852</v>
      </c>
      <c r="H46">
        <v>-2196.1557660518852</v>
      </c>
      <c r="I46">
        <v>0.48989372451432001</v>
      </c>
      <c r="J46">
        <v>0.72706603954665505</v>
      </c>
      <c r="K46">
        <v>3.114209906850145</v>
      </c>
      <c r="L46">
        <v>-1596.7502750508941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-2196.1557660518852</v>
      </c>
      <c r="T46">
        <v>-1596.7502750508941</v>
      </c>
      <c r="U46">
        <v>0</v>
      </c>
      <c r="V46">
        <v>0</v>
      </c>
      <c r="W46">
        <v>0</v>
      </c>
    </row>
    <row r="47" spans="1:23" x14ac:dyDescent="0.35">
      <c r="A47" t="s">
        <v>3</v>
      </c>
      <c r="B47" t="s">
        <v>49</v>
      </c>
      <c r="C47">
        <v>75338.5</v>
      </c>
      <c r="D47">
        <v>3.0964888640767012</v>
      </c>
      <c r="E47">
        <v>0.81798998587469685</v>
      </c>
      <c r="F47">
        <v>14121</v>
      </c>
      <c r="G47">
        <v>-273.04318602130661</v>
      </c>
      <c r="H47">
        <v>-273.04318602130661</v>
      </c>
      <c r="I47">
        <v>0.52405205801210497</v>
      </c>
      <c r="J47">
        <v>0.74041067126659843</v>
      </c>
      <c r="K47">
        <v>4.4618397228713267</v>
      </c>
      <c r="L47">
        <v>-202.16408864680631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-273.04318602130661</v>
      </c>
      <c r="T47">
        <v>-202.16408864680631</v>
      </c>
      <c r="U47">
        <v>0</v>
      </c>
      <c r="V47">
        <v>0</v>
      </c>
      <c r="W47">
        <v>0</v>
      </c>
    </row>
    <row r="48" spans="1:23" x14ac:dyDescent="0.35">
      <c r="A48" t="s">
        <v>3</v>
      </c>
      <c r="B48" t="s">
        <v>50</v>
      </c>
      <c r="C48">
        <v>75753.600000000006</v>
      </c>
      <c r="D48">
        <v>2.468248110999244</v>
      </c>
      <c r="E48">
        <v>0.85514918669552775</v>
      </c>
      <c r="F48">
        <v>20227.560000000001</v>
      </c>
      <c r="G48">
        <v>5061.6006823259177</v>
      </c>
      <c r="H48">
        <v>5061.6006823259177</v>
      </c>
      <c r="I48">
        <v>0.64163210003618243</v>
      </c>
      <c r="J48">
        <v>0.78300490318737204</v>
      </c>
      <c r="K48">
        <v>3.0964888640767012</v>
      </c>
      <c r="L48">
        <v>3963.2581522377409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5">
      <c r="A49" t="s">
        <v>3</v>
      </c>
      <c r="B49" t="s">
        <v>51</v>
      </c>
      <c r="C49">
        <v>76080</v>
      </c>
      <c r="D49">
        <v>1.925088678849121</v>
      </c>
      <c r="E49">
        <v>0.89587292821390696</v>
      </c>
      <c r="F49">
        <v>19436.98</v>
      </c>
      <c r="G49">
        <v>-1556.8530311641989</v>
      </c>
      <c r="H49">
        <v>-1556.8530311641989</v>
      </c>
      <c r="I49">
        <v>0.77049114795263929</v>
      </c>
      <c r="J49">
        <v>0.82360747676897228</v>
      </c>
      <c r="K49">
        <v>2.468248110999244</v>
      </c>
      <c r="L49">
        <v>-1282.235796697272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5">
      <c r="A50" t="s">
        <v>3</v>
      </c>
      <c r="B50" t="s">
        <v>52</v>
      </c>
      <c r="C50">
        <v>76402.3</v>
      </c>
      <c r="D50">
        <v>1.3533165292447471</v>
      </c>
      <c r="E50">
        <v>0.91802534592861518</v>
      </c>
      <c r="F50">
        <v>18629.88</v>
      </c>
      <c r="G50">
        <v>-1290.561426222474</v>
      </c>
      <c r="H50">
        <v>-1290.561426222474</v>
      </c>
      <c r="I50">
        <v>0.84058636389630847</v>
      </c>
      <c r="J50">
        <v>0.84305975716441206</v>
      </c>
      <c r="K50">
        <v>1.925088678849121</v>
      </c>
      <c r="L50">
        <v>-1088.020402596876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5">
      <c r="A51" t="s">
        <v>3</v>
      </c>
      <c r="B51" t="s">
        <v>53</v>
      </c>
      <c r="C51">
        <v>76138.8</v>
      </c>
      <c r="D51">
        <v>1.0566698065669089</v>
      </c>
      <c r="E51">
        <v>0.88365250228980741</v>
      </c>
      <c r="F51">
        <v>36827.879999999997</v>
      </c>
      <c r="G51">
        <v>17641.959197543922</v>
      </c>
      <c r="H51">
        <v>17641.959197543922</v>
      </c>
      <c r="I51">
        <v>0.73182298066250051</v>
      </c>
      <c r="J51">
        <v>0.81208968177847651</v>
      </c>
      <c r="K51">
        <v>1.3533165292447471</v>
      </c>
      <c r="L51">
        <v>14326.85303068231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5">
      <c r="A52" t="s">
        <v>3</v>
      </c>
      <c r="B52" t="s">
        <v>54</v>
      </c>
      <c r="C52">
        <v>76385.8</v>
      </c>
      <c r="D52">
        <v>0.8310847010610386</v>
      </c>
      <c r="E52">
        <v>0.8711391452387014</v>
      </c>
      <c r="F52">
        <v>25945.24</v>
      </c>
      <c r="G52">
        <v>-10760.52865517087</v>
      </c>
      <c r="H52">
        <v>-10760.52865517087</v>
      </c>
      <c r="I52">
        <v>0.69222791361502711</v>
      </c>
      <c r="J52">
        <v>0.79970567232110978</v>
      </c>
      <c r="K52">
        <v>1.0566698065669089</v>
      </c>
      <c r="L52">
        <v>-8605.2558027139912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-10760.52865517087</v>
      </c>
      <c r="T52">
        <v>-8605.2558027139912</v>
      </c>
      <c r="U52">
        <v>0</v>
      </c>
      <c r="V52">
        <v>0</v>
      </c>
      <c r="W52">
        <v>0</v>
      </c>
    </row>
    <row r="53" spans="1:23" x14ac:dyDescent="0.35">
      <c r="A53" t="s">
        <v>3</v>
      </c>
      <c r="B53" t="s">
        <v>55</v>
      </c>
      <c r="C53">
        <v>75860.2</v>
      </c>
      <c r="D53">
        <v>-0.28932455443182459</v>
      </c>
      <c r="E53">
        <v>0.78218361408720261</v>
      </c>
      <c r="F53">
        <v>38752.269999999997</v>
      </c>
      <c r="G53">
        <v>13434.743327128041</v>
      </c>
      <c r="H53">
        <v>13434.743327128041</v>
      </c>
      <c r="I53">
        <v>0.4107526703368139</v>
      </c>
      <c r="J53">
        <v>0.69455578868659007</v>
      </c>
      <c r="K53">
        <v>0.8310847010610386</v>
      </c>
      <c r="L53">
        <v>9331.1787473753175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5">
      <c r="A54" t="s">
        <v>3</v>
      </c>
      <c r="B54" t="s">
        <v>56</v>
      </c>
      <c r="C54">
        <v>75566.2</v>
      </c>
      <c r="D54">
        <v>-1.100370716749159</v>
      </c>
      <c r="E54">
        <v>0.73088356637594831</v>
      </c>
      <c r="F54">
        <v>31598.92</v>
      </c>
      <c r="G54">
        <v>-6578.8883624478913</v>
      </c>
      <c r="H54">
        <v>-6578.8883624478913</v>
      </c>
      <c r="I54">
        <v>0.24842781855084431</v>
      </c>
      <c r="J54">
        <v>0.62172011021539686</v>
      </c>
      <c r="K54">
        <v>-0.28932455443182459</v>
      </c>
      <c r="L54">
        <v>-4090.2271977958949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5">
      <c r="A55" t="s">
        <v>3</v>
      </c>
      <c r="B55" t="s">
        <v>57</v>
      </c>
      <c r="C55">
        <v>75908.3</v>
      </c>
      <c r="D55">
        <v>-0.30319575523334841</v>
      </c>
      <c r="E55">
        <v>0.71288754240361507</v>
      </c>
      <c r="F55">
        <v>14113.9</v>
      </c>
      <c r="G55">
        <v>-16534.748271214699</v>
      </c>
      <c r="H55">
        <v>-16534.748271214699</v>
      </c>
      <c r="I55">
        <v>0.19148436421941889</v>
      </c>
      <c r="J55">
        <v>0.59458892412200715</v>
      </c>
      <c r="K55">
        <v>-1.100370716749159</v>
      </c>
      <c r="L55">
        <v>-9831.3781852097636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-16534.748271214699</v>
      </c>
      <c r="T55">
        <v>-9831.3781852097636</v>
      </c>
      <c r="U55">
        <v>0</v>
      </c>
      <c r="V55">
        <v>0</v>
      </c>
      <c r="W55">
        <v>0</v>
      </c>
    </row>
    <row r="56" spans="1:23" x14ac:dyDescent="0.35">
      <c r="A56" t="s">
        <v>3</v>
      </c>
      <c r="B56" t="s">
        <v>58</v>
      </c>
      <c r="C56">
        <v>76123.7</v>
      </c>
      <c r="D56">
        <v>-0.34371663147523152</v>
      </c>
      <c r="E56">
        <v>0.3480704956522932</v>
      </c>
      <c r="F56">
        <v>15802.53</v>
      </c>
      <c r="G56">
        <v>1579.518846364859</v>
      </c>
      <c r="H56">
        <v>1579.518846364859</v>
      </c>
      <c r="I56">
        <v>-0.9628785591100254</v>
      </c>
      <c r="J56">
        <v>0.1272209471353371</v>
      </c>
      <c r="K56">
        <v>-0.30319575523334841</v>
      </c>
      <c r="L56">
        <v>200.94788365265251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1579.518846364859</v>
      </c>
      <c r="T56">
        <v>200.94788365265251</v>
      </c>
      <c r="U56">
        <v>0</v>
      </c>
      <c r="V56">
        <v>0</v>
      </c>
      <c r="W56">
        <v>0</v>
      </c>
    </row>
    <row r="57" spans="1:23" x14ac:dyDescent="0.35">
      <c r="A57" t="s">
        <v>3</v>
      </c>
      <c r="B57" t="s">
        <v>59</v>
      </c>
      <c r="C57">
        <v>76189.8</v>
      </c>
      <c r="D57">
        <v>0.43354227722499672</v>
      </c>
      <c r="E57">
        <v>0.3650946286220893</v>
      </c>
      <c r="F57">
        <v>18492.009999999998</v>
      </c>
      <c r="G57">
        <v>1747.8482793999319</v>
      </c>
      <c r="H57">
        <v>1747.8482793999319</v>
      </c>
      <c r="I57">
        <v>-0.90901038579640592</v>
      </c>
      <c r="J57">
        <v>0.13967153419896611</v>
      </c>
      <c r="K57">
        <v>-0.34371663147523152</v>
      </c>
      <c r="L57">
        <v>244.12465073081171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1747.8482793999319</v>
      </c>
      <c r="T57">
        <v>244.12465073081171</v>
      </c>
      <c r="U57">
        <v>0</v>
      </c>
      <c r="V57">
        <v>0</v>
      </c>
      <c r="W57">
        <v>0</v>
      </c>
    </row>
    <row r="58" spans="1:23" x14ac:dyDescent="0.35">
      <c r="A58" t="s">
        <v>3</v>
      </c>
      <c r="B58" t="s">
        <v>60</v>
      </c>
      <c r="C58">
        <v>76193.2</v>
      </c>
      <c r="D58">
        <v>0.8263126601546229</v>
      </c>
      <c r="E58">
        <v>0.1126436295491524</v>
      </c>
      <c r="F58">
        <v>19536.86</v>
      </c>
      <c r="G58">
        <v>296.42782514671848</v>
      </c>
      <c r="H58">
        <v>296.42782514671848</v>
      </c>
      <c r="I58">
        <v>-1.7078219432122561</v>
      </c>
      <c r="J58">
        <v>3.1810115703277707E-2</v>
      </c>
      <c r="K58">
        <v>0.43354227722499672</v>
      </c>
      <c r="L58">
        <v>9.429403415588089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296.42782514671848</v>
      </c>
      <c r="T58">
        <v>9.429403415588089</v>
      </c>
      <c r="U58">
        <v>0</v>
      </c>
      <c r="V58">
        <v>0</v>
      </c>
      <c r="W58">
        <v>0</v>
      </c>
    </row>
    <row r="59" spans="1:23" x14ac:dyDescent="0.35">
      <c r="A59" t="s">
        <v>3</v>
      </c>
      <c r="B59" t="s">
        <v>61</v>
      </c>
      <c r="C59">
        <v>76571</v>
      </c>
      <c r="D59">
        <v>0.86923821483714503</v>
      </c>
      <c r="E59">
        <v>-0.70048524930913825</v>
      </c>
      <c r="F59">
        <v>20086.099999999999</v>
      </c>
      <c r="G59">
        <v>-19.53534989586478</v>
      </c>
      <c r="H59">
        <v>-19.53534989586478</v>
      </c>
      <c r="I59">
        <v>-4.280744009220534</v>
      </c>
      <c r="J59">
        <v>1.9129777079532261E-4</v>
      </c>
      <c r="K59">
        <v>0.8263126601546229</v>
      </c>
      <c r="L59">
        <v>-3.7370688867855708E-3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-19.53534989586478</v>
      </c>
      <c r="T59">
        <v>-3.7370688867855708E-3</v>
      </c>
      <c r="U59">
        <v>0</v>
      </c>
      <c r="V59">
        <v>0</v>
      </c>
      <c r="W59">
        <v>0</v>
      </c>
    </row>
    <row r="60" spans="1:23" x14ac:dyDescent="0.35">
      <c r="A60" t="s">
        <v>3</v>
      </c>
      <c r="B60" t="s">
        <v>62</v>
      </c>
      <c r="C60">
        <v>76694.600000000006</v>
      </c>
      <c r="D60">
        <v>0.74716530140748805</v>
      </c>
      <c r="E60">
        <v>-0.17656279730022029</v>
      </c>
      <c r="F60">
        <v>14211.19</v>
      </c>
      <c r="G60">
        <v>-6368.2256188433221</v>
      </c>
      <c r="H60">
        <v>-6368.2256188433221</v>
      </c>
      <c r="I60">
        <v>-2.622935914218862</v>
      </c>
      <c r="J60">
        <v>5.2416066215779352E-3</v>
      </c>
      <c r="K60">
        <v>0.86923821483714503</v>
      </c>
      <c r="L60">
        <v>-33.379733571431402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-6368.2256188433221</v>
      </c>
      <c r="T60">
        <v>-33.379733571431402</v>
      </c>
      <c r="U60">
        <v>0</v>
      </c>
      <c r="V60">
        <v>0</v>
      </c>
      <c r="W60">
        <v>0</v>
      </c>
    </row>
    <row r="61" spans="1:23" x14ac:dyDescent="0.35">
      <c r="A61" t="s">
        <v>3</v>
      </c>
      <c r="B61" t="s">
        <v>63</v>
      </c>
      <c r="C61">
        <v>77013</v>
      </c>
      <c r="D61">
        <v>1.074664330707058</v>
      </c>
      <c r="E61">
        <v>0.23278568377507911</v>
      </c>
      <c r="F61">
        <v>17252.02</v>
      </c>
      <c r="G61">
        <v>2343.4323165346868</v>
      </c>
      <c r="H61">
        <v>2343.4323165346868</v>
      </c>
      <c r="I61">
        <v>-1.327665549299057</v>
      </c>
      <c r="J61">
        <v>6.566118937924284E-2</v>
      </c>
      <c r="K61">
        <v>0.74716530140748805</v>
      </c>
      <c r="L61">
        <v>153.8725531334218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2343.4323165346868</v>
      </c>
      <c r="T61">
        <v>153.8725531334218</v>
      </c>
      <c r="U61">
        <v>0</v>
      </c>
      <c r="V61">
        <v>0</v>
      </c>
      <c r="W61">
        <v>0</v>
      </c>
    </row>
    <row r="62" spans="1:23" x14ac:dyDescent="0.35">
      <c r="A62" t="s">
        <v>3</v>
      </c>
      <c r="B62" t="s">
        <v>64</v>
      </c>
      <c r="C62">
        <v>77035.5</v>
      </c>
      <c r="D62">
        <v>1.099413470348189</v>
      </c>
      <c r="E62">
        <v>-0.1285853134062013</v>
      </c>
      <c r="F62">
        <v>29838.2</v>
      </c>
      <c r="G62">
        <v>11706.8741061117</v>
      </c>
      <c r="H62">
        <v>11706.8741061117</v>
      </c>
      <c r="I62">
        <v>-2.471124399227778</v>
      </c>
      <c r="J62">
        <v>7.0879298199223138E-3</v>
      </c>
      <c r="K62">
        <v>1.074664330707058</v>
      </c>
      <c r="L62">
        <v>82.977502074785519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11706.8741061117</v>
      </c>
      <c r="T62">
        <v>82.977502074785519</v>
      </c>
      <c r="U62">
        <v>0</v>
      </c>
      <c r="V62">
        <v>0</v>
      </c>
      <c r="W62">
        <v>0</v>
      </c>
    </row>
    <row r="63" spans="1:23" x14ac:dyDescent="0.35">
      <c r="A63" t="s">
        <v>3</v>
      </c>
      <c r="B63" t="s">
        <v>65</v>
      </c>
      <c r="C63">
        <v>77471</v>
      </c>
      <c r="D63">
        <v>1.1685257798138471</v>
      </c>
      <c r="E63">
        <v>7.4249255510286022E-2</v>
      </c>
      <c r="F63">
        <v>25360.74</v>
      </c>
      <c r="G63">
        <v>-4702.6314541169268</v>
      </c>
      <c r="H63">
        <v>-4702.6314541169268</v>
      </c>
      <c r="I63">
        <v>-1.8293103502085479</v>
      </c>
      <c r="J63">
        <v>2.512071862663794E-2</v>
      </c>
      <c r="K63">
        <v>1.099413470348189</v>
      </c>
      <c r="L63">
        <v>-118.1334815636485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5">
      <c r="A64" t="s">
        <v>3</v>
      </c>
      <c r="B64" t="s">
        <v>66</v>
      </c>
      <c r="C64">
        <v>77762</v>
      </c>
      <c r="D64">
        <v>1.382157826341355</v>
      </c>
      <c r="E64">
        <v>0.30517108833338258</v>
      </c>
      <c r="F64">
        <v>21280.47</v>
      </c>
      <c r="G64">
        <v>-3835.168726222837</v>
      </c>
      <c r="H64">
        <v>-3835.168726222837</v>
      </c>
      <c r="I64">
        <v>-1.0986219013763601</v>
      </c>
      <c r="J64">
        <v>9.9998269725821043E-2</v>
      </c>
      <c r="K64">
        <v>1.1685257798138471</v>
      </c>
      <c r="L64">
        <v>-383.51023672886481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5">
      <c r="A65" t="s">
        <v>3</v>
      </c>
      <c r="B65" t="s">
        <v>67</v>
      </c>
      <c r="C65">
        <v>78074.100000000006</v>
      </c>
      <c r="D65">
        <v>1.3684136953042949</v>
      </c>
      <c r="E65">
        <v>0.3853685833460751</v>
      </c>
      <c r="F65">
        <v>18517.900000000001</v>
      </c>
      <c r="G65">
        <v>-2909.1155667876369</v>
      </c>
      <c r="H65">
        <v>-2909.1155667876369</v>
      </c>
      <c r="I65">
        <v>-0.84485904788323529</v>
      </c>
      <c r="J65">
        <v>0.15581291687036949</v>
      </c>
      <c r="K65">
        <v>1.382157826341355</v>
      </c>
      <c r="L65">
        <v>-453.27778197418007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5">
      <c r="A66" t="s">
        <v>3</v>
      </c>
      <c r="B66" t="s">
        <v>68</v>
      </c>
      <c r="C66">
        <v>78968.899999999994</v>
      </c>
      <c r="D66">
        <v>2.4787749503304188</v>
      </c>
      <c r="E66">
        <v>0.40450647910930532</v>
      </c>
      <c r="F66">
        <v>22826.080000000002</v>
      </c>
      <c r="G66">
        <v>3842.526243353896</v>
      </c>
      <c r="H66">
        <v>3842.526243353896</v>
      </c>
      <c r="I66">
        <v>-0.78430245521207176</v>
      </c>
      <c r="J66">
        <v>0.1724153637378445</v>
      </c>
      <c r="K66">
        <v>1.3684136953042949</v>
      </c>
      <c r="L66">
        <v>662.51055992007514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5">
      <c r="A67" t="s">
        <v>3</v>
      </c>
      <c r="B67" t="s">
        <v>69</v>
      </c>
      <c r="C67">
        <v>78923.600000000006</v>
      </c>
      <c r="D67">
        <v>1.857662314448862</v>
      </c>
      <c r="E67">
        <v>0.39347652592769677</v>
      </c>
      <c r="F67">
        <v>18513.21</v>
      </c>
      <c r="G67">
        <v>-4750.2373136210626</v>
      </c>
      <c r="H67">
        <v>-4750.2373136210626</v>
      </c>
      <c r="I67">
        <v>-0.81920369985590469</v>
      </c>
      <c r="J67">
        <v>0.16268188447488291</v>
      </c>
      <c r="K67">
        <v>2.4787749503304188</v>
      </c>
      <c r="L67">
        <v>-772.77755788277966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5">
      <c r="A68" t="s">
        <v>3</v>
      </c>
      <c r="B68" t="s">
        <v>70</v>
      </c>
      <c r="C68">
        <v>79356.600000000006</v>
      </c>
      <c r="D68">
        <v>2.029873933087055</v>
      </c>
      <c r="E68">
        <v>0.63071634694989154</v>
      </c>
      <c r="F68">
        <v>30182.29</v>
      </c>
      <c r="G68">
        <v>11282.735474875861</v>
      </c>
      <c r="H68">
        <v>11282.735474875861</v>
      </c>
      <c r="I68">
        <v>-6.8523719948023379E-2</v>
      </c>
      <c r="J68">
        <v>0.46579166502098812</v>
      </c>
      <c r="K68">
        <v>1.857662314448862</v>
      </c>
      <c r="L68">
        <v>5255.404142833795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11282.735474875861</v>
      </c>
      <c r="T68">
        <v>5255.404142833795</v>
      </c>
      <c r="U68">
        <v>0</v>
      </c>
      <c r="V68">
        <v>0</v>
      </c>
      <c r="W68">
        <v>0</v>
      </c>
    </row>
    <row r="69" spans="1:23" x14ac:dyDescent="0.35">
      <c r="A69" t="s">
        <v>3</v>
      </c>
      <c r="B69" t="s">
        <v>71</v>
      </c>
      <c r="C69">
        <v>79836.3</v>
      </c>
      <c r="D69">
        <v>2.2319912518802369</v>
      </c>
      <c r="E69">
        <v>0.68747009043960416</v>
      </c>
      <c r="F69">
        <v>32031.3</v>
      </c>
      <c r="G69">
        <v>1702.312279079182</v>
      </c>
      <c r="H69">
        <v>1702.312279079182</v>
      </c>
      <c r="I69">
        <v>0.1110578479312103</v>
      </c>
      <c r="J69">
        <v>0.55530174961522216</v>
      </c>
      <c r="K69">
        <v>2.029873933087055</v>
      </c>
      <c r="L69">
        <v>945.29698696414619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1702.312279079182</v>
      </c>
      <c r="T69">
        <v>945.29698696414619</v>
      </c>
      <c r="U69">
        <v>0</v>
      </c>
      <c r="V69">
        <v>0</v>
      </c>
      <c r="W69">
        <v>0</v>
      </c>
    </row>
    <row r="70" spans="1:23" x14ac:dyDescent="0.35">
      <c r="A70" t="s">
        <v>3</v>
      </c>
      <c r="B70" t="s">
        <v>72</v>
      </c>
      <c r="C70">
        <v>80622.399999999994</v>
      </c>
      <c r="D70">
        <v>2.072242246172157</v>
      </c>
      <c r="E70">
        <v>0.87027588823679591</v>
      </c>
      <c r="F70">
        <v>29910.11</v>
      </c>
      <c r="G70">
        <v>-1594.595393211242</v>
      </c>
      <c r="H70">
        <v>-1594.595393211242</v>
      </c>
      <c r="I70">
        <v>0.68949637492960081</v>
      </c>
      <c r="J70">
        <v>0.7988291827442473</v>
      </c>
      <c r="K70">
        <v>2.2319912518802369</v>
      </c>
      <c r="L70">
        <v>-1273.8093347666791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-1594.595393211242</v>
      </c>
      <c r="T70">
        <v>-1273.8093347666791</v>
      </c>
      <c r="U70">
        <v>0</v>
      </c>
      <c r="V70">
        <v>0</v>
      </c>
      <c r="W70">
        <v>0</v>
      </c>
    </row>
    <row r="71" spans="1:23" x14ac:dyDescent="0.35">
      <c r="A71" t="s">
        <v>3</v>
      </c>
      <c r="B71" t="s">
        <v>73</v>
      </c>
      <c r="C71">
        <v>80882.399999999994</v>
      </c>
      <c r="D71">
        <v>2.4515951934940992</v>
      </c>
      <c r="E71">
        <v>0.78046021137048716</v>
      </c>
      <c r="F71">
        <v>16514.349999999999</v>
      </c>
      <c r="G71">
        <v>-12857.951240235971</v>
      </c>
      <c r="H71">
        <v>-12857.951240235971</v>
      </c>
      <c r="I71">
        <v>0.40529943777584299</v>
      </c>
      <c r="J71">
        <v>0.69223710636729141</v>
      </c>
      <c r="K71">
        <v>2.072242246172157</v>
      </c>
      <c r="L71">
        <v>-8900.7509603526723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-12857.951240235971</v>
      </c>
      <c r="T71">
        <v>-8900.7509603526723</v>
      </c>
      <c r="U71">
        <v>0</v>
      </c>
      <c r="V71">
        <v>0</v>
      </c>
      <c r="W71">
        <v>0</v>
      </c>
    </row>
    <row r="72" spans="1:23" x14ac:dyDescent="0.35">
      <c r="A72" t="s">
        <v>3</v>
      </c>
      <c r="B72" t="s">
        <v>74</v>
      </c>
      <c r="C72">
        <v>81395.899999999994</v>
      </c>
      <c r="D72">
        <v>2.5373283872682548</v>
      </c>
      <c r="E72">
        <v>0.70379881796166932</v>
      </c>
      <c r="F72">
        <v>16325.61</v>
      </c>
      <c r="G72">
        <v>-289.78211110166382</v>
      </c>
      <c r="H72">
        <v>-289.78211110166382</v>
      </c>
      <c r="I72">
        <v>0.16272560250702581</v>
      </c>
      <c r="J72">
        <v>0.58065217508421163</v>
      </c>
      <c r="K72">
        <v>2.4515951934940992</v>
      </c>
      <c r="L72">
        <v>-168.26261311167571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-289.78211110166382</v>
      </c>
      <c r="T72">
        <v>-168.26261311167571</v>
      </c>
      <c r="U72">
        <v>0</v>
      </c>
      <c r="V72">
        <v>0</v>
      </c>
      <c r="W72">
        <v>0</v>
      </c>
    </row>
    <row r="73" spans="1:23" x14ac:dyDescent="0.35">
      <c r="A73" t="s">
        <v>3</v>
      </c>
      <c r="B73" t="s">
        <v>75</v>
      </c>
      <c r="C73">
        <v>81781.899999999994</v>
      </c>
      <c r="D73">
        <v>2.407765948694911</v>
      </c>
      <c r="E73">
        <v>0.70280478220684794</v>
      </c>
      <c r="F73">
        <v>28396.560000000001</v>
      </c>
      <c r="G73">
        <v>11273.465479390619</v>
      </c>
      <c r="H73">
        <v>11273.465479390619</v>
      </c>
      <c r="I73">
        <v>0.15958025052841671</v>
      </c>
      <c r="J73">
        <v>0.57911964620997147</v>
      </c>
      <c r="K73">
        <v>2.5373283872682548</v>
      </c>
      <c r="L73">
        <v>6528.6853399850224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11273.465479390619</v>
      </c>
      <c r="T73">
        <v>6528.6853399850224</v>
      </c>
      <c r="U73">
        <v>0</v>
      </c>
      <c r="V73">
        <v>0</v>
      </c>
      <c r="W73">
        <v>0</v>
      </c>
    </row>
    <row r="74" spans="1:23" x14ac:dyDescent="0.35">
      <c r="A74" t="s">
        <v>3</v>
      </c>
      <c r="B74" t="s">
        <v>76</v>
      </c>
      <c r="C74">
        <v>82249</v>
      </c>
      <c r="D74">
        <v>1.997470498291918</v>
      </c>
      <c r="E74">
        <v>0.64735196258782002</v>
      </c>
      <c r="F74">
        <v>13622.16</v>
      </c>
      <c r="G74">
        <v>-15104.230619776299</v>
      </c>
      <c r="H74">
        <v>-15104.230619776299</v>
      </c>
      <c r="I74">
        <v>-1.5884902573148181E-2</v>
      </c>
      <c r="J74">
        <v>0.49205821668592747</v>
      </c>
      <c r="K74">
        <v>2.407765948694911</v>
      </c>
      <c r="L74">
        <v>-7432.1607831801066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-15104.230619776299</v>
      </c>
      <c r="T74">
        <v>-7432.1607831801066</v>
      </c>
      <c r="U74">
        <v>0</v>
      </c>
      <c r="V74">
        <v>0</v>
      </c>
      <c r="W74">
        <v>0</v>
      </c>
    </row>
    <row r="75" spans="1:23" x14ac:dyDescent="0.35">
      <c r="A75" t="s">
        <v>3</v>
      </c>
      <c r="B75" t="s">
        <v>77</v>
      </c>
      <c r="C75">
        <v>82911.600000000006</v>
      </c>
      <c r="D75">
        <v>2.477873211346743</v>
      </c>
      <c r="E75">
        <v>0.72428562898512505</v>
      </c>
      <c r="F75">
        <v>25653.23</v>
      </c>
      <c r="G75">
        <v>11737.80673016071</v>
      </c>
      <c r="H75">
        <v>11737.80673016071</v>
      </c>
      <c r="I75">
        <v>0.22755046547143309</v>
      </c>
      <c r="J75">
        <v>0.61185133928906266</v>
      </c>
      <c r="K75">
        <v>1.997470498291918</v>
      </c>
      <c r="L75">
        <v>7181.7927681650044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11737.80673016071</v>
      </c>
      <c r="T75">
        <v>7181.7927681650044</v>
      </c>
      <c r="U75">
        <v>0</v>
      </c>
      <c r="V75">
        <v>0</v>
      </c>
      <c r="W75">
        <v>0</v>
      </c>
    </row>
    <row r="76" spans="1:23" x14ac:dyDescent="0.35">
      <c r="A76" t="s">
        <v>3</v>
      </c>
      <c r="B76" t="s">
        <v>78</v>
      </c>
      <c r="C76">
        <v>83252.100000000006</v>
      </c>
      <c r="D76">
        <v>2.254845057803982</v>
      </c>
      <c r="E76">
        <v>0.56968590921638818</v>
      </c>
      <c r="F76">
        <v>28710.76</v>
      </c>
      <c r="G76">
        <v>2480.1654601144551</v>
      </c>
      <c r="H76">
        <v>2480.1654601144551</v>
      </c>
      <c r="I76">
        <v>-0.26163770719584462</v>
      </c>
      <c r="J76">
        <v>0.372086651774023</v>
      </c>
      <c r="K76">
        <v>2.477873211346743</v>
      </c>
      <c r="L76">
        <v>922.83646189956664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2480.1654601144551</v>
      </c>
      <c r="T76">
        <v>922.83646189956664</v>
      </c>
      <c r="U76">
        <v>0</v>
      </c>
      <c r="V76">
        <v>0</v>
      </c>
      <c r="W76">
        <v>0</v>
      </c>
    </row>
    <row r="77" spans="1:23" x14ac:dyDescent="0.35">
      <c r="A77" t="s">
        <v>3</v>
      </c>
      <c r="B77" t="s">
        <v>79</v>
      </c>
      <c r="C77">
        <v>84033</v>
      </c>
      <c r="D77">
        <v>2.715363110707651</v>
      </c>
      <c r="E77">
        <v>0.897666944271163</v>
      </c>
      <c r="F77">
        <v>26443.05</v>
      </c>
      <c r="G77">
        <v>-2105.371652046339</v>
      </c>
      <c r="H77">
        <v>-2105.371652046339</v>
      </c>
      <c r="I77">
        <v>0.77616781695370629</v>
      </c>
      <c r="J77">
        <v>0.82525081397504041</v>
      </c>
      <c r="K77">
        <v>2.254845057803982</v>
      </c>
      <c r="L77">
        <v>-1737.459669571216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5">
      <c r="A78" t="s">
        <v>3</v>
      </c>
      <c r="B78" t="s">
        <v>80</v>
      </c>
      <c r="C78">
        <v>84989.5</v>
      </c>
      <c r="D78">
        <v>3.2776487931305298</v>
      </c>
      <c r="E78">
        <v>0.89306219721589131</v>
      </c>
      <c r="F78">
        <v>36588.019999999997</v>
      </c>
      <c r="G78">
        <v>10374.885475181431</v>
      </c>
      <c r="H78">
        <v>10374.885475181431</v>
      </c>
      <c r="I78">
        <v>0.76159736494426544</v>
      </c>
      <c r="J78">
        <v>0.82100843915265243</v>
      </c>
      <c r="K78">
        <v>2.715363110707651</v>
      </c>
      <c r="L78">
        <v>8517.8685303662332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5">
      <c r="A79" t="s">
        <v>3</v>
      </c>
      <c r="B79" t="s">
        <v>81</v>
      </c>
      <c r="C79">
        <v>84462.7</v>
      </c>
      <c r="D79">
        <v>1.8535036814308889</v>
      </c>
      <c r="E79">
        <v>0.9804490088826745</v>
      </c>
      <c r="F79">
        <v>40489.040000000001</v>
      </c>
      <c r="G79">
        <v>4415.4972307526914</v>
      </c>
      <c r="H79">
        <v>4415.4972307526914</v>
      </c>
      <c r="I79">
        <v>1.038108828085597</v>
      </c>
      <c r="J79">
        <v>0.88857008101968959</v>
      </c>
      <c r="K79">
        <v>3.2776487931305298</v>
      </c>
      <c r="L79">
        <v>3923.4787320721339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5">
      <c r="A80" t="s">
        <v>3</v>
      </c>
      <c r="B80" t="s">
        <v>82</v>
      </c>
      <c r="C80">
        <v>84598.5</v>
      </c>
      <c r="D80">
        <v>1.6043182190908809</v>
      </c>
      <c r="E80">
        <v>0.97847280310127893</v>
      </c>
      <c r="F80">
        <v>32800.980000000003</v>
      </c>
      <c r="G80">
        <v>-6497.529962925415</v>
      </c>
      <c r="H80">
        <v>-6497.529962925415</v>
      </c>
      <c r="I80">
        <v>1.0318556699526999</v>
      </c>
      <c r="J80">
        <v>0.88732575880842757</v>
      </c>
      <c r="K80">
        <v>1.8535036814308889</v>
      </c>
      <c r="L80">
        <v>-5765.4257047332894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-6497.529962925415</v>
      </c>
      <c r="T80">
        <v>-5765.4257047332894</v>
      </c>
      <c r="U80">
        <v>0</v>
      </c>
      <c r="V80">
        <v>0</v>
      </c>
      <c r="W80">
        <v>0</v>
      </c>
    </row>
    <row r="81" spans="1:23" x14ac:dyDescent="0.35">
      <c r="A81" t="s">
        <v>3</v>
      </c>
      <c r="B81" t="s">
        <v>83</v>
      </c>
      <c r="C81">
        <v>84049.3</v>
      </c>
      <c r="D81">
        <v>1.9395260596856631E-2</v>
      </c>
      <c r="E81">
        <v>0.97083443477585118</v>
      </c>
      <c r="F81">
        <v>52716.26</v>
      </c>
      <c r="G81">
        <v>21002.415296564999</v>
      </c>
      <c r="H81">
        <v>21002.415296564999</v>
      </c>
      <c r="I81">
        <v>1.007686160144629</v>
      </c>
      <c r="J81">
        <v>0.8824016486723063</v>
      </c>
      <c r="K81">
        <v>1.6043182190908809</v>
      </c>
      <c r="L81">
        <v>18532.565883789419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21002.415296564999</v>
      </c>
      <c r="T81">
        <v>18532.565883789419</v>
      </c>
      <c r="U81">
        <v>0</v>
      </c>
      <c r="V81">
        <v>0</v>
      </c>
      <c r="W81">
        <v>0</v>
      </c>
    </row>
    <row r="82" spans="1:23" x14ac:dyDescent="0.35">
      <c r="A82" t="s">
        <v>3</v>
      </c>
      <c r="B82" t="s">
        <v>84</v>
      </c>
      <c r="C82">
        <v>83116.399999999994</v>
      </c>
      <c r="D82">
        <v>-2.2285684470978921</v>
      </c>
      <c r="E82">
        <v>0.91280313657643808</v>
      </c>
      <c r="F82">
        <v>55684.71</v>
      </c>
      <c r="G82">
        <v>4447.7439987703037</v>
      </c>
      <c r="H82">
        <v>4447.7439987703037</v>
      </c>
      <c r="I82">
        <v>0.82406212275215285</v>
      </c>
      <c r="J82">
        <v>0.83863737566559282</v>
      </c>
      <c r="K82">
        <v>1.9395260596856631E-2</v>
      </c>
      <c r="L82">
        <v>3730.0443547611171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5">
      <c r="A83" t="s">
        <v>3</v>
      </c>
      <c r="B83" t="s">
        <v>85</v>
      </c>
      <c r="C83">
        <v>72639.100000000006</v>
      </c>
      <c r="D83">
        <v>-15.080667244180299</v>
      </c>
      <c r="E83">
        <v>0.9088776035946492</v>
      </c>
      <c r="F83">
        <v>28914.37</v>
      </c>
      <c r="G83">
        <v>-24149.360667720372</v>
      </c>
      <c r="H83">
        <v>-24149.360667720372</v>
      </c>
      <c r="I83">
        <v>0.81164085634249172</v>
      </c>
      <c r="J83">
        <v>0.83524722097569226</v>
      </c>
      <c r="K83">
        <v>-2.2285684470978921</v>
      </c>
      <c r="L83">
        <v>-20170.68638605313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-24149.360667720372</v>
      </c>
      <c r="T83">
        <v>-20170.68638605313</v>
      </c>
      <c r="U83">
        <v>0</v>
      </c>
      <c r="V83">
        <v>0</v>
      </c>
      <c r="W83">
        <v>0</v>
      </c>
    </row>
    <row r="84" spans="1:23" x14ac:dyDescent="0.35">
      <c r="A84" t="s">
        <v>3</v>
      </c>
      <c r="B84" t="s">
        <v>86</v>
      </c>
      <c r="C84">
        <v>80989.899999999994</v>
      </c>
      <c r="D84">
        <v>-4.3592080418736208</v>
      </c>
      <c r="E84">
        <v>0.91501355498704351</v>
      </c>
      <c r="F84">
        <v>27497.73</v>
      </c>
      <c r="G84">
        <v>298.34674216415812</v>
      </c>
      <c r="H84">
        <v>298.34674216415812</v>
      </c>
      <c r="I84">
        <v>0.83105638215140465</v>
      </c>
      <c r="J84">
        <v>0.84052141269241121</v>
      </c>
      <c r="K84">
        <v>-15.080667244180299</v>
      </c>
      <c r="L84">
        <v>250.76682519599669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298.34674216415812</v>
      </c>
      <c r="T84">
        <v>250.76682519599669</v>
      </c>
      <c r="U84">
        <v>0</v>
      </c>
      <c r="V84">
        <v>0</v>
      </c>
      <c r="W84">
        <v>0</v>
      </c>
    </row>
    <row r="85" spans="1:23" x14ac:dyDescent="0.35">
      <c r="A85" t="s">
        <v>3</v>
      </c>
      <c r="B85" t="s">
        <v>87</v>
      </c>
      <c r="C85">
        <v>79788.600000000006</v>
      </c>
      <c r="D85">
        <v>-5.2022894336124423</v>
      </c>
      <c r="E85">
        <v>0.92497760933392426</v>
      </c>
      <c r="F85">
        <v>22319.62</v>
      </c>
      <c r="G85">
        <v>-4896.0136572600422</v>
      </c>
      <c r="H85">
        <v>-4896.0136572600422</v>
      </c>
      <c r="I85">
        <v>0.86258488392100308</v>
      </c>
      <c r="J85">
        <v>0.84879353730688134</v>
      </c>
      <c r="K85">
        <v>-4.3592080418736208</v>
      </c>
      <c r="L85">
        <v>-4155.7047508485521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-4896.0136572600422</v>
      </c>
      <c r="T85">
        <v>-4155.7047508485521</v>
      </c>
      <c r="U85">
        <v>0</v>
      </c>
      <c r="V85">
        <v>0</v>
      </c>
      <c r="W85">
        <v>0</v>
      </c>
    </row>
    <row r="86" spans="1:23" x14ac:dyDescent="0.35">
      <c r="A86" t="s">
        <v>3</v>
      </c>
      <c r="B86" t="s">
        <v>88</v>
      </c>
      <c r="C86">
        <v>79012</v>
      </c>
      <c r="D86">
        <v>-5.0642295311432592</v>
      </c>
      <c r="E86">
        <v>0.90427962591310274</v>
      </c>
      <c r="F86">
        <v>11888.73</v>
      </c>
      <c r="G86">
        <v>-10426.43013953445</v>
      </c>
      <c r="H86">
        <v>-10426.43013953445</v>
      </c>
      <c r="I86">
        <v>0.79709182414912627</v>
      </c>
      <c r="J86">
        <v>0.83120389917813287</v>
      </c>
      <c r="K86">
        <v>-5.2022894336124423</v>
      </c>
      <c r="L86">
        <v>-8666.4893864894402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-10426.43013953445</v>
      </c>
      <c r="T86">
        <v>-8666.4893864894402</v>
      </c>
      <c r="U86">
        <v>0</v>
      </c>
      <c r="V86">
        <v>0</v>
      </c>
      <c r="W86">
        <v>0</v>
      </c>
    </row>
    <row r="87" spans="1:23" x14ac:dyDescent="0.35">
      <c r="A87" t="s">
        <v>3</v>
      </c>
      <c r="B87" t="s">
        <v>89</v>
      </c>
      <c r="C87">
        <v>82652.5</v>
      </c>
      <c r="D87">
        <v>12.91417274950069</v>
      </c>
      <c r="E87">
        <v>0.88924125933018772</v>
      </c>
      <c r="F87">
        <v>18072.810000000001</v>
      </c>
      <c r="G87">
        <v>5509.7133275447604</v>
      </c>
      <c r="H87">
        <v>5509.7133275447604</v>
      </c>
      <c r="I87">
        <v>0.7495070608675275</v>
      </c>
      <c r="J87">
        <v>0.8174273899089558</v>
      </c>
      <c r="K87">
        <v>-5.0642295311432592</v>
      </c>
      <c r="L87">
        <v>4503.7905844815004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5509.7133275447604</v>
      </c>
      <c r="T87">
        <v>4503.7905844815004</v>
      </c>
      <c r="U87">
        <v>0</v>
      </c>
      <c r="V87">
        <v>0</v>
      </c>
      <c r="W87">
        <v>0</v>
      </c>
    </row>
    <row r="88" spans="1:23" x14ac:dyDescent="0.35">
      <c r="A88" t="s">
        <v>3</v>
      </c>
      <c r="B88" t="s">
        <v>90</v>
      </c>
      <c r="C88">
        <v>85244.800000000003</v>
      </c>
      <c r="D88">
        <v>5.1202661695980423</v>
      </c>
      <c r="E88">
        <v>0.81534144931132224</v>
      </c>
      <c r="F88">
        <v>21508.560000000001</v>
      </c>
      <c r="G88">
        <v>2469.4532050039338</v>
      </c>
      <c r="H88">
        <v>2469.4532050039338</v>
      </c>
      <c r="I88">
        <v>0.51567149455689421</v>
      </c>
      <c r="J88">
        <v>0.7371761794306233</v>
      </c>
      <c r="K88">
        <v>12.91417274950069</v>
      </c>
      <c r="L88">
        <v>1820.422078947508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2469.4532050039338</v>
      </c>
      <c r="T88">
        <v>1820.422078947508</v>
      </c>
      <c r="U88">
        <v>0</v>
      </c>
      <c r="V88">
        <v>0</v>
      </c>
      <c r="W88">
        <v>0</v>
      </c>
    </row>
    <row r="89" spans="1:23" x14ac:dyDescent="0.35">
      <c r="A89" t="s">
        <v>3</v>
      </c>
      <c r="B89" t="s">
        <v>91</v>
      </c>
      <c r="C89">
        <v>85473.600000000006</v>
      </c>
      <c r="D89">
        <v>6.8826919225170116</v>
      </c>
      <c r="E89">
        <v>0.80807817218305633</v>
      </c>
      <c r="F89">
        <v>19802.650000000001</v>
      </c>
      <c r="G89">
        <v>-2218.2724663803642</v>
      </c>
      <c r="H89">
        <v>-2218.2724663803642</v>
      </c>
      <c r="I89">
        <v>0.4926888573873866</v>
      </c>
      <c r="J89">
        <v>0.7281739683028603</v>
      </c>
      <c r="K89">
        <v>5.1202661695980423</v>
      </c>
      <c r="L89">
        <v>-1615.2882646211631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-2218.2724663803642</v>
      </c>
      <c r="T89">
        <v>-1615.2882646211631</v>
      </c>
      <c r="U89">
        <v>0</v>
      </c>
      <c r="V89">
        <v>0</v>
      </c>
      <c r="W89">
        <v>0</v>
      </c>
    </row>
    <row r="90" spans="1:23" x14ac:dyDescent="0.35">
      <c r="A90" t="s">
        <v>3</v>
      </c>
      <c r="B90" t="s">
        <v>92</v>
      </c>
      <c r="C90">
        <v>85737.600000000006</v>
      </c>
      <c r="D90">
        <v>8.1691729509785507</v>
      </c>
      <c r="E90">
        <v>0.67863808071448273</v>
      </c>
      <c r="F90">
        <v>26455.02</v>
      </c>
      <c r="G90">
        <v>6249.2545952329347</v>
      </c>
      <c r="H90">
        <v>6249.2545952329347</v>
      </c>
      <c r="I90">
        <v>8.3111389135070421E-2</v>
      </c>
      <c r="J90">
        <v>0.54146027617165604</v>
      </c>
      <c r="K90">
        <v>6.8826919225170116</v>
      </c>
      <c r="L90">
        <v>3383.723119001816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5">
      <c r="A91" t="s">
        <v>3</v>
      </c>
      <c r="B91" t="s">
        <v>93</v>
      </c>
      <c r="C91">
        <v>88239.4</v>
      </c>
      <c r="D91">
        <v>6.5408503441328172</v>
      </c>
      <c r="E91">
        <v>0.76798367062405348</v>
      </c>
      <c r="F91">
        <v>29343.64</v>
      </c>
      <c r="G91">
        <v>2660.8418006622051</v>
      </c>
      <c r="H91">
        <v>2660.8418006622051</v>
      </c>
      <c r="I91">
        <v>0.36582086577010681</v>
      </c>
      <c r="J91">
        <v>0.67516543582650357</v>
      </c>
      <c r="K91">
        <v>8.1691729509785507</v>
      </c>
      <c r="L91">
        <v>1796.5084140094759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5">
      <c r="A92" t="s">
        <v>3</v>
      </c>
      <c r="B92" t="s">
        <v>94</v>
      </c>
      <c r="C92">
        <v>88241.1</v>
      </c>
      <c r="D92">
        <v>3.4545723633579528</v>
      </c>
      <c r="E92">
        <v>0.87620166013205003</v>
      </c>
      <c r="F92">
        <v>24504.76</v>
      </c>
      <c r="G92">
        <v>-4610.2754712220849</v>
      </c>
      <c r="H92">
        <v>-4610.2754712220849</v>
      </c>
      <c r="I92">
        <v>0.70824684568995377</v>
      </c>
      <c r="J92">
        <v>0.80478814927755893</v>
      </c>
      <c r="K92">
        <v>6.5408503441328172</v>
      </c>
      <c r="L92">
        <v>-3710.2950641445482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5">
      <c r="A93" t="s">
        <v>3</v>
      </c>
      <c r="B93" t="s">
        <v>95</v>
      </c>
      <c r="C93">
        <v>88219</v>
      </c>
      <c r="D93">
        <v>3.1614802981407628</v>
      </c>
      <c r="E93">
        <v>0.84990853871223848</v>
      </c>
      <c r="F93">
        <v>26500.43</v>
      </c>
      <c r="G93">
        <v>2181.4839460196272</v>
      </c>
      <c r="H93">
        <v>2181.4839460196272</v>
      </c>
      <c r="I93">
        <v>0.62504951492947802</v>
      </c>
      <c r="J93">
        <v>0.77731700324657982</v>
      </c>
      <c r="K93">
        <v>3.4545723633579528</v>
      </c>
      <c r="L93">
        <v>1695.7045635505001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5">
      <c r="A94" t="s">
        <v>3</v>
      </c>
      <c r="B94" t="s">
        <v>96</v>
      </c>
      <c r="C94">
        <v>88135.9</v>
      </c>
      <c r="D94">
        <v>2.7588472251432501</v>
      </c>
      <c r="E94">
        <v>0.74669990593400049</v>
      </c>
      <c r="F94">
        <v>26400.05</v>
      </c>
      <c r="G94">
        <v>-84.520772908697836</v>
      </c>
      <c r="H94">
        <v>-84.520772908697836</v>
      </c>
      <c r="I94">
        <v>0.29847426273756478</v>
      </c>
      <c r="J94">
        <v>0.64495786705348968</v>
      </c>
      <c r="K94">
        <v>3.1614802981407628</v>
      </c>
      <c r="L94">
        <v>-54.512337416906128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5">
      <c r="A95" t="s">
        <v>3</v>
      </c>
      <c r="B95" t="s">
        <v>97</v>
      </c>
      <c r="C95">
        <v>87062</v>
      </c>
      <c r="D95">
        <v>-1.343306676196121</v>
      </c>
      <c r="E95">
        <v>0.71004088165000356</v>
      </c>
      <c r="F95">
        <v>30702.400000000001</v>
      </c>
      <c r="G95">
        <v>4416.8820192602216</v>
      </c>
      <c r="H95">
        <v>4416.8820192602216</v>
      </c>
      <c r="I95">
        <v>0.18247689140933909</v>
      </c>
      <c r="J95">
        <v>0.5902390740321628</v>
      </c>
      <c r="K95">
        <v>2.7588472251432501</v>
      </c>
      <c r="L95">
        <v>2607.0163531574631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4416.8820192602216</v>
      </c>
      <c r="T95">
        <v>2607.0163531574631</v>
      </c>
      <c r="U95">
        <v>0</v>
      </c>
      <c r="V95">
        <v>0</v>
      </c>
      <c r="W95">
        <v>0</v>
      </c>
    </row>
    <row r="96" spans="1:23" x14ac:dyDescent="0.35">
      <c r="A96" t="s">
        <v>3</v>
      </c>
      <c r="B96" t="s">
        <v>98</v>
      </c>
      <c r="C96">
        <v>86640.2</v>
      </c>
      <c r="D96">
        <v>-1.830892977670415</v>
      </c>
      <c r="E96">
        <v>0.75079103138850123</v>
      </c>
      <c r="F96">
        <v>17905.28</v>
      </c>
      <c r="G96">
        <v>-12517.608803376361</v>
      </c>
      <c r="H96">
        <v>-12517.608803376361</v>
      </c>
      <c r="I96">
        <v>0.31141950085464271</v>
      </c>
      <c r="J96">
        <v>0.65086395950679643</v>
      </c>
      <c r="K96">
        <v>-1.343306676196121</v>
      </c>
      <c r="L96">
        <v>-8147.2604293226714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-12517.608803376361</v>
      </c>
      <c r="T96">
        <v>-8147.2604293226714</v>
      </c>
      <c r="U96">
        <v>0</v>
      </c>
      <c r="V96">
        <v>0</v>
      </c>
      <c r="W96">
        <v>0</v>
      </c>
    </row>
    <row r="97" spans="1:23" x14ac:dyDescent="0.35">
      <c r="A97" t="s">
        <v>3</v>
      </c>
      <c r="B97" t="s">
        <v>99</v>
      </c>
      <c r="C97">
        <v>86235.5</v>
      </c>
      <c r="D97">
        <v>-2.2740433478059252</v>
      </c>
      <c r="E97">
        <v>0.76546040040234098</v>
      </c>
      <c r="F97">
        <v>16655.52</v>
      </c>
      <c r="G97">
        <v>-1255.046474869388</v>
      </c>
      <c r="H97">
        <v>-1255.046474869388</v>
      </c>
      <c r="I97">
        <v>0.35783667310305828</v>
      </c>
      <c r="J97">
        <v>0.67165354783097508</v>
      </c>
      <c r="K97">
        <v>-1.830892977670415</v>
      </c>
      <c r="L97">
        <v>-842.95641753878351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-1255.046474869388</v>
      </c>
      <c r="T97">
        <v>-842.95641753878351</v>
      </c>
      <c r="U97">
        <v>0</v>
      </c>
      <c r="V97">
        <v>0</v>
      </c>
      <c r="W97">
        <v>0</v>
      </c>
    </row>
    <row r="98" spans="1:23" x14ac:dyDescent="0.35">
      <c r="A98" t="s">
        <v>3</v>
      </c>
      <c r="B98" t="s">
        <v>100</v>
      </c>
      <c r="C98">
        <v>86324.3</v>
      </c>
      <c r="D98">
        <v>-2.0768807074612838</v>
      </c>
      <c r="E98">
        <v>0.73951635741226829</v>
      </c>
      <c r="F98">
        <v>16042.91</v>
      </c>
      <c r="G98">
        <v>-1325.5086914047929</v>
      </c>
      <c r="H98">
        <v>-1325.5086914047929</v>
      </c>
      <c r="I98">
        <v>0.27574390475328392</v>
      </c>
      <c r="J98">
        <v>0.63448070525049438</v>
      </c>
      <c r="K98">
        <v>-2.2740433478059252</v>
      </c>
      <c r="L98">
        <v>-841.00968933817319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-1325.5086914047929</v>
      </c>
      <c r="T98">
        <v>-841.00968933817319</v>
      </c>
      <c r="U98">
        <v>0</v>
      </c>
      <c r="V98">
        <v>0</v>
      </c>
      <c r="W98">
        <v>0</v>
      </c>
    </row>
    <row r="99" spans="1:23" x14ac:dyDescent="0.35">
      <c r="A99" t="s">
        <v>3</v>
      </c>
      <c r="B99" t="s">
        <v>101</v>
      </c>
      <c r="C99">
        <v>86185.4</v>
      </c>
      <c r="D99">
        <v>-1.0119718748371651</v>
      </c>
      <c r="E99">
        <v>0.4721424731620078</v>
      </c>
      <c r="F99">
        <v>15096.69</v>
      </c>
      <c r="G99">
        <v>-1747.62351995877</v>
      </c>
      <c r="H99">
        <v>-1747.62351995877</v>
      </c>
      <c r="I99">
        <v>-0.57028700688738987</v>
      </c>
      <c r="J99">
        <v>0.24221498696527941</v>
      </c>
      <c r="K99">
        <v>-2.0768807074612838</v>
      </c>
      <c r="L99">
        <v>-423.30060810702912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-1747.62351995877</v>
      </c>
      <c r="T99">
        <v>-423.30060810702912</v>
      </c>
      <c r="U99">
        <v>0</v>
      </c>
      <c r="V99">
        <v>0</v>
      </c>
      <c r="W99">
        <v>0</v>
      </c>
    </row>
    <row r="100" spans="1:23" x14ac:dyDescent="0.35">
      <c r="A100" t="s">
        <v>3</v>
      </c>
      <c r="B100" t="s">
        <v>102</v>
      </c>
      <c r="C100">
        <v>86142.9</v>
      </c>
      <c r="D100">
        <v>-0.57563659084700325</v>
      </c>
      <c r="E100">
        <v>0.21779940697776479</v>
      </c>
      <c r="F100">
        <v>19263.25</v>
      </c>
      <c r="G100">
        <v>3296.2288795207619</v>
      </c>
      <c r="H100">
        <v>3296.2288795207619</v>
      </c>
      <c r="I100">
        <v>-1.3750854888211379</v>
      </c>
      <c r="J100">
        <v>6.0076994725115088E-2</v>
      </c>
      <c r="K100">
        <v>-1.0119718748371651</v>
      </c>
      <c r="L100">
        <v>198.02752500774091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3296.2288795207619</v>
      </c>
      <c r="T100">
        <v>198.02752500774091</v>
      </c>
      <c r="U100">
        <v>0</v>
      </c>
      <c r="V100">
        <v>0</v>
      </c>
      <c r="W100">
        <v>0</v>
      </c>
    </row>
    <row r="101" spans="1:23" x14ac:dyDescent="0.35">
      <c r="A101" t="s">
        <v>3</v>
      </c>
      <c r="B101" t="s">
        <v>103</v>
      </c>
      <c r="C101">
        <v>86532.9</v>
      </c>
      <c r="D101">
        <v>0.34427626087551361</v>
      </c>
      <c r="E101">
        <v>0.50595137851726302</v>
      </c>
      <c r="F101">
        <v>26370.25</v>
      </c>
      <c r="G101">
        <v>6352.7743362205329</v>
      </c>
      <c r="H101">
        <v>6352.7743362205329</v>
      </c>
      <c r="I101">
        <v>-0.46330805081063547</v>
      </c>
      <c r="J101">
        <v>0.28361173813158369</v>
      </c>
      <c r="K101">
        <v>-0.57563659084700325</v>
      </c>
      <c r="L101">
        <v>1801.721371453224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6352.7743362205329</v>
      </c>
      <c r="T101">
        <v>1801.721371453224</v>
      </c>
      <c r="U101">
        <v>0</v>
      </c>
      <c r="V101">
        <v>0</v>
      </c>
      <c r="W101">
        <v>0</v>
      </c>
    </row>
    <row r="102" spans="1:23" x14ac:dyDescent="0.35">
      <c r="A102" t="s">
        <v>3</v>
      </c>
      <c r="B102" t="s">
        <v>104</v>
      </c>
      <c r="C102">
        <v>86840.1</v>
      </c>
      <c r="D102">
        <v>0.59573622001365834</v>
      </c>
      <c r="E102">
        <v>-0.13965304223783481</v>
      </c>
      <c r="F102">
        <v>48145.7</v>
      </c>
      <c r="G102">
        <v>21516.57673025272</v>
      </c>
      <c r="H102">
        <v>21516.57673025272</v>
      </c>
      <c r="I102">
        <v>-2.5061451744971182</v>
      </c>
      <c r="J102">
        <v>6.61163740081217E-3</v>
      </c>
      <c r="K102">
        <v>0.34427626087551361</v>
      </c>
      <c r="L102">
        <v>142.25980344718371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5">
      <c r="A103" t="s">
        <v>3</v>
      </c>
      <c r="B103" t="s">
        <v>105</v>
      </c>
      <c r="C103">
        <v>86940</v>
      </c>
      <c r="D103">
        <v>0.87174357862022711</v>
      </c>
      <c r="E103">
        <v>0.22000956782302891</v>
      </c>
      <c r="F103">
        <v>80038.14</v>
      </c>
      <c r="G103">
        <v>32860.236300339107</v>
      </c>
      <c r="H103">
        <v>32860.236300339107</v>
      </c>
      <c r="I103">
        <v>-1.3680920444163689</v>
      </c>
      <c r="J103">
        <v>6.0871679721494647E-2</v>
      </c>
      <c r="K103">
        <v>0.59573622001365834</v>
      </c>
      <c r="L103">
        <v>2000.257779646875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5">
      <c r="A104" t="s">
        <v>3</v>
      </c>
      <c r="B104" t="s">
        <v>106</v>
      </c>
      <c r="C104">
        <v>87253.9</v>
      </c>
      <c r="D104">
        <v>1.2814714039774679</v>
      </c>
      <c r="E104">
        <v>0.10782090741040699</v>
      </c>
      <c r="F104">
        <v>106862.2</v>
      </c>
      <c r="G104">
        <v>30173.051455287681</v>
      </c>
      <c r="H104">
        <v>30173.051455287681</v>
      </c>
      <c r="I104">
        <v>-1.723082117253089</v>
      </c>
      <c r="J104">
        <v>3.0883456197700089E-2</v>
      </c>
      <c r="K104">
        <v>0.87174357862022711</v>
      </c>
      <c r="L104">
        <v>931.8481129703282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30173.051455287681</v>
      </c>
      <c r="T104">
        <v>931.8481129703282</v>
      </c>
      <c r="U104">
        <v>0</v>
      </c>
      <c r="V104">
        <v>0</v>
      </c>
      <c r="W104">
        <v>0</v>
      </c>
    </row>
    <row r="105" spans="1:23" x14ac:dyDescent="0.35">
      <c r="A105" t="s">
        <v>3</v>
      </c>
      <c r="B105" t="s">
        <v>107</v>
      </c>
      <c r="C105">
        <v>87453.1</v>
      </c>
      <c r="D105">
        <v>1.0577961219091601</v>
      </c>
      <c r="E105">
        <v>7.4313112480224083E-2</v>
      </c>
      <c r="F105">
        <v>94947.06</v>
      </c>
      <c r="G105">
        <v>-5865.0461574176588</v>
      </c>
      <c r="H105">
        <v>-5865.0461574176588</v>
      </c>
      <c r="I105">
        <v>-1.8291082924397311</v>
      </c>
      <c r="J105">
        <v>2.5130617181495941E-2</v>
      </c>
      <c r="K105">
        <v>1.2814714039774679</v>
      </c>
      <c r="L105">
        <v>-147.392229733867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-5865.0461574176588</v>
      </c>
      <c r="T105">
        <v>-147.392229733867</v>
      </c>
      <c r="U105">
        <v>0</v>
      </c>
      <c r="V105">
        <v>0</v>
      </c>
      <c r="W105">
        <v>0</v>
      </c>
    </row>
    <row r="106" spans="1:23" x14ac:dyDescent="0.35">
      <c r="A106" t="s">
        <v>3</v>
      </c>
      <c r="B106" t="s">
        <v>108</v>
      </c>
      <c r="C106">
        <v>87635.6</v>
      </c>
      <c r="D106">
        <v>0.91188115287687932</v>
      </c>
      <c r="E106">
        <v>0.1156782480091941</v>
      </c>
      <c r="F106">
        <v>81871.73</v>
      </c>
      <c r="G106">
        <v>-6116.8052336188266</v>
      </c>
      <c r="H106">
        <v>-6116.8052336188266</v>
      </c>
      <c r="I106">
        <v>-1.69821973008127</v>
      </c>
      <c r="J106">
        <v>3.2406925850911747E-2</v>
      </c>
      <c r="K106">
        <v>1.0577961219091601</v>
      </c>
      <c r="L106">
        <v>-198.2268536503542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-6116.8052336188266</v>
      </c>
      <c r="T106">
        <v>-198.2268536503542</v>
      </c>
      <c r="U106">
        <v>0</v>
      </c>
      <c r="V106">
        <v>0</v>
      </c>
      <c r="W106">
        <v>0</v>
      </c>
    </row>
    <row r="107" spans="1:23" x14ac:dyDescent="0.35">
      <c r="A107" t="s">
        <v>3</v>
      </c>
      <c r="B107" t="s">
        <v>109</v>
      </c>
      <c r="C107">
        <v>87643.1</v>
      </c>
      <c r="D107">
        <v>0.80546605173127606</v>
      </c>
      <c r="E107">
        <v>0.59628767695213192</v>
      </c>
      <c r="F107">
        <v>77922.84</v>
      </c>
      <c r="G107">
        <v>1879.7276364797731</v>
      </c>
      <c r="H107">
        <v>1879.7276364797731</v>
      </c>
      <c r="I107">
        <v>-0.17746375029712469</v>
      </c>
      <c r="J107">
        <v>0.41218802721833608</v>
      </c>
      <c r="K107">
        <v>0.91188115287687932</v>
      </c>
      <c r="L107">
        <v>774.80122618838311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1879.7276364797731</v>
      </c>
      <c r="T107">
        <v>774.80122618838311</v>
      </c>
      <c r="U107">
        <v>0</v>
      </c>
      <c r="V107">
        <v>0</v>
      </c>
      <c r="W107">
        <v>0</v>
      </c>
    </row>
    <row r="108" spans="1:23" x14ac:dyDescent="0.35">
      <c r="A108" t="s">
        <v>110</v>
      </c>
      <c r="B108" t="s">
        <v>4</v>
      </c>
      <c r="C108">
        <v>75873.3</v>
      </c>
      <c r="F108">
        <v>5832.3329999999996</v>
      </c>
      <c r="G108">
        <v>-3714.5931994258599</v>
      </c>
      <c r="H108">
        <v>-3714.5931994258599</v>
      </c>
      <c r="M108">
        <v>0</v>
      </c>
      <c r="N108">
        <v>0</v>
      </c>
    </row>
    <row r="109" spans="1:23" x14ac:dyDescent="0.35">
      <c r="A109" t="s">
        <v>110</v>
      </c>
      <c r="B109" t="s">
        <v>5</v>
      </c>
      <c r="C109">
        <v>76406.600000000006</v>
      </c>
      <c r="F109">
        <v>5569.9409999999998</v>
      </c>
      <c r="G109">
        <v>-1919.831103877337</v>
      </c>
      <c r="H109">
        <v>-1919.831103877337</v>
      </c>
      <c r="M109">
        <v>0</v>
      </c>
      <c r="N109">
        <v>0</v>
      </c>
    </row>
    <row r="110" spans="1:23" x14ac:dyDescent="0.35">
      <c r="A110" t="s">
        <v>110</v>
      </c>
      <c r="B110" t="s">
        <v>6</v>
      </c>
      <c r="C110">
        <v>76789.7</v>
      </c>
      <c r="F110">
        <v>13816.67</v>
      </c>
      <c r="G110">
        <v>6474.4940275934759</v>
      </c>
      <c r="H110">
        <v>6474.4940275934759</v>
      </c>
      <c r="M110">
        <v>0</v>
      </c>
      <c r="N110">
        <v>0</v>
      </c>
    </row>
    <row r="111" spans="1:23" x14ac:dyDescent="0.35">
      <c r="A111" t="s">
        <v>110</v>
      </c>
      <c r="B111" t="s">
        <v>7</v>
      </c>
      <c r="C111">
        <v>77540.399999999994</v>
      </c>
      <c r="F111">
        <v>11881.05</v>
      </c>
      <c r="G111">
        <v>-3395.2229350538159</v>
      </c>
      <c r="H111">
        <v>-3395.2229350538159</v>
      </c>
      <c r="M111">
        <v>0</v>
      </c>
      <c r="N111">
        <v>0</v>
      </c>
    </row>
    <row r="112" spans="1:23" x14ac:dyDescent="0.35">
      <c r="A112" t="s">
        <v>110</v>
      </c>
      <c r="B112" t="s">
        <v>8</v>
      </c>
      <c r="C112">
        <v>77570.8</v>
      </c>
      <c r="D112">
        <v>2.2126223858204761</v>
      </c>
      <c r="F112">
        <v>22324.51</v>
      </c>
      <c r="G112">
        <v>9331.4609908810216</v>
      </c>
      <c r="H112">
        <v>9331.4609908810216</v>
      </c>
      <c r="M112">
        <v>0</v>
      </c>
      <c r="N112">
        <v>0</v>
      </c>
      <c r="Q112">
        <v>0</v>
      </c>
      <c r="R112">
        <v>1</v>
      </c>
      <c r="S112">
        <v>0</v>
      </c>
      <c r="U112">
        <v>0</v>
      </c>
      <c r="V112">
        <v>0</v>
      </c>
    </row>
    <row r="113" spans="1:23" x14ac:dyDescent="0.35">
      <c r="A113" t="s">
        <v>110</v>
      </c>
      <c r="B113" t="s">
        <v>9</v>
      </c>
      <c r="C113">
        <v>77575.3</v>
      </c>
      <c r="D113">
        <v>1.517999767638176</v>
      </c>
      <c r="F113">
        <v>13179.21</v>
      </c>
      <c r="G113">
        <v>-9943.8528374191192</v>
      </c>
      <c r="H113">
        <v>-9943.8528374191192</v>
      </c>
      <c r="K113">
        <v>2.2126223858204761</v>
      </c>
      <c r="M113">
        <v>0</v>
      </c>
      <c r="N113">
        <v>0</v>
      </c>
      <c r="Q113">
        <v>0</v>
      </c>
      <c r="R113">
        <v>1</v>
      </c>
      <c r="S113">
        <v>0</v>
      </c>
      <c r="U113">
        <v>0</v>
      </c>
      <c r="V113">
        <v>0</v>
      </c>
    </row>
    <row r="114" spans="1:23" x14ac:dyDescent="0.35">
      <c r="A114" t="s">
        <v>110</v>
      </c>
      <c r="B114" t="s">
        <v>10</v>
      </c>
      <c r="C114">
        <v>77456.899999999994</v>
      </c>
      <c r="D114">
        <v>0.8651136053807702</v>
      </c>
      <c r="F114">
        <v>25155.95</v>
      </c>
      <c r="G114">
        <v>11353.658528725049</v>
      </c>
      <c r="H114">
        <v>11353.658528725049</v>
      </c>
      <c r="K114">
        <v>1.517999767638176</v>
      </c>
      <c r="M114">
        <v>0</v>
      </c>
      <c r="N114">
        <v>0</v>
      </c>
      <c r="Q114">
        <v>0</v>
      </c>
      <c r="R114">
        <v>1</v>
      </c>
      <c r="S114">
        <v>0</v>
      </c>
      <c r="U114">
        <v>0</v>
      </c>
      <c r="V114">
        <v>0</v>
      </c>
    </row>
    <row r="115" spans="1:23" x14ac:dyDescent="0.35">
      <c r="A115" t="s">
        <v>110</v>
      </c>
      <c r="B115" t="s">
        <v>11</v>
      </c>
      <c r="C115">
        <v>77378.7</v>
      </c>
      <c r="D115">
        <v>-0.2087541932812339</v>
      </c>
      <c r="F115">
        <v>23448.18</v>
      </c>
      <c r="G115">
        <v>-2327.5821782993439</v>
      </c>
      <c r="H115">
        <v>-2327.5821782993439</v>
      </c>
      <c r="K115">
        <v>0.8651136053807702</v>
      </c>
      <c r="M115">
        <v>0</v>
      </c>
      <c r="N115">
        <v>0</v>
      </c>
      <c r="Q115">
        <v>0</v>
      </c>
      <c r="R115">
        <v>1</v>
      </c>
      <c r="S115">
        <v>0</v>
      </c>
      <c r="U115">
        <v>0</v>
      </c>
      <c r="V115">
        <v>0</v>
      </c>
    </row>
    <row r="116" spans="1:23" x14ac:dyDescent="0.35">
      <c r="A116" t="s">
        <v>110</v>
      </c>
      <c r="B116" t="s">
        <v>12</v>
      </c>
      <c r="C116">
        <v>78027.199999999997</v>
      </c>
      <c r="D116">
        <v>0.58664161353006805</v>
      </c>
      <c r="E116">
        <v>0.54577569255437786</v>
      </c>
      <c r="F116">
        <v>22597.360000000001</v>
      </c>
      <c r="G116">
        <v>-922.17355643885821</v>
      </c>
      <c r="H116">
        <v>-922.17355643885821</v>
      </c>
      <c r="I116">
        <v>-0.33729499308526451</v>
      </c>
      <c r="J116">
        <v>0.33746982922893881</v>
      </c>
      <c r="K116">
        <v>-0.2087541932812339</v>
      </c>
      <c r="L116">
        <v>-311.20575261086458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5">
      <c r="A117" t="s">
        <v>110</v>
      </c>
      <c r="B117" t="s">
        <v>13</v>
      </c>
      <c r="C117">
        <v>78683.399999999994</v>
      </c>
      <c r="D117">
        <v>1.4183128049713991</v>
      </c>
      <c r="E117">
        <v>0.65700588022837603</v>
      </c>
      <c r="F117">
        <v>17938.45</v>
      </c>
      <c r="G117">
        <v>-4851.7453407365683</v>
      </c>
      <c r="H117">
        <v>-4851.7453407365683</v>
      </c>
      <c r="I117">
        <v>1.4662257128877299E-2</v>
      </c>
      <c r="J117">
        <v>0.50733060325657842</v>
      </c>
      <c r="K117">
        <v>0.58664161353006805</v>
      </c>
      <c r="L117">
        <v>-2461.4388905631772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5">
      <c r="A118" t="s">
        <v>110</v>
      </c>
      <c r="B118" t="s">
        <v>14</v>
      </c>
      <c r="C118">
        <v>79133.7</v>
      </c>
      <c r="D118">
        <v>2.1417174396694589</v>
      </c>
      <c r="E118">
        <v>0.69356450876759601</v>
      </c>
      <c r="F118">
        <v>14136.45</v>
      </c>
      <c r="G118">
        <v>-4222.8378093282299</v>
      </c>
      <c r="H118">
        <v>-4222.8378093282299</v>
      </c>
      <c r="I118">
        <v>0.13034195381316149</v>
      </c>
      <c r="J118">
        <v>0.56480440400798904</v>
      </c>
      <c r="K118">
        <v>1.4183128049713991</v>
      </c>
      <c r="L118">
        <v>-2385.077392120033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5">
      <c r="A119" t="s">
        <v>110</v>
      </c>
      <c r="B119" t="s">
        <v>15</v>
      </c>
      <c r="C119">
        <v>79428.3</v>
      </c>
      <c r="D119">
        <v>2.6143178998773222</v>
      </c>
      <c r="E119">
        <v>0.81568632641409389</v>
      </c>
      <c r="F119">
        <v>27832.880000000001</v>
      </c>
      <c r="G119">
        <v>12885.617455236321</v>
      </c>
      <c r="H119">
        <v>12885.617455236321</v>
      </c>
      <c r="I119">
        <v>0.51676276302718649</v>
      </c>
      <c r="J119">
        <v>0.7375988214723862</v>
      </c>
      <c r="K119">
        <v>2.1417174396694589</v>
      </c>
      <c r="L119">
        <v>9504.4162489263217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5">
      <c r="A120" t="s">
        <v>110</v>
      </c>
      <c r="B120" t="s">
        <v>16</v>
      </c>
      <c r="C120">
        <v>79202.5</v>
      </c>
      <c r="D120">
        <v>1.4950380128423659</v>
      </c>
      <c r="E120">
        <v>0.67950775284879883</v>
      </c>
      <c r="F120">
        <v>25718.62</v>
      </c>
      <c r="G120">
        <v>-2578.9762101676129</v>
      </c>
      <c r="H120">
        <v>-2578.9762101676129</v>
      </c>
      <c r="I120">
        <v>8.5863226737636217E-2</v>
      </c>
      <c r="J120">
        <v>0.54282641922541441</v>
      </c>
      <c r="K120">
        <v>2.6143178998773222</v>
      </c>
      <c r="L120">
        <v>-1399.936421432815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5">
      <c r="A121" t="s">
        <v>110</v>
      </c>
      <c r="B121" t="s">
        <v>17</v>
      </c>
      <c r="C121">
        <v>79359.7</v>
      </c>
      <c r="D121">
        <v>0.85584771255906278</v>
      </c>
      <c r="E121">
        <v>0.68865530631092642</v>
      </c>
      <c r="F121">
        <v>34454.82</v>
      </c>
      <c r="G121">
        <v>8892.3153268391106</v>
      </c>
      <c r="H121">
        <v>8892.3153268391106</v>
      </c>
      <c r="I121">
        <v>0.1148081366586135</v>
      </c>
      <c r="J121">
        <v>0.55715317844314849</v>
      </c>
      <c r="K121">
        <v>1.4950380128423659</v>
      </c>
      <c r="L121">
        <v>4954.381748067135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5">
      <c r="A122" t="s">
        <v>110</v>
      </c>
      <c r="B122" t="s">
        <v>18</v>
      </c>
      <c r="C122">
        <v>79714.600000000006</v>
      </c>
      <c r="D122">
        <v>0.73139289439246424</v>
      </c>
      <c r="E122">
        <v>0.75771282840573362</v>
      </c>
      <c r="F122">
        <v>23886.34</v>
      </c>
      <c r="G122">
        <v>-10175.62221530782</v>
      </c>
      <c r="H122">
        <v>-10175.62221530782</v>
      </c>
      <c r="I122">
        <v>0.33332161839728042</v>
      </c>
      <c r="J122">
        <v>0.66075111676705878</v>
      </c>
      <c r="K122">
        <v>0.85584771255906278</v>
      </c>
      <c r="L122">
        <v>-6723.5537425643324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-10175.62221530782</v>
      </c>
      <c r="T122">
        <v>-6723.5537425643324</v>
      </c>
      <c r="U122">
        <v>0</v>
      </c>
      <c r="V122">
        <v>0</v>
      </c>
      <c r="W122">
        <v>0</v>
      </c>
    </row>
    <row r="123" spans="1:23" x14ac:dyDescent="0.35">
      <c r="A123" t="s">
        <v>110</v>
      </c>
      <c r="B123" t="s">
        <v>19</v>
      </c>
      <c r="C123">
        <v>80268.3</v>
      </c>
      <c r="D123">
        <v>1.052004547348774</v>
      </c>
      <c r="E123">
        <v>0.77472978373297285</v>
      </c>
      <c r="F123">
        <v>12058.21</v>
      </c>
      <c r="G123">
        <v>-11403.891117199109</v>
      </c>
      <c r="H123">
        <v>-11403.891117199109</v>
      </c>
      <c r="I123">
        <v>0.38716708004071237</v>
      </c>
      <c r="J123">
        <v>0.6844577129777335</v>
      </c>
      <c r="K123">
        <v>0.73139289439246424</v>
      </c>
      <c r="L123">
        <v>-7805.4812331251951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-11403.891117199109</v>
      </c>
      <c r="T123">
        <v>-7805.4812331251951</v>
      </c>
      <c r="U123">
        <v>0</v>
      </c>
      <c r="V123">
        <v>0</v>
      </c>
      <c r="W123">
        <v>0</v>
      </c>
    </row>
    <row r="124" spans="1:23" x14ac:dyDescent="0.35">
      <c r="A124" t="s">
        <v>110</v>
      </c>
      <c r="B124" t="s">
        <v>20</v>
      </c>
      <c r="C124">
        <v>81454.899999999994</v>
      </c>
      <c r="D124">
        <v>2.8041628866897348</v>
      </c>
      <c r="E124">
        <v>0.76069224990823503</v>
      </c>
      <c r="F124">
        <v>16122.31</v>
      </c>
      <c r="G124">
        <v>3477.0160780143342</v>
      </c>
      <c r="H124">
        <v>3477.0160780143342</v>
      </c>
      <c r="I124">
        <v>0.34274917598014337</v>
      </c>
      <c r="J124">
        <v>0.66496476568377705</v>
      </c>
      <c r="K124">
        <v>1.052004547348774</v>
      </c>
      <c r="L124">
        <v>2312.0931815955269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3477.0160780143342</v>
      </c>
      <c r="T124">
        <v>2312.0931815955269</v>
      </c>
      <c r="U124">
        <v>0</v>
      </c>
      <c r="V124">
        <v>0</v>
      </c>
      <c r="W124">
        <v>0</v>
      </c>
    </row>
    <row r="125" spans="1:23" x14ac:dyDescent="0.35">
      <c r="A125" t="s">
        <v>110</v>
      </c>
      <c r="B125" t="s">
        <v>21</v>
      </c>
      <c r="C125">
        <v>82225.8</v>
      </c>
      <c r="D125">
        <v>3.547843870128736</v>
      </c>
      <c r="E125">
        <v>0.81512584518661135</v>
      </c>
      <c r="F125">
        <v>9975.3389999999999</v>
      </c>
      <c r="G125">
        <v>-7181.6860400218247</v>
      </c>
      <c r="H125">
        <v>-7181.6860400218247</v>
      </c>
      <c r="I125">
        <v>0.51498927477056722</v>
      </c>
      <c r="J125">
        <v>0.73691173719341518</v>
      </c>
      <c r="K125">
        <v>2.8041628866897348</v>
      </c>
      <c r="L125">
        <v>-5292.2687357301811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-7181.6860400218247</v>
      </c>
      <c r="T125">
        <v>-5292.2687357301811</v>
      </c>
      <c r="U125">
        <v>0</v>
      </c>
      <c r="V125">
        <v>0</v>
      </c>
      <c r="W125">
        <v>0</v>
      </c>
    </row>
    <row r="126" spans="1:23" x14ac:dyDescent="0.35">
      <c r="A126" t="s">
        <v>110</v>
      </c>
      <c r="B126" t="s">
        <v>22</v>
      </c>
      <c r="C126">
        <v>82973.7</v>
      </c>
      <c r="D126">
        <v>4.0070934143058849</v>
      </c>
      <c r="E126">
        <v>0.20608160327408201</v>
      </c>
      <c r="F126">
        <v>14397.81</v>
      </c>
      <c r="G126">
        <v>3353.6931959349681</v>
      </c>
      <c r="H126">
        <v>3353.6931959349681</v>
      </c>
      <c r="I126">
        <v>-1.412163246724278</v>
      </c>
      <c r="J126">
        <v>5.6023686829437147E-2</v>
      </c>
      <c r="K126">
        <v>3.547843870128736</v>
      </c>
      <c r="L126">
        <v>187.88625733107489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5">
      <c r="A127" t="s">
        <v>110</v>
      </c>
      <c r="B127" t="s">
        <v>23</v>
      </c>
      <c r="C127">
        <v>83266.600000000006</v>
      </c>
      <c r="D127">
        <v>3.6672734985803959</v>
      </c>
      <c r="E127">
        <v>0.19670353757402129</v>
      </c>
      <c r="F127">
        <v>13202.73</v>
      </c>
      <c r="G127">
        <v>-2405.1200373209231</v>
      </c>
      <c r="H127">
        <v>-2405.1200373209231</v>
      </c>
      <c r="I127">
        <v>-1.4418375490440289</v>
      </c>
      <c r="J127">
        <v>5.296648651188797E-2</v>
      </c>
      <c r="K127">
        <v>4.0070934143058849</v>
      </c>
      <c r="L127">
        <v>-127.39075801623019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5">
      <c r="A128" t="s">
        <v>110</v>
      </c>
      <c r="B128" t="s">
        <v>24</v>
      </c>
      <c r="C128">
        <v>83686</v>
      </c>
      <c r="D128">
        <v>2.7022206621350038</v>
      </c>
      <c r="E128">
        <v>0.38511587816778919</v>
      </c>
      <c r="F128">
        <v>11537.9</v>
      </c>
      <c r="G128">
        <v>-2694.6719418449161</v>
      </c>
      <c r="H128">
        <v>-2694.6719418449161</v>
      </c>
      <c r="I128">
        <v>-0.84565866372066467</v>
      </c>
      <c r="J128">
        <v>0.15560267729732299</v>
      </c>
      <c r="K128">
        <v>3.6672734985803959</v>
      </c>
      <c r="L128">
        <v>-419.29816858904519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5">
      <c r="A129" t="s">
        <v>110</v>
      </c>
      <c r="B129" t="s">
        <v>25</v>
      </c>
      <c r="C129">
        <v>84174.1</v>
      </c>
      <c r="D129">
        <v>2.3418151550462252</v>
      </c>
      <c r="E129">
        <v>5.9770992893119303E-2</v>
      </c>
      <c r="F129">
        <v>11866.98</v>
      </c>
      <c r="G129">
        <v>-828.06583405836682</v>
      </c>
      <c r="H129">
        <v>-828.06583405836682</v>
      </c>
      <c r="I129">
        <v>-1.8751228189742319</v>
      </c>
      <c r="J129">
        <v>2.2971856129019402E-2</v>
      </c>
      <c r="K129">
        <v>2.7022206621350038</v>
      </c>
      <c r="L129">
        <v>-19.022209205345249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5">
      <c r="A130" t="s">
        <v>110</v>
      </c>
      <c r="B130" t="s">
        <v>26</v>
      </c>
      <c r="C130">
        <v>84537.4</v>
      </c>
      <c r="D130">
        <v>1.8670349879750521</v>
      </c>
      <c r="E130">
        <v>0.1056651868539355</v>
      </c>
      <c r="F130">
        <v>20193.73</v>
      </c>
      <c r="G130">
        <v>7096.9915636258847</v>
      </c>
      <c r="H130">
        <v>7096.9915636258847</v>
      </c>
      <c r="I130">
        <v>-1.729903300379287</v>
      </c>
      <c r="J130">
        <v>3.0477747471768589E-2</v>
      </c>
      <c r="K130">
        <v>2.3418151550462252</v>
      </c>
      <c r="L130">
        <v>216.30031668546181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7096.9915636258847</v>
      </c>
      <c r="T130">
        <v>216.30031668546181</v>
      </c>
      <c r="U130">
        <v>0</v>
      </c>
      <c r="V130">
        <v>0</v>
      </c>
      <c r="W130">
        <v>0</v>
      </c>
    </row>
    <row r="131" spans="1:23" x14ac:dyDescent="0.35">
      <c r="A131" t="s">
        <v>110</v>
      </c>
      <c r="B131" t="s">
        <v>27</v>
      </c>
      <c r="C131">
        <v>85183.4</v>
      </c>
      <c r="D131">
        <v>2.2759070789047029</v>
      </c>
      <c r="E131">
        <v>-0.11554832557212739</v>
      </c>
      <c r="F131">
        <v>12165.63</v>
      </c>
      <c r="G131">
        <v>-8911.6409368498116</v>
      </c>
      <c r="H131">
        <v>-8911.6409368498116</v>
      </c>
      <c r="I131">
        <v>-2.429872446991538</v>
      </c>
      <c r="J131">
        <v>7.6928230253426703E-3</v>
      </c>
      <c r="K131">
        <v>1.8670349879750521</v>
      </c>
      <c r="L131">
        <v>-68.555676592584561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5">
      <c r="A132" t="s">
        <v>110</v>
      </c>
      <c r="B132" t="s">
        <v>28</v>
      </c>
      <c r="C132">
        <v>85688.8</v>
      </c>
      <c r="D132">
        <v>2.365042914817161</v>
      </c>
      <c r="E132">
        <v>-4.109809263862331E-2</v>
      </c>
      <c r="F132">
        <v>11552.83</v>
      </c>
      <c r="G132">
        <v>-1385.556303605184</v>
      </c>
      <c r="H132">
        <v>-1385.556303605184</v>
      </c>
      <c r="I132">
        <v>-2.194295219181071</v>
      </c>
      <c r="J132">
        <v>1.226590047317661E-2</v>
      </c>
      <c r="K132">
        <v>2.2759070789047029</v>
      </c>
      <c r="L132">
        <v>-16.995095720003668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-1385.556303605184</v>
      </c>
      <c r="T132">
        <v>-16.995095720003668</v>
      </c>
      <c r="U132">
        <v>0</v>
      </c>
      <c r="V132">
        <v>0</v>
      </c>
      <c r="W132">
        <v>0</v>
      </c>
    </row>
    <row r="133" spans="1:23" x14ac:dyDescent="0.35">
      <c r="A133" t="s">
        <v>110</v>
      </c>
      <c r="B133" t="s">
        <v>29</v>
      </c>
      <c r="C133">
        <v>85981.4</v>
      </c>
      <c r="D133">
        <v>2.1243720812763032</v>
      </c>
      <c r="E133">
        <v>0.27387295758055252</v>
      </c>
      <c r="F133">
        <v>8235.1579999999994</v>
      </c>
      <c r="G133">
        <v>-4527.5681324086381</v>
      </c>
      <c r="H133">
        <v>-4527.5681324086381</v>
      </c>
      <c r="I133">
        <v>-1.197656203726853</v>
      </c>
      <c r="J133">
        <v>8.3530848001436786E-2</v>
      </c>
      <c r="K133">
        <v>2.365042914817161</v>
      </c>
      <c r="L133">
        <v>-378.19160548437497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5">
      <c r="A134" t="s">
        <v>110</v>
      </c>
      <c r="B134" t="s">
        <v>30</v>
      </c>
      <c r="C134">
        <v>86771.5</v>
      </c>
      <c r="D134">
        <v>2.6084186743402009</v>
      </c>
      <c r="E134">
        <v>0.71043513071673781</v>
      </c>
      <c r="F134">
        <v>11854.69</v>
      </c>
      <c r="G134">
        <v>2246.9163671678002</v>
      </c>
      <c r="H134">
        <v>2246.9163671678002</v>
      </c>
      <c r="I134">
        <v>0.1837243838421844</v>
      </c>
      <c r="J134">
        <v>0.59084236721959715</v>
      </c>
      <c r="K134">
        <v>2.1243720812763032</v>
      </c>
      <c r="L134">
        <v>1327.5733853218801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5">
      <c r="A135" t="s">
        <v>110</v>
      </c>
      <c r="B135" t="s">
        <v>31</v>
      </c>
      <c r="C135">
        <v>87755.3</v>
      </c>
      <c r="D135">
        <v>2.9745680210854561</v>
      </c>
      <c r="E135">
        <v>0.69881550310560425</v>
      </c>
      <c r="F135">
        <v>9051.4310000000005</v>
      </c>
      <c r="G135">
        <v>-4203.3719888323176</v>
      </c>
      <c r="H135">
        <v>-4203.3719888323176</v>
      </c>
      <c r="I135">
        <v>0.14695727710571971</v>
      </c>
      <c r="J135">
        <v>0.5729542093743627</v>
      </c>
      <c r="K135">
        <v>2.6084186743402009</v>
      </c>
      <c r="L135">
        <v>-2408.3396745677628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5">
      <c r="A136" t="s">
        <v>110</v>
      </c>
      <c r="B136" t="s">
        <v>32</v>
      </c>
      <c r="C136">
        <v>88982.8</v>
      </c>
      <c r="D136">
        <v>3.7720964013177412</v>
      </c>
      <c r="E136">
        <v>0.76030160341924424</v>
      </c>
      <c r="F136">
        <v>13357.51</v>
      </c>
      <c r="G136">
        <v>2981.2693730277952</v>
      </c>
      <c r="H136">
        <v>2981.2693730277952</v>
      </c>
      <c r="I136">
        <v>0.34151308291093119</v>
      </c>
      <c r="J136">
        <v>0.66441377124703604</v>
      </c>
      <c r="K136">
        <v>2.9745680210854561</v>
      </c>
      <c r="L136">
        <v>1980.7964272366839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5">
      <c r="A137" t="s">
        <v>110</v>
      </c>
      <c r="B137" t="s">
        <v>33</v>
      </c>
      <c r="C137">
        <v>89376.8</v>
      </c>
      <c r="D137">
        <v>3.8730146879457901</v>
      </c>
      <c r="E137">
        <v>0.72944083083215916</v>
      </c>
      <c r="F137">
        <v>18459.61</v>
      </c>
      <c r="G137">
        <v>3803.4009892178929</v>
      </c>
      <c r="H137">
        <v>3803.4009892178929</v>
      </c>
      <c r="I137">
        <v>0.24386267984707369</v>
      </c>
      <c r="J137">
        <v>0.61957043901396625</v>
      </c>
      <c r="K137">
        <v>3.7720964013177412</v>
      </c>
      <c r="L137">
        <v>2356.474820635884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3803.4009892178929</v>
      </c>
      <c r="T137">
        <v>2356.474820635884</v>
      </c>
      <c r="U137">
        <v>0</v>
      </c>
      <c r="V137">
        <v>0</v>
      </c>
      <c r="W137">
        <v>0</v>
      </c>
    </row>
    <row r="138" spans="1:23" x14ac:dyDescent="0.35">
      <c r="A138" t="s">
        <v>110</v>
      </c>
      <c r="B138" t="s">
        <v>34</v>
      </c>
      <c r="C138">
        <v>90101.3</v>
      </c>
      <c r="D138">
        <v>3.765636618631143</v>
      </c>
      <c r="E138">
        <v>0.6551747271963213</v>
      </c>
      <c r="F138">
        <v>21867.71</v>
      </c>
      <c r="G138">
        <v>2532.642848660435</v>
      </c>
      <c r="H138">
        <v>2532.642848660435</v>
      </c>
      <c r="I138">
        <v>8.8680784139030765E-3</v>
      </c>
      <c r="J138">
        <v>0.50443392297549983</v>
      </c>
      <c r="K138">
        <v>3.8730146879457901</v>
      </c>
      <c r="L138">
        <v>1277.5509676456279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5">
      <c r="A139" t="s">
        <v>110</v>
      </c>
      <c r="B139" t="s">
        <v>35</v>
      </c>
      <c r="C139">
        <v>90465.600000000006</v>
      </c>
      <c r="D139">
        <v>3.0417408565899748</v>
      </c>
      <c r="E139">
        <v>0.68241731665205063</v>
      </c>
      <c r="F139">
        <v>13843.68</v>
      </c>
      <c r="G139">
        <v>-8502.2952960938928</v>
      </c>
      <c r="H139">
        <v>-8502.2952960938928</v>
      </c>
      <c r="I139">
        <v>9.5069738898853132E-2</v>
      </c>
      <c r="J139">
        <v>0.5473921745512097</v>
      </c>
      <c r="K139">
        <v>3.765636618631143</v>
      </c>
      <c r="L139">
        <v>-4654.0899108053572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5">
      <c r="A140" t="s">
        <v>110</v>
      </c>
      <c r="B140" t="s">
        <v>36</v>
      </c>
      <c r="C140">
        <v>90838.8</v>
      </c>
      <c r="D140">
        <v>2.0643414482116951</v>
      </c>
      <c r="E140">
        <v>0.74442336226857053</v>
      </c>
      <c r="F140">
        <v>13176.87</v>
      </c>
      <c r="G140">
        <v>-1287.1085488489391</v>
      </c>
      <c r="H140">
        <v>-1287.1085488489391</v>
      </c>
      <c r="I140">
        <v>0.29127076820759512</v>
      </c>
      <c r="J140">
        <v>0.64165200392132804</v>
      </c>
      <c r="K140">
        <v>3.0417408565899748</v>
      </c>
      <c r="L140">
        <v>-825.87577963319416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5">
      <c r="A141" t="s">
        <v>110</v>
      </c>
      <c r="B141" t="s">
        <v>37</v>
      </c>
      <c r="C141">
        <v>90882.8</v>
      </c>
      <c r="D141">
        <v>1.670962368587485</v>
      </c>
      <c r="E141">
        <v>0.30576431027143081</v>
      </c>
      <c r="F141">
        <v>18019.05</v>
      </c>
      <c r="G141">
        <v>3782.8150578267828</v>
      </c>
      <c r="H141">
        <v>3782.8150578267828</v>
      </c>
      <c r="I141">
        <v>-1.096744814171454</v>
      </c>
      <c r="J141">
        <v>0.1003366479632377</v>
      </c>
      <c r="K141">
        <v>2.0643414482116951</v>
      </c>
      <c r="L141">
        <v>379.55498276720073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5">
      <c r="A142" t="s">
        <v>110</v>
      </c>
      <c r="B142" t="s">
        <v>38</v>
      </c>
      <c r="C142">
        <v>90385.5</v>
      </c>
      <c r="D142">
        <v>0.31492633797922809</v>
      </c>
      <c r="E142">
        <v>0.42455071633734759</v>
      </c>
      <c r="F142">
        <v>14048.15</v>
      </c>
      <c r="G142">
        <v>-4873.0704452221198</v>
      </c>
      <c r="H142">
        <v>-4873.0704452221198</v>
      </c>
      <c r="I142">
        <v>-0.72087799495584881</v>
      </c>
      <c r="J142">
        <v>0.19127357074177931</v>
      </c>
      <c r="K142">
        <v>1.670962368587485</v>
      </c>
      <c r="L142">
        <v>-932.08958453386686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5">
      <c r="A143" t="s">
        <v>110</v>
      </c>
      <c r="B143" t="s">
        <v>39</v>
      </c>
      <c r="C143">
        <v>88423.5</v>
      </c>
      <c r="D143">
        <v>-2.2831896529087889</v>
      </c>
      <c r="E143">
        <v>0.69978234135802564</v>
      </c>
      <c r="F143">
        <v>13245.42</v>
      </c>
      <c r="G143">
        <v>-1612.889016524221</v>
      </c>
      <c r="H143">
        <v>-1612.889016524221</v>
      </c>
      <c r="I143">
        <v>0.1500165700893962</v>
      </c>
      <c r="J143">
        <v>0.57445061818382859</v>
      </c>
      <c r="K143">
        <v>0.31492633797922809</v>
      </c>
      <c r="L143">
        <v>-926.52509260424608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5">
      <c r="A144" t="s">
        <v>110</v>
      </c>
      <c r="B144" t="s">
        <v>40</v>
      </c>
      <c r="C144">
        <v>87541.4</v>
      </c>
      <c r="D144">
        <v>-3.6974682786550281</v>
      </c>
      <c r="E144">
        <v>0.65809837129684257</v>
      </c>
      <c r="F144">
        <v>21794.11</v>
      </c>
      <c r="G144">
        <v>7502.5523747752904</v>
      </c>
      <c r="H144">
        <v>7502.5523747752904</v>
      </c>
      <c r="I144">
        <v>1.811914379230669E-2</v>
      </c>
      <c r="J144">
        <v>0.50905858059699838</v>
      </c>
      <c r="K144">
        <v>-2.2831896529087889</v>
      </c>
      <c r="L144">
        <v>3819.2386627577489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5">
      <c r="A145" t="s">
        <v>110</v>
      </c>
      <c r="B145" t="s">
        <v>41</v>
      </c>
      <c r="C145">
        <v>87678.8</v>
      </c>
      <c r="D145">
        <v>-3.589062738271954</v>
      </c>
      <c r="E145">
        <v>0.69709894508233761</v>
      </c>
      <c r="F145">
        <v>18972.07</v>
      </c>
      <c r="G145">
        <v>-3571.395125890052</v>
      </c>
      <c r="H145">
        <v>-3571.395125890052</v>
      </c>
      <c r="I145">
        <v>0.1415257026893153</v>
      </c>
      <c r="J145">
        <v>0.57029415731880329</v>
      </c>
      <c r="K145">
        <v>-3.6974682786550281</v>
      </c>
      <c r="L145">
        <v>-2036.745773771949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5">
      <c r="A146" t="s">
        <v>110</v>
      </c>
      <c r="B146" t="s">
        <v>42</v>
      </c>
      <c r="C146">
        <v>88900.3</v>
      </c>
      <c r="D146">
        <v>-1.6568339210527681</v>
      </c>
      <c r="E146">
        <v>0.79047832069970592</v>
      </c>
      <c r="F146">
        <v>14507.25</v>
      </c>
      <c r="G146">
        <v>-4886.0951899900501</v>
      </c>
      <c r="H146">
        <v>-4886.0951899900501</v>
      </c>
      <c r="I146">
        <v>0.43699898162800832</v>
      </c>
      <c r="J146">
        <v>0.70557690948221119</v>
      </c>
      <c r="K146">
        <v>-3.589062738271954</v>
      </c>
      <c r="L146">
        <v>-3447.5159435890769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5">
      <c r="A147" t="s">
        <v>110</v>
      </c>
      <c r="B147" t="s">
        <v>43</v>
      </c>
      <c r="C147">
        <v>89536.7</v>
      </c>
      <c r="D147">
        <v>1.2510825677552619</v>
      </c>
      <c r="E147">
        <v>0.84901658949478198</v>
      </c>
      <c r="F147">
        <v>18951.79</v>
      </c>
      <c r="G147">
        <v>3701.552958534176</v>
      </c>
      <c r="H147">
        <v>3701.552958534176</v>
      </c>
      <c r="I147">
        <v>0.62222718764161322</v>
      </c>
      <c r="J147">
        <v>0.7763384109342788</v>
      </c>
      <c r="K147">
        <v>-1.6568339210527681</v>
      </c>
      <c r="L147">
        <v>2873.6577418175002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3701.552958534176</v>
      </c>
      <c r="T147">
        <v>2873.6577418175002</v>
      </c>
      <c r="U147">
        <v>0</v>
      </c>
      <c r="V147">
        <v>0</v>
      </c>
      <c r="W147">
        <v>0</v>
      </c>
    </row>
    <row r="148" spans="1:23" x14ac:dyDescent="0.35">
      <c r="A148" t="s">
        <v>110</v>
      </c>
      <c r="B148" t="s">
        <v>44</v>
      </c>
      <c r="C148">
        <v>89884.1</v>
      </c>
      <c r="D148">
        <v>2.640923833020131</v>
      </c>
      <c r="E148">
        <v>0.85073478767645749</v>
      </c>
      <c r="F148">
        <v>19711.91</v>
      </c>
      <c r="G148">
        <v>-36.739168690150109</v>
      </c>
      <c r="H148">
        <v>-36.739168690150109</v>
      </c>
      <c r="I148">
        <v>0.62766395188692625</v>
      </c>
      <c r="J148">
        <v>0.77822078404779926</v>
      </c>
      <c r="K148">
        <v>1.2510825677552619</v>
      </c>
      <c r="L148">
        <v>-28.59118466331298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-36.739168690150109</v>
      </c>
      <c r="T148">
        <v>-28.59118466331298</v>
      </c>
      <c r="U148">
        <v>0</v>
      </c>
      <c r="V148">
        <v>0</v>
      </c>
      <c r="W148">
        <v>0</v>
      </c>
    </row>
    <row r="149" spans="1:23" x14ac:dyDescent="0.35">
      <c r="A149" t="s">
        <v>110</v>
      </c>
      <c r="B149" t="s">
        <v>45</v>
      </c>
      <c r="C149">
        <v>90704.5</v>
      </c>
      <c r="D149">
        <v>3.3926833028147598</v>
      </c>
      <c r="E149">
        <v>0.92664843635474725</v>
      </c>
      <c r="F149">
        <v>21449.03</v>
      </c>
      <c r="G149">
        <v>1198.9148978520791</v>
      </c>
      <c r="H149">
        <v>1198.9148978520791</v>
      </c>
      <c r="I149">
        <v>0.86787175519335835</v>
      </c>
      <c r="J149">
        <v>0.85014560477506962</v>
      </c>
      <c r="K149">
        <v>2.640923833020131</v>
      </c>
      <c r="L149">
        <v>1019.252230908296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1198.9148978520791</v>
      </c>
      <c r="T149">
        <v>1019.252230908296</v>
      </c>
      <c r="U149">
        <v>0</v>
      </c>
      <c r="V149">
        <v>0</v>
      </c>
      <c r="W149">
        <v>0</v>
      </c>
    </row>
    <row r="150" spans="1:23" x14ac:dyDescent="0.35">
      <c r="A150" t="s">
        <v>110</v>
      </c>
      <c r="B150" t="s">
        <v>46</v>
      </c>
      <c r="C150">
        <v>91064</v>
      </c>
      <c r="D150">
        <v>2.4047038930572771</v>
      </c>
      <c r="E150">
        <v>0.9124988069151545</v>
      </c>
      <c r="F150">
        <v>19653.439999999999</v>
      </c>
      <c r="G150">
        <v>-2226.0035218636149</v>
      </c>
      <c r="H150">
        <v>-2226.0035218636149</v>
      </c>
      <c r="I150">
        <v>0.82309915547695689</v>
      </c>
      <c r="J150">
        <v>0.83837657908759611</v>
      </c>
      <c r="K150">
        <v>3.3926833028147598</v>
      </c>
      <c r="L150">
        <v>-1866.2292176969579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5">
      <c r="A151" t="s">
        <v>110</v>
      </c>
      <c r="B151" t="s">
        <v>47</v>
      </c>
      <c r="C151">
        <v>91589.8</v>
      </c>
      <c r="D151">
        <v>2.2671314671208451</v>
      </c>
      <c r="E151">
        <v>0.64653971561666157</v>
      </c>
      <c r="F151">
        <v>14901.64</v>
      </c>
      <c r="G151">
        <v>-5163.8778878903649</v>
      </c>
      <c r="H151">
        <v>-5163.8778878903649</v>
      </c>
      <c r="I151">
        <v>-1.8455034085481509E-2</v>
      </c>
      <c r="J151">
        <v>0.49077353040928839</v>
      </c>
      <c r="K151">
        <v>2.4047038930572771</v>
      </c>
      <c r="L151">
        <v>-2534.294581642414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-5163.8778878903649</v>
      </c>
      <c r="T151">
        <v>-2534.294581642414</v>
      </c>
      <c r="U151">
        <v>0</v>
      </c>
      <c r="V151">
        <v>0</v>
      </c>
      <c r="W151">
        <v>0</v>
      </c>
    </row>
    <row r="152" spans="1:23" x14ac:dyDescent="0.35">
      <c r="A152" t="s">
        <v>110</v>
      </c>
      <c r="B152" t="s">
        <v>48</v>
      </c>
      <c r="C152">
        <v>92218.7</v>
      </c>
      <c r="D152">
        <v>2.564186729985221</v>
      </c>
      <c r="E152">
        <v>0.74132187486635037</v>
      </c>
      <c r="F152">
        <v>13397.83</v>
      </c>
      <c r="G152">
        <v>-2196.1557660518852</v>
      </c>
      <c r="H152">
        <v>-2196.1557660518852</v>
      </c>
      <c r="I152">
        <v>0.28145696675237752</v>
      </c>
      <c r="J152">
        <v>0.63712649981565728</v>
      </c>
      <c r="K152">
        <v>2.2671314671208451</v>
      </c>
      <c r="L152">
        <v>-1399.229036274611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-2196.1557660518852</v>
      </c>
      <c r="T152">
        <v>-1399.229036274611</v>
      </c>
      <c r="U152">
        <v>0</v>
      </c>
      <c r="V152">
        <v>0</v>
      </c>
      <c r="W152">
        <v>0</v>
      </c>
    </row>
    <row r="153" spans="1:23" x14ac:dyDescent="0.35">
      <c r="A153" t="s">
        <v>110</v>
      </c>
      <c r="B153" t="s">
        <v>49</v>
      </c>
      <c r="C153">
        <v>92451.6</v>
      </c>
      <c r="D153">
        <v>1.9078294332809891</v>
      </c>
      <c r="E153">
        <v>0.75716162208739723</v>
      </c>
      <c r="F153">
        <v>14121</v>
      </c>
      <c r="G153">
        <v>-273.04318602130661</v>
      </c>
      <c r="H153">
        <v>-273.04318602130661</v>
      </c>
      <c r="I153">
        <v>0.3315774780325178</v>
      </c>
      <c r="J153">
        <v>0.65996874905785341</v>
      </c>
      <c r="K153">
        <v>2.564186729985221</v>
      </c>
      <c r="L153">
        <v>-180.1999699172525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-273.04318602130661</v>
      </c>
      <c r="T153">
        <v>-180.1999699172525</v>
      </c>
      <c r="U153">
        <v>0</v>
      </c>
      <c r="V153">
        <v>0</v>
      </c>
      <c r="W153">
        <v>0</v>
      </c>
    </row>
    <row r="154" spans="1:23" x14ac:dyDescent="0.35">
      <c r="A154" t="s">
        <v>110</v>
      </c>
      <c r="B154" t="s">
        <v>50</v>
      </c>
      <c r="C154">
        <v>92715.9</v>
      </c>
      <c r="D154">
        <v>1.797742287644148</v>
      </c>
      <c r="E154">
        <v>0.79487477114166216</v>
      </c>
      <c r="F154">
        <v>20227.560000000001</v>
      </c>
      <c r="G154">
        <v>5061.6006823259177</v>
      </c>
      <c r="H154">
        <v>5061.6006823259177</v>
      </c>
      <c r="I154">
        <v>0.45091033645542972</v>
      </c>
      <c r="J154">
        <v>0.7113235077202873</v>
      </c>
      <c r="K154">
        <v>1.9078294332809891</v>
      </c>
      <c r="L154">
        <v>3600.4355520314712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5">
      <c r="A155" t="s">
        <v>110</v>
      </c>
      <c r="B155" t="s">
        <v>51</v>
      </c>
      <c r="C155">
        <v>92871</v>
      </c>
      <c r="D155">
        <v>1.389152170178735</v>
      </c>
      <c r="E155">
        <v>0.77647994524246977</v>
      </c>
      <c r="F155">
        <v>19436.98</v>
      </c>
      <c r="G155">
        <v>-1556.8530311641989</v>
      </c>
      <c r="H155">
        <v>-1556.8530311641989</v>
      </c>
      <c r="I155">
        <v>0.39270498342102972</v>
      </c>
      <c r="J155">
        <v>0.68684491274705184</v>
      </c>
      <c r="K155">
        <v>1.797742287644148</v>
      </c>
      <c r="L155">
        <v>-1069.3165843499571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5">
      <c r="A156" t="s">
        <v>110</v>
      </c>
      <c r="B156" t="s">
        <v>52</v>
      </c>
      <c r="C156">
        <v>92861.7</v>
      </c>
      <c r="D156">
        <v>0.69483595992362412</v>
      </c>
      <c r="E156">
        <v>0.85903256065493994</v>
      </c>
      <c r="F156">
        <v>18629.88</v>
      </c>
      <c r="G156">
        <v>-1290.561426222474</v>
      </c>
      <c r="H156">
        <v>-1290.561426222474</v>
      </c>
      <c r="I156">
        <v>0.65391996584751932</v>
      </c>
      <c r="J156">
        <v>0.78715147380622663</v>
      </c>
      <c r="K156">
        <v>1.389152170178735</v>
      </c>
      <c r="L156">
        <v>-1015.8673286884861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5">
      <c r="A157" t="s">
        <v>110</v>
      </c>
      <c r="B157" t="s">
        <v>53</v>
      </c>
      <c r="C157">
        <v>92662.9</v>
      </c>
      <c r="D157">
        <v>0.22829123787616371</v>
      </c>
      <c r="E157">
        <v>0.80830089038349573</v>
      </c>
      <c r="F157">
        <v>36827.879999999997</v>
      </c>
      <c r="G157">
        <v>17641.959197543922</v>
      </c>
      <c r="H157">
        <v>17641.959197543922</v>
      </c>
      <c r="I157">
        <v>0.49339358770420533</v>
      </c>
      <c r="J157">
        <v>0.72845286246600682</v>
      </c>
      <c r="K157">
        <v>0.69483595992362412</v>
      </c>
      <c r="L157">
        <v>12851.335676959359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5">
      <c r="A158" t="s">
        <v>110</v>
      </c>
      <c r="B158" t="s">
        <v>54</v>
      </c>
      <c r="C158">
        <v>92821.7</v>
      </c>
      <c r="D158">
        <v>0.1140469764269653</v>
      </c>
      <c r="E158">
        <v>0.77392570051405185</v>
      </c>
      <c r="F158">
        <v>25945.24</v>
      </c>
      <c r="G158">
        <v>-10760.52865517087</v>
      </c>
      <c r="H158">
        <v>-10760.52865517087</v>
      </c>
      <c r="I158">
        <v>0.38462278047066922</v>
      </c>
      <c r="J158">
        <v>0.68335767082627219</v>
      </c>
      <c r="K158">
        <v>0.22829123787616371</v>
      </c>
      <c r="L158">
        <v>-7353.2897986569278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-10760.52865517087</v>
      </c>
      <c r="T158">
        <v>-7353.2897986569278</v>
      </c>
      <c r="U158">
        <v>0</v>
      </c>
      <c r="V158">
        <v>0</v>
      </c>
      <c r="W158">
        <v>0</v>
      </c>
    </row>
    <row r="159" spans="1:23" x14ac:dyDescent="0.35">
      <c r="A159" t="s">
        <v>110</v>
      </c>
      <c r="B159" t="s">
        <v>55</v>
      </c>
      <c r="C159">
        <v>92710</v>
      </c>
      <c r="D159">
        <v>-0.17350918509056229</v>
      </c>
      <c r="E159">
        <v>0.83766491888430139</v>
      </c>
      <c r="F159">
        <v>38752.269999999997</v>
      </c>
      <c r="G159">
        <v>13434.743327128041</v>
      </c>
      <c r="H159">
        <v>13434.743327128041</v>
      </c>
      <c r="I159">
        <v>0.58630795692781479</v>
      </c>
      <c r="J159">
        <v>0.76361752892203061</v>
      </c>
      <c r="K159">
        <v>0.1140469764269653</v>
      </c>
      <c r="L159">
        <v>10259.00550116325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5">
      <c r="A160" t="s">
        <v>110</v>
      </c>
      <c r="B160" t="s">
        <v>56</v>
      </c>
      <c r="C160">
        <v>92343.5</v>
      </c>
      <c r="D160">
        <v>-0.55959697922099205</v>
      </c>
      <c r="E160">
        <v>0.83669672991487087</v>
      </c>
      <c r="F160">
        <v>31598.92</v>
      </c>
      <c r="G160">
        <v>-6578.8883624478913</v>
      </c>
      <c r="H160">
        <v>-6578.8883624478913</v>
      </c>
      <c r="I160">
        <v>0.58324438997270767</v>
      </c>
      <c r="J160">
        <v>0.76250975989844727</v>
      </c>
      <c r="K160">
        <v>-0.17350918509056229</v>
      </c>
      <c r="L160">
        <v>-5016.4665856488309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5">
      <c r="A161" t="s">
        <v>110</v>
      </c>
      <c r="B161" t="s">
        <v>57</v>
      </c>
      <c r="C161">
        <v>92949</v>
      </c>
      <c r="D161">
        <v>0.30827789229015973</v>
      </c>
      <c r="E161">
        <v>0.79936370635496823</v>
      </c>
      <c r="F161">
        <v>14113.9</v>
      </c>
      <c r="G161">
        <v>-16534.748271214699</v>
      </c>
      <c r="H161">
        <v>-16534.748271214699</v>
      </c>
      <c r="I161">
        <v>0.46511433383332829</v>
      </c>
      <c r="J161">
        <v>0.71712167490223577</v>
      </c>
      <c r="K161">
        <v>-0.55959697922099205</v>
      </c>
      <c r="L161">
        <v>-11857.42637434033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-16534.748271214699</v>
      </c>
      <c r="T161">
        <v>-11857.42637434033</v>
      </c>
      <c r="U161">
        <v>0</v>
      </c>
      <c r="V161">
        <v>0</v>
      </c>
      <c r="W161">
        <v>0</v>
      </c>
    </row>
    <row r="162" spans="1:23" x14ac:dyDescent="0.35">
      <c r="A162" t="s">
        <v>110</v>
      </c>
      <c r="B162" t="s">
        <v>58</v>
      </c>
      <c r="C162">
        <v>93322.3</v>
      </c>
      <c r="D162">
        <v>0.53786445639393221</v>
      </c>
      <c r="E162">
        <v>0.52408178645329284</v>
      </c>
      <c r="F162">
        <v>15802.53</v>
      </c>
      <c r="G162">
        <v>1579.518846364859</v>
      </c>
      <c r="H162">
        <v>1579.518846364859</v>
      </c>
      <c r="I162">
        <v>-0.40593937549087428</v>
      </c>
      <c r="J162">
        <v>0.3074902898147131</v>
      </c>
      <c r="K162">
        <v>0.30827789229015973</v>
      </c>
      <c r="L162">
        <v>485.68670783653192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1579.518846364859</v>
      </c>
      <c r="T162">
        <v>485.68670783653192</v>
      </c>
      <c r="U162">
        <v>0</v>
      </c>
      <c r="V162">
        <v>0</v>
      </c>
      <c r="W162">
        <v>0</v>
      </c>
    </row>
    <row r="163" spans="1:23" x14ac:dyDescent="0.35">
      <c r="A163" t="s">
        <v>110</v>
      </c>
      <c r="B163" t="s">
        <v>59</v>
      </c>
      <c r="C163">
        <v>93575.1</v>
      </c>
      <c r="D163">
        <v>0.92879808325320934</v>
      </c>
      <c r="E163">
        <v>0.61313599789132134</v>
      </c>
      <c r="F163">
        <v>18492.009999999998</v>
      </c>
      <c r="G163">
        <v>1747.8482793999319</v>
      </c>
      <c r="H163">
        <v>1747.8482793999319</v>
      </c>
      <c r="I163">
        <v>-0.124151885663198</v>
      </c>
      <c r="J163">
        <v>0.43824104273925357</v>
      </c>
      <c r="K163">
        <v>0.53786445639393221</v>
      </c>
      <c r="L163">
        <v>765.97885251423645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1747.8482793999319</v>
      </c>
      <c r="T163">
        <v>765.97885251423645</v>
      </c>
      <c r="U163">
        <v>0</v>
      </c>
      <c r="V163">
        <v>0</v>
      </c>
      <c r="W163">
        <v>0</v>
      </c>
    </row>
    <row r="164" spans="1:23" x14ac:dyDescent="0.35">
      <c r="A164" t="s">
        <v>110</v>
      </c>
      <c r="B164" t="s">
        <v>60</v>
      </c>
      <c r="C164">
        <v>94115.3</v>
      </c>
      <c r="D164">
        <v>1.9005306599708409</v>
      </c>
      <c r="E164">
        <v>0.4969681717415807</v>
      </c>
      <c r="F164">
        <v>19536.86</v>
      </c>
      <c r="G164">
        <v>296.42782514671848</v>
      </c>
      <c r="H164">
        <v>296.42782514671848</v>
      </c>
      <c r="I164">
        <v>-0.49173293097123327</v>
      </c>
      <c r="J164">
        <v>0.27220462246254462</v>
      </c>
      <c r="K164">
        <v>0.92879808325320934</v>
      </c>
      <c r="L164">
        <v>80.689024231455704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296.42782514671848</v>
      </c>
      <c r="T164">
        <v>80.689024231455704</v>
      </c>
      <c r="U164">
        <v>0</v>
      </c>
      <c r="V164">
        <v>0</v>
      </c>
      <c r="W164">
        <v>0</v>
      </c>
    </row>
    <row r="165" spans="1:23" x14ac:dyDescent="0.35">
      <c r="A165" t="s">
        <v>110</v>
      </c>
      <c r="B165" t="s">
        <v>61</v>
      </c>
      <c r="C165">
        <v>94333</v>
      </c>
      <c r="D165">
        <v>1.4780119762696939</v>
      </c>
      <c r="E165">
        <v>-0.17525723014232489</v>
      </c>
      <c r="F165">
        <v>20086.099999999999</v>
      </c>
      <c r="G165">
        <v>-19.53534989586478</v>
      </c>
      <c r="H165">
        <v>-19.53534989586478</v>
      </c>
      <c r="I165">
        <v>-2.618804807039492</v>
      </c>
      <c r="J165">
        <v>5.2848634786590437E-3</v>
      </c>
      <c r="K165">
        <v>1.9005306599708409</v>
      </c>
      <c r="L165">
        <v>-0.1032416572074815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-19.53534989586478</v>
      </c>
      <c r="T165">
        <v>-0.1032416572074815</v>
      </c>
      <c r="U165">
        <v>0</v>
      </c>
      <c r="V165">
        <v>0</v>
      </c>
      <c r="W165">
        <v>0</v>
      </c>
    </row>
    <row r="166" spans="1:23" x14ac:dyDescent="0.35">
      <c r="A166" t="s">
        <v>110</v>
      </c>
      <c r="B166" t="s">
        <v>62</v>
      </c>
      <c r="C166">
        <v>94965.1</v>
      </c>
      <c r="D166">
        <v>1.7450362455612309</v>
      </c>
      <c r="E166">
        <v>6.9457911075346572E-4</v>
      </c>
      <c r="F166">
        <v>14211.19</v>
      </c>
      <c r="G166">
        <v>-6368.2256188433221</v>
      </c>
      <c r="H166">
        <v>-6368.2256188433221</v>
      </c>
      <c r="I166">
        <v>-2.0620538363729808</v>
      </c>
      <c r="J166">
        <v>1.5920365683399919E-2</v>
      </c>
      <c r="K166">
        <v>1.4780119762696939</v>
      </c>
      <c r="L166">
        <v>-101.3844806063814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-6368.2256188433221</v>
      </c>
      <c r="T166">
        <v>-101.3844806063814</v>
      </c>
      <c r="U166">
        <v>0</v>
      </c>
      <c r="V166">
        <v>0</v>
      </c>
      <c r="W166">
        <v>0</v>
      </c>
    </row>
    <row r="167" spans="1:23" x14ac:dyDescent="0.35">
      <c r="A167" t="s">
        <v>110</v>
      </c>
      <c r="B167" t="s">
        <v>63</v>
      </c>
      <c r="C167">
        <v>95347.5</v>
      </c>
      <c r="D167">
        <v>1.876379005882691</v>
      </c>
      <c r="E167">
        <v>1.593412955394883E-3</v>
      </c>
      <c r="F167">
        <v>17252.02</v>
      </c>
      <c r="G167">
        <v>2343.4323165346868</v>
      </c>
      <c r="H167">
        <v>2343.4323165346868</v>
      </c>
      <c r="I167">
        <v>-2.059209724581256</v>
      </c>
      <c r="J167">
        <v>1.6009728380907289E-2</v>
      </c>
      <c r="K167">
        <v>1.7450362455612309</v>
      </c>
      <c r="L167">
        <v>37.517714866760699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2343.4323165346868</v>
      </c>
      <c r="T167">
        <v>37.517714866760699</v>
      </c>
      <c r="U167">
        <v>0</v>
      </c>
      <c r="V167">
        <v>0</v>
      </c>
      <c r="W167">
        <v>0</v>
      </c>
    </row>
    <row r="168" spans="1:23" x14ac:dyDescent="0.35">
      <c r="A168" t="s">
        <v>110</v>
      </c>
      <c r="B168" t="s">
        <v>64</v>
      </c>
      <c r="C168">
        <v>95602.6</v>
      </c>
      <c r="D168">
        <v>1.5679389979541121</v>
      </c>
      <c r="E168">
        <v>-0.41790530418624461</v>
      </c>
      <c r="F168">
        <v>29838.2</v>
      </c>
      <c r="G168">
        <v>11706.8741061117</v>
      </c>
      <c r="H168">
        <v>11706.8741061117</v>
      </c>
      <c r="I168">
        <v>-3.3865977119706372</v>
      </c>
      <c r="J168">
        <v>1.1427258169064531E-3</v>
      </c>
      <c r="K168">
        <v>1.876379005882691</v>
      </c>
      <c r="L168">
        <v>13.37774727632749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11706.8741061117</v>
      </c>
      <c r="T168">
        <v>13.37774727632749</v>
      </c>
      <c r="U168">
        <v>0</v>
      </c>
      <c r="V168">
        <v>0</v>
      </c>
      <c r="W168">
        <v>0</v>
      </c>
    </row>
    <row r="169" spans="1:23" x14ac:dyDescent="0.35">
      <c r="A169" t="s">
        <v>110</v>
      </c>
      <c r="B169" t="s">
        <v>65</v>
      </c>
      <c r="C169">
        <v>96047.1</v>
      </c>
      <c r="D169">
        <v>1.8007620750762849</v>
      </c>
      <c r="E169">
        <v>0.15250477531226719</v>
      </c>
      <c r="F169">
        <v>25360.74</v>
      </c>
      <c r="G169">
        <v>-4702.6314541169268</v>
      </c>
      <c r="H169">
        <v>-4702.6314541169268</v>
      </c>
      <c r="I169">
        <v>-1.5816923416486099</v>
      </c>
      <c r="J169">
        <v>4.0567111838942203E-2</v>
      </c>
      <c r="K169">
        <v>1.5679389979541121</v>
      </c>
      <c r="L169">
        <v>-190.7721761364887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5">
      <c r="A170" t="s">
        <v>110</v>
      </c>
      <c r="B170" t="s">
        <v>66</v>
      </c>
      <c r="C170">
        <v>96178.4</v>
      </c>
      <c r="D170">
        <v>1.269534455281605</v>
      </c>
      <c r="E170">
        <v>0.55798811427604211</v>
      </c>
      <c r="F170">
        <v>21280.47</v>
      </c>
      <c r="G170">
        <v>-3835.168726222837</v>
      </c>
      <c r="H170">
        <v>-3835.168726222837</v>
      </c>
      <c r="I170">
        <v>-0.29865215288607277</v>
      </c>
      <c r="J170">
        <v>0.35496066800877468</v>
      </c>
      <c r="K170">
        <v>1.8007620750762849</v>
      </c>
      <c r="L170">
        <v>-1361.3340529864199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5">
      <c r="A171" t="s">
        <v>110</v>
      </c>
      <c r="B171" t="s">
        <v>67</v>
      </c>
      <c r="C171">
        <v>96516.5</v>
      </c>
      <c r="D171">
        <v>1.2185865674472609</v>
      </c>
      <c r="E171">
        <v>0.62519326122012531</v>
      </c>
      <c r="F171">
        <v>18517.900000000001</v>
      </c>
      <c r="G171">
        <v>-2909.1155667876369</v>
      </c>
      <c r="H171">
        <v>-2909.1155667876369</v>
      </c>
      <c r="I171">
        <v>-8.6000001403582813E-2</v>
      </c>
      <c r="J171">
        <v>0.4571056959547426</v>
      </c>
      <c r="K171">
        <v>1.269534455281605</v>
      </c>
      <c r="L171">
        <v>-1329.773295769239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5">
      <c r="A172" t="s">
        <v>110</v>
      </c>
      <c r="B172" t="s">
        <v>68</v>
      </c>
      <c r="C172">
        <v>96626.4</v>
      </c>
      <c r="D172">
        <v>1.0651979466249319</v>
      </c>
      <c r="E172">
        <v>0.48980128180036892</v>
      </c>
      <c r="F172">
        <v>22826.080000000002</v>
      </c>
      <c r="G172">
        <v>3842.526243353896</v>
      </c>
      <c r="H172">
        <v>3842.526243353896</v>
      </c>
      <c r="I172">
        <v>-0.51441057747210273</v>
      </c>
      <c r="J172">
        <v>0.26331271169001652</v>
      </c>
      <c r="K172">
        <v>1.2185865674472609</v>
      </c>
      <c r="L172">
        <v>1011.7860048775671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5">
      <c r="A173" t="s">
        <v>110</v>
      </c>
      <c r="B173" t="s">
        <v>69</v>
      </c>
      <c r="C173">
        <v>97197.7</v>
      </c>
      <c r="D173">
        <v>1.190835248424732</v>
      </c>
      <c r="E173">
        <v>0.53717886111840918</v>
      </c>
      <c r="F173">
        <v>18513.21</v>
      </c>
      <c r="G173">
        <v>-4750.2373136210626</v>
      </c>
      <c r="H173">
        <v>-4750.2373136210626</v>
      </c>
      <c r="I173">
        <v>-0.36449729505050099</v>
      </c>
      <c r="J173">
        <v>0.32541539646366707</v>
      </c>
      <c r="K173">
        <v>1.0651979466249319</v>
      </c>
      <c r="L173">
        <v>-1545.8003587085029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5">
      <c r="A174" t="s">
        <v>110</v>
      </c>
      <c r="B174" t="s">
        <v>70</v>
      </c>
      <c r="C174">
        <v>97374.6</v>
      </c>
      <c r="D174">
        <v>1.2360596115928471</v>
      </c>
      <c r="E174">
        <v>0.54698445407629126</v>
      </c>
      <c r="F174">
        <v>30182.29</v>
      </c>
      <c r="G174">
        <v>11282.735474875861</v>
      </c>
      <c r="H174">
        <v>11282.735474875861</v>
      </c>
      <c r="I174">
        <v>-0.33347020064075122</v>
      </c>
      <c r="J174">
        <v>0.3391822742977651</v>
      </c>
      <c r="K174">
        <v>1.190835248424732</v>
      </c>
      <c r="L174">
        <v>3826.9038786684691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11282.735474875861</v>
      </c>
      <c r="T174">
        <v>3826.9038786684691</v>
      </c>
      <c r="U174">
        <v>0</v>
      </c>
      <c r="V174">
        <v>0</v>
      </c>
      <c r="W174">
        <v>0</v>
      </c>
    </row>
    <row r="175" spans="1:23" x14ac:dyDescent="0.35">
      <c r="A175" t="s">
        <v>110</v>
      </c>
      <c r="B175" t="s">
        <v>71</v>
      </c>
      <c r="C175">
        <v>97732.9</v>
      </c>
      <c r="D175">
        <v>1.2524269316273791</v>
      </c>
      <c r="E175">
        <v>0.54012379098153396</v>
      </c>
      <c r="F175">
        <v>32031.3</v>
      </c>
      <c r="G175">
        <v>1702.312279079182</v>
      </c>
      <c r="H175">
        <v>1702.312279079182</v>
      </c>
      <c r="I175">
        <v>-0.35517887674721882</v>
      </c>
      <c r="J175">
        <v>0.32951979456622588</v>
      </c>
      <c r="K175">
        <v>1.2360596115928471</v>
      </c>
      <c r="L175">
        <v>560.94559248973587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1702.312279079182</v>
      </c>
      <c r="T175">
        <v>560.94559248973587</v>
      </c>
      <c r="U175">
        <v>0</v>
      </c>
      <c r="V175">
        <v>0</v>
      </c>
      <c r="W175">
        <v>0</v>
      </c>
    </row>
    <row r="176" spans="1:23" x14ac:dyDescent="0.35">
      <c r="A176" t="s">
        <v>110</v>
      </c>
      <c r="B176" t="s">
        <v>72</v>
      </c>
      <c r="C176">
        <v>98333.8</v>
      </c>
      <c r="D176">
        <v>1.75158176166586</v>
      </c>
      <c r="E176">
        <v>0.744881045889074</v>
      </c>
      <c r="F176">
        <v>29910.11</v>
      </c>
      <c r="G176">
        <v>-1594.595393211242</v>
      </c>
      <c r="H176">
        <v>-1594.595393211242</v>
      </c>
      <c r="I176">
        <v>0.29271898178979788</v>
      </c>
      <c r="J176">
        <v>0.64231771946247351</v>
      </c>
      <c r="K176">
        <v>1.2524269316273791</v>
      </c>
      <c r="L176">
        <v>-1024.236876432811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-1594.595393211242</v>
      </c>
      <c r="T176">
        <v>-1024.236876432811</v>
      </c>
      <c r="U176">
        <v>0</v>
      </c>
      <c r="V176">
        <v>0</v>
      </c>
      <c r="W176">
        <v>0</v>
      </c>
    </row>
    <row r="177" spans="1:23" x14ac:dyDescent="0.35">
      <c r="A177" t="s">
        <v>110</v>
      </c>
      <c r="B177" t="s">
        <v>73</v>
      </c>
      <c r="C177">
        <v>98554.8</v>
      </c>
      <c r="D177">
        <v>1.386569001811538</v>
      </c>
      <c r="E177">
        <v>0.72717486565703748</v>
      </c>
      <c r="F177">
        <v>16514.349999999999</v>
      </c>
      <c r="G177">
        <v>-12857.951240235971</v>
      </c>
      <c r="H177">
        <v>-12857.951240235971</v>
      </c>
      <c r="I177">
        <v>0.23669265803200429</v>
      </c>
      <c r="J177">
        <v>0.61618470167969652</v>
      </c>
      <c r="K177">
        <v>1.75158176166586</v>
      </c>
      <c r="L177">
        <v>-7922.8728491768843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-12857.951240235971</v>
      </c>
      <c r="T177">
        <v>-7922.8728491768843</v>
      </c>
      <c r="U177">
        <v>0</v>
      </c>
      <c r="V177">
        <v>0</v>
      </c>
      <c r="W177">
        <v>0</v>
      </c>
    </row>
    <row r="178" spans="1:23" x14ac:dyDescent="0.35">
      <c r="A178" t="s">
        <v>110</v>
      </c>
      <c r="B178" t="s">
        <v>74</v>
      </c>
      <c r="C178">
        <v>98495.5</v>
      </c>
      <c r="D178">
        <v>1.1445465503328061</v>
      </c>
      <c r="E178">
        <v>0.70593815662445636</v>
      </c>
      <c r="F178">
        <v>16325.61</v>
      </c>
      <c r="G178">
        <v>-289.78211110166382</v>
      </c>
      <c r="H178">
        <v>-289.78211110166382</v>
      </c>
      <c r="I178">
        <v>0.16949494964899181</v>
      </c>
      <c r="J178">
        <v>0.58394513655126079</v>
      </c>
      <c r="K178">
        <v>1.386569001811538</v>
      </c>
      <c r="L178">
        <v>-169.21685443737371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-289.78211110166382</v>
      </c>
      <c r="T178">
        <v>-169.21685443737371</v>
      </c>
      <c r="U178">
        <v>0</v>
      </c>
      <c r="V178">
        <v>0</v>
      </c>
      <c r="W178">
        <v>0</v>
      </c>
    </row>
    <row r="179" spans="1:23" x14ac:dyDescent="0.35">
      <c r="A179" t="s">
        <v>110</v>
      </c>
      <c r="B179" t="s">
        <v>75</v>
      </c>
      <c r="C179">
        <v>99282.2</v>
      </c>
      <c r="D179">
        <v>1.5728052698587029</v>
      </c>
      <c r="E179">
        <v>0.7919594390243625</v>
      </c>
      <c r="F179">
        <v>28396.560000000001</v>
      </c>
      <c r="G179">
        <v>11273.465479390619</v>
      </c>
      <c r="H179">
        <v>11273.465479390619</v>
      </c>
      <c r="I179">
        <v>0.44168557205538173</v>
      </c>
      <c r="J179">
        <v>0.70752031758527856</v>
      </c>
      <c r="K179">
        <v>1.1445465503328061</v>
      </c>
      <c r="L179">
        <v>7976.2058762651259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11273.465479390619</v>
      </c>
      <c r="T179">
        <v>7976.2058762651259</v>
      </c>
      <c r="U179">
        <v>0</v>
      </c>
      <c r="V179">
        <v>0</v>
      </c>
      <c r="W179">
        <v>0</v>
      </c>
    </row>
    <row r="180" spans="1:23" x14ac:dyDescent="0.35">
      <c r="A180" t="s">
        <v>110</v>
      </c>
      <c r="B180" t="s">
        <v>76</v>
      </c>
      <c r="C180">
        <v>99691.7</v>
      </c>
      <c r="D180">
        <v>1.3714610329931161</v>
      </c>
      <c r="E180">
        <v>0.83382393290147261</v>
      </c>
      <c r="F180">
        <v>13622.16</v>
      </c>
      <c r="G180">
        <v>-15104.230619776299</v>
      </c>
      <c r="H180">
        <v>-15104.230619776299</v>
      </c>
      <c r="I180">
        <v>0.57415421617724061</v>
      </c>
      <c r="J180">
        <v>0.75920180959199679</v>
      </c>
      <c r="K180">
        <v>1.5728052698587029</v>
      </c>
      <c r="L180">
        <v>-11467.15921902901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-15104.230619776299</v>
      </c>
      <c r="T180">
        <v>-11467.15921902901</v>
      </c>
      <c r="U180">
        <v>0</v>
      </c>
      <c r="V180">
        <v>0</v>
      </c>
      <c r="W180">
        <v>0</v>
      </c>
    </row>
    <row r="181" spans="1:23" x14ac:dyDescent="0.35">
      <c r="A181" t="s">
        <v>110</v>
      </c>
      <c r="B181" t="s">
        <v>77</v>
      </c>
      <c r="C181">
        <v>100196.6</v>
      </c>
      <c r="D181">
        <v>1.6521517286222169</v>
      </c>
      <c r="E181">
        <v>0.8722103988127422</v>
      </c>
      <c r="F181">
        <v>25653.23</v>
      </c>
      <c r="G181">
        <v>11737.80673016071</v>
      </c>
      <c r="H181">
        <v>11737.80673016071</v>
      </c>
      <c r="I181">
        <v>0.69561760008491347</v>
      </c>
      <c r="J181">
        <v>0.80078936260809142</v>
      </c>
      <c r="K181">
        <v>1.3714610329931161</v>
      </c>
      <c r="L181">
        <v>9399.5107698623615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11737.80673016071</v>
      </c>
      <c r="T181">
        <v>9399.5107698623615</v>
      </c>
      <c r="U181">
        <v>0</v>
      </c>
      <c r="V181">
        <v>0</v>
      </c>
      <c r="W181">
        <v>0</v>
      </c>
    </row>
    <row r="182" spans="1:23" x14ac:dyDescent="0.35">
      <c r="A182" t="s">
        <v>110</v>
      </c>
      <c r="B182" t="s">
        <v>78</v>
      </c>
      <c r="C182">
        <v>100632.5</v>
      </c>
      <c r="D182">
        <v>2.146440526743429</v>
      </c>
      <c r="E182">
        <v>0.85978494873275735</v>
      </c>
      <c r="F182">
        <v>28710.76</v>
      </c>
      <c r="G182">
        <v>2480.1654601144551</v>
      </c>
      <c r="H182">
        <v>2480.1654601144551</v>
      </c>
      <c r="I182">
        <v>0.65630069040170824</v>
      </c>
      <c r="J182">
        <v>0.78794813543726538</v>
      </c>
      <c r="K182">
        <v>1.6521517286222169</v>
      </c>
      <c r="L182">
        <v>1954.241749873092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2480.1654601144551</v>
      </c>
      <c r="T182">
        <v>1954.241749873092</v>
      </c>
      <c r="U182">
        <v>0</v>
      </c>
      <c r="V182">
        <v>0</v>
      </c>
      <c r="W182">
        <v>0</v>
      </c>
    </row>
    <row r="183" spans="1:23" x14ac:dyDescent="0.35">
      <c r="A183" t="s">
        <v>110</v>
      </c>
      <c r="B183" t="s">
        <v>79</v>
      </c>
      <c r="C183">
        <v>101557.2</v>
      </c>
      <c r="D183">
        <v>2.265588634742409</v>
      </c>
      <c r="E183">
        <v>0.95186893364701952</v>
      </c>
      <c r="F183">
        <v>26443.05</v>
      </c>
      <c r="G183">
        <v>-2105.371652046339</v>
      </c>
      <c r="H183">
        <v>-2105.371652046339</v>
      </c>
      <c r="I183">
        <v>0.94767506274541768</v>
      </c>
      <c r="J183">
        <v>0.86936434586195999</v>
      </c>
      <c r="K183">
        <v>2.146440526743429</v>
      </c>
      <c r="L183">
        <v>-1830.335049077579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5">
      <c r="A184" t="s">
        <v>110</v>
      </c>
      <c r="B184" t="s">
        <v>80</v>
      </c>
      <c r="C184">
        <v>101974.39999999999</v>
      </c>
      <c r="D184">
        <v>2.2639377638172631</v>
      </c>
      <c r="E184">
        <v>0.9603496251255691</v>
      </c>
      <c r="F184">
        <v>36588.019999999997</v>
      </c>
      <c r="G184">
        <v>10374.885475181431</v>
      </c>
      <c r="H184">
        <v>10374.885475181431</v>
      </c>
      <c r="I184">
        <v>0.97450987184825777</v>
      </c>
      <c r="J184">
        <v>0.87533971549857914</v>
      </c>
      <c r="K184">
        <v>2.265588634742409</v>
      </c>
      <c r="L184">
        <v>9081.5493001756568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5">
      <c r="A185" t="s">
        <v>110</v>
      </c>
      <c r="B185" t="s">
        <v>81</v>
      </c>
      <c r="C185">
        <v>102579.3</v>
      </c>
      <c r="D185">
        <v>2.3501902056222281</v>
      </c>
      <c r="E185">
        <v>0.95416092428819077</v>
      </c>
      <c r="F185">
        <v>40489.040000000001</v>
      </c>
      <c r="G185">
        <v>4415.4972307526914</v>
      </c>
      <c r="H185">
        <v>4415.4972307526914</v>
      </c>
      <c r="I185">
        <v>0.95492743496965116</v>
      </c>
      <c r="J185">
        <v>0.87100284236933612</v>
      </c>
      <c r="K185">
        <v>2.2639377638172631</v>
      </c>
      <c r="L185">
        <v>3845.910638459527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5">
      <c r="A186" t="s">
        <v>110</v>
      </c>
      <c r="B186" t="s">
        <v>82</v>
      </c>
      <c r="C186">
        <v>103388.7</v>
      </c>
      <c r="D186">
        <v>2.7020404646986731</v>
      </c>
      <c r="E186">
        <v>0.93405634585858988</v>
      </c>
      <c r="F186">
        <v>32800.980000000003</v>
      </c>
      <c r="G186">
        <v>-6497.529962925415</v>
      </c>
      <c r="H186">
        <v>-6497.529962925415</v>
      </c>
      <c r="I186">
        <v>0.89131204162395605</v>
      </c>
      <c r="J186">
        <v>0.85602058468777342</v>
      </c>
      <c r="K186">
        <v>2.3501902056222281</v>
      </c>
      <c r="L186">
        <v>-5562.0193978897414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-6497.529962925415</v>
      </c>
      <c r="T186">
        <v>-5562.0193978897414</v>
      </c>
      <c r="U186">
        <v>0</v>
      </c>
      <c r="V186">
        <v>0</v>
      </c>
      <c r="W186">
        <v>0</v>
      </c>
    </row>
    <row r="187" spans="1:23" x14ac:dyDescent="0.35">
      <c r="A187" t="s">
        <v>110</v>
      </c>
      <c r="B187" t="s">
        <v>83</v>
      </c>
      <c r="C187">
        <v>103957.9</v>
      </c>
      <c r="D187">
        <v>2.3363822945304822</v>
      </c>
      <c r="E187">
        <v>0.94337076272101905</v>
      </c>
      <c r="F187">
        <v>52716.26</v>
      </c>
      <c r="G187">
        <v>21002.415296564999</v>
      </c>
      <c r="H187">
        <v>21002.415296564999</v>
      </c>
      <c r="I187">
        <v>0.92078494475216999</v>
      </c>
      <c r="J187">
        <v>0.86313426971705465</v>
      </c>
      <c r="K187">
        <v>2.7020404646986731</v>
      </c>
      <c r="L187">
        <v>18127.90438929493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21002.415296564999</v>
      </c>
      <c r="T187">
        <v>18127.90438929493</v>
      </c>
      <c r="U187">
        <v>0</v>
      </c>
      <c r="V187">
        <v>0</v>
      </c>
      <c r="W187">
        <v>0</v>
      </c>
    </row>
    <row r="188" spans="1:23" x14ac:dyDescent="0.35">
      <c r="A188" t="s">
        <v>110</v>
      </c>
      <c r="B188" t="s">
        <v>84</v>
      </c>
      <c r="C188">
        <v>101255.2</v>
      </c>
      <c r="D188">
        <v>-0.70777386987030799</v>
      </c>
      <c r="E188">
        <v>0.939781289487986</v>
      </c>
      <c r="F188">
        <v>55684.71</v>
      </c>
      <c r="G188">
        <v>4447.7439987703037</v>
      </c>
      <c r="H188">
        <v>4447.7439987703037</v>
      </c>
      <c r="I188">
        <v>0.90942704672795494</v>
      </c>
      <c r="J188">
        <v>0.86042857052247967</v>
      </c>
      <c r="K188">
        <v>2.3363822945304822</v>
      </c>
      <c r="L188">
        <v>3826.9660109118699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5">
      <c r="A189" t="s">
        <v>110</v>
      </c>
      <c r="B189" t="s">
        <v>85</v>
      </c>
      <c r="C189">
        <v>90213.8</v>
      </c>
      <c r="D189">
        <v>-12.84537492811457</v>
      </c>
      <c r="E189">
        <v>0.94496104744805465</v>
      </c>
      <c r="F189">
        <v>28914.37</v>
      </c>
      <c r="G189">
        <v>-24149.360667720372</v>
      </c>
      <c r="H189">
        <v>-24149.360667720372</v>
      </c>
      <c r="I189">
        <v>0.92581696215040943</v>
      </c>
      <c r="J189">
        <v>0.86431883030494627</v>
      </c>
      <c r="K189">
        <v>-0.70777386987030799</v>
      </c>
      <c r="L189">
        <v>-20872.74716493634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-24149.360667720372</v>
      </c>
      <c r="T189">
        <v>-20872.74716493634</v>
      </c>
      <c r="U189">
        <v>0</v>
      </c>
      <c r="V189">
        <v>0</v>
      </c>
      <c r="W189">
        <v>0</v>
      </c>
    </row>
    <row r="190" spans="1:23" x14ac:dyDescent="0.35">
      <c r="A190" t="s">
        <v>110</v>
      </c>
      <c r="B190" t="s">
        <v>86</v>
      </c>
      <c r="C190">
        <v>100573.8</v>
      </c>
      <c r="D190">
        <v>-2.760388539948182</v>
      </c>
      <c r="E190">
        <v>0.93404529498222433</v>
      </c>
      <c r="F190">
        <v>27497.73</v>
      </c>
      <c r="G190">
        <v>298.34674216415812</v>
      </c>
      <c r="H190">
        <v>298.34674216415812</v>
      </c>
      <c r="I190">
        <v>0.89127707417366753</v>
      </c>
      <c r="J190">
        <v>0.85601196504259436</v>
      </c>
      <c r="K190">
        <v>-12.84537492811457</v>
      </c>
      <c r="L190">
        <v>255.3883810239972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298.34674216415812</v>
      </c>
      <c r="T190">
        <v>255.3883810239972</v>
      </c>
      <c r="U190">
        <v>0</v>
      </c>
      <c r="V190">
        <v>0</v>
      </c>
      <c r="W190">
        <v>0</v>
      </c>
    </row>
    <row r="191" spans="1:23" x14ac:dyDescent="0.35">
      <c r="A191" t="s">
        <v>110</v>
      </c>
      <c r="B191" t="s">
        <v>87</v>
      </c>
      <c r="C191">
        <v>100115.1</v>
      </c>
      <c r="D191">
        <v>-3.7665485396877378</v>
      </c>
      <c r="E191">
        <v>0.96111304369167505</v>
      </c>
      <c r="F191">
        <v>22319.62</v>
      </c>
      <c r="G191">
        <v>-4896.0136572600422</v>
      </c>
      <c r="H191">
        <v>-4896.0136572600422</v>
      </c>
      <c r="I191">
        <v>0.97692549934028872</v>
      </c>
      <c r="J191">
        <v>0.87586594724360822</v>
      </c>
      <c r="K191">
        <v>-2.760388539948182</v>
      </c>
      <c r="L191">
        <v>-4288.2516396337096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-4896.0136572600422</v>
      </c>
      <c r="T191">
        <v>-4288.2516396337096</v>
      </c>
      <c r="U191">
        <v>0</v>
      </c>
      <c r="V191">
        <v>0</v>
      </c>
      <c r="W191">
        <v>0</v>
      </c>
    </row>
    <row r="192" spans="1:23" x14ac:dyDescent="0.35">
      <c r="A192" t="s">
        <v>110</v>
      </c>
      <c r="B192" t="s">
        <v>88</v>
      </c>
      <c r="C192">
        <v>101745.2</v>
      </c>
      <c r="D192">
        <v>0.48275860702189771</v>
      </c>
      <c r="E192">
        <v>0.9501325090220325</v>
      </c>
      <c r="F192">
        <v>11888.73</v>
      </c>
      <c r="G192">
        <v>-10426.43013953445</v>
      </c>
      <c r="H192">
        <v>-10426.43013953445</v>
      </c>
      <c r="I192">
        <v>0.94218062594732699</v>
      </c>
      <c r="J192">
        <v>0.86811126619430867</v>
      </c>
      <c r="K192">
        <v>-3.7665485396877378</v>
      </c>
      <c r="L192">
        <v>-9051.301470317756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-10426.43013953445</v>
      </c>
      <c r="T192">
        <v>-9051.301470317756</v>
      </c>
      <c r="U192">
        <v>0</v>
      </c>
      <c r="V192">
        <v>0</v>
      </c>
      <c r="W192">
        <v>0</v>
      </c>
    </row>
    <row r="193" spans="1:23" x14ac:dyDescent="0.35">
      <c r="A193" t="s">
        <v>110</v>
      </c>
      <c r="B193" t="s">
        <v>89</v>
      </c>
      <c r="C193">
        <v>103303.9</v>
      </c>
      <c r="D193">
        <v>13.54927208127499</v>
      </c>
      <c r="E193">
        <v>0.92938750290660155</v>
      </c>
      <c r="F193">
        <v>18072.810000000001</v>
      </c>
      <c r="G193">
        <v>5509.7133275447604</v>
      </c>
      <c r="H193">
        <v>5509.7133275447604</v>
      </c>
      <c r="I193">
        <v>0.87653877582780726</v>
      </c>
      <c r="J193">
        <v>0.85234055087669824</v>
      </c>
      <c r="K193">
        <v>0.48275860702189771</v>
      </c>
      <c r="L193">
        <v>4696.1520927721867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5509.7133275447604</v>
      </c>
      <c r="T193">
        <v>4696.1520927721867</v>
      </c>
      <c r="U193">
        <v>0</v>
      </c>
      <c r="V193">
        <v>0</v>
      </c>
      <c r="W193">
        <v>0</v>
      </c>
    </row>
    <row r="194" spans="1:23" x14ac:dyDescent="0.35">
      <c r="A194" t="s">
        <v>110</v>
      </c>
      <c r="B194" t="s">
        <v>90</v>
      </c>
      <c r="C194">
        <v>105331.9</v>
      </c>
      <c r="D194">
        <v>4.6224530861090916</v>
      </c>
      <c r="E194">
        <v>0.90228308288329961</v>
      </c>
      <c r="F194">
        <v>21508.560000000001</v>
      </c>
      <c r="G194">
        <v>2469.4532050039338</v>
      </c>
      <c r="H194">
        <v>2469.4532050039338</v>
      </c>
      <c r="I194">
        <v>0.79077431440291202</v>
      </c>
      <c r="J194">
        <v>0.82942372977896861</v>
      </c>
      <c r="K194">
        <v>13.54927208127499</v>
      </c>
      <c r="L194">
        <v>2048.2230878089908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2469.4532050039338</v>
      </c>
      <c r="T194">
        <v>2048.2230878089908</v>
      </c>
      <c r="U194">
        <v>0</v>
      </c>
      <c r="V194">
        <v>0</v>
      </c>
      <c r="W194">
        <v>0</v>
      </c>
    </row>
    <row r="195" spans="1:23" x14ac:dyDescent="0.35">
      <c r="A195" t="s">
        <v>110</v>
      </c>
      <c r="B195" t="s">
        <v>91</v>
      </c>
      <c r="C195">
        <v>106304.5</v>
      </c>
      <c r="D195">
        <v>5.9987093376205696</v>
      </c>
      <c r="E195">
        <v>0.88784888074947876</v>
      </c>
      <c r="F195">
        <v>19802.650000000001</v>
      </c>
      <c r="G195">
        <v>-2218.2724663803642</v>
      </c>
      <c r="H195">
        <v>-2218.2724663803642</v>
      </c>
      <c r="I195">
        <v>0.74510126288434242</v>
      </c>
      <c r="J195">
        <v>0.81610866864379139</v>
      </c>
      <c r="K195">
        <v>4.6224530861090916</v>
      </c>
      <c r="L195">
        <v>-1810.3513892268579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-2218.2724663803642</v>
      </c>
      <c r="T195">
        <v>-1810.3513892268579</v>
      </c>
      <c r="U195">
        <v>0</v>
      </c>
      <c r="V195">
        <v>0</v>
      </c>
      <c r="W195">
        <v>0</v>
      </c>
    </row>
    <row r="196" spans="1:23" x14ac:dyDescent="0.35">
      <c r="A196" t="s">
        <v>110</v>
      </c>
      <c r="B196" t="s">
        <v>92</v>
      </c>
      <c r="C196">
        <v>106977.2</v>
      </c>
      <c r="D196">
        <v>5.014407888133106</v>
      </c>
      <c r="E196">
        <v>0.78064944858667973</v>
      </c>
      <c r="F196">
        <v>26455.02</v>
      </c>
      <c r="G196">
        <v>6249.2545952329347</v>
      </c>
      <c r="H196">
        <v>6249.2545952329347</v>
      </c>
      <c r="I196">
        <v>0.40589822675248782</v>
      </c>
      <c r="J196">
        <v>0.69249218548200264</v>
      </c>
      <c r="K196">
        <v>5.9987093376205696</v>
      </c>
      <c r="L196">
        <v>4327.5599722863026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5">
      <c r="A197" t="s">
        <v>110</v>
      </c>
      <c r="B197" t="s">
        <v>93</v>
      </c>
      <c r="C197">
        <v>108183.7</v>
      </c>
      <c r="D197">
        <v>4.6155578586742658</v>
      </c>
      <c r="E197">
        <v>0.85804143414093403</v>
      </c>
      <c r="F197">
        <v>29343.64</v>
      </c>
      <c r="G197">
        <v>2660.8418006622051</v>
      </c>
      <c r="H197">
        <v>2660.8418006622051</v>
      </c>
      <c r="I197">
        <v>0.65078381935906571</v>
      </c>
      <c r="J197">
        <v>0.78609869585174297</v>
      </c>
      <c r="K197">
        <v>5.014407888133106</v>
      </c>
      <c r="L197">
        <v>2091.6842693683629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5">
      <c r="A198" t="s">
        <v>110</v>
      </c>
      <c r="B198" t="s">
        <v>94</v>
      </c>
      <c r="C198">
        <v>108971.7</v>
      </c>
      <c r="D198">
        <v>3.3971898259849751</v>
      </c>
      <c r="E198">
        <v>0.92404375584932341</v>
      </c>
      <c r="F198">
        <v>24504.76</v>
      </c>
      <c r="G198">
        <v>-4610.2754712220849</v>
      </c>
      <c r="H198">
        <v>-4610.2754712220849</v>
      </c>
      <c r="I198">
        <v>0.85962996213748222</v>
      </c>
      <c r="J198">
        <v>0.84803348535559275</v>
      </c>
      <c r="K198">
        <v>4.6155578586742658</v>
      </c>
      <c r="L198">
        <v>-3909.6679763098618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5">
      <c r="A199" t="s">
        <v>110</v>
      </c>
      <c r="B199" t="s">
        <v>95</v>
      </c>
      <c r="C199">
        <v>109322.8</v>
      </c>
      <c r="D199">
        <v>2.7997356139841938</v>
      </c>
      <c r="E199">
        <v>0.88940926748725335</v>
      </c>
      <c r="F199">
        <v>26500.43</v>
      </c>
      <c r="G199">
        <v>2181.4839460196272</v>
      </c>
      <c r="H199">
        <v>2181.4839460196272</v>
      </c>
      <c r="I199">
        <v>0.75003867634180565</v>
      </c>
      <c r="J199">
        <v>0.81758601278855747</v>
      </c>
      <c r="K199">
        <v>3.3971898259849751</v>
      </c>
      <c r="L199">
        <v>1783.5507613884361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5">
      <c r="A200" t="s">
        <v>110</v>
      </c>
      <c r="B200" t="s">
        <v>96</v>
      </c>
      <c r="C200">
        <v>109617.1</v>
      </c>
      <c r="D200">
        <v>2.4377656597463422</v>
      </c>
      <c r="E200">
        <v>0.81312265699315933</v>
      </c>
      <c r="F200">
        <v>26400.05</v>
      </c>
      <c r="G200">
        <v>-84.520772908697836</v>
      </c>
      <c r="H200">
        <v>-84.520772908697836</v>
      </c>
      <c r="I200">
        <v>0.50865073823680551</v>
      </c>
      <c r="J200">
        <v>0.73444662660721816</v>
      </c>
      <c r="K200">
        <v>2.7997356139841938</v>
      </c>
      <c r="L200">
        <v>-62.075996541027877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5">
      <c r="A201" t="s">
        <v>110</v>
      </c>
      <c r="B201" t="s">
        <v>97</v>
      </c>
      <c r="C201">
        <v>109947.3</v>
      </c>
      <c r="D201">
        <v>1.6170451968710471</v>
      </c>
      <c r="E201">
        <v>0.69124205056268784</v>
      </c>
      <c r="F201">
        <v>30702.400000000001</v>
      </c>
      <c r="G201">
        <v>4416.8820192602216</v>
      </c>
      <c r="H201">
        <v>4416.8820192602216</v>
      </c>
      <c r="I201">
        <v>0.1229931753868185</v>
      </c>
      <c r="J201">
        <v>0.56118835974633419</v>
      </c>
      <c r="K201">
        <v>2.4377656597463422</v>
      </c>
      <c r="L201">
        <v>2478.7027755817198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4416.8820192602216</v>
      </c>
      <c r="T201">
        <v>2478.7027755817198</v>
      </c>
      <c r="U201">
        <v>0</v>
      </c>
      <c r="V201">
        <v>0</v>
      </c>
      <c r="W201">
        <v>0</v>
      </c>
    </row>
    <row r="202" spans="1:23" x14ac:dyDescent="0.35">
      <c r="A202" t="s">
        <v>110</v>
      </c>
      <c r="B202" t="s">
        <v>98</v>
      </c>
      <c r="C202">
        <v>110141.2</v>
      </c>
      <c r="D202">
        <v>1.0674963508111719</v>
      </c>
      <c r="E202">
        <v>0.67942917749200116</v>
      </c>
      <c r="F202">
        <v>17905.28</v>
      </c>
      <c r="G202">
        <v>-12517.608803376361</v>
      </c>
      <c r="H202">
        <v>-12517.608803376361</v>
      </c>
      <c r="I202">
        <v>8.5614596693118467E-2</v>
      </c>
      <c r="J202">
        <v>0.54270301360348361</v>
      </c>
      <c r="K202">
        <v>1.6170451968710471</v>
      </c>
      <c r="L202">
        <v>-6793.3440207018484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-12517.608803376361</v>
      </c>
      <c r="T202">
        <v>-6793.3440207018484</v>
      </c>
      <c r="U202">
        <v>0</v>
      </c>
      <c r="V202">
        <v>0</v>
      </c>
      <c r="W202">
        <v>0</v>
      </c>
    </row>
    <row r="203" spans="1:23" x14ac:dyDescent="0.35">
      <c r="A203" t="s">
        <v>110</v>
      </c>
      <c r="B203" t="s">
        <v>99</v>
      </c>
      <c r="C203">
        <v>110517.1</v>
      </c>
      <c r="D203">
        <v>1.0865286504825551</v>
      </c>
      <c r="E203">
        <v>0.68594884720688165</v>
      </c>
      <c r="F203">
        <v>16655.52</v>
      </c>
      <c r="G203">
        <v>-1255.046474869388</v>
      </c>
      <c r="H203">
        <v>-1255.046474869388</v>
      </c>
      <c r="I203">
        <v>0.106244293299215</v>
      </c>
      <c r="J203">
        <v>0.5529231667515756</v>
      </c>
      <c r="K203">
        <v>1.0674963508111719</v>
      </c>
      <c r="L203">
        <v>-693.94427130518397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-1255.046474869388</v>
      </c>
      <c r="T203">
        <v>-693.94427130518397</v>
      </c>
      <c r="U203">
        <v>0</v>
      </c>
      <c r="V203">
        <v>0</v>
      </c>
      <c r="W203">
        <v>0</v>
      </c>
    </row>
    <row r="204" spans="1:23" x14ac:dyDescent="0.35">
      <c r="A204" t="s">
        <v>110</v>
      </c>
      <c r="B204" t="s">
        <v>100</v>
      </c>
      <c r="C204">
        <v>110940.6</v>
      </c>
      <c r="D204">
        <v>1.2001538699714911</v>
      </c>
      <c r="E204">
        <v>0.71485305626356588</v>
      </c>
      <c r="F204">
        <v>16042.91</v>
      </c>
      <c r="G204">
        <v>-1325.5086914047929</v>
      </c>
      <c r="H204">
        <v>-1325.5086914047929</v>
      </c>
      <c r="I204">
        <v>0.19770369071586949</v>
      </c>
      <c r="J204">
        <v>0.59758373575376489</v>
      </c>
      <c r="K204">
        <v>1.0865286504825551</v>
      </c>
      <c r="L204">
        <v>-792.10243558376067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-1325.5086914047929</v>
      </c>
      <c r="T204">
        <v>-792.10243558376067</v>
      </c>
      <c r="U204">
        <v>0</v>
      </c>
      <c r="V204">
        <v>0</v>
      </c>
      <c r="W204">
        <v>0</v>
      </c>
    </row>
    <row r="205" spans="1:23" x14ac:dyDescent="0.35">
      <c r="A205" t="s">
        <v>110</v>
      </c>
      <c r="B205" t="s">
        <v>101</v>
      </c>
      <c r="C205">
        <v>111156.4</v>
      </c>
      <c r="D205">
        <v>1.093705851699561</v>
      </c>
      <c r="E205">
        <v>0.49642492306339542</v>
      </c>
      <c r="F205">
        <v>15096.69</v>
      </c>
      <c r="G205">
        <v>-1747.62351995877</v>
      </c>
      <c r="H205">
        <v>-1747.62351995877</v>
      </c>
      <c r="I205">
        <v>-0.49345189157855462</v>
      </c>
      <c r="J205">
        <v>0.2715240720525337</v>
      </c>
      <c r="K205">
        <v>1.2001538699714911</v>
      </c>
      <c r="L205">
        <v>-474.52185455398762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-1747.62351995877</v>
      </c>
      <c r="T205">
        <v>-474.52185455398762</v>
      </c>
      <c r="U205">
        <v>0</v>
      </c>
      <c r="V205">
        <v>0</v>
      </c>
      <c r="W205">
        <v>0</v>
      </c>
    </row>
    <row r="206" spans="1:23" x14ac:dyDescent="0.35">
      <c r="A206" t="s">
        <v>110</v>
      </c>
      <c r="B206" t="s">
        <v>102</v>
      </c>
      <c r="C206">
        <v>111397.5</v>
      </c>
      <c r="D206">
        <v>1.1341706590417451</v>
      </c>
      <c r="E206">
        <v>-0.21778405832477779</v>
      </c>
      <c r="F206">
        <v>19263.25</v>
      </c>
      <c r="G206">
        <v>3296.2288795207619</v>
      </c>
      <c r="H206">
        <v>3296.2288795207619</v>
      </c>
      <c r="I206">
        <v>-2.7533692253905029</v>
      </c>
      <c r="J206">
        <v>4.042914001734405E-3</v>
      </c>
      <c r="K206">
        <v>1.093705851699561</v>
      </c>
      <c r="L206">
        <v>13.326369889935799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3296.2288795207619</v>
      </c>
      <c r="T206">
        <v>13.326369889935799</v>
      </c>
      <c r="U206">
        <v>0</v>
      </c>
      <c r="V206">
        <v>0</v>
      </c>
      <c r="W206">
        <v>0</v>
      </c>
    </row>
    <row r="207" spans="1:23" x14ac:dyDescent="0.35">
      <c r="A207" t="s">
        <v>110</v>
      </c>
      <c r="B207" t="s">
        <v>103</v>
      </c>
      <c r="C207">
        <v>111560.7</v>
      </c>
      <c r="D207">
        <v>0.93985772737068052</v>
      </c>
      <c r="E207">
        <v>-0.1191213590048897</v>
      </c>
      <c r="F207">
        <v>26370.25</v>
      </c>
      <c r="G207">
        <v>6352.7743362205329</v>
      </c>
      <c r="H207">
        <v>6352.7743362205329</v>
      </c>
      <c r="I207">
        <v>-2.4411783258020989</v>
      </c>
      <c r="J207">
        <v>7.5221204511447207E-3</v>
      </c>
      <c r="K207">
        <v>1.1341706590417451</v>
      </c>
      <c r="L207">
        <v>47.786333755991798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6352.7743362205329</v>
      </c>
      <c r="T207">
        <v>47.786333755991798</v>
      </c>
      <c r="U207">
        <v>0</v>
      </c>
      <c r="V207">
        <v>0</v>
      </c>
      <c r="W207">
        <v>0</v>
      </c>
    </row>
    <row r="208" spans="1:23" x14ac:dyDescent="0.35">
      <c r="A208" t="s">
        <v>110</v>
      </c>
      <c r="B208" t="s">
        <v>104</v>
      </c>
      <c r="C208">
        <v>112003.7</v>
      </c>
      <c r="D208">
        <v>0.95369835224230848</v>
      </c>
      <c r="E208">
        <v>-0.14083607549773239</v>
      </c>
      <c r="F208">
        <v>48145.7</v>
      </c>
      <c r="G208">
        <v>21516.57673025272</v>
      </c>
      <c r="H208">
        <v>21516.57673025272</v>
      </c>
      <c r="I208">
        <v>-2.5098885569526601</v>
      </c>
      <c r="J208">
        <v>6.5626460974417544E-3</v>
      </c>
      <c r="K208">
        <v>0.93985772737068052</v>
      </c>
      <c r="L208">
        <v>141.20567830909911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5">
      <c r="A209" t="s">
        <v>110</v>
      </c>
      <c r="B209" t="s">
        <v>105</v>
      </c>
      <c r="C209">
        <v>112282.5</v>
      </c>
      <c r="D209">
        <v>1.0079798410360921</v>
      </c>
      <c r="E209">
        <v>0.10251013611618939</v>
      </c>
      <c r="F209">
        <v>80038.14</v>
      </c>
      <c r="G209">
        <v>32860.236300339107</v>
      </c>
      <c r="H209">
        <v>32860.236300339107</v>
      </c>
      <c r="I209">
        <v>-1.739886588236337</v>
      </c>
      <c r="J209">
        <v>2.9893256905209518E-2</v>
      </c>
      <c r="K209">
        <v>0.95369835224230848</v>
      </c>
      <c r="L209">
        <v>982.29948569192879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5">
      <c r="A210" t="s">
        <v>110</v>
      </c>
      <c r="B210" t="s">
        <v>106</v>
      </c>
      <c r="C210">
        <v>112543.1</v>
      </c>
      <c r="D210">
        <v>1.023137379760205</v>
      </c>
      <c r="E210">
        <v>7.2056943060549869E-2</v>
      </c>
      <c r="F210">
        <v>106862.2</v>
      </c>
      <c r="G210">
        <v>30173.051455287681</v>
      </c>
      <c r="H210">
        <v>30173.051455287681</v>
      </c>
      <c r="I210">
        <v>-1.83624731828848</v>
      </c>
      <c r="J210">
        <v>2.4783179804717032E-2</v>
      </c>
      <c r="K210">
        <v>1.0079798410360921</v>
      </c>
      <c r="L210">
        <v>747.78415947337362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30173.051455287681</v>
      </c>
      <c r="T210">
        <v>747.78415947337362</v>
      </c>
      <c r="U210">
        <v>0</v>
      </c>
      <c r="V210">
        <v>0</v>
      </c>
      <c r="W210">
        <v>0</v>
      </c>
    </row>
    <row r="211" spans="1:23" x14ac:dyDescent="0.35">
      <c r="A211" t="s">
        <v>110</v>
      </c>
      <c r="B211" t="s">
        <v>107</v>
      </c>
      <c r="C211">
        <v>112601.4</v>
      </c>
      <c r="D211">
        <v>0.92853116308210382</v>
      </c>
      <c r="E211">
        <v>7.4520220338948812E-2</v>
      </c>
      <c r="F211">
        <v>94947.06</v>
      </c>
      <c r="G211">
        <v>-5865.0461574176588</v>
      </c>
      <c r="H211">
        <v>-5865.0461574176588</v>
      </c>
      <c r="I211">
        <v>-1.8284529567437411</v>
      </c>
      <c r="J211">
        <v>2.516274740388463E-2</v>
      </c>
      <c r="K211">
        <v>1.023137379760205</v>
      </c>
      <c r="L211">
        <v>-147.58067497122471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-5865.0461574176588</v>
      </c>
      <c r="T211">
        <v>-147.58067497122471</v>
      </c>
      <c r="U211">
        <v>0</v>
      </c>
      <c r="V211">
        <v>0</v>
      </c>
      <c r="W211">
        <v>0</v>
      </c>
    </row>
    <row r="212" spans="1:23" x14ac:dyDescent="0.35">
      <c r="A212" t="s">
        <v>110</v>
      </c>
      <c r="B212" t="s">
        <v>108</v>
      </c>
      <c r="C212">
        <v>112852.8</v>
      </c>
      <c r="D212">
        <v>0.75524081889695471</v>
      </c>
      <c r="E212">
        <v>6.3968290518102058E-2</v>
      </c>
      <c r="F212">
        <v>81871.73</v>
      </c>
      <c r="G212">
        <v>-6116.8052336188266</v>
      </c>
      <c r="H212">
        <v>-6116.8052336188266</v>
      </c>
      <c r="I212">
        <v>-1.861841628307279</v>
      </c>
      <c r="J212">
        <v>2.3575641262213259E-2</v>
      </c>
      <c r="K212">
        <v>0.92853116308210382</v>
      </c>
      <c r="L212">
        <v>-144.20760585862601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-6116.8052336188266</v>
      </c>
      <c r="T212">
        <v>-144.20760585862601</v>
      </c>
      <c r="U212">
        <v>0</v>
      </c>
      <c r="V212">
        <v>0</v>
      </c>
      <c r="W212">
        <v>0</v>
      </c>
    </row>
    <row r="213" spans="1:23" x14ac:dyDescent="0.35">
      <c r="A213" t="s">
        <v>111</v>
      </c>
      <c r="B213" t="s">
        <v>4</v>
      </c>
      <c r="C213">
        <v>595706.69999999995</v>
      </c>
      <c r="F213">
        <v>5832.3329999999996</v>
      </c>
      <c r="G213">
        <v>-3714.5931994258599</v>
      </c>
      <c r="H213">
        <v>-3714.5931994258599</v>
      </c>
      <c r="M213">
        <v>0</v>
      </c>
      <c r="N213">
        <v>0</v>
      </c>
    </row>
    <row r="214" spans="1:23" x14ac:dyDescent="0.35">
      <c r="A214" t="s">
        <v>111</v>
      </c>
      <c r="B214" t="s">
        <v>5</v>
      </c>
      <c r="C214">
        <v>600717</v>
      </c>
      <c r="F214">
        <v>5569.9409999999998</v>
      </c>
      <c r="G214">
        <v>-1919.831103877337</v>
      </c>
      <c r="H214">
        <v>-1919.831103877337</v>
      </c>
      <c r="M214">
        <v>0</v>
      </c>
      <c r="N214">
        <v>0</v>
      </c>
    </row>
    <row r="215" spans="1:23" x14ac:dyDescent="0.35">
      <c r="A215" t="s">
        <v>111</v>
      </c>
      <c r="B215" t="s">
        <v>6</v>
      </c>
      <c r="C215">
        <v>600864.30000000005</v>
      </c>
      <c r="F215">
        <v>13816.67</v>
      </c>
      <c r="G215">
        <v>6474.4940275934759</v>
      </c>
      <c r="H215">
        <v>6474.4940275934759</v>
      </c>
      <c r="M215">
        <v>0</v>
      </c>
      <c r="N215">
        <v>0</v>
      </c>
    </row>
    <row r="216" spans="1:23" x14ac:dyDescent="0.35">
      <c r="A216" t="s">
        <v>111</v>
      </c>
      <c r="B216" t="s">
        <v>7</v>
      </c>
      <c r="C216">
        <v>598359.19999999995</v>
      </c>
      <c r="F216">
        <v>11881.05</v>
      </c>
      <c r="G216">
        <v>-3395.2229350538159</v>
      </c>
      <c r="H216">
        <v>-3395.2229350538159</v>
      </c>
      <c r="M216">
        <v>0</v>
      </c>
      <c r="N216">
        <v>0</v>
      </c>
    </row>
    <row r="217" spans="1:23" x14ac:dyDescent="0.35">
      <c r="A217" t="s">
        <v>111</v>
      </c>
      <c r="B217" t="s">
        <v>8</v>
      </c>
      <c r="C217">
        <v>610958.9</v>
      </c>
      <c r="D217">
        <v>2.5281258289798441</v>
      </c>
      <c r="F217">
        <v>22324.51</v>
      </c>
      <c r="G217">
        <v>9331.4609908810216</v>
      </c>
      <c r="H217">
        <v>9331.4609908810216</v>
      </c>
      <c r="M217">
        <v>0</v>
      </c>
      <c r="N217">
        <v>0</v>
      </c>
      <c r="Q217">
        <v>0</v>
      </c>
      <c r="R217">
        <v>1</v>
      </c>
      <c r="S217">
        <v>0</v>
      </c>
      <c r="U217">
        <v>0</v>
      </c>
      <c r="V217">
        <v>0</v>
      </c>
    </row>
    <row r="218" spans="1:23" x14ac:dyDescent="0.35">
      <c r="A218" t="s">
        <v>111</v>
      </c>
      <c r="B218" t="s">
        <v>9</v>
      </c>
      <c r="C218">
        <v>609706.30000000005</v>
      </c>
      <c r="D218">
        <v>1.48534240390504</v>
      </c>
      <c r="F218">
        <v>13179.21</v>
      </c>
      <c r="G218">
        <v>-9943.8528374191192</v>
      </c>
      <c r="H218">
        <v>-9943.8528374191192</v>
      </c>
      <c r="K218">
        <v>2.5281258289798441</v>
      </c>
      <c r="M218">
        <v>0</v>
      </c>
      <c r="N218">
        <v>0</v>
      </c>
      <c r="Q218">
        <v>0</v>
      </c>
      <c r="R218">
        <v>1</v>
      </c>
      <c r="S218">
        <v>0</v>
      </c>
      <c r="U218">
        <v>0</v>
      </c>
      <c r="V218">
        <v>0</v>
      </c>
    </row>
    <row r="219" spans="1:23" x14ac:dyDescent="0.35">
      <c r="A219" t="s">
        <v>111</v>
      </c>
      <c r="B219" t="s">
        <v>10</v>
      </c>
      <c r="C219">
        <v>609485.30000000005</v>
      </c>
      <c r="D219">
        <v>1.4245711809553649</v>
      </c>
      <c r="F219">
        <v>25155.95</v>
      </c>
      <c r="G219">
        <v>11353.658528725049</v>
      </c>
      <c r="H219">
        <v>11353.658528725049</v>
      </c>
      <c r="K219">
        <v>1.48534240390504</v>
      </c>
      <c r="M219">
        <v>0</v>
      </c>
      <c r="N219">
        <v>0</v>
      </c>
      <c r="Q219">
        <v>0</v>
      </c>
      <c r="R219">
        <v>1</v>
      </c>
      <c r="S219">
        <v>0</v>
      </c>
      <c r="U219">
        <v>0</v>
      </c>
      <c r="V219">
        <v>0</v>
      </c>
    </row>
    <row r="220" spans="1:23" x14ac:dyDescent="0.35">
      <c r="A220" t="s">
        <v>111</v>
      </c>
      <c r="B220" t="s">
        <v>11</v>
      </c>
      <c r="C220">
        <v>607717</v>
      </c>
      <c r="D220">
        <v>1.5518070561874311</v>
      </c>
      <c r="F220">
        <v>23448.18</v>
      </c>
      <c r="G220">
        <v>-2327.5821782993439</v>
      </c>
      <c r="H220">
        <v>-2327.5821782993439</v>
      </c>
      <c r="K220">
        <v>1.4245711809553649</v>
      </c>
      <c r="M220">
        <v>0</v>
      </c>
      <c r="N220">
        <v>0</v>
      </c>
      <c r="Q220">
        <v>0</v>
      </c>
      <c r="R220">
        <v>1</v>
      </c>
      <c r="S220">
        <v>0</v>
      </c>
      <c r="U220">
        <v>0</v>
      </c>
      <c r="V220">
        <v>0</v>
      </c>
    </row>
    <row r="221" spans="1:23" x14ac:dyDescent="0.35">
      <c r="A221" t="s">
        <v>111</v>
      </c>
      <c r="B221" t="s">
        <v>12</v>
      </c>
      <c r="C221">
        <v>604861.69999999995</v>
      </c>
      <c r="D221">
        <v>-1.0029853275616789</v>
      </c>
      <c r="E221">
        <v>0.81692501639075499</v>
      </c>
      <c r="F221">
        <v>22597.360000000001</v>
      </c>
      <c r="G221">
        <v>-922.17355643885821</v>
      </c>
      <c r="H221">
        <v>-922.17355643885821</v>
      </c>
      <c r="I221">
        <v>0.52068225581210592</v>
      </c>
      <c r="J221">
        <v>0.73911320370210865</v>
      </c>
      <c r="K221">
        <v>1.5518070561874311</v>
      </c>
      <c r="L221">
        <v>-681.59065166889184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35">
      <c r="A222" t="s">
        <v>111</v>
      </c>
      <c r="B222" t="s">
        <v>13</v>
      </c>
      <c r="C222">
        <v>607367</v>
      </c>
      <c r="D222">
        <v>-0.3844144606145915</v>
      </c>
      <c r="E222">
        <v>0.86103525027398387</v>
      </c>
      <c r="F222">
        <v>17938.45</v>
      </c>
      <c r="G222">
        <v>-4851.7453407365683</v>
      </c>
      <c r="H222">
        <v>-4851.7453407365683</v>
      </c>
      <c r="I222">
        <v>0.66025692478007969</v>
      </c>
      <c r="J222">
        <v>0.78926718499482806</v>
      </c>
      <c r="K222">
        <v>-1.0029853275616789</v>
      </c>
      <c r="L222">
        <v>-3829.3233873949239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5">
      <c r="A223" t="s">
        <v>111</v>
      </c>
      <c r="B223" t="s">
        <v>14</v>
      </c>
      <c r="C223">
        <v>611272.1</v>
      </c>
      <c r="D223">
        <v>0.29273650538481188</v>
      </c>
      <c r="E223">
        <v>0.88709551580826351</v>
      </c>
      <c r="F223">
        <v>14136.45</v>
      </c>
      <c r="G223">
        <v>-4222.8378093282299</v>
      </c>
      <c r="H223">
        <v>-4222.8378093282299</v>
      </c>
      <c r="I223">
        <v>0.74271744731536227</v>
      </c>
      <c r="J223">
        <v>0.81539208632830207</v>
      </c>
      <c r="K223">
        <v>-0.3844144606145915</v>
      </c>
      <c r="L223">
        <v>-3443.2685315741819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5">
      <c r="A224" t="s">
        <v>111</v>
      </c>
      <c r="B224" t="s">
        <v>15</v>
      </c>
      <c r="C224">
        <v>609798.40000000002</v>
      </c>
      <c r="D224">
        <v>0.34190976601525558</v>
      </c>
      <c r="E224">
        <v>0.96170359307728204</v>
      </c>
      <c r="F224">
        <v>27832.880000000001</v>
      </c>
      <c r="G224">
        <v>12885.617455236321</v>
      </c>
      <c r="H224">
        <v>12885.617455236321</v>
      </c>
      <c r="I224">
        <v>0.97879412999011794</v>
      </c>
      <c r="J224">
        <v>0.87627170974186175</v>
      </c>
      <c r="K224">
        <v>0.29273650538481188</v>
      </c>
      <c r="L224">
        <v>11291.30203857951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5">
      <c r="A225" t="s">
        <v>111</v>
      </c>
      <c r="B225" t="s">
        <v>16</v>
      </c>
      <c r="C225">
        <v>601380.30000000005</v>
      </c>
      <c r="D225">
        <v>-0.57723237403456717</v>
      </c>
      <c r="E225">
        <v>0.93384920527255222</v>
      </c>
      <c r="F225">
        <v>25718.62</v>
      </c>
      <c r="G225">
        <v>-2578.9762101676129</v>
      </c>
      <c r="H225">
        <v>-2578.9762101676129</v>
      </c>
      <c r="I225">
        <v>0.89065660237141042</v>
      </c>
      <c r="J225">
        <v>0.85585894435855159</v>
      </c>
      <c r="K225">
        <v>0.34190976601525558</v>
      </c>
      <c r="L225">
        <v>-2207.2398567598721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5">
      <c r="A226" t="s">
        <v>111</v>
      </c>
      <c r="B226" t="s">
        <v>17</v>
      </c>
      <c r="C226">
        <v>602338.1</v>
      </c>
      <c r="D226">
        <v>-0.83143056430008833</v>
      </c>
      <c r="E226">
        <v>0.90185105456239423</v>
      </c>
      <c r="F226">
        <v>34454.82</v>
      </c>
      <c r="G226">
        <v>8892.3153268391106</v>
      </c>
      <c r="H226">
        <v>8892.3153268391106</v>
      </c>
      <c r="I226">
        <v>0.78940727994023407</v>
      </c>
      <c r="J226">
        <v>0.82903656522506552</v>
      </c>
      <c r="K226">
        <v>-0.57723237403456717</v>
      </c>
      <c r="L226">
        <v>7372.0545554609034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5">
      <c r="A227" t="s">
        <v>111</v>
      </c>
      <c r="B227" t="s">
        <v>18</v>
      </c>
      <c r="C227">
        <v>607643.1</v>
      </c>
      <c r="D227">
        <v>-0.59544925233081658</v>
      </c>
      <c r="E227">
        <v>0.88017878809897976</v>
      </c>
      <c r="F227">
        <v>23886.34</v>
      </c>
      <c r="G227">
        <v>-10175.62221530782</v>
      </c>
      <c r="H227">
        <v>-10175.62221530782</v>
      </c>
      <c r="I227">
        <v>0.72083137019954935</v>
      </c>
      <c r="J227">
        <v>0.80871200426310841</v>
      </c>
      <c r="K227">
        <v>-0.83143056430008833</v>
      </c>
      <c r="L227">
        <v>-8229.1478363657952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-10175.62221530782</v>
      </c>
      <c r="T227">
        <v>-8229.1478363657952</v>
      </c>
      <c r="U227">
        <v>0</v>
      </c>
      <c r="V227">
        <v>0</v>
      </c>
      <c r="W227">
        <v>0</v>
      </c>
    </row>
    <row r="228" spans="1:23" x14ac:dyDescent="0.35">
      <c r="A228" t="s">
        <v>111</v>
      </c>
      <c r="B228" t="s">
        <v>19</v>
      </c>
      <c r="C228">
        <v>608453.6</v>
      </c>
      <c r="D228">
        <v>-0.22077543008063749</v>
      </c>
      <c r="E228">
        <v>0.86865487719567136</v>
      </c>
      <c r="F228">
        <v>12058.21</v>
      </c>
      <c r="G228">
        <v>-11403.891117199109</v>
      </c>
      <c r="H228">
        <v>-11403.891117199109</v>
      </c>
      <c r="I228">
        <v>0.68436713258512949</v>
      </c>
      <c r="J228">
        <v>0.79717557808927475</v>
      </c>
      <c r="K228">
        <v>-0.59544925233081658</v>
      </c>
      <c r="L228">
        <v>-9090.9034938203476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-11403.891117199109</v>
      </c>
      <c r="T228">
        <v>-9090.9034938203476</v>
      </c>
      <c r="U228">
        <v>0</v>
      </c>
      <c r="V228">
        <v>0</v>
      </c>
      <c r="W228">
        <v>0</v>
      </c>
    </row>
    <row r="229" spans="1:23" x14ac:dyDescent="0.35">
      <c r="A229" t="s">
        <v>111</v>
      </c>
      <c r="B229" t="s">
        <v>20</v>
      </c>
      <c r="C229">
        <v>607495.9</v>
      </c>
      <c r="D229">
        <v>1.0117913103391201</v>
      </c>
      <c r="E229">
        <v>0.86571305632832274</v>
      </c>
      <c r="F229">
        <v>16122.31</v>
      </c>
      <c r="G229">
        <v>3477.0160780143342</v>
      </c>
      <c r="H229">
        <v>3477.0160780143342</v>
      </c>
      <c r="I229">
        <v>0.67505855184148078</v>
      </c>
      <c r="J229">
        <v>0.79414877255865668</v>
      </c>
      <c r="K229">
        <v>-0.22077543008063749</v>
      </c>
      <c r="L229">
        <v>2761.2680505217982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3477.0160780143342</v>
      </c>
      <c r="T229">
        <v>2761.2680505217982</v>
      </c>
      <c r="U229">
        <v>0</v>
      </c>
      <c r="V229">
        <v>0</v>
      </c>
      <c r="W229">
        <v>0</v>
      </c>
    </row>
    <row r="230" spans="1:23" x14ac:dyDescent="0.35">
      <c r="A230" t="s">
        <v>111</v>
      </c>
      <c r="B230" t="s">
        <v>21</v>
      </c>
      <c r="C230">
        <v>611106.30000000005</v>
      </c>
      <c r="D230">
        <v>1.4452005564209469</v>
      </c>
      <c r="E230">
        <v>0.88559895013457668</v>
      </c>
      <c r="F230">
        <v>9975.3389999999999</v>
      </c>
      <c r="G230">
        <v>-7181.6860400218247</v>
      </c>
      <c r="H230">
        <v>-7181.6860400218247</v>
      </c>
      <c r="I230">
        <v>0.73798197801255516</v>
      </c>
      <c r="J230">
        <v>0.81396218596557701</v>
      </c>
      <c r="K230">
        <v>1.0117913103391201</v>
      </c>
      <c r="L230">
        <v>-5845.6208680546324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-7181.6860400218247</v>
      </c>
      <c r="T230">
        <v>-5845.6208680546324</v>
      </c>
      <c r="U230">
        <v>0</v>
      </c>
      <c r="V230">
        <v>0</v>
      </c>
      <c r="W230">
        <v>0</v>
      </c>
    </row>
    <row r="231" spans="1:23" x14ac:dyDescent="0.35">
      <c r="A231" t="s">
        <v>111</v>
      </c>
      <c r="B231" t="s">
        <v>22</v>
      </c>
      <c r="C231">
        <v>609116.9</v>
      </c>
      <c r="D231">
        <v>0.24225002806643581</v>
      </c>
      <c r="E231">
        <v>0.57905627416859118</v>
      </c>
      <c r="F231">
        <v>14397.81</v>
      </c>
      <c r="G231">
        <v>3353.6931959349681</v>
      </c>
      <c r="H231">
        <v>3353.6931959349681</v>
      </c>
      <c r="I231">
        <v>-0.2319877717687259</v>
      </c>
      <c r="J231">
        <v>0.38604313921240008</v>
      </c>
      <c r="K231">
        <v>1.4452005564209469</v>
      </c>
      <c r="L231">
        <v>1294.6702493140019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5">
      <c r="A232" t="s">
        <v>111</v>
      </c>
      <c r="B232" t="s">
        <v>23</v>
      </c>
      <c r="C232">
        <v>608748.5</v>
      </c>
      <c r="D232">
        <v>4.8455388923517383E-2</v>
      </c>
      <c r="E232">
        <v>0.62466859983125189</v>
      </c>
      <c r="F232">
        <v>13202.73</v>
      </c>
      <c r="G232">
        <v>-2405.1200373209231</v>
      </c>
      <c r="H232">
        <v>-2405.1200373209231</v>
      </c>
      <c r="I232">
        <v>-8.7660147660484133E-2</v>
      </c>
      <c r="J232">
        <v>0.45628184999362842</v>
      </c>
      <c r="K232">
        <v>0.24225002806643581</v>
      </c>
      <c r="L232">
        <v>-1097.4126200855351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5">
      <c r="A233" t="s">
        <v>111</v>
      </c>
      <c r="B233" t="s">
        <v>24</v>
      </c>
      <c r="C233">
        <v>609945.80000000005</v>
      </c>
      <c r="D233">
        <v>0.40246745399912609</v>
      </c>
      <c r="E233">
        <v>0.75765313179853655</v>
      </c>
      <c r="F233">
        <v>11537.9</v>
      </c>
      <c r="G233">
        <v>-2694.6719418449161</v>
      </c>
      <c r="H233">
        <v>-2694.6719418449161</v>
      </c>
      <c r="I233">
        <v>0.33313272494887791</v>
      </c>
      <c r="J233">
        <v>0.66066642726225944</v>
      </c>
      <c r="K233">
        <v>4.8455388923517383E-2</v>
      </c>
      <c r="L233">
        <v>-1780.2792844625351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5">
      <c r="A234" t="s">
        <v>111</v>
      </c>
      <c r="B234" t="s">
        <v>25</v>
      </c>
      <c r="C234">
        <v>613408.9</v>
      </c>
      <c r="D234">
        <v>0.37608397412805261</v>
      </c>
      <c r="E234">
        <v>0.74350844693943086</v>
      </c>
      <c r="F234">
        <v>11866.98</v>
      </c>
      <c r="G234">
        <v>-828.06583405836682</v>
      </c>
      <c r="H234">
        <v>-828.06583405836682</v>
      </c>
      <c r="I234">
        <v>0.28837577099365042</v>
      </c>
      <c r="J234">
        <v>0.64031959416026785</v>
      </c>
      <c r="K234">
        <v>0.40246745399912609</v>
      </c>
      <c r="L234">
        <v>-530.22677880223716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5">
      <c r="A235" t="s">
        <v>111</v>
      </c>
      <c r="B235" t="s">
        <v>26</v>
      </c>
      <c r="C235">
        <v>618345.69999999995</v>
      </c>
      <c r="D235">
        <v>1.5037482861358951</v>
      </c>
      <c r="E235">
        <v>0.90445187419264739</v>
      </c>
      <c r="F235">
        <v>20193.73</v>
      </c>
      <c r="G235">
        <v>7096.9915636258847</v>
      </c>
      <c r="H235">
        <v>7096.9915636258847</v>
      </c>
      <c r="I235">
        <v>0.79763685632151038</v>
      </c>
      <c r="J235">
        <v>0.83135678432926485</v>
      </c>
      <c r="K235">
        <v>0.37608397412805261</v>
      </c>
      <c r="L235">
        <v>5900.1320847479356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7096.9915636258847</v>
      </c>
      <c r="T235">
        <v>5900.1320847479356</v>
      </c>
      <c r="U235">
        <v>0</v>
      </c>
      <c r="V235">
        <v>0</v>
      </c>
      <c r="W235">
        <v>0</v>
      </c>
    </row>
    <row r="236" spans="1:23" x14ac:dyDescent="0.35">
      <c r="A236" t="s">
        <v>111</v>
      </c>
      <c r="B236" t="s">
        <v>27</v>
      </c>
      <c r="C236">
        <v>620556.1</v>
      </c>
      <c r="D236">
        <v>1.9210801188686211</v>
      </c>
      <c r="E236">
        <v>0.89096774595581885</v>
      </c>
      <c r="F236">
        <v>12165.63</v>
      </c>
      <c r="G236">
        <v>-8911.6409368498116</v>
      </c>
      <c r="H236">
        <v>-8911.6409368498116</v>
      </c>
      <c r="I236">
        <v>0.75497005160768127</v>
      </c>
      <c r="J236">
        <v>0.81905232997795119</v>
      </c>
      <c r="K236">
        <v>1.5037482861358951</v>
      </c>
      <c r="L236">
        <v>-7299.1002732537299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5">
      <c r="A237" t="s">
        <v>111</v>
      </c>
      <c r="B237" t="s">
        <v>28</v>
      </c>
      <c r="C237">
        <v>627629.69999999995</v>
      </c>
      <c r="D237">
        <v>2.8580242114201311</v>
      </c>
      <c r="E237">
        <v>0.94891138462264468</v>
      </c>
      <c r="F237">
        <v>11552.83</v>
      </c>
      <c r="G237">
        <v>-1385.556303605184</v>
      </c>
      <c r="H237">
        <v>-1385.556303605184</v>
      </c>
      <c r="I237">
        <v>0.93831671458688248</v>
      </c>
      <c r="J237">
        <v>0.86722395640701322</v>
      </c>
      <c r="K237">
        <v>1.9210801188686211</v>
      </c>
      <c r="L237">
        <v>-1201.5876194371649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-1385.556303605184</v>
      </c>
      <c r="T237">
        <v>-1201.5876194371649</v>
      </c>
      <c r="U237">
        <v>0</v>
      </c>
      <c r="V237">
        <v>0</v>
      </c>
      <c r="W237">
        <v>0</v>
      </c>
    </row>
    <row r="238" spans="1:23" x14ac:dyDescent="0.35">
      <c r="A238" t="s">
        <v>111</v>
      </c>
      <c r="B238" t="s">
        <v>29</v>
      </c>
      <c r="C238">
        <v>638387.4</v>
      </c>
      <c r="D238">
        <v>3.9913548231359059</v>
      </c>
      <c r="E238">
        <v>0.92131138781615707</v>
      </c>
      <c r="F238">
        <v>8235.1579999999994</v>
      </c>
      <c r="G238">
        <v>-4527.5681324086381</v>
      </c>
      <c r="H238">
        <v>-4527.5681324086381</v>
      </c>
      <c r="I238">
        <v>0.8509841371178859</v>
      </c>
      <c r="J238">
        <v>0.84579162804548147</v>
      </c>
      <c r="K238">
        <v>2.8580242114201311</v>
      </c>
      <c r="L238">
        <v>-3829.3792217967421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5">
      <c r="A239" t="s">
        <v>111</v>
      </c>
      <c r="B239" t="s">
        <v>30</v>
      </c>
      <c r="C239">
        <v>643250.4</v>
      </c>
      <c r="D239">
        <v>3.9486386830439271</v>
      </c>
      <c r="E239">
        <v>0.90886276550023581</v>
      </c>
      <c r="F239">
        <v>11854.69</v>
      </c>
      <c r="G239">
        <v>2246.9163671678002</v>
      </c>
      <c r="H239">
        <v>2246.9163671678002</v>
      </c>
      <c r="I239">
        <v>0.8115939052852531</v>
      </c>
      <c r="J239">
        <v>0.83523429876458577</v>
      </c>
      <c r="K239">
        <v>3.9913548231359059</v>
      </c>
      <c r="L239">
        <v>1876.7016163140679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5">
      <c r="A240" t="s">
        <v>111</v>
      </c>
      <c r="B240" t="s">
        <v>31</v>
      </c>
      <c r="C240">
        <v>652681.80000000005</v>
      </c>
      <c r="D240">
        <v>5.0473709562226121</v>
      </c>
      <c r="E240">
        <v>0.89973923419807744</v>
      </c>
      <c r="F240">
        <v>9051.4310000000005</v>
      </c>
      <c r="G240">
        <v>-4203.3719888323176</v>
      </c>
      <c r="H240">
        <v>-4203.3719888323176</v>
      </c>
      <c r="I240">
        <v>0.78272500686388546</v>
      </c>
      <c r="J240">
        <v>0.82713400404399895</v>
      </c>
      <c r="K240">
        <v>3.9486386830439271</v>
      </c>
      <c r="L240">
        <v>-3476.7519036092622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5">
      <c r="A241" t="s">
        <v>111</v>
      </c>
      <c r="B241" t="s">
        <v>32</v>
      </c>
      <c r="C241">
        <v>653474.1</v>
      </c>
      <c r="D241">
        <v>4.035255665720185</v>
      </c>
      <c r="E241">
        <v>0.89269134483124712</v>
      </c>
      <c r="F241">
        <v>13357.51</v>
      </c>
      <c r="G241">
        <v>2981.2693730277952</v>
      </c>
      <c r="H241">
        <v>2981.2693730277952</v>
      </c>
      <c r="I241">
        <v>0.76042390485879596</v>
      </c>
      <c r="J241">
        <v>0.82066329095715085</v>
      </c>
      <c r="K241">
        <v>5.0473709562226121</v>
      </c>
      <c r="L241">
        <v>2446.618334898752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5">
      <c r="A242" t="s">
        <v>111</v>
      </c>
      <c r="B242" t="s">
        <v>33</v>
      </c>
      <c r="C242">
        <v>657747.6</v>
      </c>
      <c r="D242">
        <v>2.987596201228889</v>
      </c>
      <c r="E242">
        <v>0.87474991362462762</v>
      </c>
      <c r="F242">
        <v>18459.61</v>
      </c>
      <c r="G242">
        <v>3803.4009892178929</v>
      </c>
      <c r="H242">
        <v>3803.4009892178929</v>
      </c>
      <c r="I242">
        <v>0.70365319427710249</v>
      </c>
      <c r="J242">
        <v>0.80334074274397049</v>
      </c>
      <c r="K242">
        <v>4.035255665720185</v>
      </c>
      <c r="L242">
        <v>3055.4269756314538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3803.4009892178929</v>
      </c>
      <c r="T242">
        <v>3055.4269756314538</v>
      </c>
      <c r="U242">
        <v>0</v>
      </c>
      <c r="V242">
        <v>0</v>
      </c>
      <c r="W242">
        <v>0</v>
      </c>
    </row>
    <row r="243" spans="1:23" x14ac:dyDescent="0.35">
      <c r="A243" t="s">
        <v>111</v>
      </c>
      <c r="B243" t="s">
        <v>34</v>
      </c>
      <c r="C243">
        <v>661284.19999999995</v>
      </c>
      <c r="D243">
        <v>2.764962905803952</v>
      </c>
      <c r="E243">
        <v>0.8778886749210989</v>
      </c>
      <c r="F243">
        <v>21867.71</v>
      </c>
      <c r="G243">
        <v>2532.642848660435</v>
      </c>
      <c r="H243">
        <v>2532.642848660435</v>
      </c>
      <c r="I243">
        <v>0.71358493869007045</v>
      </c>
      <c r="J243">
        <v>0.80645996683592236</v>
      </c>
      <c r="K243">
        <v>2.987596201228889</v>
      </c>
      <c r="L243">
        <v>2042.47506773793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5">
      <c r="A244" t="s">
        <v>111</v>
      </c>
      <c r="B244" t="s">
        <v>35</v>
      </c>
      <c r="C244">
        <v>666368.19999999995</v>
      </c>
      <c r="D244">
        <v>2.075264954743842</v>
      </c>
      <c r="E244">
        <v>0.65669882084584086</v>
      </c>
      <c r="F244">
        <v>13843.68</v>
      </c>
      <c r="G244">
        <v>-8502.2952960938928</v>
      </c>
      <c r="H244">
        <v>-8502.2952960938928</v>
      </c>
      <c r="I244">
        <v>1.3690652403671989E-2</v>
      </c>
      <c r="J244">
        <v>0.5068448985516919</v>
      </c>
      <c r="K244">
        <v>2.764962905803952</v>
      </c>
      <c r="L244">
        <v>-4309.3449968052364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5">
      <c r="A245" t="s">
        <v>111</v>
      </c>
      <c r="B245" t="s">
        <v>36</v>
      </c>
      <c r="C245">
        <v>670015.9</v>
      </c>
      <c r="D245">
        <v>2.4998543914581139</v>
      </c>
      <c r="E245">
        <v>0.70868895182436142</v>
      </c>
      <c r="F245">
        <v>13176.87</v>
      </c>
      <c r="G245">
        <v>-1287.1085488489391</v>
      </c>
      <c r="H245">
        <v>-1287.1085488489391</v>
      </c>
      <c r="I245">
        <v>0.1781990823552892</v>
      </c>
      <c r="J245">
        <v>0.58816825252934979</v>
      </c>
      <c r="K245">
        <v>2.075264954743842</v>
      </c>
      <c r="L245">
        <v>-757.03638599206761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5">
      <c r="A246" t="s">
        <v>111</v>
      </c>
      <c r="B246" t="s">
        <v>37</v>
      </c>
      <c r="C246">
        <v>667436.9</v>
      </c>
      <c r="D246">
        <v>1.4623582859774471</v>
      </c>
      <c r="E246">
        <v>0.59779593232513317</v>
      </c>
      <c r="F246">
        <v>18019.05</v>
      </c>
      <c r="G246">
        <v>3782.8150578267828</v>
      </c>
      <c r="H246">
        <v>3782.8150578267828</v>
      </c>
      <c r="I246">
        <v>-0.17269129216500281</v>
      </c>
      <c r="J246">
        <v>0.41450257837038229</v>
      </c>
      <c r="K246">
        <v>2.4998543914581139</v>
      </c>
      <c r="L246">
        <v>1567.9865949675079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5">
      <c r="A247" t="s">
        <v>111</v>
      </c>
      <c r="B247" t="s">
        <v>38</v>
      </c>
      <c r="C247">
        <v>663826.4</v>
      </c>
      <c r="D247">
        <v>0.38369674484871408</v>
      </c>
      <c r="E247">
        <v>0.64417779008696052</v>
      </c>
      <c r="F247">
        <v>14048.15</v>
      </c>
      <c r="G247">
        <v>-4873.0704452221198</v>
      </c>
      <c r="H247">
        <v>-4873.0704452221198</v>
      </c>
      <c r="I247">
        <v>-2.5928695975548519E-2</v>
      </c>
      <c r="J247">
        <v>0.48703855652975658</v>
      </c>
      <c r="K247">
        <v>1.4623582859774471</v>
      </c>
      <c r="L247">
        <v>-2373.3731955088001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5">
      <c r="A248" t="s">
        <v>111</v>
      </c>
      <c r="B248" t="s">
        <v>39</v>
      </c>
      <c r="C248">
        <v>653657.80000000005</v>
      </c>
      <c r="D248">
        <v>-1.9258397698072189</v>
      </c>
      <c r="E248">
        <v>0.73181655015334635</v>
      </c>
      <c r="F248">
        <v>13245.42</v>
      </c>
      <c r="G248">
        <v>-1612.889016524221</v>
      </c>
      <c r="H248">
        <v>-1612.889016524221</v>
      </c>
      <c r="I248">
        <v>0.251379988385798</v>
      </c>
      <c r="J248">
        <v>0.6231077164327582</v>
      </c>
      <c r="K248">
        <v>0.38369674484871408</v>
      </c>
      <c r="L248">
        <v>-1005.003591945885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5">
      <c r="A249" t="s">
        <v>111</v>
      </c>
      <c r="B249" t="s">
        <v>40</v>
      </c>
      <c r="C249">
        <v>622914</v>
      </c>
      <c r="D249">
        <v>-7.28929759214427</v>
      </c>
      <c r="E249">
        <v>0.47921799832113288</v>
      </c>
      <c r="F249">
        <v>21794.11</v>
      </c>
      <c r="G249">
        <v>7502.5523747752904</v>
      </c>
      <c r="H249">
        <v>7502.5523747752904</v>
      </c>
      <c r="I249">
        <v>-0.54789845903988155</v>
      </c>
      <c r="J249">
        <v>0.25052825344369212</v>
      </c>
      <c r="K249">
        <v>-1.9258397698072189</v>
      </c>
      <c r="L249">
        <v>1879.601342822278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5">
      <c r="A250" t="s">
        <v>111</v>
      </c>
      <c r="B250" t="s">
        <v>41</v>
      </c>
      <c r="C250">
        <v>624461.30000000005</v>
      </c>
      <c r="D250">
        <v>-6.6555495901004642</v>
      </c>
      <c r="E250">
        <v>0.54005425574481658</v>
      </c>
      <c r="F250">
        <v>18972.07</v>
      </c>
      <c r="G250">
        <v>-3571.395125890052</v>
      </c>
      <c r="H250">
        <v>-3571.395125890052</v>
      </c>
      <c r="I250">
        <v>-0.35539890182512079</v>
      </c>
      <c r="J250">
        <v>0.32942257871985992</v>
      </c>
      <c r="K250">
        <v>-7.28929759214427</v>
      </c>
      <c r="L250">
        <v>-1176.4981919982399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5">
      <c r="A251" t="s">
        <v>111</v>
      </c>
      <c r="B251" t="s">
        <v>42</v>
      </c>
      <c r="C251">
        <v>628440.19999999995</v>
      </c>
      <c r="D251">
        <v>-5.4779793182687513</v>
      </c>
      <c r="E251">
        <v>0.66592030360570487</v>
      </c>
      <c r="F251">
        <v>14507.25</v>
      </c>
      <c r="G251">
        <v>-4886.0951899900501</v>
      </c>
      <c r="H251">
        <v>-4886.0951899900501</v>
      </c>
      <c r="I251">
        <v>4.2869491196709048E-2</v>
      </c>
      <c r="J251">
        <v>0.52142162436680728</v>
      </c>
      <c r="K251">
        <v>-6.6555495901004642</v>
      </c>
      <c r="L251">
        <v>-2547.7156907754561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5">
      <c r="A252" t="s">
        <v>111</v>
      </c>
      <c r="B252" t="s">
        <v>43</v>
      </c>
      <c r="C252">
        <v>633229.6</v>
      </c>
      <c r="D252">
        <v>-3.1750899330556601</v>
      </c>
      <c r="E252">
        <v>0.77756678025908077</v>
      </c>
      <c r="F252">
        <v>18951.79</v>
      </c>
      <c r="G252">
        <v>3701.552958534176</v>
      </c>
      <c r="H252">
        <v>3701.552958534176</v>
      </c>
      <c r="I252">
        <v>0.39614397306837218</v>
      </c>
      <c r="J252">
        <v>0.6883223857403723</v>
      </c>
      <c r="K252">
        <v>-5.4779793182687513</v>
      </c>
      <c r="L252">
        <v>2547.8617633625772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3701.552958534176</v>
      </c>
      <c r="T252">
        <v>2547.8617633625772</v>
      </c>
      <c r="U252">
        <v>0</v>
      </c>
      <c r="V252">
        <v>0</v>
      </c>
      <c r="W252">
        <v>0</v>
      </c>
    </row>
    <row r="253" spans="1:23" x14ac:dyDescent="0.35">
      <c r="A253" t="s">
        <v>111</v>
      </c>
      <c r="B253" t="s">
        <v>44</v>
      </c>
      <c r="C253">
        <v>637797.9</v>
      </c>
      <c r="D253">
        <v>2.3612994477064699</v>
      </c>
      <c r="E253">
        <v>0.74833600160619318</v>
      </c>
      <c r="F253">
        <v>19711.91</v>
      </c>
      <c r="G253">
        <v>-36.739168690150109</v>
      </c>
      <c r="H253">
        <v>-36.739168690150109</v>
      </c>
      <c r="I253">
        <v>0.30365123623652079</v>
      </c>
      <c r="J253">
        <v>0.64732521429162737</v>
      </c>
      <c r="K253">
        <v>-3.1750899330556601</v>
      </c>
      <c r="L253">
        <v>-23.782190245247669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-36.739168690150109</v>
      </c>
      <c r="T253">
        <v>-23.782190245247669</v>
      </c>
      <c r="U253">
        <v>0</v>
      </c>
      <c r="V253">
        <v>0</v>
      </c>
      <c r="W253">
        <v>0</v>
      </c>
    </row>
    <row r="254" spans="1:23" x14ac:dyDescent="0.35">
      <c r="A254" t="s">
        <v>111</v>
      </c>
      <c r="B254" t="s">
        <v>45</v>
      </c>
      <c r="C254">
        <v>651576.6</v>
      </c>
      <c r="D254">
        <v>4.2505606411064631</v>
      </c>
      <c r="E254">
        <v>0.75658956745084172</v>
      </c>
      <c r="F254">
        <v>21449.03</v>
      </c>
      <c r="G254">
        <v>1198.9148978520791</v>
      </c>
      <c r="H254">
        <v>1198.9148978520791</v>
      </c>
      <c r="I254">
        <v>0.32976736891497832</v>
      </c>
      <c r="J254">
        <v>0.65915586601568954</v>
      </c>
      <c r="K254">
        <v>2.3612994477064699</v>
      </c>
      <c r="L254">
        <v>790.27178777279903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1198.9148978520791</v>
      </c>
      <c r="T254">
        <v>790.27178777279903</v>
      </c>
      <c r="U254">
        <v>0</v>
      </c>
      <c r="V254">
        <v>0</v>
      </c>
      <c r="W254">
        <v>0</v>
      </c>
    </row>
    <row r="255" spans="1:23" x14ac:dyDescent="0.35">
      <c r="A255" t="s">
        <v>111</v>
      </c>
      <c r="B255" t="s">
        <v>46</v>
      </c>
      <c r="C255">
        <v>657913.30000000005</v>
      </c>
      <c r="D255">
        <v>4.5832283398181239</v>
      </c>
      <c r="E255">
        <v>0.73828645481002464</v>
      </c>
      <c r="F255">
        <v>19653.439999999999</v>
      </c>
      <c r="G255">
        <v>-2226.0035218636149</v>
      </c>
      <c r="H255">
        <v>-2226.0035218636149</v>
      </c>
      <c r="I255">
        <v>0.27185221719104058</v>
      </c>
      <c r="J255">
        <v>0.63267374202514326</v>
      </c>
      <c r="K255">
        <v>4.2505606411064631</v>
      </c>
      <c r="L255">
        <v>-1408.333977938601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5">
      <c r="A256" t="s">
        <v>111</v>
      </c>
      <c r="B256" t="s">
        <v>47</v>
      </c>
      <c r="C256">
        <v>662113.19999999995</v>
      </c>
      <c r="D256">
        <v>4.4603464699765993</v>
      </c>
      <c r="E256">
        <v>0.56063290365914697</v>
      </c>
      <c r="F256">
        <v>14901.64</v>
      </c>
      <c r="G256">
        <v>-5163.8778878903649</v>
      </c>
      <c r="H256">
        <v>-5163.8778878903649</v>
      </c>
      <c r="I256">
        <v>-0.29028344634930642</v>
      </c>
      <c r="J256">
        <v>0.35880216209679178</v>
      </c>
      <c r="K256">
        <v>4.5832283398181239</v>
      </c>
      <c r="L256">
        <v>-1852.810550978877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-5163.8778878903649</v>
      </c>
      <c r="T256">
        <v>-1852.810550978877</v>
      </c>
      <c r="U256">
        <v>0</v>
      </c>
      <c r="V256">
        <v>0</v>
      </c>
      <c r="W256">
        <v>0</v>
      </c>
    </row>
    <row r="257" spans="1:23" x14ac:dyDescent="0.35">
      <c r="A257" t="s">
        <v>111</v>
      </c>
      <c r="B257" t="s">
        <v>48</v>
      </c>
      <c r="C257">
        <v>674123.5</v>
      </c>
      <c r="D257">
        <v>5.5391866545962234</v>
      </c>
      <c r="E257">
        <v>0.89152267707934296</v>
      </c>
      <c r="F257">
        <v>13397.83</v>
      </c>
      <c r="G257">
        <v>-2196.1557660518852</v>
      </c>
      <c r="H257">
        <v>-2196.1557660518852</v>
      </c>
      <c r="I257">
        <v>0.75672597809111242</v>
      </c>
      <c r="J257">
        <v>0.81957222323526202</v>
      </c>
      <c r="K257">
        <v>4.4603464699765993</v>
      </c>
      <c r="L257">
        <v>-1799.908263754083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-2196.1557660518852</v>
      </c>
      <c r="T257">
        <v>-1799.908263754083</v>
      </c>
      <c r="U257">
        <v>0</v>
      </c>
      <c r="V257">
        <v>0</v>
      </c>
      <c r="W257">
        <v>0</v>
      </c>
    </row>
    <row r="258" spans="1:23" x14ac:dyDescent="0.35">
      <c r="A258" t="s">
        <v>111</v>
      </c>
      <c r="B258" t="s">
        <v>49</v>
      </c>
      <c r="C258">
        <v>676186.6</v>
      </c>
      <c r="D258">
        <v>3.7074108974289581</v>
      </c>
      <c r="E258">
        <v>0.86416991922390018</v>
      </c>
      <c r="F258">
        <v>14121</v>
      </c>
      <c r="G258">
        <v>-273.04318602130661</v>
      </c>
      <c r="H258">
        <v>-273.04318602130661</v>
      </c>
      <c r="I258">
        <v>0.67017572009109494</v>
      </c>
      <c r="J258">
        <v>0.79254772970894538</v>
      </c>
      <c r="K258">
        <v>5.5391866545962234</v>
      </c>
      <c r="L258">
        <v>-216.3997571936838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-273.04318602130661</v>
      </c>
      <c r="T258">
        <v>-216.3997571936838</v>
      </c>
      <c r="U258">
        <v>0</v>
      </c>
      <c r="V258">
        <v>0</v>
      </c>
      <c r="W258">
        <v>0</v>
      </c>
    </row>
    <row r="259" spans="1:23" x14ac:dyDescent="0.35">
      <c r="A259" t="s">
        <v>111</v>
      </c>
      <c r="B259" t="s">
        <v>50</v>
      </c>
      <c r="C259">
        <v>679797.1</v>
      </c>
      <c r="D259">
        <v>3.2721211566451389</v>
      </c>
      <c r="E259">
        <v>0.82753376833525494</v>
      </c>
      <c r="F259">
        <v>20227.560000000001</v>
      </c>
      <c r="G259">
        <v>5061.6006823259177</v>
      </c>
      <c r="H259">
        <v>5061.6006823259177</v>
      </c>
      <c r="I259">
        <v>0.55425072531369046</v>
      </c>
      <c r="J259">
        <v>0.75184962997100657</v>
      </c>
      <c r="K259">
        <v>3.7074108974289581</v>
      </c>
      <c r="L259">
        <v>3805.5626000677362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5">
      <c r="A260" t="s">
        <v>111</v>
      </c>
      <c r="B260" t="s">
        <v>51</v>
      </c>
      <c r="C260">
        <v>679576</v>
      </c>
      <c r="D260">
        <v>2.6032535985535841</v>
      </c>
      <c r="E260">
        <v>0.83866145085159094</v>
      </c>
      <c r="F260">
        <v>19436.98</v>
      </c>
      <c r="G260">
        <v>-1556.8530311641989</v>
      </c>
      <c r="H260">
        <v>-1556.8530311641989</v>
      </c>
      <c r="I260">
        <v>0.58946120748229269</v>
      </c>
      <c r="J260">
        <v>0.76475399579248482</v>
      </c>
      <c r="K260">
        <v>3.2721211566451389</v>
      </c>
      <c r="L260">
        <v>-1190.6095764444631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5">
      <c r="A261" t="s">
        <v>111</v>
      </c>
      <c r="B261" t="s">
        <v>52</v>
      </c>
      <c r="C261">
        <v>681491.8</v>
      </c>
      <c r="D261">
        <v>1.0870890234171531</v>
      </c>
      <c r="E261">
        <v>0.8717479714617179</v>
      </c>
      <c r="F261">
        <v>18629.88</v>
      </c>
      <c r="G261">
        <v>-1290.561426222474</v>
      </c>
      <c r="H261">
        <v>-1290.561426222474</v>
      </c>
      <c r="I261">
        <v>0.69415437627585774</v>
      </c>
      <c r="J261">
        <v>0.80032210786477509</v>
      </c>
      <c r="K261">
        <v>2.6032535985535841</v>
      </c>
      <c r="L261">
        <v>-1032.8648409633399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5">
      <c r="A262" t="s">
        <v>111</v>
      </c>
      <c r="B262" t="s">
        <v>53</v>
      </c>
      <c r="C262">
        <v>682449.6</v>
      </c>
      <c r="D262">
        <v>0.92196047233744582</v>
      </c>
      <c r="E262">
        <v>0.88730722613337609</v>
      </c>
      <c r="F262">
        <v>36827.879999999997</v>
      </c>
      <c r="G262">
        <v>17641.959197543922</v>
      </c>
      <c r="H262">
        <v>17641.959197543922</v>
      </c>
      <c r="I262">
        <v>0.74338734624681924</v>
      </c>
      <c r="J262">
        <v>0.81559367798071036</v>
      </c>
      <c r="K262">
        <v>1.0870890234171531</v>
      </c>
      <c r="L262">
        <v>14388.67038871046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5">
      <c r="A263" t="s">
        <v>111</v>
      </c>
      <c r="B263" t="s">
        <v>54</v>
      </c>
      <c r="C263">
        <v>683407.5</v>
      </c>
      <c r="D263">
        <v>0.52969428677011765</v>
      </c>
      <c r="E263">
        <v>0.83443438382022705</v>
      </c>
      <c r="F263">
        <v>25945.24</v>
      </c>
      <c r="G263">
        <v>-10760.52865517087</v>
      </c>
      <c r="H263">
        <v>-10760.52865517087</v>
      </c>
      <c r="I263">
        <v>0.57608581973962258</v>
      </c>
      <c r="J263">
        <v>0.75990735219644279</v>
      </c>
      <c r="K263">
        <v>0.92196047233744582</v>
      </c>
      <c r="L263">
        <v>-8177.0048385848486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-10760.52865517087</v>
      </c>
      <c r="T263">
        <v>-8177.0048385848486</v>
      </c>
      <c r="U263">
        <v>0</v>
      </c>
      <c r="V263">
        <v>0</v>
      </c>
      <c r="W263">
        <v>0</v>
      </c>
    </row>
    <row r="264" spans="1:23" x14ac:dyDescent="0.35">
      <c r="A264" t="s">
        <v>111</v>
      </c>
      <c r="B264" t="s">
        <v>55</v>
      </c>
      <c r="C264">
        <v>681491.7</v>
      </c>
      <c r="D264">
        <v>0.28149977624688483</v>
      </c>
      <c r="E264">
        <v>0.83930578699152292</v>
      </c>
      <c r="F264">
        <v>38752.269999999997</v>
      </c>
      <c r="G264">
        <v>13434.743327128041</v>
      </c>
      <c r="H264">
        <v>13434.743327128041</v>
      </c>
      <c r="I264">
        <v>0.59150003148112218</v>
      </c>
      <c r="J264">
        <v>0.76548679424210464</v>
      </c>
      <c r="K264">
        <v>0.52969428677011765</v>
      </c>
      <c r="L264">
        <v>10284.11860094875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5">
      <c r="A265" t="s">
        <v>111</v>
      </c>
      <c r="B265" t="s">
        <v>56</v>
      </c>
      <c r="C265">
        <v>677899.5</v>
      </c>
      <c r="D265">
        <v>-0.52851719177327527</v>
      </c>
      <c r="E265">
        <v>0.79672372582687234</v>
      </c>
      <c r="F265">
        <v>31598.92</v>
      </c>
      <c r="G265">
        <v>-6578.8883624478913</v>
      </c>
      <c r="H265">
        <v>-6578.8883624478913</v>
      </c>
      <c r="I265">
        <v>0.45676084359189528</v>
      </c>
      <c r="J265">
        <v>0.71372026796869092</v>
      </c>
      <c r="K265">
        <v>0.28149977624688483</v>
      </c>
      <c r="L265">
        <v>-4695.4859649824111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5">
      <c r="A266" t="s">
        <v>111</v>
      </c>
      <c r="B266" t="s">
        <v>57</v>
      </c>
      <c r="C266">
        <v>686594.3</v>
      </c>
      <c r="D266">
        <v>0.60549010337530751</v>
      </c>
      <c r="E266">
        <v>0.82975248539924595</v>
      </c>
      <c r="F266">
        <v>14113.9</v>
      </c>
      <c r="G266">
        <v>-16534.748271214699</v>
      </c>
      <c r="H266">
        <v>-16534.748271214699</v>
      </c>
      <c r="I266">
        <v>0.56127124351270818</v>
      </c>
      <c r="J266">
        <v>0.75446001708329147</v>
      </c>
      <c r="K266">
        <v>-0.52851719177327527</v>
      </c>
      <c r="L266">
        <v>-12474.806463168559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-16534.748271214699</v>
      </c>
      <c r="T266">
        <v>-12474.806463168559</v>
      </c>
      <c r="U266">
        <v>0</v>
      </c>
      <c r="V266">
        <v>0</v>
      </c>
      <c r="W266">
        <v>0</v>
      </c>
    </row>
    <row r="267" spans="1:23" x14ac:dyDescent="0.35">
      <c r="A267" t="s">
        <v>111</v>
      </c>
      <c r="B267" t="s">
        <v>58</v>
      </c>
      <c r="C267">
        <v>689394.4</v>
      </c>
      <c r="D267">
        <v>0.87222168842202785</v>
      </c>
      <c r="E267">
        <v>0.67484016361504884</v>
      </c>
      <c r="F267">
        <v>15802.53</v>
      </c>
      <c r="G267">
        <v>1579.518846364859</v>
      </c>
      <c r="H267">
        <v>1579.518846364859</v>
      </c>
      <c r="I267">
        <v>7.1093927987061434E-2</v>
      </c>
      <c r="J267">
        <v>0.53548719593385818</v>
      </c>
      <c r="K267">
        <v>0.60549010337530751</v>
      </c>
      <c r="L267">
        <v>845.81211796460104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1579.518846364859</v>
      </c>
      <c r="T267">
        <v>845.81211796460104</v>
      </c>
      <c r="U267">
        <v>0</v>
      </c>
      <c r="V267">
        <v>0</v>
      </c>
      <c r="W267">
        <v>0</v>
      </c>
    </row>
    <row r="268" spans="1:23" x14ac:dyDescent="0.35">
      <c r="A268" t="s">
        <v>111</v>
      </c>
      <c r="B268" t="s">
        <v>59</v>
      </c>
      <c r="C268">
        <v>690573.3</v>
      </c>
      <c r="D268">
        <v>1.323805012993382</v>
      </c>
      <c r="E268">
        <v>0.68295200505445097</v>
      </c>
      <c r="F268">
        <v>18492.009999999998</v>
      </c>
      <c r="G268">
        <v>1747.8482793999319</v>
      </c>
      <c r="H268">
        <v>1747.8482793999319</v>
      </c>
      <c r="I268">
        <v>9.6761612874484371E-2</v>
      </c>
      <c r="J268">
        <v>0.54823037636304395</v>
      </c>
      <c r="K268">
        <v>0.87222168842202785</v>
      </c>
      <c r="L268">
        <v>958.22352004092352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1747.8482793999319</v>
      </c>
      <c r="T268">
        <v>958.22352004092352</v>
      </c>
      <c r="U268">
        <v>0</v>
      </c>
      <c r="V268">
        <v>0</v>
      </c>
      <c r="W268">
        <v>0</v>
      </c>
    </row>
    <row r="269" spans="1:23" x14ac:dyDescent="0.35">
      <c r="A269" t="s">
        <v>111</v>
      </c>
      <c r="B269" t="s">
        <v>60</v>
      </c>
      <c r="C269">
        <v>697996.7</v>
      </c>
      <c r="D269">
        <v>2.9215328092765511</v>
      </c>
      <c r="E269">
        <v>0.4222904124546224</v>
      </c>
      <c r="F269">
        <v>19536.86</v>
      </c>
      <c r="G269">
        <v>296.42782514671848</v>
      </c>
      <c r="H269">
        <v>296.42782514671848</v>
      </c>
      <c r="I269">
        <v>-0.72803010317258521</v>
      </c>
      <c r="J269">
        <v>0.18907064610072441</v>
      </c>
      <c r="K269">
        <v>1.323805012993382</v>
      </c>
      <c r="L269">
        <v>56.045800422722643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296.42782514671848</v>
      </c>
      <c r="T269">
        <v>56.045800422722643</v>
      </c>
      <c r="U269">
        <v>0</v>
      </c>
      <c r="V269">
        <v>0</v>
      </c>
      <c r="W269">
        <v>0</v>
      </c>
    </row>
    <row r="270" spans="1:23" x14ac:dyDescent="0.35">
      <c r="A270" t="s">
        <v>111</v>
      </c>
      <c r="B270" t="s">
        <v>61</v>
      </c>
      <c r="C270">
        <v>698438.8</v>
      </c>
      <c r="D270">
        <v>1.710397932553505</v>
      </c>
      <c r="E270">
        <v>-0.57656892185515507</v>
      </c>
      <c r="F270">
        <v>20086.099999999999</v>
      </c>
      <c r="G270">
        <v>-19.53534989586478</v>
      </c>
      <c r="H270">
        <v>-19.53534989586478</v>
      </c>
      <c r="I270">
        <v>-3.8886449686690252</v>
      </c>
      <c r="J270">
        <v>4.1897093999373618E-4</v>
      </c>
      <c r="K270">
        <v>2.9215328092765511</v>
      </c>
      <c r="L270">
        <v>-8.1847439089770043E-3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-19.53534989586478</v>
      </c>
      <c r="T270">
        <v>-8.1847439089770043E-3</v>
      </c>
      <c r="U270">
        <v>0</v>
      </c>
      <c r="V270">
        <v>0</v>
      </c>
      <c r="W270">
        <v>0</v>
      </c>
    </row>
    <row r="271" spans="1:23" x14ac:dyDescent="0.35">
      <c r="A271" t="s">
        <v>111</v>
      </c>
      <c r="B271" t="s">
        <v>62</v>
      </c>
      <c r="C271">
        <v>701680.9</v>
      </c>
      <c r="D271">
        <v>1.7665211234001741</v>
      </c>
      <c r="E271">
        <v>0.16307698360506989</v>
      </c>
      <c r="F271">
        <v>14211.19</v>
      </c>
      <c r="G271">
        <v>-6368.2256188433221</v>
      </c>
      <c r="H271">
        <v>-6368.2256188433221</v>
      </c>
      <c r="I271">
        <v>-1.548239504453623</v>
      </c>
      <c r="J271">
        <v>4.3252726242993013E-2</v>
      </c>
      <c r="K271">
        <v>1.710397932553505</v>
      </c>
      <c r="L271">
        <v>-275.44311934544498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-6368.2256188433221</v>
      </c>
      <c r="T271">
        <v>-275.44311934544498</v>
      </c>
      <c r="U271">
        <v>0</v>
      </c>
      <c r="V271">
        <v>0</v>
      </c>
      <c r="W271">
        <v>0</v>
      </c>
    </row>
    <row r="272" spans="1:23" x14ac:dyDescent="0.35">
      <c r="A272" t="s">
        <v>111</v>
      </c>
      <c r="B272" t="s">
        <v>63</v>
      </c>
      <c r="C272">
        <v>707575.5</v>
      </c>
      <c r="D272">
        <v>2.4322215429319249</v>
      </c>
      <c r="E272">
        <v>0.31698990020332007</v>
      </c>
      <c r="F272">
        <v>17252.02</v>
      </c>
      <c r="G272">
        <v>2343.4323165346868</v>
      </c>
      <c r="H272">
        <v>2343.4323165346868</v>
      </c>
      <c r="I272">
        <v>-1.061224530990426</v>
      </c>
      <c r="J272">
        <v>0.1069339620506119</v>
      </c>
      <c r="K272">
        <v>1.7665211234001741</v>
      </c>
      <c r="L272">
        <v>250.59250240449771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2343.4323165346868</v>
      </c>
      <c r="T272">
        <v>250.59250240449771</v>
      </c>
      <c r="U272">
        <v>0</v>
      </c>
      <c r="V272">
        <v>0</v>
      </c>
      <c r="W272">
        <v>0</v>
      </c>
    </row>
    <row r="273" spans="1:23" x14ac:dyDescent="0.35">
      <c r="A273" t="s">
        <v>111</v>
      </c>
      <c r="B273" t="s">
        <v>64</v>
      </c>
      <c r="C273">
        <v>706083.5</v>
      </c>
      <c r="D273">
        <v>1.151912749683992</v>
      </c>
      <c r="E273">
        <v>-0.20778052839428349</v>
      </c>
      <c r="F273">
        <v>29838.2</v>
      </c>
      <c r="G273">
        <v>11706.8741061117</v>
      </c>
      <c r="H273">
        <v>11706.8741061117</v>
      </c>
      <c r="I273">
        <v>-2.72171581402442</v>
      </c>
      <c r="J273">
        <v>4.3059955173507776E-3</v>
      </c>
      <c r="K273">
        <v>2.4322215429319249</v>
      </c>
      <c r="L273">
        <v>50.4097474231069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11706.8741061117</v>
      </c>
      <c r="T273">
        <v>50.4097474231069</v>
      </c>
      <c r="U273">
        <v>0</v>
      </c>
      <c r="V273">
        <v>0</v>
      </c>
      <c r="W273">
        <v>0</v>
      </c>
    </row>
    <row r="274" spans="1:23" x14ac:dyDescent="0.35">
      <c r="A274" t="s">
        <v>111</v>
      </c>
      <c r="B274" t="s">
        <v>65</v>
      </c>
      <c r="C274">
        <v>710504.4</v>
      </c>
      <c r="D274">
        <v>1.712758180214097</v>
      </c>
      <c r="E274">
        <v>0.25726184777019512</v>
      </c>
      <c r="F274">
        <v>25360.74</v>
      </c>
      <c r="G274">
        <v>-4702.6314541169268</v>
      </c>
      <c r="H274">
        <v>-4702.6314541169268</v>
      </c>
      <c r="I274">
        <v>-1.2502174791693941</v>
      </c>
      <c r="J274">
        <v>7.5827693449918174E-2</v>
      </c>
      <c r="K274">
        <v>1.151912749683992</v>
      </c>
      <c r="L274">
        <v>-356.58969631072131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5">
      <c r="A275" t="s">
        <v>111</v>
      </c>
      <c r="B275" t="s">
        <v>66</v>
      </c>
      <c r="C275">
        <v>714041.1</v>
      </c>
      <c r="D275">
        <v>1.746178142984395</v>
      </c>
      <c r="E275">
        <v>0.56618257854764298</v>
      </c>
      <c r="F275">
        <v>21280.47</v>
      </c>
      <c r="G275">
        <v>-3835.168726222837</v>
      </c>
      <c r="H275">
        <v>-3835.168726222837</v>
      </c>
      <c r="I275">
        <v>-0.27272303083456989</v>
      </c>
      <c r="J275">
        <v>0.36692160144264069</v>
      </c>
      <c r="K275">
        <v>1.712758180214097</v>
      </c>
      <c r="L275">
        <v>-1407.2062508284159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5">
      <c r="A276" t="s">
        <v>111</v>
      </c>
      <c r="B276" t="s">
        <v>67</v>
      </c>
      <c r="C276">
        <v>717798.8</v>
      </c>
      <c r="D276">
        <v>1.4344969332441051</v>
      </c>
      <c r="E276">
        <v>0.57359668134859498</v>
      </c>
      <c r="F276">
        <v>18517.900000000001</v>
      </c>
      <c r="G276">
        <v>-2909.1155667876369</v>
      </c>
      <c r="H276">
        <v>-2909.1155667876369</v>
      </c>
      <c r="I276">
        <v>-0.24926314742345859</v>
      </c>
      <c r="J276">
        <v>0.3778870574295114</v>
      </c>
      <c r="K276">
        <v>1.746178142984395</v>
      </c>
      <c r="L276">
        <v>-1099.317121255765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5">
      <c r="A277" t="s">
        <v>111</v>
      </c>
      <c r="B277" t="s">
        <v>68</v>
      </c>
      <c r="C277">
        <v>723988.4</v>
      </c>
      <c r="D277">
        <v>2.5041867703573621</v>
      </c>
      <c r="E277">
        <v>0.60245053964195627</v>
      </c>
      <c r="F277">
        <v>22826.080000000002</v>
      </c>
      <c r="G277">
        <v>3842.526243353896</v>
      </c>
      <c r="H277">
        <v>3842.526243353896</v>
      </c>
      <c r="I277">
        <v>-0.15796307110996771</v>
      </c>
      <c r="J277">
        <v>0.42166889777883959</v>
      </c>
      <c r="K277">
        <v>1.4344969332441051</v>
      </c>
      <c r="L277">
        <v>1620.273805721303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5">
      <c r="A278" t="s">
        <v>111</v>
      </c>
      <c r="B278" t="s">
        <v>69</v>
      </c>
      <c r="C278">
        <v>726051.4</v>
      </c>
      <c r="D278">
        <v>2.1645670876807701</v>
      </c>
      <c r="E278">
        <v>0.60354532205925437</v>
      </c>
      <c r="F278">
        <v>18513.21</v>
      </c>
      <c r="G278">
        <v>-4750.2373136210626</v>
      </c>
      <c r="H278">
        <v>-4750.2373136210626</v>
      </c>
      <c r="I278">
        <v>-0.15449893410514351</v>
      </c>
      <c r="J278">
        <v>0.42335936669815882</v>
      </c>
      <c r="K278">
        <v>2.5041867703573621</v>
      </c>
      <c r="L278">
        <v>-2011.0574607605761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5">
      <c r="A279" t="s">
        <v>111</v>
      </c>
      <c r="B279" t="s">
        <v>70</v>
      </c>
      <c r="C279">
        <v>728998.7</v>
      </c>
      <c r="D279">
        <v>2.073142503421475</v>
      </c>
      <c r="E279">
        <v>0.59518888641765066</v>
      </c>
      <c r="F279">
        <v>30182.29</v>
      </c>
      <c r="G279">
        <v>11282.735474875861</v>
      </c>
      <c r="H279">
        <v>11282.735474875861</v>
      </c>
      <c r="I279">
        <v>-0.180940569883286</v>
      </c>
      <c r="J279">
        <v>0.41050427144486762</v>
      </c>
      <c r="K279">
        <v>2.1645670876807701</v>
      </c>
      <c r="L279">
        <v>4631.6111060190769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11282.735474875861</v>
      </c>
      <c r="T279">
        <v>4631.6111060190769</v>
      </c>
      <c r="U279">
        <v>0</v>
      </c>
      <c r="V279">
        <v>0</v>
      </c>
      <c r="W279">
        <v>0</v>
      </c>
    </row>
    <row r="280" spans="1:23" x14ac:dyDescent="0.35">
      <c r="A280" t="s">
        <v>111</v>
      </c>
      <c r="B280" t="s">
        <v>71</v>
      </c>
      <c r="C280">
        <v>732314.3</v>
      </c>
      <c r="D280">
        <v>2.0020486455168189</v>
      </c>
      <c r="E280">
        <v>0.61255748572744229</v>
      </c>
      <c r="F280">
        <v>32031.3</v>
      </c>
      <c r="G280">
        <v>1702.312279079182</v>
      </c>
      <c r="H280">
        <v>1702.312279079182</v>
      </c>
      <c r="I280">
        <v>-0.12598242784488581</v>
      </c>
      <c r="J280">
        <v>0.4373399403921896</v>
      </c>
      <c r="K280">
        <v>2.073142503421475</v>
      </c>
      <c r="L280">
        <v>744.48915066138193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1702.312279079182</v>
      </c>
      <c r="T280">
        <v>744.48915066138193</v>
      </c>
      <c r="U280">
        <v>0</v>
      </c>
      <c r="V280">
        <v>0</v>
      </c>
      <c r="W280">
        <v>0</v>
      </c>
    </row>
    <row r="281" spans="1:23" x14ac:dyDescent="0.35">
      <c r="A281" t="s">
        <v>111</v>
      </c>
      <c r="B281" t="s">
        <v>72</v>
      </c>
      <c r="C281">
        <v>741708.80000000005</v>
      </c>
      <c r="D281">
        <v>2.4181343149511751</v>
      </c>
      <c r="E281">
        <v>0.88341465929877139</v>
      </c>
      <c r="F281">
        <v>29910.11</v>
      </c>
      <c r="G281">
        <v>-1594.595393211242</v>
      </c>
      <c r="H281">
        <v>-1594.595393211242</v>
      </c>
      <c r="I281">
        <v>0.73107039211744573</v>
      </c>
      <c r="J281">
        <v>0.8118598838043084</v>
      </c>
      <c r="K281">
        <v>2.0020486455168189</v>
      </c>
      <c r="L281">
        <v>-1294.588030647365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-1594.595393211242</v>
      </c>
      <c r="T281">
        <v>-1294.588030647365</v>
      </c>
      <c r="U281">
        <v>0</v>
      </c>
      <c r="V281">
        <v>0</v>
      </c>
      <c r="W281">
        <v>0</v>
      </c>
    </row>
    <row r="282" spans="1:23" x14ac:dyDescent="0.35">
      <c r="A282" t="s">
        <v>111</v>
      </c>
      <c r="B282" t="s">
        <v>73</v>
      </c>
      <c r="C282">
        <v>747308.8</v>
      </c>
      <c r="D282">
        <v>2.88576753761139</v>
      </c>
      <c r="E282">
        <v>0.87363491265033066</v>
      </c>
      <c r="F282">
        <v>16514.349999999999</v>
      </c>
      <c r="G282">
        <v>-12857.951240235971</v>
      </c>
      <c r="H282">
        <v>-12857.951240235971</v>
      </c>
      <c r="I282">
        <v>0.70012508122518702</v>
      </c>
      <c r="J282">
        <v>0.80222358256049908</v>
      </c>
      <c r="K282">
        <v>2.4181343149511751</v>
      </c>
      <c r="L282">
        <v>-10314.951708330311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-12857.951240235971</v>
      </c>
      <c r="T282">
        <v>-10314.951708330311</v>
      </c>
      <c r="U282">
        <v>0</v>
      </c>
      <c r="V282">
        <v>0</v>
      </c>
      <c r="W282">
        <v>0</v>
      </c>
    </row>
    <row r="283" spans="1:23" x14ac:dyDescent="0.35">
      <c r="A283" t="s">
        <v>111</v>
      </c>
      <c r="B283" t="s">
        <v>74</v>
      </c>
      <c r="C283">
        <v>753645.7</v>
      </c>
      <c r="D283">
        <v>3.3250414931695231</v>
      </c>
      <c r="E283">
        <v>0.7399073296763623</v>
      </c>
      <c r="F283">
        <v>16325.61</v>
      </c>
      <c r="G283">
        <v>-289.78211110166382</v>
      </c>
      <c r="H283">
        <v>-289.78211110166382</v>
      </c>
      <c r="I283">
        <v>0.27698102864795737</v>
      </c>
      <c r="J283">
        <v>0.63505432911846171</v>
      </c>
      <c r="K283">
        <v>2.88576753761139</v>
      </c>
      <c r="L283">
        <v>-184.02738415619859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-289.78211110166382</v>
      </c>
      <c r="T283">
        <v>-184.02738415619859</v>
      </c>
      <c r="U283">
        <v>0</v>
      </c>
      <c r="V283">
        <v>0</v>
      </c>
      <c r="W283">
        <v>0</v>
      </c>
    </row>
    <row r="284" spans="1:23" x14ac:dyDescent="0.35">
      <c r="A284" t="s">
        <v>111</v>
      </c>
      <c r="B284" t="s">
        <v>75</v>
      </c>
      <c r="C284">
        <v>761529.9</v>
      </c>
      <c r="D284">
        <v>3.9119642781295529</v>
      </c>
      <c r="E284">
        <v>0.7878634069179774</v>
      </c>
      <c r="F284">
        <v>28396.560000000001</v>
      </c>
      <c r="G284">
        <v>11273.465479390619</v>
      </c>
      <c r="H284">
        <v>11273.465479390619</v>
      </c>
      <c r="I284">
        <v>0.42872480819173192</v>
      </c>
      <c r="J284">
        <v>0.70212753085281154</v>
      </c>
      <c r="K284">
        <v>3.3250414931695231</v>
      </c>
      <c r="L284">
        <v>7915.4104811989428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11273.465479390619</v>
      </c>
      <c r="T284">
        <v>7915.4104811989428</v>
      </c>
      <c r="U284">
        <v>0</v>
      </c>
      <c r="V284">
        <v>0</v>
      </c>
      <c r="W284">
        <v>0</v>
      </c>
    </row>
    <row r="285" spans="1:23" x14ac:dyDescent="0.35">
      <c r="A285" t="s">
        <v>111</v>
      </c>
      <c r="B285" t="s">
        <v>76</v>
      </c>
      <c r="C285">
        <v>757679.8</v>
      </c>
      <c r="D285">
        <v>2.130415564670693</v>
      </c>
      <c r="E285">
        <v>0.69298691073508456</v>
      </c>
      <c r="F285">
        <v>13622.16</v>
      </c>
      <c r="G285">
        <v>-15104.230619776299</v>
      </c>
      <c r="H285">
        <v>-15104.230619776299</v>
      </c>
      <c r="I285">
        <v>0.12851430414805759</v>
      </c>
      <c r="J285">
        <v>0.56390571813027512</v>
      </c>
      <c r="K285">
        <v>3.9119642781295529</v>
      </c>
      <c r="L285">
        <v>-8517.3620144502438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-15104.230619776299</v>
      </c>
      <c r="T285">
        <v>-8517.3620144502438</v>
      </c>
      <c r="U285">
        <v>0</v>
      </c>
      <c r="V285">
        <v>0</v>
      </c>
      <c r="W285">
        <v>0</v>
      </c>
    </row>
    <row r="286" spans="1:23" x14ac:dyDescent="0.35">
      <c r="A286" t="s">
        <v>111</v>
      </c>
      <c r="B286" t="s">
        <v>77</v>
      </c>
      <c r="C286">
        <v>762837.6</v>
      </c>
      <c r="D286">
        <v>2.0566678000395302</v>
      </c>
      <c r="E286">
        <v>0.56265433977785118</v>
      </c>
      <c r="F286">
        <v>25653.23</v>
      </c>
      <c r="G286">
        <v>11737.80673016071</v>
      </c>
      <c r="H286">
        <v>11737.80673016071</v>
      </c>
      <c r="I286">
        <v>-0.28388716928909069</v>
      </c>
      <c r="J286">
        <v>0.3617505430536001</v>
      </c>
      <c r="K286">
        <v>2.130415564670693</v>
      </c>
      <c r="L286">
        <v>4246.1579588938393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11737.80673016071</v>
      </c>
      <c r="T286">
        <v>4246.1579588938393</v>
      </c>
      <c r="U286">
        <v>0</v>
      </c>
      <c r="V286">
        <v>0</v>
      </c>
      <c r="W286">
        <v>0</v>
      </c>
    </row>
    <row r="287" spans="1:23" x14ac:dyDescent="0.35">
      <c r="A287" t="s">
        <v>111</v>
      </c>
      <c r="B287" t="s">
        <v>78</v>
      </c>
      <c r="C287">
        <v>759521.8</v>
      </c>
      <c r="D287">
        <v>0.77666610440255246</v>
      </c>
      <c r="E287">
        <v>0.44492198396704907</v>
      </c>
      <c r="F287">
        <v>28710.76</v>
      </c>
      <c r="G287">
        <v>2480.1654601144551</v>
      </c>
      <c r="H287">
        <v>2480.1654601144551</v>
      </c>
      <c r="I287">
        <v>-0.6564187371926602</v>
      </c>
      <c r="J287">
        <v>0.21201241934267029</v>
      </c>
      <c r="K287">
        <v>2.0566678000395302</v>
      </c>
      <c r="L287">
        <v>525.82587956899272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2480.1654601144551</v>
      </c>
      <c r="T287">
        <v>525.82587956899272</v>
      </c>
      <c r="U287">
        <v>0</v>
      </c>
      <c r="V287">
        <v>0</v>
      </c>
      <c r="W287">
        <v>0</v>
      </c>
    </row>
    <row r="288" spans="1:23" x14ac:dyDescent="0.35">
      <c r="A288" t="s">
        <v>111</v>
      </c>
      <c r="B288" t="s">
        <v>79</v>
      </c>
      <c r="C288">
        <v>762469.1</v>
      </c>
      <c r="D288">
        <v>0.12325468965536771</v>
      </c>
      <c r="E288">
        <v>0.8361420665273126</v>
      </c>
      <c r="F288">
        <v>26443.05</v>
      </c>
      <c r="G288">
        <v>-2105.371652046339</v>
      </c>
      <c r="H288">
        <v>-2105.371652046339</v>
      </c>
      <c r="I288">
        <v>0.58148931066589549</v>
      </c>
      <c r="J288">
        <v>0.76187352449179224</v>
      </c>
      <c r="K288">
        <v>0.77666610440255246</v>
      </c>
      <c r="L288">
        <v>-1604.0269209096509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5">
      <c r="A289" t="s">
        <v>111</v>
      </c>
      <c r="B289" t="s">
        <v>80</v>
      </c>
      <c r="C289">
        <v>767921.6</v>
      </c>
      <c r="D289">
        <v>1.3426775649348099</v>
      </c>
      <c r="E289">
        <v>0.87093019182300402</v>
      </c>
      <c r="F289">
        <v>36588.019999999997</v>
      </c>
      <c r="G289">
        <v>10374.885475181431</v>
      </c>
      <c r="H289">
        <v>10374.885475181431</v>
      </c>
      <c r="I289">
        <v>0.69156673816302439</v>
      </c>
      <c r="J289">
        <v>0.79949377882241801</v>
      </c>
      <c r="K289">
        <v>0.12325468965536771</v>
      </c>
      <c r="L289">
        <v>8294.6563934026217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5">
      <c r="A290" t="s">
        <v>111</v>
      </c>
      <c r="B290" t="s">
        <v>81</v>
      </c>
      <c r="C290">
        <v>767921.6</v>
      </c>
      <c r="D290">
        <v>0.66424800102276482</v>
      </c>
      <c r="E290">
        <v>0.81394769066014228</v>
      </c>
      <c r="F290">
        <v>40489.040000000001</v>
      </c>
      <c r="G290">
        <v>4415.4972307526914</v>
      </c>
      <c r="H290">
        <v>4415.4972307526914</v>
      </c>
      <c r="I290">
        <v>0.51126132972134442</v>
      </c>
      <c r="J290">
        <v>0.73546369158685487</v>
      </c>
      <c r="K290">
        <v>1.3426775649348099</v>
      </c>
      <c r="L290">
        <v>3247.4378935209088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5">
      <c r="A291" t="s">
        <v>111</v>
      </c>
      <c r="B291" t="s">
        <v>82</v>
      </c>
      <c r="C291">
        <v>772121.5</v>
      </c>
      <c r="D291">
        <v>1.6452896342951639</v>
      </c>
      <c r="E291">
        <v>0.80393138313577928</v>
      </c>
      <c r="F291">
        <v>32800.980000000003</v>
      </c>
      <c r="G291">
        <v>-6497.529962925415</v>
      </c>
      <c r="H291">
        <v>-6497.529962925415</v>
      </c>
      <c r="I291">
        <v>0.47956748718368492</v>
      </c>
      <c r="J291">
        <v>0.72294857915847954</v>
      </c>
      <c r="K291">
        <v>0.66424800102276482</v>
      </c>
      <c r="L291">
        <v>-4697.3800547365772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-6497.529962925415</v>
      </c>
      <c r="T291">
        <v>-4697.3800547365772</v>
      </c>
      <c r="U291">
        <v>0</v>
      </c>
      <c r="V291">
        <v>0</v>
      </c>
      <c r="W291">
        <v>0</v>
      </c>
    </row>
    <row r="292" spans="1:23" x14ac:dyDescent="0.35">
      <c r="A292" t="s">
        <v>111</v>
      </c>
      <c r="B292" t="s">
        <v>83</v>
      </c>
      <c r="C292">
        <v>768511.1</v>
      </c>
      <c r="D292">
        <v>0.78930235256171688</v>
      </c>
      <c r="E292">
        <v>0.82294032780015258</v>
      </c>
      <c r="F292">
        <v>52716.26</v>
      </c>
      <c r="G292">
        <v>21002.415296564999</v>
      </c>
      <c r="H292">
        <v>21002.415296564999</v>
      </c>
      <c r="I292">
        <v>0.53971604966884534</v>
      </c>
      <c r="J292">
        <v>0.74638649836631077</v>
      </c>
      <c r="K292">
        <v>1.6452896342951639</v>
      </c>
      <c r="L292">
        <v>15675.919210438189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21002.415296564999</v>
      </c>
      <c r="T292">
        <v>15675.919210438189</v>
      </c>
      <c r="U292">
        <v>0</v>
      </c>
      <c r="V292">
        <v>0</v>
      </c>
      <c r="W292">
        <v>0</v>
      </c>
    </row>
    <row r="293" spans="1:23" x14ac:dyDescent="0.35">
      <c r="A293" t="s">
        <v>111</v>
      </c>
      <c r="B293" t="s">
        <v>84</v>
      </c>
      <c r="C293">
        <v>754088.2</v>
      </c>
      <c r="D293">
        <v>-1.8178307309377371</v>
      </c>
      <c r="E293">
        <v>0.91082672988616642</v>
      </c>
      <c r="F293">
        <v>55684.71</v>
      </c>
      <c r="G293">
        <v>4447.7439987703037</v>
      </c>
      <c r="H293">
        <v>4447.7439987703037</v>
      </c>
      <c r="I293">
        <v>0.81780832889853106</v>
      </c>
      <c r="J293">
        <v>0.83693761251362642</v>
      </c>
      <c r="K293">
        <v>0.78930235256171688</v>
      </c>
      <c r="L293">
        <v>3722.4842434026282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5">
      <c r="A294" t="s">
        <v>111</v>
      </c>
      <c r="B294" t="s">
        <v>85</v>
      </c>
      <c r="C294">
        <v>686666.8</v>
      </c>
      <c r="D294">
        <v>-11.18384773132251</v>
      </c>
      <c r="E294">
        <v>0.95244092322723806</v>
      </c>
      <c r="F294">
        <v>28914.37</v>
      </c>
      <c r="G294">
        <v>-24149.360667720372</v>
      </c>
      <c r="H294">
        <v>-24149.360667720372</v>
      </c>
      <c r="I294">
        <v>0.94948496601012211</v>
      </c>
      <c r="J294">
        <v>0.86977489784955653</v>
      </c>
      <c r="K294">
        <v>-1.8178307309377371</v>
      </c>
      <c r="L294">
        <v>-21004.507707898581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-24149.360667720372</v>
      </c>
      <c r="T294">
        <v>-21004.507707898581</v>
      </c>
      <c r="U294">
        <v>0</v>
      </c>
      <c r="V294">
        <v>0</v>
      </c>
      <c r="W294">
        <v>0</v>
      </c>
    </row>
    <row r="295" spans="1:23" x14ac:dyDescent="0.35">
      <c r="A295" t="s">
        <v>111</v>
      </c>
      <c r="B295" t="s">
        <v>86</v>
      </c>
      <c r="C295">
        <v>747014.5</v>
      </c>
      <c r="D295">
        <v>-3.305732513932512</v>
      </c>
      <c r="E295">
        <v>0.95181956778374255</v>
      </c>
      <c r="F295">
        <v>27497.73</v>
      </c>
      <c r="G295">
        <v>298.34674216415812</v>
      </c>
      <c r="H295">
        <v>298.34674216415812</v>
      </c>
      <c r="I295">
        <v>0.9475188580868017</v>
      </c>
      <c r="J295">
        <v>0.86932886144768884</v>
      </c>
      <c r="K295">
        <v>-11.18384773132251</v>
      </c>
      <c r="L295">
        <v>259.36143368219467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298.34674216415812</v>
      </c>
      <c r="T295">
        <v>259.36143368219467</v>
      </c>
      <c r="U295">
        <v>0</v>
      </c>
      <c r="V295">
        <v>0</v>
      </c>
      <c r="W295">
        <v>0</v>
      </c>
    </row>
    <row r="296" spans="1:23" x14ac:dyDescent="0.35">
      <c r="A296" t="s">
        <v>111</v>
      </c>
      <c r="B296" t="s">
        <v>87</v>
      </c>
      <c r="C296">
        <v>753277.7</v>
      </c>
      <c r="D296">
        <v>-2.002105528218963</v>
      </c>
      <c r="E296">
        <v>0.94027232248340475</v>
      </c>
      <c r="F296">
        <v>22319.62</v>
      </c>
      <c r="G296">
        <v>-4896.0136572600422</v>
      </c>
      <c r="H296">
        <v>-4896.0136572600422</v>
      </c>
      <c r="I296">
        <v>0.91098078520890147</v>
      </c>
      <c r="J296">
        <v>0.86080133349810717</v>
      </c>
      <c r="K296">
        <v>-3.305732513932512</v>
      </c>
      <c r="L296">
        <v>-4214.4950849943889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-4896.0136572600422</v>
      </c>
      <c r="T296">
        <v>-4214.4950849943889</v>
      </c>
      <c r="U296">
        <v>0</v>
      </c>
      <c r="V296">
        <v>0</v>
      </c>
      <c r="W296">
        <v>0</v>
      </c>
    </row>
    <row r="297" spans="1:23" x14ac:dyDescent="0.35">
      <c r="A297" t="s">
        <v>111</v>
      </c>
      <c r="B297" t="s">
        <v>88</v>
      </c>
      <c r="C297">
        <v>749703.9</v>
      </c>
      <c r="D297">
        <v>-0.58310087177853398</v>
      </c>
      <c r="E297">
        <v>0.93218204016510653</v>
      </c>
      <c r="F297">
        <v>11888.73</v>
      </c>
      <c r="G297">
        <v>-10426.43013953445</v>
      </c>
      <c r="H297">
        <v>-10426.43013953445</v>
      </c>
      <c r="I297">
        <v>0.88538131821393595</v>
      </c>
      <c r="J297">
        <v>0.85455248671035078</v>
      </c>
      <c r="K297">
        <v>-2.002105528218963</v>
      </c>
      <c r="L297">
        <v>-8909.9318032509163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-10426.43013953445</v>
      </c>
      <c r="T297">
        <v>-8909.9318032509163</v>
      </c>
      <c r="U297">
        <v>0</v>
      </c>
      <c r="V297">
        <v>0</v>
      </c>
      <c r="W297">
        <v>0</v>
      </c>
    </row>
    <row r="298" spans="1:23" x14ac:dyDescent="0.35">
      <c r="A298" t="s">
        <v>111</v>
      </c>
      <c r="B298" t="s">
        <v>89</v>
      </c>
      <c r="C298">
        <v>766650.6</v>
      </c>
      <c r="D298">
        <v>11.018198921754561</v>
      </c>
      <c r="E298">
        <v>0.96118517899553257</v>
      </c>
      <c r="F298">
        <v>18072.810000000001</v>
      </c>
      <c r="G298">
        <v>5509.7133275447604</v>
      </c>
      <c r="H298">
        <v>5509.7133275447604</v>
      </c>
      <c r="I298">
        <v>0.97715375161352469</v>
      </c>
      <c r="J298">
        <v>0.87591557208870507</v>
      </c>
      <c r="K298">
        <v>-0.58310087177853398</v>
      </c>
      <c r="L298">
        <v>4826.0437013411311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5509.7133275447604</v>
      </c>
      <c r="T298">
        <v>4826.0437013411311</v>
      </c>
      <c r="U298">
        <v>0</v>
      </c>
      <c r="V298">
        <v>0</v>
      </c>
      <c r="W298">
        <v>0</v>
      </c>
    </row>
    <row r="299" spans="1:23" x14ac:dyDescent="0.35">
      <c r="A299" t="s">
        <v>111</v>
      </c>
      <c r="B299" t="s">
        <v>90</v>
      </c>
      <c r="C299">
        <v>767976.9</v>
      </c>
      <c r="D299">
        <v>2.767505864864729</v>
      </c>
      <c r="E299">
        <v>0.94363223728723922</v>
      </c>
      <c r="F299">
        <v>21508.560000000001</v>
      </c>
      <c r="G299">
        <v>2469.4532050039338</v>
      </c>
      <c r="H299">
        <v>2469.4532050039338</v>
      </c>
      <c r="I299">
        <v>0.92161230889901036</v>
      </c>
      <c r="J299">
        <v>0.86332963113049188</v>
      </c>
      <c r="K299">
        <v>11.018198921754561</v>
      </c>
      <c r="L299">
        <v>2131.952124570058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2469.4532050039338</v>
      </c>
      <c r="T299">
        <v>2131.952124570058</v>
      </c>
      <c r="U299">
        <v>0</v>
      </c>
      <c r="V299">
        <v>0</v>
      </c>
      <c r="W299">
        <v>0</v>
      </c>
    </row>
    <row r="300" spans="1:23" x14ac:dyDescent="0.35">
      <c r="A300" t="s">
        <v>111</v>
      </c>
      <c r="B300" t="s">
        <v>91</v>
      </c>
      <c r="C300">
        <v>771587.2</v>
      </c>
      <c r="D300">
        <v>2.4015740674120591</v>
      </c>
      <c r="E300">
        <v>0.92749299529371809</v>
      </c>
      <c r="F300">
        <v>19802.650000000001</v>
      </c>
      <c r="G300">
        <v>-2218.2724663803642</v>
      </c>
      <c r="H300">
        <v>-2218.2724663803642</v>
      </c>
      <c r="I300">
        <v>0.87054412901578815</v>
      </c>
      <c r="J300">
        <v>0.85082524171435492</v>
      </c>
      <c r="K300">
        <v>2.767505864864729</v>
      </c>
      <c r="L300">
        <v>-1887.3622073963711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-2218.2724663803642</v>
      </c>
      <c r="T300">
        <v>-1887.3622073963711</v>
      </c>
      <c r="U300">
        <v>0</v>
      </c>
      <c r="V300">
        <v>0</v>
      </c>
      <c r="W300">
        <v>0</v>
      </c>
    </row>
    <row r="301" spans="1:23" x14ac:dyDescent="0.35">
      <c r="A301" t="s">
        <v>111</v>
      </c>
      <c r="B301" t="s">
        <v>92</v>
      </c>
      <c r="C301">
        <v>777555.7</v>
      </c>
      <c r="D301">
        <v>3.6476952782440661</v>
      </c>
      <c r="E301">
        <v>0.89152902999123629</v>
      </c>
      <c r="F301">
        <v>26455.02</v>
      </c>
      <c r="G301">
        <v>6249.2545952329347</v>
      </c>
      <c r="H301">
        <v>6249.2545952329347</v>
      </c>
      <c r="I301">
        <v>0.75674608012858613</v>
      </c>
      <c r="J301">
        <v>0.81957816827994001</v>
      </c>
      <c r="K301">
        <v>2.4015740674120591</v>
      </c>
      <c r="L301">
        <v>5121.7526342760066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5">
      <c r="A302" t="s">
        <v>111</v>
      </c>
      <c r="B302" t="s">
        <v>93</v>
      </c>
      <c r="C302">
        <v>778513.5</v>
      </c>
      <c r="D302">
        <v>1.5355175656360069</v>
      </c>
      <c r="E302">
        <v>0.93723621945310143</v>
      </c>
      <c r="F302">
        <v>29343.64</v>
      </c>
      <c r="G302">
        <v>2660.8418006622051</v>
      </c>
      <c r="H302">
        <v>2660.8418006622051</v>
      </c>
      <c r="I302">
        <v>0.90137387456478524</v>
      </c>
      <c r="J302">
        <v>0.85848308773733284</v>
      </c>
      <c r="K302">
        <v>3.6476952782440661</v>
      </c>
      <c r="L302">
        <v>2284.2876850130551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5">
      <c r="A303" t="s">
        <v>111</v>
      </c>
      <c r="B303" t="s">
        <v>94</v>
      </c>
      <c r="C303">
        <v>781018.7</v>
      </c>
      <c r="D303">
        <v>1.6839438644696449</v>
      </c>
      <c r="E303">
        <v>0.93953059895453872</v>
      </c>
      <c r="F303">
        <v>24504.76</v>
      </c>
      <c r="G303">
        <v>-4610.2754712220849</v>
      </c>
      <c r="H303">
        <v>-4610.2754712220849</v>
      </c>
      <c r="I303">
        <v>0.90863380567845298</v>
      </c>
      <c r="J303">
        <v>0.86023793894544487</v>
      </c>
      <c r="K303">
        <v>1.5355175656360069</v>
      </c>
      <c r="L303">
        <v>-3965.9338693348259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5">
      <c r="A304" t="s">
        <v>111</v>
      </c>
      <c r="B304" t="s">
        <v>95</v>
      </c>
      <c r="C304">
        <v>778439.9</v>
      </c>
      <c r="D304">
        <v>0.88420965630963466</v>
      </c>
      <c r="E304">
        <v>0.87137118059987695</v>
      </c>
      <c r="F304">
        <v>26500.43</v>
      </c>
      <c r="G304">
        <v>2181.4839460196272</v>
      </c>
      <c r="H304">
        <v>2181.4839460196272</v>
      </c>
      <c r="I304">
        <v>0.6929621255172056</v>
      </c>
      <c r="J304">
        <v>0.79994077581115852</v>
      </c>
      <c r="K304">
        <v>1.6839438644696449</v>
      </c>
      <c r="L304">
        <v>1745.057960198528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5">
      <c r="A305" t="s">
        <v>111</v>
      </c>
      <c r="B305" t="s">
        <v>96</v>
      </c>
      <c r="C305">
        <v>773153.2</v>
      </c>
      <c r="D305">
        <v>-0.56780635336424168</v>
      </c>
      <c r="E305">
        <v>0.89086127507100199</v>
      </c>
      <c r="F305">
        <v>26400.05</v>
      </c>
      <c r="G305">
        <v>-84.520772908697836</v>
      </c>
      <c r="H305">
        <v>-84.520772908697836</v>
      </c>
      <c r="I305">
        <v>0.75463315385868324</v>
      </c>
      <c r="J305">
        <v>0.8189524482362589</v>
      </c>
      <c r="K305">
        <v>0.88420965630963466</v>
      </c>
      <c r="L305">
        <v>-69.218493900398954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5">
      <c r="A306" t="s">
        <v>111</v>
      </c>
      <c r="B306" t="s">
        <v>97</v>
      </c>
      <c r="C306">
        <v>772342.6</v>
      </c>
      <c r="D306">
        <v>-0.79580981982438748</v>
      </c>
      <c r="E306">
        <v>0.88380248662654914</v>
      </c>
      <c r="F306">
        <v>30702.400000000001</v>
      </c>
      <c r="G306">
        <v>4416.8820192602216</v>
      </c>
      <c r="H306">
        <v>4416.8820192602216</v>
      </c>
      <c r="I306">
        <v>0.73229756472855934</v>
      </c>
      <c r="J306">
        <v>0.81223448196002446</v>
      </c>
      <c r="K306">
        <v>-0.56780635336424168</v>
      </c>
      <c r="L306">
        <v>3587.5438787923731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4416.8820192602216</v>
      </c>
      <c r="T306">
        <v>3587.5438787923731</v>
      </c>
      <c r="U306">
        <v>0</v>
      </c>
      <c r="V306">
        <v>0</v>
      </c>
      <c r="W306">
        <v>0</v>
      </c>
    </row>
    <row r="307" spans="1:23" x14ac:dyDescent="0.35">
      <c r="A307" t="s">
        <v>111</v>
      </c>
      <c r="B307" t="s">
        <v>98</v>
      </c>
      <c r="C307">
        <v>773521.5</v>
      </c>
      <c r="D307">
        <v>-0.96456278545081309</v>
      </c>
      <c r="E307">
        <v>0.88580887975662803</v>
      </c>
      <c r="F307">
        <v>17905.28</v>
      </c>
      <c r="G307">
        <v>-12517.608803376361</v>
      </c>
      <c r="H307">
        <v>-12517.608803376361</v>
      </c>
      <c r="I307">
        <v>0.73864624240031507</v>
      </c>
      <c r="J307">
        <v>0.81416327817655632</v>
      </c>
      <c r="K307">
        <v>-0.79580981982438748</v>
      </c>
      <c r="L307">
        <v>-10191.377418288621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-12517.608803376361</v>
      </c>
      <c r="T307">
        <v>-10191.377418288621</v>
      </c>
      <c r="U307">
        <v>0</v>
      </c>
      <c r="V307">
        <v>0</v>
      </c>
      <c r="W307">
        <v>0</v>
      </c>
    </row>
    <row r="308" spans="1:23" x14ac:dyDescent="0.35">
      <c r="A308" t="s">
        <v>111</v>
      </c>
      <c r="B308" t="s">
        <v>99</v>
      </c>
      <c r="C308">
        <v>771163.7</v>
      </c>
      <c r="D308">
        <v>-0.93911158644464821</v>
      </c>
      <c r="E308">
        <v>0.91523910538367848</v>
      </c>
      <c r="F308">
        <v>16655.52</v>
      </c>
      <c r="G308">
        <v>-1255.046474869388</v>
      </c>
      <c r="H308">
        <v>-1255.046474869388</v>
      </c>
      <c r="I308">
        <v>0.83177007417192894</v>
      </c>
      <c r="J308">
        <v>0.84071265363922165</v>
      </c>
      <c r="K308">
        <v>-0.96456278545081309</v>
      </c>
      <c r="L308">
        <v>-1055.1334523279941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-1255.046474869388</v>
      </c>
      <c r="T308">
        <v>-1055.1334523279941</v>
      </c>
      <c r="U308">
        <v>0</v>
      </c>
      <c r="V308">
        <v>0</v>
      </c>
      <c r="W308">
        <v>0</v>
      </c>
    </row>
    <row r="309" spans="1:23" x14ac:dyDescent="0.35">
      <c r="A309" t="s">
        <v>111</v>
      </c>
      <c r="B309" t="s">
        <v>100</v>
      </c>
      <c r="C309">
        <v>772803.1</v>
      </c>
      <c r="D309">
        <v>-4.5292354769013589E-2</v>
      </c>
      <c r="E309">
        <v>0.91452905060422274</v>
      </c>
      <c r="F309">
        <v>16042.91</v>
      </c>
      <c r="G309">
        <v>-1325.5086914047929</v>
      </c>
      <c r="H309">
        <v>-1325.5086914047929</v>
      </c>
      <c r="I309">
        <v>0.82952330166435118</v>
      </c>
      <c r="J309">
        <v>0.84010997937856191</v>
      </c>
      <c r="K309">
        <v>-0.93911158644464821</v>
      </c>
      <c r="L309">
        <v>-1113.5730794021861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-1325.5086914047929</v>
      </c>
      <c r="T309">
        <v>-1113.5730794021861</v>
      </c>
      <c r="U309">
        <v>0</v>
      </c>
      <c r="V309">
        <v>0</v>
      </c>
      <c r="W309">
        <v>0</v>
      </c>
    </row>
    <row r="310" spans="1:23" x14ac:dyDescent="0.35">
      <c r="A310" t="s">
        <v>111</v>
      </c>
      <c r="B310" t="s">
        <v>101</v>
      </c>
      <c r="C310">
        <v>771771.5</v>
      </c>
      <c r="D310">
        <v>-7.3971220914428953E-2</v>
      </c>
      <c r="E310">
        <v>0.79382857474080215</v>
      </c>
      <c r="F310">
        <v>15096.69</v>
      </c>
      <c r="G310">
        <v>-1747.62351995877</v>
      </c>
      <c r="H310">
        <v>-1747.62351995877</v>
      </c>
      <c r="I310">
        <v>0.44759993649899149</v>
      </c>
      <c r="J310">
        <v>0.70996207709507275</v>
      </c>
      <c r="K310">
        <v>-4.5292354769013589E-2</v>
      </c>
      <c r="L310">
        <v>-1240.746424210131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-1747.62351995877</v>
      </c>
      <c r="T310">
        <v>-1240.746424210131</v>
      </c>
      <c r="U310">
        <v>0</v>
      </c>
      <c r="V310">
        <v>0</v>
      </c>
      <c r="W310">
        <v>0</v>
      </c>
    </row>
    <row r="311" spans="1:23" x14ac:dyDescent="0.35">
      <c r="A311" t="s">
        <v>111</v>
      </c>
      <c r="B311" t="s">
        <v>102</v>
      </c>
      <c r="C311">
        <v>772582.1</v>
      </c>
      <c r="D311">
        <v>-0.1215183918592307</v>
      </c>
      <c r="E311">
        <v>0.57716475886141771</v>
      </c>
      <c r="F311">
        <v>19263.25</v>
      </c>
      <c r="G311">
        <v>3296.2288795207619</v>
      </c>
      <c r="H311">
        <v>3296.2288795207619</v>
      </c>
      <c r="I311">
        <v>-0.23797295025464121</v>
      </c>
      <c r="J311">
        <v>0.38320989768161812</v>
      </c>
      <c r="K311">
        <v>-7.3971220914428953E-2</v>
      </c>
      <c r="L311">
        <v>1263.147531656346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3296.2288795207619</v>
      </c>
      <c r="T311">
        <v>1263.147531656346</v>
      </c>
      <c r="U311">
        <v>0</v>
      </c>
      <c r="V311">
        <v>0</v>
      </c>
      <c r="W311">
        <v>0</v>
      </c>
    </row>
    <row r="312" spans="1:23" x14ac:dyDescent="0.35">
      <c r="A312" t="s">
        <v>111</v>
      </c>
      <c r="B312" t="s">
        <v>103</v>
      </c>
      <c r="C312">
        <v>774276.8</v>
      </c>
      <c r="D312">
        <v>0.40287597105180711</v>
      </c>
      <c r="E312">
        <v>0.66545520379695777</v>
      </c>
      <c r="F312">
        <v>26370.25</v>
      </c>
      <c r="G312">
        <v>6352.7743362205329</v>
      </c>
      <c r="H312">
        <v>6352.7743362205329</v>
      </c>
      <c r="I312">
        <v>4.1397811132286973E-2</v>
      </c>
      <c r="J312">
        <v>0.52068708921803664</v>
      </c>
      <c r="K312">
        <v>-0.1215183918592307</v>
      </c>
      <c r="L312">
        <v>3307.8075775857142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6352.7743362205329</v>
      </c>
      <c r="T312">
        <v>3307.8075775857142</v>
      </c>
      <c r="U312">
        <v>0</v>
      </c>
      <c r="V312">
        <v>0</v>
      </c>
      <c r="W312">
        <v>0</v>
      </c>
    </row>
    <row r="313" spans="1:23" x14ac:dyDescent="0.35">
      <c r="A313" t="s">
        <v>111</v>
      </c>
      <c r="B313" t="s">
        <v>104</v>
      </c>
      <c r="C313">
        <v>775197.8</v>
      </c>
      <c r="D313">
        <v>0.30939283178072158</v>
      </c>
      <c r="E313">
        <v>0.1088739892907218</v>
      </c>
      <c r="F313">
        <v>48145.7</v>
      </c>
      <c r="G313">
        <v>21516.57673025272</v>
      </c>
      <c r="H313">
        <v>21516.57673025272</v>
      </c>
      <c r="I313">
        <v>-1.7197499300960171</v>
      </c>
      <c r="J313">
        <v>3.1083543516642019E-2</v>
      </c>
      <c r="K313">
        <v>0.40287597105180711</v>
      </c>
      <c r="L313">
        <v>668.81144912397735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5">
      <c r="A314" t="s">
        <v>111</v>
      </c>
      <c r="B314" t="s">
        <v>105</v>
      </c>
      <c r="C314">
        <v>775050.5</v>
      </c>
      <c r="D314">
        <v>0.42396667639917712</v>
      </c>
      <c r="E314">
        <v>0.2225774510015896</v>
      </c>
      <c r="F314">
        <v>80038.14</v>
      </c>
      <c r="G314">
        <v>32860.236300339107</v>
      </c>
      <c r="H314">
        <v>32860.236300339107</v>
      </c>
      <c r="I314">
        <v>-1.359966686352188</v>
      </c>
      <c r="J314">
        <v>6.180732968002179E-2</v>
      </c>
      <c r="K314">
        <v>0.30939283178072158</v>
      </c>
      <c r="L314">
        <v>2031.0034583784791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5">
      <c r="A315" t="s">
        <v>111</v>
      </c>
      <c r="B315" t="s">
        <v>106</v>
      </c>
      <c r="C315">
        <v>774829.4</v>
      </c>
      <c r="D315">
        <v>0.2904594647224909</v>
      </c>
      <c r="E315">
        <v>-9.0881689576844837E-2</v>
      </c>
      <c r="F315">
        <v>106862.2</v>
      </c>
      <c r="G315">
        <v>30173.051455287681</v>
      </c>
      <c r="H315">
        <v>30173.051455287681</v>
      </c>
      <c r="I315">
        <v>-2.3518216807519128</v>
      </c>
      <c r="J315">
        <v>8.9808140782785244E-3</v>
      </c>
      <c r="K315">
        <v>0.42396667639917712</v>
      </c>
      <c r="L315">
        <v>270.97856529427003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30173.051455287681</v>
      </c>
      <c r="T315">
        <v>270.97856529427003</v>
      </c>
      <c r="U315">
        <v>0</v>
      </c>
      <c r="V315">
        <v>0</v>
      </c>
      <c r="W315">
        <v>0</v>
      </c>
    </row>
    <row r="316" spans="1:23" x14ac:dyDescent="0.35">
      <c r="A316" t="s">
        <v>111</v>
      </c>
      <c r="B316" t="s">
        <v>107</v>
      </c>
      <c r="C316">
        <v>776892.5</v>
      </c>
      <c r="D316">
        <v>0.33725557607102402</v>
      </c>
      <c r="E316">
        <v>-0.21594257032012221</v>
      </c>
      <c r="F316">
        <v>94947.06</v>
      </c>
      <c r="G316">
        <v>-5865.0461574176588</v>
      </c>
      <c r="H316">
        <v>-5865.0461574176588</v>
      </c>
      <c r="I316">
        <v>-2.747542344505248</v>
      </c>
      <c r="J316">
        <v>4.0901109288741418E-3</v>
      </c>
      <c r="K316">
        <v>0.2904594647224909</v>
      </c>
      <c r="L316">
        <v>-23.988689386805259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-5865.0461574176588</v>
      </c>
      <c r="T316">
        <v>-23.988689386805259</v>
      </c>
      <c r="U316">
        <v>0</v>
      </c>
      <c r="V316">
        <v>0</v>
      </c>
      <c r="W316">
        <v>0</v>
      </c>
    </row>
    <row r="317" spans="1:23" x14ac:dyDescent="0.35">
      <c r="A317" t="s">
        <v>111</v>
      </c>
      <c r="B317" t="s">
        <v>108</v>
      </c>
      <c r="C317">
        <v>780355.5</v>
      </c>
      <c r="D317">
        <v>0.66313624879249689</v>
      </c>
      <c r="E317">
        <v>-0.3139285904662974</v>
      </c>
      <c r="F317">
        <v>81871.73</v>
      </c>
      <c r="G317">
        <v>-6116.8052336188266</v>
      </c>
      <c r="H317">
        <v>-6116.8052336188266</v>
      </c>
      <c r="I317">
        <v>-3.0575920794850369</v>
      </c>
      <c r="J317">
        <v>2.204199683102022E-3</v>
      </c>
      <c r="K317">
        <v>0.33725557607102402</v>
      </c>
      <c r="L317">
        <v>-13.482660157539399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-6116.8052336188266</v>
      </c>
      <c r="T317">
        <v>-13.482660157539399</v>
      </c>
      <c r="U317">
        <v>0</v>
      </c>
      <c r="V317">
        <v>0</v>
      </c>
      <c r="W317">
        <v>0</v>
      </c>
    </row>
    <row r="318" spans="1:23" x14ac:dyDescent="0.35">
      <c r="A318" t="s">
        <v>111</v>
      </c>
      <c r="B318" t="s">
        <v>109</v>
      </c>
      <c r="C318">
        <v>782934.3</v>
      </c>
      <c r="D318">
        <v>1.01205959035842</v>
      </c>
      <c r="E318">
        <v>0.110313178854492</v>
      </c>
      <c r="F318">
        <v>77922.84</v>
      </c>
      <c r="G318">
        <v>1879.7276364797731</v>
      </c>
      <c r="H318">
        <v>1879.7276364797731</v>
      </c>
      <c r="I318">
        <v>-1.715196011667991</v>
      </c>
      <c r="J318">
        <v>3.1359022102927181E-2</v>
      </c>
      <c r="K318">
        <v>0.66313624879249689</v>
      </c>
      <c r="L318">
        <v>58.946420499852259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1879.7276364797731</v>
      </c>
      <c r="T318">
        <v>58.946420499852259</v>
      </c>
      <c r="U318">
        <v>0</v>
      </c>
      <c r="V318">
        <v>0</v>
      </c>
      <c r="W318">
        <v>0</v>
      </c>
    </row>
    <row r="319" spans="1:23" x14ac:dyDescent="0.35">
      <c r="A319" t="s">
        <v>112</v>
      </c>
      <c r="B319" t="s">
        <v>4</v>
      </c>
      <c r="C319">
        <v>215690.7</v>
      </c>
      <c r="F319">
        <v>5832.3329999999996</v>
      </c>
      <c r="G319">
        <v>-3714.5931994258599</v>
      </c>
      <c r="H319">
        <v>-3714.5931994258599</v>
      </c>
      <c r="M319">
        <v>0</v>
      </c>
      <c r="N319">
        <v>0</v>
      </c>
    </row>
    <row r="320" spans="1:23" x14ac:dyDescent="0.35">
      <c r="A320" t="s">
        <v>112</v>
      </c>
      <c r="B320" t="s">
        <v>5</v>
      </c>
      <c r="C320">
        <v>218416.9</v>
      </c>
      <c r="F320">
        <v>5569.9409999999998</v>
      </c>
      <c r="G320">
        <v>-1919.831103877337</v>
      </c>
      <c r="H320">
        <v>-1919.831103877337</v>
      </c>
      <c r="M320">
        <v>0</v>
      </c>
      <c r="N320">
        <v>0</v>
      </c>
    </row>
    <row r="321" spans="1:23" x14ac:dyDescent="0.35">
      <c r="A321" t="s">
        <v>112</v>
      </c>
      <c r="B321" t="s">
        <v>6</v>
      </c>
      <c r="C321">
        <v>220644.6</v>
      </c>
      <c r="F321">
        <v>13816.67</v>
      </c>
      <c r="G321">
        <v>6474.4940275934759</v>
      </c>
      <c r="H321">
        <v>6474.4940275934759</v>
      </c>
      <c r="M321">
        <v>0</v>
      </c>
      <c r="N321">
        <v>0</v>
      </c>
    </row>
    <row r="322" spans="1:23" x14ac:dyDescent="0.35">
      <c r="A322" t="s">
        <v>112</v>
      </c>
      <c r="B322" t="s">
        <v>7</v>
      </c>
      <c r="C322">
        <v>223006.4</v>
      </c>
      <c r="F322">
        <v>11881.05</v>
      </c>
      <c r="G322">
        <v>-3395.2229350538159</v>
      </c>
      <c r="H322">
        <v>-3395.2229350538159</v>
      </c>
      <c r="M322">
        <v>0</v>
      </c>
      <c r="N322">
        <v>0</v>
      </c>
    </row>
    <row r="323" spans="1:23" x14ac:dyDescent="0.35">
      <c r="A323" t="s">
        <v>112</v>
      </c>
      <c r="B323" t="s">
        <v>8</v>
      </c>
      <c r="C323">
        <v>225271</v>
      </c>
      <c r="D323">
        <v>4.3458684860047683</v>
      </c>
      <c r="F323">
        <v>22324.51</v>
      </c>
      <c r="G323">
        <v>9331.4609908810216</v>
      </c>
      <c r="H323">
        <v>9331.4609908810216</v>
      </c>
      <c r="M323">
        <v>0</v>
      </c>
      <c r="N323">
        <v>0</v>
      </c>
      <c r="Q323">
        <v>0</v>
      </c>
      <c r="R323">
        <v>1</v>
      </c>
      <c r="S323">
        <v>0</v>
      </c>
      <c r="U323">
        <v>0</v>
      </c>
      <c r="V323">
        <v>0</v>
      </c>
    </row>
    <row r="324" spans="1:23" x14ac:dyDescent="0.35">
      <c r="A324" t="s">
        <v>112</v>
      </c>
      <c r="B324" t="s">
        <v>9</v>
      </c>
      <c r="C324">
        <v>227022.1</v>
      </c>
      <c r="D324">
        <v>3.864174774134856</v>
      </c>
      <c r="F324">
        <v>13179.21</v>
      </c>
      <c r="G324">
        <v>-9943.8528374191192</v>
      </c>
      <c r="H324">
        <v>-9943.8528374191192</v>
      </c>
      <c r="K324">
        <v>4.3458684860047683</v>
      </c>
      <c r="M324">
        <v>0</v>
      </c>
      <c r="N324">
        <v>0</v>
      </c>
      <c r="Q324">
        <v>0</v>
      </c>
      <c r="R324">
        <v>1</v>
      </c>
      <c r="S324">
        <v>0</v>
      </c>
      <c r="U324">
        <v>0</v>
      </c>
      <c r="V324">
        <v>0</v>
      </c>
    </row>
    <row r="325" spans="1:23" x14ac:dyDescent="0.35">
      <c r="A325" t="s">
        <v>112</v>
      </c>
      <c r="B325" t="s">
        <v>10</v>
      </c>
      <c r="C325">
        <v>229204.6</v>
      </c>
      <c r="D325">
        <v>3.8061792178651261</v>
      </c>
      <c r="F325">
        <v>25155.95</v>
      </c>
      <c r="G325">
        <v>11353.658528725049</v>
      </c>
      <c r="H325">
        <v>11353.658528725049</v>
      </c>
      <c r="K325">
        <v>3.864174774134856</v>
      </c>
      <c r="M325">
        <v>0</v>
      </c>
      <c r="N325">
        <v>0</v>
      </c>
      <c r="Q325">
        <v>0</v>
      </c>
      <c r="R325">
        <v>1</v>
      </c>
      <c r="S325">
        <v>0</v>
      </c>
      <c r="U325">
        <v>0</v>
      </c>
      <c r="V325">
        <v>0</v>
      </c>
    </row>
    <row r="326" spans="1:23" x14ac:dyDescent="0.35">
      <c r="A326" t="s">
        <v>112</v>
      </c>
      <c r="B326" t="s">
        <v>11</v>
      </c>
      <c r="C326">
        <v>230663</v>
      </c>
      <c r="D326">
        <v>3.3757300269596691</v>
      </c>
      <c r="F326">
        <v>23448.18</v>
      </c>
      <c r="G326">
        <v>-2327.5821782993439</v>
      </c>
      <c r="H326">
        <v>-2327.5821782993439</v>
      </c>
      <c r="K326">
        <v>3.8061792178651261</v>
      </c>
      <c r="M326">
        <v>0</v>
      </c>
      <c r="N326">
        <v>0</v>
      </c>
      <c r="Q326">
        <v>0</v>
      </c>
      <c r="R326">
        <v>1</v>
      </c>
      <c r="S326">
        <v>0</v>
      </c>
      <c r="U326">
        <v>0</v>
      </c>
      <c r="V326">
        <v>0</v>
      </c>
    </row>
    <row r="327" spans="1:23" x14ac:dyDescent="0.35">
      <c r="A327" t="s">
        <v>112</v>
      </c>
      <c r="B327" t="s">
        <v>12</v>
      </c>
      <c r="C327">
        <v>231753.3</v>
      </c>
      <c r="D327">
        <v>2.8369321939231922</v>
      </c>
      <c r="E327">
        <v>0.72713171049578629</v>
      </c>
      <c r="F327">
        <v>22597.360000000001</v>
      </c>
      <c r="G327">
        <v>-922.17355643885821</v>
      </c>
      <c r="H327">
        <v>-922.17355643885821</v>
      </c>
      <c r="I327">
        <v>0.2365561054269594</v>
      </c>
      <c r="J327">
        <v>0.61612010994383581</v>
      </c>
      <c r="K327">
        <v>3.3757300269596691</v>
      </c>
      <c r="L327">
        <v>-568.16967298040743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5">
      <c r="A328" t="s">
        <v>112</v>
      </c>
      <c r="B328" t="s">
        <v>13</v>
      </c>
      <c r="C328">
        <v>233696</v>
      </c>
      <c r="D328">
        <v>2.8973755866971138</v>
      </c>
      <c r="E328">
        <v>0.80872522515617029</v>
      </c>
      <c r="F328">
        <v>17938.45</v>
      </c>
      <c r="G328">
        <v>-4851.7453407365683</v>
      </c>
      <c r="H328">
        <v>-4851.7453407365683</v>
      </c>
      <c r="I328">
        <v>0.49473627805548381</v>
      </c>
      <c r="J328">
        <v>0.72898372971816405</v>
      </c>
      <c r="K328">
        <v>2.8369321939231922</v>
      </c>
      <c r="L328">
        <v>-3536.843414132868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5">
      <c r="A329" t="s">
        <v>112</v>
      </c>
      <c r="B329" t="s">
        <v>14</v>
      </c>
      <c r="C329">
        <v>235005.3</v>
      </c>
      <c r="D329">
        <v>2.4993012634112302</v>
      </c>
      <c r="E329">
        <v>0.93655103120202499</v>
      </c>
      <c r="F329">
        <v>14136.45</v>
      </c>
      <c r="G329">
        <v>-4222.8378093282299</v>
      </c>
      <c r="H329">
        <v>-4222.8378093282299</v>
      </c>
      <c r="I329">
        <v>0.89920578532776352</v>
      </c>
      <c r="J329">
        <v>0.85795546662088484</v>
      </c>
      <c r="K329">
        <v>2.8973755866971138</v>
      </c>
      <c r="L329">
        <v>-3623.006783166516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5">
      <c r="A330" t="s">
        <v>112</v>
      </c>
      <c r="B330" t="s">
        <v>15</v>
      </c>
      <c r="C330">
        <v>236840.3</v>
      </c>
      <c r="D330">
        <v>2.642830347123847</v>
      </c>
      <c r="E330">
        <v>0.93368623459838951</v>
      </c>
      <c r="F330">
        <v>27832.880000000001</v>
      </c>
      <c r="G330">
        <v>12885.617455236321</v>
      </c>
      <c r="H330">
        <v>12885.617455236321</v>
      </c>
      <c r="I330">
        <v>0.89014092662237754</v>
      </c>
      <c r="J330">
        <v>0.85573166558569591</v>
      </c>
      <c r="K330">
        <v>2.4993012634112302</v>
      </c>
      <c r="L330">
        <v>11026.630887069499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5">
      <c r="A331" t="s">
        <v>112</v>
      </c>
      <c r="B331" t="s">
        <v>16</v>
      </c>
      <c r="C331">
        <v>239122.9</v>
      </c>
      <c r="D331">
        <v>3.1304201877297091</v>
      </c>
      <c r="E331">
        <v>0.94788286821664047</v>
      </c>
      <c r="F331">
        <v>25718.62</v>
      </c>
      <c r="G331">
        <v>-2578.9762101676129</v>
      </c>
      <c r="H331">
        <v>-2578.9762101676129</v>
      </c>
      <c r="I331">
        <v>0.93506225809780119</v>
      </c>
      <c r="J331">
        <v>0.86647268437054215</v>
      </c>
      <c r="K331">
        <v>2.642830347123847</v>
      </c>
      <c r="L331">
        <v>-2234.6124397516992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5">
      <c r="A332" t="s">
        <v>112</v>
      </c>
      <c r="B332" t="s">
        <v>17</v>
      </c>
      <c r="C332">
        <v>240039.4</v>
      </c>
      <c r="D332">
        <v>2.6781951097086081</v>
      </c>
      <c r="E332">
        <v>0.95756488187950739</v>
      </c>
      <c r="F332">
        <v>34454.82</v>
      </c>
      <c r="G332">
        <v>8892.3153268391106</v>
      </c>
      <c r="H332">
        <v>8892.3153268391106</v>
      </c>
      <c r="I332">
        <v>0.96569831991319433</v>
      </c>
      <c r="J332">
        <v>0.87340392620777019</v>
      </c>
      <c r="K332">
        <v>3.1304201877297091</v>
      </c>
      <c r="L332">
        <v>7766.58311953881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35">
      <c r="A333" t="s">
        <v>112</v>
      </c>
      <c r="B333" t="s">
        <v>18</v>
      </c>
      <c r="C333">
        <v>241827.3</v>
      </c>
      <c r="D333">
        <v>2.8615767952080411</v>
      </c>
      <c r="E333">
        <v>0.9302276732657383</v>
      </c>
      <c r="F333">
        <v>23886.34</v>
      </c>
      <c r="G333">
        <v>-10175.62221530782</v>
      </c>
      <c r="H333">
        <v>-10175.62221530782</v>
      </c>
      <c r="I333">
        <v>0.87919726319977742</v>
      </c>
      <c r="J333">
        <v>0.85300847192694551</v>
      </c>
      <c r="K333">
        <v>2.6781951097086081</v>
      </c>
      <c r="L333">
        <v>-8679.891956785601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-10175.62221530782</v>
      </c>
      <c r="T333">
        <v>-8679.891956785601</v>
      </c>
      <c r="U333">
        <v>0</v>
      </c>
      <c r="V333">
        <v>0</v>
      </c>
      <c r="W333">
        <v>0</v>
      </c>
    </row>
    <row r="334" spans="1:23" x14ac:dyDescent="0.35">
      <c r="A334" t="s">
        <v>112</v>
      </c>
      <c r="B334" t="s">
        <v>19</v>
      </c>
      <c r="C334">
        <v>243855</v>
      </c>
      <c r="D334">
        <v>2.9187712013597902</v>
      </c>
      <c r="E334">
        <v>0.91255275742064168</v>
      </c>
      <c r="F334">
        <v>12058.21</v>
      </c>
      <c r="G334">
        <v>-11403.891117199109</v>
      </c>
      <c r="H334">
        <v>-11403.891117199109</v>
      </c>
      <c r="I334">
        <v>0.8232698669713453</v>
      </c>
      <c r="J334">
        <v>0.83842283699865383</v>
      </c>
      <c r="K334">
        <v>2.8615767952080411</v>
      </c>
      <c r="L334">
        <v>-9561.2827433058283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-11403.891117199109</v>
      </c>
      <c r="T334">
        <v>-9561.2827433058283</v>
      </c>
      <c r="U334">
        <v>0</v>
      </c>
      <c r="V334">
        <v>0</v>
      </c>
      <c r="W334">
        <v>0</v>
      </c>
    </row>
    <row r="335" spans="1:23" x14ac:dyDescent="0.35">
      <c r="A335" t="s">
        <v>112</v>
      </c>
      <c r="B335" t="s">
        <v>20</v>
      </c>
      <c r="C335">
        <v>245281.3</v>
      </c>
      <c r="D335">
        <v>2.5428069470608601</v>
      </c>
      <c r="E335">
        <v>0.92515628447659215</v>
      </c>
      <c r="F335">
        <v>16122.31</v>
      </c>
      <c r="G335">
        <v>3477.0160780143342</v>
      </c>
      <c r="H335">
        <v>3477.0160780143342</v>
      </c>
      <c r="I335">
        <v>0.86315025212913121</v>
      </c>
      <c r="J335">
        <v>0.84893860225988083</v>
      </c>
      <c r="K335">
        <v>2.9187712013597902</v>
      </c>
      <c r="L335">
        <v>2951.7731693046221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3477.0160780143342</v>
      </c>
      <c r="T335">
        <v>2951.7731693046221</v>
      </c>
      <c r="U335">
        <v>0</v>
      </c>
      <c r="V335">
        <v>0</v>
      </c>
      <c r="W335">
        <v>0</v>
      </c>
    </row>
    <row r="336" spans="1:23" x14ac:dyDescent="0.35">
      <c r="A336" t="s">
        <v>112</v>
      </c>
      <c r="B336" t="s">
        <v>21</v>
      </c>
      <c r="C336">
        <v>247885.7</v>
      </c>
      <c r="D336">
        <v>3.2164676292320089</v>
      </c>
      <c r="E336">
        <v>0.90475912778958556</v>
      </c>
      <c r="F336">
        <v>9975.3389999999999</v>
      </c>
      <c r="G336">
        <v>-7181.6860400218247</v>
      </c>
      <c r="H336">
        <v>-7181.6860400218247</v>
      </c>
      <c r="I336">
        <v>0.79860907558462724</v>
      </c>
      <c r="J336">
        <v>0.83162922420497498</v>
      </c>
      <c r="K336">
        <v>2.5428069470608601</v>
      </c>
      <c r="L336">
        <v>-5972.4999899470486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-7181.6860400218247</v>
      </c>
      <c r="T336">
        <v>-5972.4999899470486</v>
      </c>
      <c r="U336">
        <v>0</v>
      </c>
      <c r="V336">
        <v>0</v>
      </c>
      <c r="W336">
        <v>0</v>
      </c>
    </row>
    <row r="337" spans="1:23" x14ac:dyDescent="0.35">
      <c r="A337" t="s">
        <v>112</v>
      </c>
      <c r="B337" t="s">
        <v>22</v>
      </c>
      <c r="C337">
        <v>249976.6</v>
      </c>
      <c r="D337">
        <v>3.3143478448083799</v>
      </c>
      <c r="E337">
        <v>0.62532254249779329</v>
      </c>
      <c r="F337">
        <v>14397.81</v>
      </c>
      <c r="G337">
        <v>3353.6931959349681</v>
      </c>
      <c r="H337">
        <v>3353.6931959349681</v>
      </c>
      <c r="I337">
        <v>-8.5590926457799629E-2</v>
      </c>
      <c r="J337">
        <v>0.45730873521033399</v>
      </c>
      <c r="K337">
        <v>3.2164676292320089</v>
      </c>
      <c r="L337">
        <v>1533.673193716523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5">
      <c r="A338" t="s">
        <v>112</v>
      </c>
      <c r="B338" t="s">
        <v>23</v>
      </c>
      <c r="C338">
        <v>251750.3</v>
      </c>
      <c r="D338">
        <v>3.1863936902055978</v>
      </c>
      <c r="E338">
        <v>0.60075324455875223</v>
      </c>
      <c r="F338">
        <v>13202.73</v>
      </c>
      <c r="G338">
        <v>-2405.1200373209231</v>
      </c>
      <c r="H338">
        <v>-2405.1200373209231</v>
      </c>
      <c r="I338">
        <v>-0.16333369326550429</v>
      </c>
      <c r="J338">
        <v>0.41905171960244619</v>
      </c>
      <c r="K338">
        <v>3.3143478448083799</v>
      </c>
      <c r="L338">
        <v>-1007.869687489632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5">
      <c r="A339" t="s">
        <v>112</v>
      </c>
      <c r="B339" t="s">
        <v>24</v>
      </c>
      <c r="C339">
        <v>253999.8</v>
      </c>
      <c r="D339">
        <v>3.4927764441961568</v>
      </c>
      <c r="E339">
        <v>0.64506230013411403</v>
      </c>
      <c r="F339">
        <v>11537.9</v>
      </c>
      <c r="G339">
        <v>-2694.6719418449161</v>
      </c>
      <c r="H339">
        <v>-2694.6719418449161</v>
      </c>
      <c r="I339">
        <v>-2.3129907890291131E-2</v>
      </c>
      <c r="J339">
        <v>0.48843710800201529</v>
      </c>
      <c r="K339">
        <v>3.1863936902055978</v>
      </c>
      <c r="L339">
        <v>-1316.177770288906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5">
      <c r="A340" t="s">
        <v>112</v>
      </c>
      <c r="B340" t="s">
        <v>25</v>
      </c>
      <c r="C340">
        <v>256254</v>
      </c>
      <c r="D340">
        <v>3.3201387259779098</v>
      </c>
      <c r="E340">
        <v>0.54527046494477205</v>
      </c>
      <c r="F340">
        <v>11866.98</v>
      </c>
      <c r="G340">
        <v>-828.06583405836682</v>
      </c>
      <c r="H340">
        <v>-828.06583405836682</v>
      </c>
      <c r="I340">
        <v>-0.33889364650775339</v>
      </c>
      <c r="J340">
        <v>0.33675533465776131</v>
      </c>
      <c r="K340">
        <v>3.4927764441961568</v>
      </c>
      <c r="L340">
        <v>-278.8555870669835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5">
      <c r="A341" t="s">
        <v>112</v>
      </c>
      <c r="B341" t="s">
        <v>26</v>
      </c>
      <c r="C341">
        <v>258708.4</v>
      </c>
      <c r="D341">
        <v>3.433424522587015</v>
      </c>
      <c r="E341">
        <v>0.90250884824097077</v>
      </c>
      <c r="F341">
        <v>20193.73</v>
      </c>
      <c r="G341">
        <v>7096.9915636258847</v>
      </c>
      <c r="H341">
        <v>7096.9915636258847</v>
      </c>
      <c r="I341">
        <v>0.79148868660834637</v>
      </c>
      <c r="J341">
        <v>0.82962577341846411</v>
      </c>
      <c r="K341">
        <v>3.3201387259779098</v>
      </c>
      <c r="L341">
        <v>5887.8471149174393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7096.9915636258847</v>
      </c>
      <c r="T341">
        <v>5887.8471149174393</v>
      </c>
      <c r="U341">
        <v>0</v>
      </c>
      <c r="V341">
        <v>0</v>
      </c>
      <c r="W341">
        <v>0</v>
      </c>
    </row>
    <row r="342" spans="1:23" x14ac:dyDescent="0.35">
      <c r="A342" t="s">
        <v>112</v>
      </c>
      <c r="B342" t="s">
        <v>27</v>
      </c>
      <c r="C342">
        <v>261261.8</v>
      </c>
      <c r="D342">
        <v>3.7085246466763562</v>
      </c>
      <c r="E342">
        <v>0.76360943516795787</v>
      </c>
      <c r="F342">
        <v>12165.63</v>
      </c>
      <c r="G342">
        <v>-8911.6409368498116</v>
      </c>
      <c r="H342">
        <v>-8911.6409368498116</v>
      </c>
      <c r="I342">
        <v>0.35197980413826968</v>
      </c>
      <c r="J342">
        <v>0.66906508289819899</v>
      </c>
      <c r="K342">
        <v>3.433424522587015</v>
      </c>
      <c r="L342">
        <v>-5962.4677821724026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5">
      <c r="A343" t="s">
        <v>112</v>
      </c>
      <c r="B343" t="s">
        <v>28</v>
      </c>
      <c r="C343">
        <v>264301.40000000002</v>
      </c>
      <c r="D343">
        <v>3.9756638990535049</v>
      </c>
      <c r="E343">
        <v>0.75189918837690994</v>
      </c>
      <c r="F343">
        <v>11552.83</v>
      </c>
      <c r="G343">
        <v>-1385.556303605184</v>
      </c>
      <c r="H343">
        <v>-1385.556303605184</v>
      </c>
      <c r="I343">
        <v>0.31492595800087192</v>
      </c>
      <c r="J343">
        <v>0.65245588383755482</v>
      </c>
      <c r="K343">
        <v>3.7085246466763562</v>
      </c>
      <c r="L343">
        <v>-904.01436267541601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-1385.556303605184</v>
      </c>
      <c r="T343">
        <v>-904.01436267541601</v>
      </c>
      <c r="U343">
        <v>0</v>
      </c>
      <c r="V343">
        <v>0</v>
      </c>
      <c r="W343">
        <v>0</v>
      </c>
    </row>
    <row r="344" spans="1:23" x14ac:dyDescent="0.35">
      <c r="A344" t="s">
        <v>112</v>
      </c>
      <c r="B344" t="s">
        <v>29</v>
      </c>
      <c r="C344">
        <v>266680.2</v>
      </c>
      <c r="D344">
        <v>3.9881047625195412</v>
      </c>
      <c r="E344">
        <v>0.81682503740825541</v>
      </c>
      <c r="F344">
        <v>8235.1579999999994</v>
      </c>
      <c r="G344">
        <v>-4527.5681324086381</v>
      </c>
      <c r="H344">
        <v>-4527.5681324086381</v>
      </c>
      <c r="I344">
        <v>0.52036589989744275</v>
      </c>
      <c r="J344">
        <v>0.73899118266573016</v>
      </c>
      <c r="K344">
        <v>3.9756638990535049</v>
      </c>
      <c r="L344">
        <v>-3345.83292876833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5">
      <c r="A345" t="s">
        <v>112</v>
      </c>
      <c r="B345" t="s">
        <v>30</v>
      </c>
      <c r="C345">
        <v>269197.8</v>
      </c>
      <c r="D345">
        <v>3.9744866667259662</v>
      </c>
      <c r="E345">
        <v>0.83163138330265451</v>
      </c>
      <c r="F345">
        <v>11854.69</v>
      </c>
      <c r="G345">
        <v>2246.9163671678002</v>
      </c>
      <c r="H345">
        <v>2246.9163671678002</v>
      </c>
      <c r="I345">
        <v>0.5672164977044476</v>
      </c>
      <c r="J345">
        <v>0.75665606458227441</v>
      </c>
      <c r="K345">
        <v>3.9881047625195412</v>
      </c>
      <c r="L345">
        <v>1700.1428958266879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5">
      <c r="A346" t="s">
        <v>112</v>
      </c>
      <c r="B346" t="s">
        <v>31</v>
      </c>
      <c r="C346">
        <v>271703.09999999998</v>
      </c>
      <c r="D346">
        <v>3.91869562870848</v>
      </c>
      <c r="E346">
        <v>0.78190546741472688</v>
      </c>
      <c r="F346">
        <v>9051.4310000000005</v>
      </c>
      <c r="G346">
        <v>-4203.3719888323176</v>
      </c>
      <c r="H346">
        <v>-4203.3719888323176</v>
      </c>
      <c r="I346">
        <v>0.40987255190810379</v>
      </c>
      <c r="J346">
        <v>0.69418223004436186</v>
      </c>
      <c r="K346">
        <v>3.9744866667259662</v>
      </c>
      <c r="L346">
        <v>-2917.906140913622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35">
      <c r="A347" t="s">
        <v>112</v>
      </c>
      <c r="B347" t="s">
        <v>32</v>
      </c>
      <c r="C347">
        <v>274172.5</v>
      </c>
      <c r="D347">
        <v>3.666735173363163</v>
      </c>
      <c r="E347">
        <v>0.76651628312051245</v>
      </c>
      <c r="F347">
        <v>13357.51</v>
      </c>
      <c r="G347">
        <v>2981.2693730277952</v>
      </c>
      <c r="H347">
        <v>2981.2693730277952</v>
      </c>
      <c r="I347">
        <v>0.36117772273902088</v>
      </c>
      <c r="J347">
        <v>0.67312549118677079</v>
      </c>
      <c r="K347">
        <v>3.91869562870848</v>
      </c>
      <c r="L347">
        <v>2006.768411079411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5">
      <c r="A348" t="s">
        <v>112</v>
      </c>
      <c r="B348" t="s">
        <v>33</v>
      </c>
      <c r="C348">
        <v>276578.7</v>
      </c>
      <c r="D348">
        <v>3.6445222045832342</v>
      </c>
      <c r="E348">
        <v>0.63185169684165921</v>
      </c>
      <c r="F348">
        <v>18459.61</v>
      </c>
      <c r="G348">
        <v>3803.4009892178929</v>
      </c>
      <c r="H348">
        <v>3803.4009892178929</v>
      </c>
      <c r="I348">
        <v>-6.4931218359258344E-2</v>
      </c>
      <c r="J348">
        <v>0.46757993969296169</v>
      </c>
      <c r="K348">
        <v>3.666735173363163</v>
      </c>
      <c r="L348">
        <v>1778.394005166653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3803.4009892178929</v>
      </c>
      <c r="T348">
        <v>1778.394005166653</v>
      </c>
      <c r="U348">
        <v>0</v>
      </c>
      <c r="V348">
        <v>0</v>
      </c>
      <c r="W348">
        <v>0</v>
      </c>
    </row>
    <row r="349" spans="1:23" x14ac:dyDescent="0.35">
      <c r="A349" t="s">
        <v>112</v>
      </c>
      <c r="B349" t="s">
        <v>34</v>
      </c>
      <c r="C349">
        <v>278651.59999999998</v>
      </c>
      <c r="D349">
        <v>3.451583059465078</v>
      </c>
      <c r="E349">
        <v>0.53282126992297918</v>
      </c>
      <c r="F349">
        <v>21867.71</v>
      </c>
      <c r="G349">
        <v>2532.642848660435</v>
      </c>
      <c r="H349">
        <v>2532.642848660435</v>
      </c>
      <c r="I349">
        <v>-0.37828569051015748</v>
      </c>
      <c r="J349">
        <v>0.31939111891464927</v>
      </c>
      <c r="K349">
        <v>3.6445222045832342</v>
      </c>
      <c r="L349">
        <v>808.90363324484099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5">
      <c r="A350" t="s">
        <v>112</v>
      </c>
      <c r="B350" t="s">
        <v>35</v>
      </c>
      <c r="C350">
        <v>280353.59999999998</v>
      </c>
      <c r="D350">
        <v>3.1341737568526971</v>
      </c>
      <c r="E350">
        <v>0.36626911640312038</v>
      </c>
      <c r="F350">
        <v>13843.68</v>
      </c>
      <c r="G350">
        <v>-8502.2952960938928</v>
      </c>
      <c r="H350">
        <v>-8502.2952960938928</v>
      </c>
      <c r="I350">
        <v>-0.90529404315178719</v>
      </c>
      <c r="J350">
        <v>0.1405670652057735</v>
      </c>
      <c r="K350">
        <v>3.451583059465078</v>
      </c>
      <c r="L350">
        <v>-1195.1426972847721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5">
      <c r="A351" t="s">
        <v>112</v>
      </c>
      <c r="B351" t="s">
        <v>36</v>
      </c>
      <c r="C351">
        <v>280877.5</v>
      </c>
      <c r="D351">
        <v>2.4161160881627701</v>
      </c>
      <c r="E351">
        <v>0.53684905368063607</v>
      </c>
      <c r="F351">
        <v>13176.87</v>
      </c>
      <c r="G351">
        <v>-1287.1085488489391</v>
      </c>
      <c r="H351">
        <v>-1287.1085488489391</v>
      </c>
      <c r="I351">
        <v>-0.36554087972230798</v>
      </c>
      <c r="J351">
        <v>0.32495738765710652</v>
      </c>
      <c r="K351">
        <v>3.1341737568526971</v>
      </c>
      <c r="L351">
        <v>-418.25543166508038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5">
      <c r="A352" t="s">
        <v>112</v>
      </c>
      <c r="B352" t="s">
        <v>37</v>
      </c>
      <c r="C352">
        <v>280976.59999999998</v>
      </c>
      <c r="D352">
        <v>1.577598208700713</v>
      </c>
      <c r="E352">
        <v>0.25145887340084427</v>
      </c>
      <c r="F352">
        <v>18019.05</v>
      </c>
      <c r="G352">
        <v>3782.8150578267828</v>
      </c>
      <c r="H352">
        <v>3782.8150578267828</v>
      </c>
      <c r="I352">
        <v>-1.2685793910281229</v>
      </c>
      <c r="J352">
        <v>7.3293920595785239E-2</v>
      </c>
      <c r="K352">
        <v>2.4161160881627701</v>
      </c>
      <c r="L352">
        <v>277.257346476897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35">
      <c r="A353" t="s">
        <v>112</v>
      </c>
      <c r="B353" t="s">
        <v>38</v>
      </c>
      <c r="C353">
        <v>280381.90000000002</v>
      </c>
      <c r="D353">
        <v>0.61903464657388363</v>
      </c>
      <c r="E353">
        <v>0.31538663966049729</v>
      </c>
      <c r="F353">
        <v>14048.15</v>
      </c>
      <c r="G353">
        <v>-4873.0704452221198</v>
      </c>
      <c r="H353">
        <v>-4873.0704452221198</v>
      </c>
      <c r="I353">
        <v>-1.0662976067788319</v>
      </c>
      <c r="J353">
        <v>0.1059688709762055</v>
      </c>
      <c r="K353">
        <v>1.577598208700713</v>
      </c>
      <c r="L353">
        <v>-516.39377326770318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5">
      <c r="A354" t="s">
        <v>112</v>
      </c>
      <c r="B354" t="s">
        <v>39</v>
      </c>
      <c r="C354">
        <v>276034</v>
      </c>
      <c r="D354">
        <v>-1.5527617042849611</v>
      </c>
      <c r="E354">
        <v>0.54210660150928069</v>
      </c>
      <c r="F354">
        <v>13245.42</v>
      </c>
      <c r="G354">
        <v>-1612.889016524221</v>
      </c>
      <c r="H354">
        <v>-1612.889016524221</v>
      </c>
      <c r="I354">
        <v>-0.34890481971616571</v>
      </c>
      <c r="J354">
        <v>0.33229803774102767</v>
      </c>
      <c r="K354">
        <v>0.61903464657388363</v>
      </c>
      <c r="L354">
        <v>-535.95985528505457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5">
      <c r="A355" t="s">
        <v>112</v>
      </c>
      <c r="B355" t="s">
        <v>40</v>
      </c>
      <c r="C355">
        <v>268652.09999999998</v>
      </c>
      <c r="D355">
        <v>-4.4501397216078971</v>
      </c>
      <c r="E355">
        <v>0.240183670362939</v>
      </c>
      <c r="F355">
        <v>21794.11</v>
      </c>
      <c r="G355">
        <v>7502.5523747752904</v>
      </c>
      <c r="H355">
        <v>7502.5523747752904</v>
      </c>
      <c r="I355">
        <v>-1.3042566611992219</v>
      </c>
      <c r="J355">
        <v>6.8592523076371231E-2</v>
      </c>
      <c r="K355">
        <v>-1.5527617042849611</v>
      </c>
      <c r="L355">
        <v>514.61899689845791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5">
      <c r="A356" t="s">
        <v>112</v>
      </c>
      <c r="B356" t="s">
        <v>41</v>
      </c>
      <c r="C356">
        <v>268828.7</v>
      </c>
      <c r="D356">
        <v>-4.4197018062191464</v>
      </c>
      <c r="E356">
        <v>0.44045158299222398</v>
      </c>
      <c r="F356">
        <v>18972.07</v>
      </c>
      <c r="G356">
        <v>-3571.395125890052</v>
      </c>
      <c r="H356">
        <v>-3571.395125890052</v>
      </c>
      <c r="I356">
        <v>-0.67056408808486123</v>
      </c>
      <c r="J356">
        <v>0.20732459162134659</v>
      </c>
      <c r="K356">
        <v>-4.4501397216078971</v>
      </c>
      <c r="L356">
        <v>-740.43803599362286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5">
      <c r="A357" t="s">
        <v>112</v>
      </c>
      <c r="B357" t="s">
        <v>42</v>
      </c>
      <c r="C357">
        <v>269358.2</v>
      </c>
      <c r="D357">
        <v>-4.0110510111204123</v>
      </c>
      <c r="E357">
        <v>0.59392975692335848</v>
      </c>
      <c r="F357">
        <v>14507.25</v>
      </c>
      <c r="G357">
        <v>-4886.0951899900501</v>
      </c>
      <c r="H357">
        <v>-4886.0951899900501</v>
      </c>
      <c r="I357">
        <v>-0.18492473788427369</v>
      </c>
      <c r="J357">
        <v>0.40857739402897392</v>
      </c>
      <c r="K357">
        <v>-4.4197018062191464</v>
      </c>
      <c r="L357">
        <v>-1996.348039703639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5">
      <c r="A358" t="s">
        <v>112</v>
      </c>
      <c r="B358" t="s">
        <v>43</v>
      </c>
      <c r="C358">
        <v>269293.09999999998</v>
      </c>
      <c r="D358">
        <v>-2.4723669029492741</v>
      </c>
      <c r="E358">
        <v>0.6899991703303614</v>
      </c>
      <c r="F358">
        <v>18951.79</v>
      </c>
      <c r="G358">
        <v>3701.552958534176</v>
      </c>
      <c r="H358">
        <v>3701.552958534176</v>
      </c>
      <c r="I358">
        <v>0.1190604236935713</v>
      </c>
      <c r="J358">
        <v>0.55925050981277991</v>
      </c>
      <c r="K358">
        <v>-4.0110510111204123</v>
      </c>
      <c r="L358">
        <v>2070.095379159241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3701.552958534176</v>
      </c>
      <c r="T358">
        <v>2070.095379159241</v>
      </c>
      <c r="U358">
        <v>0</v>
      </c>
      <c r="V358">
        <v>0</v>
      </c>
      <c r="W358">
        <v>0</v>
      </c>
    </row>
    <row r="359" spans="1:23" x14ac:dyDescent="0.35">
      <c r="A359" t="s">
        <v>112</v>
      </c>
      <c r="B359" t="s">
        <v>44</v>
      </c>
      <c r="C359">
        <v>269052.40000000002</v>
      </c>
      <c r="D359">
        <v>0.148892216431805</v>
      </c>
      <c r="E359">
        <v>0.64690290506217807</v>
      </c>
      <c r="F359">
        <v>19711.91</v>
      </c>
      <c r="G359">
        <v>-36.739168690150109</v>
      </c>
      <c r="H359">
        <v>-36.739168690150109</v>
      </c>
      <c r="I359">
        <v>-1.7305821257346841E-2</v>
      </c>
      <c r="J359">
        <v>0.49134795309210438</v>
      </c>
      <c r="K359">
        <v>-2.4723669029492741</v>
      </c>
      <c r="L359">
        <v>-18.05171533421079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-36.739168690150109</v>
      </c>
      <c r="T359">
        <v>-18.05171533421079</v>
      </c>
      <c r="U359">
        <v>0</v>
      </c>
      <c r="V359">
        <v>0</v>
      </c>
      <c r="W359">
        <v>0</v>
      </c>
    </row>
    <row r="360" spans="1:23" x14ac:dyDescent="0.35">
      <c r="A360" t="s">
        <v>112</v>
      </c>
      <c r="B360" t="s">
        <v>45</v>
      </c>
      <c r="C360">
        <v>269384.7</v>
      </c>
      <c r="D360">
        <v>0.20660957077080219</v>
      </c>
      <c r="E360">
        <v>0.69953429690571478</v>
      </c>
      <c r="F360">
        <v>21449.03</v>
      </c>
      <c r="G360">
        <v>1198.9148978520791</v>
      </c>
      <c r="H360">
        <v>1198.9148978520791</v>
      </c>
      <c r="I360">
        <v>0.14923170183382811</v>
      </c>
      <c r="J360">
        <v>0.57406684016748544</v>
      </c>
      <c r="K360">
        <v>0.148892216431805</v>
      </c>
      <c r="L360">
        <v>688.25728703966649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1198.9148978520791</v>
      </c>
      <c r="T360">
        <v>688.25728703966649</v>
      </c>
      <c r="U360">
        <v>0</v>
      </c>
      <c r="V360">
        <v>0</v>
      </c>
      <c r="W360">
        <v>0</v>
      </c>
    </row>
    <row r="361" spans="1:23" x14ac:dyDescent="0.35">
      <c r="A361" t="s">
        <v>112</v>
      </c>
      <c r="B361" t="s">
        <v>46</v>
      </c>
      <c r="C361">
        <v>269214.7</v>
      </c>
      <c r="D361">
        <v>-5.3288980338901608E-2</v>
      </c>
      <c r="E361">
        <v>0.68448434321080931</v>
      </c>
      <c r="F361">
        <v>19653.439999999999</v>
      </c>
      <c r="G361">
        <v>-2226.0035218636149</v>
      </c>
      <c r="H361">
        <v>-2226.0035218636149</v>
      </c>
      <c r="I361">
        <v>0.1016102743322063</v>
      </c>
      <c r="J361">
        <v>0.55063100787679897</v>
      </c>
      <c r="K361">
        <v>0.20660957077080219</v>
      </c>
      <c r="L361">
        <v>-1225.7065627810659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5">
      <c r="A362" t="s">
        <v>112</v>
      </c>
      <c r="B362" t="s">
        <v>47</v>
      </c>
      <c r="C362">
        <v>269493.2</v>
      </c>
      <c r="D362">
        <v>7.4278061338979032E-2</v>
      </c>
      <c r="E362">
        <v>0.58431308377877378</v>
      </c>
      <c r="F362">
        <v>14901.64</v>
      </c>
      <c r="G362">
        <v>-5163.8778878903649</v>
      </c>
      <c r="H362">
        <v>-5163.8778878903649</v>
      </c>
      <c r="I362">
        <v>-0.2153540476512969</v>
      </c>
      <c r="J362">
        <v>0.39395725763060518</v>
      </c>
      <c r="K362">
        <v>-5.3288980338901608E-2</v>
      </c>
      <c r="L362">
        <v>-2034.3471714526099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-5163.8778878903649</v>
      </c>
      <c r="T362">
        <v>-2034.3471714526099</v>
      </c>
      <c r="U362">
        <v>0</v>
      </c>
      <c r="V362">
        <v>0</v>
      </c>
      <c r="W362">
        <v>0</v>
      </c>
    </row>
    <row r="363" spans="1:23" x14ac:dyDescent="0.35">
      <c r="A363" t="s">
        <v>112</v>
      </c>
      <c r="B363" t="s">
        <v>48</v>
      </c>
      <c r="C363">
        <v>269280.8</v>
      </c>
      <c r="D363">
        <v>8.485451527213915E-2</v>
      </c>
      <c r="E363">
        <v>0.64537580635038505</v>
      </c>
      <c r="F363">
        <v>13397.83</v>
      </c>
      <c r="G363">
        <v>-2196.1557660518852</v>
      </c>
      <c r="H363">
        <v>-2196.1557660518852</v>
      </c>
      <c r="I363">
        <v>-2.213790393784628E-2</v>
      </c>
      <c r="J363">
        <v>0.48893285592571673</v>
      </c>
      <c r="K363">
        <v>7.4278061338979032E-2</v>
      </c>
      <c r="L363">
        <v>-1073.7727107534779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-2196.1557660518852</v>
      </c>
      <c r="T363">
        <v>-1073.7727107534779</v>
      </c>
      <c r="U363">
        <v>0</v>
      </c>
      <c r="V363">
        <v>0</v>
      </c>
      <c r="W363">
        <v>0</v>
      </c>
    </row>
    <row r="364" spans="1:23" x14ac:dyDescent="0.35">
      <c r="A364" t="s">
        <v>112</v>
      </c>
      <c r="B364" t="s">
        <v>49</v>
      </c>
      <c r="C364">
        <v>268584.2</v>
      </c>
      <c r="D364">
        <v>-0.29760106608823322</v>
      </c>
      <c r="E364">
        <v>0.61735803179619597</v>
      </c>
      <c r="F364">
        <v>14121</v>
      </c>
      <c r="G364">
        <v>-273.04318602130661</v>
      </c>
      <c r="H364">
        <v>-273.04318602130661</v>
      </c>
      <c r="I364">
        <v>-0.1107924238611038</v>
      </c>
      <c r="J364">
        <v>0.4448293427810962</v>
      </c>
      <c r="K364">
        <v>8.485451527213915E-2</v>
      </c>
      <c r="L364">
        <v>-121.4576209887144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-273.04318602130661</v>
      </c>
      <c r="T364">
        <v>-121.4576209887144</v>
      </c>
      <c r="U364">
        <v>0</v>
      </c>
      <c r="V364">
        <v>0</v>
      </c>
      <c r="W364">
        <v>0</v>
      </c>
    </row>
    <row r="365" spans="1:23" x14ac:dyDescent="0.35">
      <c r="A365" t="s">
        <v>112</v>
      </c>
      <c r="B365" t="s">
        <v>50</v>
      </c>
      <c r="C365">
        <v>266945.40000000002</v>
      </c>
      <c r="D365">
        <v>-0.84650594140194446</v>
      </c>
      <c r="E365">
        <v>0.62013792120995015</v>
      </c>
      <c r="F365">
        <v>20227.560000000001</v>
      </c>
      <c r="G365">
        <v>5061.6006823259177</v>
      </c>
      <c r="H365">
        <v>5061.6006823259177</v>
      </c>
      <c r="I365">
        <v>-0.10199623053962981</v>
      </c>
      <c r="J365">
        <v>0.44917800029012173</v>
      </c>
      <c r="K365">
        <v>-0.29760106608823322</v>
      </c>
      <c r="L365">
        <v>2273.559672754272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5">
      <c r="A366" t="s">
        <v>112</v>
      </c>
      <c r="B366" t="s">
        <v>51</v>
      </c>
      <c r="C366">
        <v>265441.7</v>
      </c>
      <c r="D366">
        <v>-1.514792723763134</v>
      </c>
      <c r="E366">
        <v>0.61223858261045283</v>
      </c>
      <c r="F366">
        <v>19436.98</v>
      </c>
      <c r="G366">
        <v>-1556.8530311641989</v>
      </c>
      <c r="H366">
        <v>-1556.8530311641989</v>
      </c>
      <c r="I366">
        <v>-0.12699150880112131</v>
      </c>
      <c r="J366">
        <v>0.43684338675081191</v>
      </c>
      <c r="K366">
        <v>-0.84650594140194446</v>
      </c>
      <c r="L366">
        <v>-680.10095080703593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35">
      <c r="A367" t="s">
        <v>112</v>
      </c>
      <c r="B367" t="s">
        <v>52</v>
      </c>
      <c r="C367">
        <v>262943.90000000002</v>
      </c>
      <c r="D367">
        <v>-2.3813999883816672</v>
      </c>
      <c r="E367">
        <v>0.49158960077890179</v>
      </c>
      <c r="F367">
        <v>18629.88</v>
      </c>
      <c r="G367">
        <v>-1290.561426222474</v>
      </c>
      <c r="H367">
        <v>-1290.561426222474</v>
      </c>
      <c r="I367">
        <v>-0.50875193530532936</v>
      </c>
      <c r="J367">
        <v>0.26551390137004349</v>
      </c>
      <c r="K367">
        <v>-1.514792723763134</v>
      </c>
      <c r="L367">
        <v>-342.66199923401649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5">
      <c r="A368" t="s">
        <v>112</v>
      </c>
      <c r="B368" t="s">
        <v>53</v>
      </c>
      <c r="C368">
        <v>260395.2</v>
      </c>
      <c r="D368">
        <v>-3.0963981844756301</v>
      </c>
      <c r="E368">
        <v>0.47972458400874718</v>
      </c>
      <c r="F368">
        <v>36827.879999999997</v>
      </c>
      <c r="G368">
        <v>17641.959197543922</v>
      </c>
      <c r="H368">
        <v>17641.959197543922</v>
      </c>
      <c r="I368">
        <v>-0.54629550835410956</v>
      </c>
      <c r="J368">
        <v>0.25113068711998843</v>
      </c>
      <c r="K368">
        <v>-2.3813999883816672</v>
      </c>
      <c r="L368">
        <v>4430.4373354220024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35">
      <c r="A369" t="s">
        <v>112</v>
      </c>
      <c r="B369" t="s">
        <v>54</v>
      </c>
      <c r="C369">
        <v>259199.2</v>
      </c>
      <c r="D369">
        <v>-2.9447265052796521</v>
      </c>
      <c r="E369">
        <v>0.43269597683990918</v>
      </c>
      <c r="F369">
        <v>25945.24</v>
      </c>
      <c r="G369">
        <v>-10760.52865517087</v>
      </c>
      <c r="H369">
        <v>-10760.52865517087</v>
      </c>
      <c r="I369">
        <v>-0.69510456466045456</v>
      </c>
      <c r="J369">
        <v>0.19937437264266181</v>
      </c>
      <c r="K369">
        <v>-3.0963981844756301</v>
      </c>
      <c r="L369">
        <v>-2145.3736499280781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-10760.52865517087</v>
      </c>
      <c r="T369">
        <v>-2145.3736499280781</v>
      </c>
      <c r="U369">
        <v>0</v>
      </c>
      <c r="V369">
        <v>0</v>
      </c>
      <c r="W369">
        <v>0</v>
      </c>
    </row>
    <row r="370" spans="1:23" x14ac:dyDescent="0.35">
      <c r="A370" t="s">
        <v>112</v>
      </c>
      <c r="B370" t="s">
        <v>55</v>
      </c>
      <c r="C370">
        <v>257049.8</v>
      </c>
      <c r="D370">
        <v>-3.2125390439676802</v>
      </c>
      <c r="E370">
        <v>0.53192834549392742</v>
      </c>
      <c r="F370">
        <v>38752.269999999997</v>
      </c>
      <c r="G370">
        <v>13434.743327128041</v>
      </c>
      <c r="H370">
        <v>13434.743327128041</v>
      </c>
      <c r="I370">
        <v>-0.38111110358613992</v>
      </c>
      <c r="J370">
        <v>0.31816399553861802</v>
      </c>
      <c r="K370">
        <v>-2.9447265052796521</v>
      </c>
      <c r="L370">
        <v>4274.4516159948435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5">
      <c r="A371" t="s">
        <v>112</v>
      </c>
      <c r="B371" t="s">
        <v>56</v>
      </c>
      <c r="C371">
        <v>256343.7</v>
      </c>
      <c r="D371">
        <v>-2.5421579287176761</v>
      </c>
      <c r="E371">
        <v>0.4597495028162647</v>
      </c>
      <c r="F371">
        <v>31598.92</v>
      </c>
      <c r="G371">
        <v>-6578.8883624478913</v>
      </c>
      <c r="H371">
        <v>-6578.8883624478913</v>
      </c>
      <c r="I371">
        <v>-0.60950114340990502</v>
      </c>
      <c r="J371">
        <v>0.2281120772182523</v>
      </c>
      <c r="K371">
        <v>-3.2125390439676802</v>
      </c>
      <c r="L371">
        <v>-1500.723890144975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5">
      <c r="A372" t="s">
        <v>112</v>
      </c>
      <c r="B372" t="s">
        <v>57</v>
      </c>
      <c r="C372">
        <v>256081.3</v>
      </c>
      <c r="D372">
        <v>-1.6705504797493891</v>
      </c>
      <c r="E372">
        <v>0.48871656071844249</v>
      </c>
      <c r="F372">
        <v>14113.9</v>
      </c>
      <c r="G372">
        <v>-16534.748271214699</v>
      </c>
      <c r="H372">
        <v>-16534.748271214699</v>
      </c>
      <c r="I372">
        <v>-0.51784287815618535</v>
      </c>
      <c r="J372">
        <v>0.26198328752649702</v>
      </c>
      <c r="K372">
        <v>-2.5421579287176761</v>
      </c>
      <c r="L372">
        <v>-4331.8277105158904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-16534.748271214699</v>
      </c>
      <c r="T372">
        <v>-4331.8277105158904</v>
      </c>
      <c r="U372">
        <v>0</v>
      </c>
      <c r="V372">
        <v>0</v>
      </c>
      <c r="W372">
        <v>0</v>
      </c>
    </row>
    <row r="373" spans="1:23" x14ac:dyDescent="0.35">
      <c r="A373" t="s">
        <v>112</v>
      </c>
      <c r="B373" t="s">
        <v>58</v>
      </c>
      <c r="C373">
        <v>255918.9</v>
      </c>
      <c r="D373">
        <v>-1.273628063977154</v>
      </c>
      <c r="E373">
        <v>3.2583433389872199E-2</v>
      </c>
      <c r="F373">
        <v>15802.53</v>
      </c>
      <c r="G373">
        <v>1579.518846364859</v>
      </c>
      <c r="H373">
        <v>1579.518846364859</v>
      </c>
      <c r="I373">
        <v>-1.961150352352502</v>
      </c>
      <c r="J373">
        <v>1.941124347075035E-2</v>
      </c>
      <c r="K373">
        <v>-1.6705504797493891</v>
      </c>
      <c r="L373">
        <v>30.660424893426988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1579.518846364859</v>
      </c>
      <c r="T373">
        <v>30.660424893426988</v>
      </c>
      <c r="U373">
        <v>0</v>
      </c>
      <c r="V373">
        <v>0</v>
      </c>
      <c r="W373">
        <v>0</v>
      </c>
    </row>
    <row r="374" spans="1:23" x14ac:dyDescent="0.35">
      <c r="A374" t="s">
        <v>112</v>
      </c>
      <c r="B374" t="s">
        <v>59</v>
      </c>
      <c r="C374">
        <v>256406</v>
      </c>
      <c r="D374">
        <v>-0.25077147337126859</v>
      </c>
      <c r="E374">
        <v>7.5049292120235769E-2</v>
      </c>
      <c r="F374">
        <v>18492.009999999998</v>
      </c>
      <c r="G374">
        <v>1747.8482793999319</v>
      </c>
      <c r="H374">
        <v>1747.8482793999319</v>
      </c>
      <c r="I374">
        <v>-1.826778855016489</v>
      </c>
      <c r="J374">
        <v>2.524500814578854E-2</v>
      </c>
      <c r="K374">
        <v>-1.273628063977154</v>
      </c>
      <c r="L374">
        <v>44.124444051053757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1747.8482793999319</v>
      </c>
      <c r="T374">
        <v>44.124444051053757</v>
      </c>
      <c r="U374">
        <v>0</v>
      </c>
      <c r="V374">
        <v>0</v>
      </c>
      <c r="W374">
        <v>0</v>
      </c>
    </row>
    <row r="375" spans="1:23" x14ac:dyDescent="0.35">
      <c r="A375" t="s">
        <v>112</v>
      </c>
      <c r="B375" t="s">
        <v>60</v>
      </c>
      <c r="C375">
        <v>257375.5</v>
      </c>
      <c r="D375">
        <v>0.40169858842798778</v>
      </c>
      <c r="E375">
        <v>0.37947426275088308</v>
      </c>
      <c r="F375">
        <v>19536.86</v>
      </c>
      <c r="G375">
        <v>296.42782514671848</v>
      </c>
      <c r="H375">
        <v>296.42782514671848</v>
      </c>
      <c r="I375">
        <v>-0.86350999967920461</v>
      </c>
      <c r="J375">
        <v>0.1509691515193573</v>
      </c>
      <c r="K375">
        <v>-0.25077147337126859</v>
      </c>
      <c r="L375">
        <v>44.751457249128507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296.42782514671848</v>
      </c>
      <c r="T375">
        <v>44.751457249128507</v>
      </c>
      <c r="U375">
        <v>0</v>
      </c>
      <c r="V375">
        <v>0</v>
      </c>
      <c r="W375">
        <v>0</v>
      </c>
    </row>
    <row r="376" spans="1:23" x14ac:dyDescent="0.35">
      <c r="A376" t="s">
        <v>112</v>
      </c>
      <c r="B376" t="s">
        <v>61</v>
      </c>
      <c r="C376">
        <v>258765</v>
      </c>
      <c r="D376">
        <v>1.0425341726513579</v>
      </c>
      <c r="E376">
        <v>-0.49823237213184068</v>
      </c>
      <c r="F376">
        <v>20086.099999999999</v>
      </c>
      <c r="G376">
        <v>-19.53534989586478</v>
      </c>
      <c r="H376">
        <v>-19.53534989586478</v>
      </c>
      <c r="I376">
        <v>-3.640770563272095</v>
      </c>
      <c r="J376">
        <v>6.8765107015529971E-4</v>
      </c>
      <c r="K376">
        <v>0.40169858842798778</v>
      </c>
      <c r="L376">
        <v>-1.343350426174964E-2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-19.53534989586478</v>
      </c>
      <c r="T376">
        <v>-1.343350426174964E-2</v>
      </c>
      <c r="U376">
        <v>0</v>
      </c>
      <c r="V376">
        <v>0</v>
      </c>
      <c r="W376">
        <v>0</v>
      </c>
    </row>
    <row r="377" spans="1:23" x14ac:dyDescent="0.35">
      <c r="A377" t="s">
        <v>112</v>
      </c>
      <c r="B377" t="s">
        <v>62</v>
      </c>
      <c r="C377">
        <v>260834.2</v>
      </c>
      <c r="D377">
        <v>1.9024359010552609</v>
      </c>
      <c r="E377">
        <v>-0.2117682198897928</v>
      </c>
      <c r="F377">
        <v>14211.19</v>
      </c>
      <c r="G377">
        <v>-6368.2256188433221</v>
      </c>
      <c r="H377">
        <v>-6368.2256188433221</v>
      </c>
      <c r="I377">
        <v>-2.7343337639066529</v>
      </c>
      <c r="J377">
        <v>4.1991401154248976E-3</v>
      </c>
      <c r="K377">
        <v>1.0425341726513579</v>
      </c>
      <c r="L377">
        <v>-26.741071660161541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-6368.2256188433221</v>
      </c>
      <c r="T377">
        <v>-26.741071660161541</v>
      </c>
      <c r="U377">
        <v>0</v>
      </c>
      <c r="V377">
        <v>0</v>
      </c>
      <c r="W377">
        <v>0</v>
      </c>
    </row>
    <row r="378" spans="1:23" x14ac:dyDescent="0.35">
      <c r="A378" t="s">
        <v>112</v>
      </c>
      <c r="B378" t="s">
        <v>63</v>
      </c>
      <c r="C378">
        <v>263356.5</v>
      </c>
      <c r="D378">
        <v>2.67465018982015</v>
      </c>
      <c r="E378">
        <v>-0.17263586604225739</v>
      </c>
      <c r="F378">
        <v>17252.02</v>
      </c>
      <c r="G378">
        <v>2343.4323165346868</v>
      </c>
      <c r="H378">
        <v>2343.4323165346868</v>
      </c>
      <c r="I378">
        <v>-2.6105102233499098</v>
      </c>
      <c r="J378">
        <v>5.3727912305235239E-3</v>
      </c>
      <c r="K378">
        <v>1.9024359010552609</v>
      </c>
      <c r="L378">
        <v>12.590772599602991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2343.4323165346868</v>
      </c>
      <c r="T378">
        <v>12.590772599602991</v>
      </c>
      <c r="U378">
        <v>0</v>
      </c>
      <c r="V378">
        <v>0</v>
      </c>
      <c r="W378">
        <v>0</v>
      </c>
    </row>
    <row r="379" spans="1:23" x14ac:dyDescent="0.35">
      <c r="A379" t="s">
        <v>112</v>
      </c>
      <c r="B379" t="s">
        <v>64</v>
      </c>
      <c r="C379">
        <v>266562.2</v>
      </c>
      <c r="D379">
        <v>3.5071504209047188</v>
      </c>
      <c r="E379">
        <v>-0.16593425714297361</v>
      </c>
      <c r="F379">
        <v>29838.2</v>
      </c>
      <c r="G379">
        <v>11706.8741061117</v>
      </c>
      <c r="H379">
        <v>11706.8741061117</v>
      </c>
      <c r="I379">
        <v>-2.5893048303758781</v>
      </c>
      <c r="J379">
        <v>5.6042520453991164E-3</v>
      </c>
      <c r="K379">
        <v>2.67465018982015</v>
      </c>
      <c r="L379">
        <v>65.608273154406461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11706.8741061117</v>
      </c>
      <c r="T379">
        <v>65.608273154406461</v>
      </c>
      <c r="U379">
        <v>0</v>
      </c>
      <c r="V379">
        <v>0</v>
      </c>
      <c r="W379">
        <v>0</v>
      </c>
    </row>
    <row r="380" spans="1:23" x14ac:dyDescent="0.35">
      <c r="A380" t="s">
        <v>112</v>
      </c>
      <c r="B380" t="s">
        <v>65</v>
      </c>
      <c r="C380">
        <v>269547</v>
      </c>
      <c r="D380">
        <v>4.0822458261379966</v>
      </c>
      <c r="E380">
        <v>0.2655667554515832</v>
      </c>
      <c r="F380">
        <v>25360.74</v>
      </c>
      <c r="G380">
        <v>-4702.6314541169268</v>
      </c>
      <c r="H380">
        <v>-4702.6314541169268</v>
      </c>
      <c r="I380">
        <v>-1.223938889409296</v>
      </c>
      <c r="J380">
        <v>7.9593881694544275E-2</v>
      </c>
      <c r="K380">
        <v>3.5071504209047188</v>
      </c>
      <c r="L380">
        <v>-374.30069161202539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5">
      <c r="A381" t="s">
        <v>112</v>
      </c>
      <c r="B381" t="s">
        <v>66</v>
      </c>
      <c r="C381">
        <v>272019.3</v>
      </c>
      <c r="D381">
        <v>4.1988063236716027</v>
      </c>
      <c r="E381">
        <v>0.66387638737229515</v>
      </c>
      <c r="F381">
        <v>21280.47</v>
      </c>
      <c r="G381">
        <v>-3835.168726222837</v>
      </c>
      <c r="H381">
        <v>-3835.168726222837</v>
      </c>
      <c r="I381">
        <v>3.6402082013805251E-2</v>
      </c>
      <c r="J381">
        <v>0.51819300579585814</v>
      </c>
      <c r="K381">
        <v>4.0822458261379966</v>
      </c>
      <c r="L381">
        <v>-1987.357609975684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5">
      <c r="A382" t="s">
        <v>112</v>
      </c>
      <c r="B382" t="s">
        <v>67</v>
      </c>
      <c r="C382">
        <v>274449.09999999998</v>
      </c>
      <c r="D382">
        <v>4.1257188097720574</v>
      </c>
      <c r="E382">
        <v>0.57985759945850146</v>
      </c>
      <c r="F382">
        <v>18517.900000000001</v>
      </c>
      <c r="G382">
        <v>-2909.1155667876369</v>
      </c>
      <c r="H382">
        <v>-2909.1155667876369</v>
      </c>
      <c r="I382">
        <v>-0.2294521989043658</v>
      </c>
      <c r="J382">
        <v>0.38724576331311489</v>
      </c>
      <c r="K382">
        <v>4.1988063236716027</v>
      </c>
      <c r="L382">
        <v>-1126.542678226743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5">
      <c r="A383" t="s">
        <v>112</v>
      </c>
      <c r="B383" t="s">
        <v>68</v>
      </c>
      <c r="C383">
        <v>276354.90000000002</v>
      </c>
      <c r="D383">
        <v>3.6078297014386722</v>
      </c>
      <c r="E383">
        <v>0.50164177704477531</v>
      </c>
      <c r="F383">
        <v>22826.080000000002</v>
      </c>
      <c r="G383">
        <v>3842.526243353896</v>
      </c>
      <c r="H383">
        <v>3842.526243353896</v>
      </c>
      <c r="I383">
        <v>-0.47694459602820838</v>
      </c>
      <c r="J383">
        <v>0.27810334705924528</v>
      </c>
      <c r="K383">
        <v>4.1257188097720574</v>
      </c>
      <c r="L383">
        <v>1068.619409439706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35">
      <c r="A384" t="s">
        <v>112</v>
      </c>
      <c r="B384" t="s">
        <v>69</v>
      </c>
      <c r="C384">
        <v>277269.59999999998</v>
      </c>
      <c r="D384">
        <v>2.8247545875759958</v>
      </c>
      <c r="E384">
        <v>0.40002921240657979</v>
      </c>
      <c r="F384">
        <v>18513.21</v>
      </c>
      <c r="G384">
        <v>-4750.2373136210626</v>
      </c>
      <c r="H384">
        <v>-4750.2373136210626</v>
      </c>
      <c r="I384">
        <v>-0.79846953080655947</v>
      </c>
      <c r="J384">
        <v>0.1684098581059251</v>
      </c>
      <c r="K384">
        <v>3.6078297014386722</v>
      </c>
      <c r="L384">
        <v>-799.98679195639397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35">
      <c r="A385" t="s">
        <v>112</v>
      </c>
      <c r="B385" t="s">
        <v>70</v>
      </c>
      <c r="C385">
        <v>279461.5</v>
      </c>
      <c r="D385">
        <v>2.6991517471249851</v>
      </c>
      <c r="E385">
        <v>0.59776043634074527</v>
      </c>
      <c r="F385">
        <v>30182.29</v>
      </c>
      <c r="G385">
        <v>11282.735474875861</v>
      </c>
      <c r="H385">
        <v>11282.735474875861</v>
      </c>
      <c r="I385">
        <v>-0.17280360941736081</v>
      </c>
      <c r="J385">
        <v>0.41444806282678809</v>
      </c>
      <c r="K385">
        <v>2.8247545875759958</v>
      </c>
      <c r="L385">
        <v>4676.1078609493807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11282.735474875861</v>
      </c>
      <c r="T385">
        <v>4676.1078609493807</v>
      </c>
      <c r="U385">
        <v>0</v>
      </c>
      <c r="V385">
        <v>0</v>
      </c>
      <c r="W385">
        <v>0</v>
      </c>
    </row>
    <row r="386" spans="1:23" x14ac:dyDescent="0.35">
      <c r="A386" t="s">
        <v>112</v>
      </c>
      <c r="B386" t="s">
        <v>71</v>
      </c>
      <c r="C386">
        <v>281049.3</v>
      </c>
      <c r="D386">
        <v>2.376428308028053</v>
      </c>
      <c r="E386">
        <v>0.65430939132979626</v>
      </c>
      <c r="F386">
        <v>32031.3</v>
      </c>
      <c r="G386">
        <v>1702.312279079182</v>
      </c>
      <c r="H386">
        <v>1702.312279079182</v>
      </c>
      <c r="I386">
        <v>6.1299617347650706E-3</v>
      </c>
      <c r="J386">
        <v>0.50306494247761235</v>
      </c>
      <c r="K386">
        <v>2.6991517471249851</v>
      </c>
      <c r="L386">
        <v>856.37362875390193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1702.312279079182</v>
      </c>
      <c r="T386">
        <v>856.37362875390193</v>
      </c>
      <c r="U386">
        <v>0</v>
      </c>
      <c r="V386">
        <v>0</v>
      </c>
      <c r="W386">
        <v>0</v>
      </c>
    </row>
    <row r="387" spans="1:23" x14ac:dyDescent="0.35">
      <c r="A387" t="s">
        <v>112</v>
      </c>
      <c r="B387" t="s">
        <v>72</v>
      </c>
      <c r="C387">
        <v>283039.2</v>
      </c>
      <c r="D387">
        <v>2.3899494691729308</v>
      </c>
      <c r="E387">
        <v>0.84901836377849371</v>
      </c>
      <c r="F387">
        <v>29910.11</v>
      </c>
      <c r="G387">
        <v>-1594.595393211242</v>
      </c>
      <c r="H387">
        <v>-1594.595393211242</v>
      </c>
      <c r="I387">
        <v>0.6222328018730493</v>
      </c>
      <c r="J387">
        <v>0.77634036060576495</v>
      </c>
      <c r="K387">
        <v>2.376428308028053</v>
      </c>
      <c r="L387">
        <v>-1237.9487625859081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-1594.595393211242</v>
      </c>
      <c r="T387">
        <v>-1237.9487625859081</v>
      </c>
      <c r="U387">
        <v>0</v>
      </c>
      <c r="V387">
        <v>0</v>
      </c>
      <c r="W387">
        <v>0</v>
      </c>
    </row>
    <row r="388" spans="1:23" x14ac:dyDescent="0.35">
      <c r="A388" t="s">
        <v>112</v>
      </c>
      <c r="B388" t="s">
        <v>73</v>
      </c>
      <c r="C388">
        <v>285999.5</v>
      </c>
      <c r="D388">
        <v>3.099974451561903</v>
      </c>
      <c r="E388">
        <v>0.82854294095070802</v>
      </c>
      <c r="F388">
        <v>16514.349999999999</v>
      </c>
      <c r="G388">
        <v>-12857.951240235971</v>
      </c>
      <c r="H388">
        <v>-12857.951240235971</v>
      </c>
      <c r="I388">
        <v>0.55744397371283261</v>
      </c>
      <c r="J388">
        <v>0.7530392524675722</v>
      </c>
      <c r="K388">
        <v>2.3899494691729308</v>
      </c>
      <c r="L388">
        <v>-9682.5419902117865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-12857.951240235971</v>
      </c>
      <c r="T388">
        <v>-9682.5419902117865</v>
      </c>
      <c r="U388">
        <v>0</v>
      </c>
      <c r="V388">
        <v>0</v>
      </c>
      <c r="W388">
        <v>0</v>
      </c>
    </row>
    <row r="389" spans="1:23" x14ac:dyDescent="0.35">
      <c r="A389" t="s">
        <v>112</v>
      </c>
      <c r="B389" t="s">
        <v>74</v>
      </c>
      <c r="C389">
        <v>287805.3</v>
      </c>
      <c r="D389">
        <v>2.94196727177179</v>
      </c>
      <c r="E389">
        <v>0.69370505144492223</v>
      </c>
      <c r="F389">
        <v>16325.61</v>
      </c>
      <c r="G389">
        <v>-289.78211110166382</v>
      </c>
      <c r="H389">
        <v>-289.78211110166382</v>
      </c>
      <c r="I389">
        <v>0.13078666235212791</v>
      </c>
      <c r="J389">
        <v>0.56502301045744396</v>
      </c>
      <c r="K389">
        <v>3.099974451561903</v>
      </c>
      <c r="L389">
        <v>-163.73356079137551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-289.78211110166382</v>
      </c>
      <c r="T389">
        <v>-163.73356079137551</v>
      </c>
      <c r="U389">
        <v>0</v>
      </c>
      <c r="V389">
        <v>0</v>
      </c>
      <c r="W389">
        <v>0</v>
      </c>
    </row>
    <row r="390" spans="1:23" x14ac:dyDescent="0.35">
      <c r="A390" t="s">
        <v>112</v>
      </c>
      <c r="B390" t="s">
        <v>75</v>
      </c>
      <c r="C390">
        <v>289558.3</v>
      </c>
      <c r="D390">
        <v>2.9826559646094828</v>
      </c>
      <c r="E390">
        <v>0.70252809281546502</v>
      </c>
      <c r="F390">
        <v>28396.560000000001</v>
      </c>
      <c r="G390">
        <v>11273.465479390619</v>
      </c>
      <c r="H390">
        <v>11273.465479390619</v>
      </c>
      <c r="I390">
        <v>0.15870474326378839</v>
      </c>
      <c r="J390">
        <v>0.57869279475896807</v>
      </c>
      <c r="K390">
        <v>2.94196727177179</v>
      </c>
      <c r="L390">
        <v>6523.873244887307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11273.465479390619</v>
      </c>
      <c r="T390">
        <v>6523.873244887307</v>
      </c>
      <c r="U390">
        <v>0</v>
      </c>
      <c r="V390">
        <v>0</v>
      </c>
      <c r="W390">
        <v>0</v>
      </c>
    </row>
    <row r="391" spans="1:23" x14ac:dyDescent="0.35">
      <c r="A391" t="s">
        <v>112</v>
      </c>
      <c r="B391" t="s">
        <v>76</v>
      </c>
      <c r="C391">
        <v>290795.8</v>
      </c>
      <c r="D391">
        <v>2.7035898687114659</v>
      </c>
      <c r="E391">
        <v>0.64401801291028304</v>
      </c>
      <c r="F391">
        <v>13622.16</v>
      </c>
      <c r="G391">
        <v>-15104.230619776299</v>
      </c>
      <c r="H391">
        <v>-15104.230619776299</v>
      </c>
      <c r="I391">
        <v>-2.6434266782595979E-2</v>
      </c>
      <c r="J391">
        <v>0.48678594432925149</v>
      </c>
      <c r="K391">
        <v>2.9826559646094828</v>
      </c>
      <c r="L391">
        <v>-7352.5271656146006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-15104.230619776299</v>
      </c>
      <c r="T391">
        <v>-7352.5271656146006</v>
      </c>
      <c r="U391">
        <v>0</v>
      </c>
      <c r="V391">
        <v>0</v>
      </c>
      <c r="W391">
        <v>0</v>
      </c>
    </row>
    <row r="392" spans="1:23" x14ac:dyDescent="0.35">
      <c r="A392" t="s">
        <v>112</v>
      </c>
      <c r="B392" t="s">
        <v>77</v>
      </c>
      <c r="C392">
        <v>292692.2</v>
      </c>
      <c r="D392">
        <v>2.313148233068048</v>
      </c>
      <c r="E392">
        <v>0.50932841042435184</v>
      </c>
      <c r="F392">
        <v>25653.23</v>
      </c>
      <c r="G392">
        <v>11737.80673016071</v>
      </c>
      <c r="H392">
        <v>11737.80673016071</v>
      </c>
      <c r="I392">
        <v>-0.45262236476838991</v>
      </c>
      <c r="J392">
        <v>0.28797389743231488</v>
      </c>
      <c r="K392">
        <v>2.7035898687114659</v>
      </c>
      <c r="L392">
        <v>3380.1819513916371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11737.80673016071</v>
      </c>
      <c r="T392">
        <v>3380.1819513916371</v>
      </c>
      <c r="U392">
        <v>0</v>
      </c>
      <c r="V392">
        <v>0</v>
      </c>
      <c r="W392">
        <v>0</v>
      </c>
    </row>
    <row r="393" spans="1:23" x14ac:dyDescent="0.35">
      <c r="A393" t="s">
        <v>112</v>
      </c>
      <c r="B393" t="s">
        <v>78</v>
      </c>
      <c r="C393">
        <v>294326.2</v>
      </c>
      <c r="D393">
        <v>2.240446623150703</v>
      </c>
      <c r="E393">
        <v>0.39954035035254087</v>
      </c>
      <c r="F393">
        <v>28710.76</v>
      </c>
      <c r="G393">
        <v>2480.1654601144551</v>
      </c>
      <c r="H393">
        <v>2480.1654601144551</v>
      </c>
      <c r="I393">
        <v>-0.80001639994228235</v>
      </c>
      <c r="J393">
        <v>0.16797703067975669</v>
      </c>
      <c r="K393">
        <v>2.313148233068048</v>
      </c>
      <c r="L393">
        <v>416.61082958451868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2480.1654601144551</v>
      </c>
      <c r="T393">
        <v>416.61082958451868</v>
      </c>
      <c r="U393">
        <v>0</v>
      </c>
      <c r="V393">
        <v>0</v>
      </c>
      <c r="W393">
        <v>0</v>
      </c>
    </row>
    <row r="394" spans="1:23" x14ac:dyDescent="0.35">
      <c r="A394" t="s">
        <v>112</v>
      </c>
      <c r="B394" t="s">
        <v>79</v>
      </c>
      <c r="C394">
        <v>296049</v>
      </c>
      <c r="D394">
        <v>2.2168322733225421</v>
      </c>
      <c r="E394">
        <v>0.64461341966249552</v>
      </c>
      <c r="F394">
        <v>26443.05</v>
      </c>
      <c r="G394">
        <v>-2105.371652046339</v>
      </c>
      <c r="H394">
        <v>-2105.371652046339</v>
      </c>
      <c r="I394">
        <v>-2.4550266335866319E-2</v>
      </c>
      <c r="J394">
        <v>0.48772733237565058</v>
      </c>
      <c r="K394">
        <v>2.240446623150703</v>
      </c>
      <c r="L394">
        <v>-1026.8472995118771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5">
      <c r="A395" t="s">
        <v>112</v>
      </c>
      <c r="B395" t="s">
        <v>80</v>
      </c>
      <c r="C395">
        <v>297864.3</v>
      </c>
      <c r="D395">
        <v>2.4016711026909641</v>
      </c>
      <c r="E395">
        <v>0.80710251308548131</v>
      </c>
      <c r="F395">
        <v>36588.019999999997</v>
      </c>
      <c r="G395">
        <v>10374.885475181431</v>
      </c>
      <c r="H395">
        <v>10374.885475181431</v>
      </c>
      <c r="I395">
        <v>0.48960165327212118</v>
      </c>
      <c r="J395">
        <v>0.72695010634595703</v>
      </c>
      <c r="K395">
        <v>2.2168322733225421</v>
      </c>
      <c r="L395">
        <v>7542.0240995102668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5">
      <c r="A396" t="s">
        <v>112</v>
      </c>
      <c r="B396" t="s">
        <v>81</v>
      </c>
      <c r="C396">
        <v>298723.3</v>
      </c>
      <c r="D396">
        <v>2.039618196957695</v>
      </c>
      <c r="E396">
        <v>0.81862819015116506</v>
      </c>
      <c r="F396">
        <v>40489.040000000001</v>
      </c>
      <c r="G396">
        <v>4415.4972307526914</v>
      </c>
      <c r="H396">
        <v>4415.4972307526914</v>
      </c>
      <c r="I396">
        <v>0.52607147942024812</v>
      </c>
      <c r="J396">
        <v>0.74118619372596906</v>
      </c>
      <c r="K396">
        <v>2.4016711026909641</v>
      </c>
      <c r="L396">
        <v>3272.7055858691442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5">
      <c r="A397" t="s">
        <v>112</v>
      </c>
      <c r="B397" t="s">
        <v>82</v>
      </c>
      <c r="C397">
        <v>299295.3</v>
      </c>
      <c r="D397">
        <v>1.674203534606135</v>
      </c>
      <c r="E397">
        <v>0.84102745848656146</v>
      </c>
      <c r="F397">
        <v>32800.980000000003</v>
      </c>
      <c r="G397">
        <v>-6497.529962925415</v>
      </c>
      <c r="H397">
        <v>-6497.529962925415</v>
      </c>
      <c r="I397">
        <v>0.59694778606858923</v>
      </c>
      <c r="J397">
        <v>0.76743706011115198</v>
      </c>
      <c r="K397">
        <v>2.039618196957695</v>
      </c>
      <c r="L397">
        <v>-4986.4452927316024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-6497.529962925415</v>
      </c>
      <c r="T397">
        <v>-4986.4452927316024</v>
      </c>
      <c r="U397">
        <v>0</v>
      </c>
      <c r="V397">
        <v>0</v>
      </c>
      <c r="W397">
        <v>0</v>
      </c>
    </row>
    <row r="398" spans="1:23" x14ac:dyDescent="0.35">
      <c r="A398" t="s">
        <v>112</v>
      </c>
      <c r="B398" t="s">
        <v>83</v>
      </c>
      <c r="C398">
        <v>301003</v>
      </c>
      <c r="D398">
        <v>1.6595250312338889</v>
      </c>
      <c r="E398">
        <v>0.88340305309031475</v>
      </c>
      <c r="F398">
        <v>52716.26</v>
      </c>
      <c r="G398">
        <v>21002.415296564999</v>
      </c>
      <c r="H398">
        <v>21002.415296564999</v>
      </c>
      <c r="I398">
        <v>0.73103366747192255</v>
      </c>
      <c r="J398">
        <v>0.81184866465194128</v>
      </c>
      <c r="K398">
        <v>1.674203534606135</v>
      </c>
      <c r="L398">
        <v>17050.782812981801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21002.415296564999</v>
      </c>
      <c r="T398">
        <v>17050.782812981801</v>
      </c>
      <c r="U398">
        <v>0</v>
      </c>
      <c r="V398">
        <v>0</v>
      </c>
      <c r="W398">
        <v>0</v>
      </c>
    </row>
    <row r="399" spans="1:23" x14ac:dyDescent="0.35">
      <c r="A399" t="s">
        <v>112</v>
      </c>
      <c r="B399" t="s">
        <v>84</v>
      </c>
      <c r="C399">
        <v>285418.90000000002</v>
      </c>
      <c r="D399">
        <v>-4.268008797065046</v>
      </c>
      <c r="E399">
        <v>0.8548390182890917</v>
      </c>
      <c r="F399">
        <v>55684.71</v>
      </c>
      <c r="G399">
        <v>4447.7439987703037</v>
      </c>
      <c r="H399">
        <v>4447.7439987703037</v>
      </c>
      <c r="I399">
        <v>0.64065065766235052</v>
      </c>
      <c r="J399">
        <v>0.78267120766173692</v>
      </c>
      <c r="K399">
        <v>1.6595250312338889</v>
      </c>
      <c r="L399">
        <v>3481.1211668877968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5">
      <c r="A400" t="s">
        <v>112</v>
      </c>
      <c r="B400" t="s">
        <v>85</v>
      </c>
      <c r="C400">
        <v>234641.8</v>
      </c>
      <c r="D400">
        <v>-24.145763090077551</v>
      </c>
      <c r="E400">
        <v>0.864790329982152</v>
      </c>
      <c r="F400">
        <v>28914.37</v>
      </c>
      <c r="G400">
        <v>-24149.360667720372</v>
      </c>
      <c r="H400">
        <v>-24149.360667720372</v>
      </c>
      <c r="I400">
        <v>0.67213883881851777</v>
      </c>
      <c r="J400">
        <v>0.79319252383604855</v>
      </c>
      <c r="K400">
        <v>-4.268008797065046</v>
      </c>
      <c r="L400">
        <v>-19155.092337056121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-24149.360667720372</v>
      </c>
      <c r="T400">
        <v>-19155.092337056121</v>
      </c>
      <c r="U400">
        <v>0</v>
      </c>
      <c r="V400">
        <v>0</v>
      </c>
      <c r="W400">
        <v>0</v>
      </c>
    </row>
    <row r="401" spans="1:23" x14ac:dyDescent="0.35">
      <c r="A401" t="s">
        <v>112</v>
      </c>
      <c r="B401" t="s">
        <v>86</v>
      </c>
      <c r="C401">
        <v>271955.09999999998</v>
      </c>
      <c r="D401">
        <v>-9.5793732287186177</v>
      </c>
      <c r="E401">
        <v>0.84283420785985763</v>
      </c>
      <c r="F401">
        <v>27497.73</v>
      </c>
      <c r="G401">
        <v>298.34674216415812</v>
      </c>
      <c r="H401">
        <v>298.34674216415812</v>
      </c>
      <c r="I401">
        <v>0.60266474613625698</v>
      </c>
      <c r="J401">
        <v>0.76947151343896447</v>
      </c>
      <c r="K401">
        <v>-24.145763090077551</v>
      </c>
      <c r="L401">
        <v>229.56931922263919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298.34674216415812</v>
      </c>
      <c r="T401">
        <v>229.56931922263919</v>
      </c>
      <c r="U401">
        <v>0</v>
      </c>
      <c r="V401">
        <v>0</v>
      </c>
      <c r="W401">
        <v>0</v>
      </c>
    </row>
    <row r="402" spans="1:23" x14ac:dyDescent="0.35">
      <c r="A402" t="s">
        <v>112</v>
      </c>
      <c r="B402" t="s">
        <v>87</v>
      </c>
      <c r="C402">
        <v>273928.90000000002</v>
      </c>
      <c r="D402">
        <v>-9.4251647812750043</v>
      </c>
      <c r="E402">
        <v>0.905956178197447</v>
      </c>
      <c r="F402">
        <v>22319.62</v>
      </c>
      <c r="G402">
        <v>-4896.0136572600422</v>
      </c>
      <c r="H402">
        <v>-4896.0136572600422</v>
      </c>
      <c r="I402">
        <v>0.80239681143879515</v>
      </c>
      <c r="J402">
        <v>0.83268729414736053</v>
      </c>
      <c r="K402">
        <v>-9.5793732287186177</v>
      </c>
      <c r="L402">
        <v>-4076.8483643723871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-4896.0136572600422</v>
      </c>
      <c r="T402">
        <v>-4076.8483643723871</v>
      </c>
      <c r="U402">
        <v>0</v>
      </c>
      <c r="V402">
        <v>0</v>
      </c>
      <c r="W402">
        <v>0</v>
      </c>
    </row>
    <row r="403" spans="1:23" x14ac:dyDescent="0.35">
      <c r="A403" t="s">
        <v>112</v>
      </c>
      <c r="B403" t="s">
        <v>88</v>
      </c>
      <c r="C403">
        <v>277220.59999999998</v>
      </c>
      <c r="D403">
        <v>-2.914434656635847</v>
      </c>
      <c r="E403">
        <v>0.89082132409090398</v>
      </c>
      <c r="F403">
        <v>11888.73</v>
      </c>
      <c r="G403">
        <v>-10426.43013953445</v>
      </c>
      <c r="H403">
        <v>-10426.43013953445</v>
      </c>
      <c r="I403">
        <v>0.75450674000114415</v>
      </c>
      <c r="J403">
        <v>0.81891495861591757</v>
      </c>
      <c r="K403">
        <v>-9.4251647812750043</v>
      </c>
      <c r="L403">
        <v>-8538.3596062286106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-10426.43013953445</v>
      </c>
      <c r="T403">
        <v>-8538.3596062286106</v>
      </c>
      <c r="U403">
        <v>0</v>
      </c>
      <c r="V403">
        <v>0</v>
      </c>
      <c r="W403">
        <v>0</v>
      </c>
    </row>
    <row r="404" spans="1:23" x14ac:dyDescent="0.35">
      <c r="A404" t="s">
        <v>112</v>
      </c>
      <c r="B404" t="s">
        <v>89</v>
      </c>
      <c r="C404">
        <v>281021</v>
      </c>
      <c r="D404">
        <v>18.036930367139441</v>
      </c>
      <c r="E404">
        <v>0.88749421539322637</v>
      </c>
      <c r="F404">
        <v>18072.810000000001</v>
      </c>
      <c r="G404">
        <v>5509.7133275447604</v>
      </c>
      <c r="H404">
        <v>5509.7133275447604</v>
      </c>
      <c r="I404">
        <v>0.74397902218563339</v>
      </c>
      <c r="J404">
        <v>0.81577158838622132</v>
      </c>
      <c r="K404">
        <v>-2.914434656635847</v>
      </c>
      <c r="L404">
        <v>4494.6675927639217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5509.7133275447604</v>
      </c>
      <c r="T404">
        <v>4494.6675927639217</v>
      </c>
      <c r="U404">
        <v>0</v>
      </c>
      <c r="V404">
        <v>0</v>
      </c>
      <c r="W404">
        <v>0</v>
      </c>
    </row>
    <row r="405" spans="1:23" x14ac:dyDescent="0.35">
      <c r="A405" t="s">
        <v>112</v>
      </c>
      <c r="B405" t="s">
        <v>90</v>
      </c>
      <c r="C405">
        <v>286560.2</v>
      </c>
      <c r="D405">
        <v>5.2311657105822356</v>
      </c>
      <c r="E405">
        <v>0.84654208270113374</v>
      </c>
      <c r="F405">
        <v>21508.560000000001</v>
      </c>
      <c r="G405">
        <v>2469.4532050039338</v>
      </c>
      <c r="H405">
        <v>2469.4532050039338</v>
      </c>
      <c r="I405">
        <v>0.61439729339310933</v>
      </c>
      <c r="J405">
        <v>0.77360752913141428</v>
      </c>
      <c r="K405">
        <v>18.036930367139441</v>
      </c>
      <c r="L405">
        <v>1910.387592228745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2469.4532050039338</v>
      </c>
      <c r="T405">
        <v>1910.387592228745</v>
      </c>
      <c r="U405">
        <v>0</v>
      </c>
      <c r="V405">
        <v>0</v>
      </c>
      <c r="W405">
        <v>0</v>
      </c>
    </row>
    <row r="406" spans="1:23" x14ac:dyDescent="0.35">
      <c r="A406" t="s">
        <v>112</v>
      </c>
      <c r="B406" t="s">
        <v>91</v>
      </c>
      <c r="C406">
        <v>292381.7</v>
      </c>
      <c r="D406">
        <v>6.5191556753887117</v>
      </c>
      <c r="E406">
        <v>0.82154324066752549</v>
      </c>
      <c r="F406">
        <v>19802.650000000001</v>
      </c>
      <c r="G406">
        <v>-2218.2724663803642</v>
      </c>
      <c r="H406">
        <v>-2218.2724663803642</v>
      </c>
      <c r="I406">
        <v>0.53529535277179308</v>
      </c>
      <c r="J406">
        <v>0.74470923545638978</v>
      </c>
      <c r="K406">
        <v>5.2311657105822356</v>
      </c>
      <c r="L406">
        <v>-1651.9679924720811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-2218.2724663803642</v>
      </c>
      <c r="T406">
        <v>-1651.9679924720811</v>
      </c>
      <c r="U406">
        <v>0</v>
      </c>
      <c r="V406">
        <v>0</v>
      </c>
      <c r="W406">
        <v>0</v>
      </c>
    </row>
    <row r="407" spans="1:23" x14ac:dyDescent="0.35">
      <c r="A407" t="s">
        <v>112</v>
      </c>
      <c r="B407" t="s">
        <v>92</v>
      </c>
      <c r="C407">
        <v>296976.90000000002</v>
      </c>
      <c r="D407">
        <v>6.8840778871202186</v>
      </c>
      <c r="E407">
        <v>0.51496722009446527</v>
      </c>
      <c r="F407">
        <v>26455.02</v>
      </c>
      <c r="G407">
        <v>6249.2545952329347</v>
      </c>
      <c r="H407">
        <v>6249.2545952329347</v>
      </c>
      <c r="I407">
        <v>-0.4347799068217153</v>
      </c>
      <c r="J407">
        <v>0.29534590388071708</v>
      </c>
      <c r="K407">
        <v>6.5191556753887117</v>
      </c>
      <c r="L407">
        <v>1845.691747009796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5">
      <c r="A408" t="s">
        <v>112</v>
      </c>
      <c r="B408" t="s">
        <v>93</v>
      </c>
      <c r="C408">
        <v>302030</v>
      </c>
      <c r="D408">
        <v>7.2096950552094086</v>
      </c>
      <c r="E408">
        <v>0.52812710020298648</v>
      </c>
      <c r="F408">
        <v>29343.64</v>
      </c>
      <c r="G408">
        <v>2660.8418006622051</v>
      </c>
      <c r="H408">
        <v>2660.8418006622051</v>
      </c>
      <c r="I408">
        <v>-0.39313909587821599</v>
      </c>
      <c r="J408">
        <v>0.31296837194426042</v>
      </c>
      <c r="K408">
        <v>6.8840778871202186</v>
      </c>
      <c r="L408">
        <v>832.75932635448453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35">
      <c r="A409" t="s">
        <v>112</v>
      </c>
      <c r="B409" t="s">
        <v>94</v>
      </c>
      <c r="C409">
        <v>304493.8</v>
      </c>
      <c r="D409">
        <v>6.0702089448438077</v>
      </c>
      <c r="E409">
        <v>0.7084873192433131</v>
      </c>
      <c r="F409">
        <v>24504.76</v>
      </c>
      <c r="G409">
        <v>-4610.2754712220849</v>
      </c>
      <c r="H409">
        <v>-4610.2754712220849</v>
      </c>
      <c r="I409">
        <v>0.17756107166535551</v>
      </c>
      <c r="J409">
        <v>0.58785913178062921</v>
      </c>
      <c r="K409">
        <v>7.2096950552094086</v>
      </c>
      <c r="L409">
        <v>-2710.192535782146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5">
      <c r="A410" t="s">
        <v>112</v>
      </c>
      <c r="B410" t="s">
        <v>95</v>
      </c>
      <c r="C410">
        <v>306125.90000000002</v>
      </c>
      <c r="D410">
        <v>4.5936314825756881</v>
      </c>
      <c r="E410">
        <v>0.6160407621705245</v>
      </c>
      <c r="F410">
        <v>26500.43</v>
      </c>
      <c r="G410">
        <v>2181.4839460196272</v>
      </c>
      <c r="H410">
        <v>2181.4839460196272</v>
      </c>
      <c r="I410">
        <v>-0.1149605602720641</v>
      </c>
      <c r="J410">
        <v>0.44277160684031358</v>
      </c>
      <c r="K410">
        <v>6.0702089448438077</v>
      </c>
      <c r="L410">
        <v>965.89915207545835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5">
      <c r="A411" t="s">
        <v>112</v>
      </c>
      <c r="B411" t="s">
        <v>96</v>
      </c>
      <c r="C411">
        <v>307687.2</v>
      </c>
      <c r="D411">
        <v>3.54293245026357</v>
      </c>
      <c r="E411">
        <v>0.70234644566014837</v>
      </c>
      <c r="F411">
        <v>26400.05</v>
      </c>
      <c r="G411">
        <v>-84.520772908697836</v>
      </c>
      <c r="H411">
        <v>-84.520772908697836</v>
      </c>
      <c r="I411">
        <v>0.15812997094135151</v>
      </c>
      <c r="J411">
        <v>0.57841250189260318</v>
      </c>
      <c r="K411">
        <v>4.5936314825756881</v>
      </c>
      <c r="L411">
        <v>-48.88787172001647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5">
      <c r="A412" t="s">
        <v>112</v>
      </c>
      <c r="B412" t="s">
        <v>97</v>
      </c>
      <c r="C412">
        <v>308129.90000000002</v>
      </c>
      <c r="D412">
        <v>1.9995097117879299</v>
      </c>
      <c r="E412">
        <v>0.70641616053738476</v>
      </c>
      <c r="F412">
        <v>30702.400000000001</v>
      </c>
      <c r="G412">
        <v>4416.8820192602216</v>
      </c>
      <c r="H412">
        <v>4416.8820192602216</v>
      </c>
      <c r="I412">
        <v>0.1710074611919819</v>
      </c>
      <c r="J412">
        <v>0.58467988849232688</v>
      </c>
      <c r="K412">
        <v>3.54293245026357</v>
      </c>
      <c r="L412">
        <v>2582.46208650483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4416.8820192602216</v>
      </c>
      <c r="T412">
        <v>2582.46208650483</v>
      </c>
      <c r="U412">
        <v>0</v>
      </c>
      <c r="V412">
        <v>0</v>
      </c>
      <c r="W412">
        <v>0</v>
      </c>
    </row>
    <row r="413" spans="1:23" x14ac:dyDescent="0.35">
      <c r="A413" t="s">
        <v>112</v>
      </c>
      <c r="B413" t="s">
        <v>98</v>
      </c>
      <c r="C413">
        <v>310563.5</v>
      </c>
      <c r="D413">
        <v>1.9737663626419431</v>
      </c>
      <c r="E413">
        <v>0.71124511664650181</v>
      </c>
      <c r="F413">
        <v>17905.28</v>
      </c>
      <c r="G413">
        <v>-12517.608803376361</v>
      </c>
      <c r="H413">
        <v>-12517.608803376361</v>
      </c>
      <c r="I413">
        <v>0.1862873609126485</v>
      </c>
      <c r="J413">
        <v>0.59208097518597469</v>
      </c>
      <c r="K413">
        <v>1.9995097117879299</v>
      </c>
      <c r="L413">
        <v>-7411.4380272996186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-12517.608803376361</v>
      </c>
      <c r="T413">
        <v>-7411.4380272996186</v>
      </c>
      <c r="U413">
        <v>0</v>
      </c>
      <c r="V413">
        <v>0</v>
      </c>
      <c r="W413">
        <v>0</v>
      </c>
    </row>
    <row r="414" spans="1:23" x14ac:dyDescent="0.35">
      <c r="A414" t="s">
        <v>112</v>
      </c>
      <c r="B414" t="s">
        <v>99</v>
      </c>
      <c r="C414">
        <v>313012.09999999998</v>
      </c>
      <c r="D414">
        <v>2.2245392696400632</v>
      </c>
      <c r="E414">
        <v>0.83404210728897354</v>
      </c>
      <c r="F414">
        <v>16655.52</v>
      </c>
      <c r="G414">
        <v>-1255.046474869388</v>
      </c>
      <c r="H414">
        <v>-1255.046474869388</v>
      </c>
      <c r="I414">
        <v>0.57484456885125612</v>
      </c>
      <c r="J414">
        <v>0.75945413210041901</v>
      </c>
      <c r="K414">
        <v>1.9737663626419431</v>
      </c>
      <c r="L414">
        <v>-953.15023131762177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-1255.046474869388</v>
      </c>
      <c r="T414">
        <v>-953.15023131762177</v>
      </c>
      <c r="U414">
        <v>0</v>
      </c>
      <c r="V414">
        <v>0</v>
      </c>
      <c r="W414">
        <v>0</v>
      </c>
    </row>
    <row r="415" spans="1:23" x14ac:dyDescent="0.35">
      <c r="A415" t="s">
        <v>112</v>
      </c>
      <c r="B415" t="s">
        <v>100</v>
      </c>
      <c r="C415">
        <v>316496.3</v>
      </c>
      <c r="D415">
        <v>2.8227868649839349</v>
      </c>
      <c r="E415">
        <v>0.83343863543018815</v>
      </c>
      <c r="F415">
        <v>16042.91</v>
      </c>
      <c r="G415">
        <v>-1325.5086914047929</v>
      </c>
      <c r="H415">
        <v>-1325.5086914047929</v>
      </c>
      <c r="I415">
        <v>0.57293504859923394</v>
      </c>
      <c r="J415">
        <v>0.75875576507158471</v>
      </c>
      <c r="K415">
        <v>2.2245392696400632</v>
      </c>
      <c r="L415">
        <v>-1005.737361255879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-1325.5086914047929</v>
      </c>
      <c r="T415">
        <v>-1005.737361255879</v>
      </c>
      <c r="U415">
        <v>0</v>
      </c>
      <c r="V415">
        <v>0</v>
      </c>
      <c r="W415">
        <v>0</v>
      </c>
    </row>
    <row r="416" spans="1:23" x14ac:dyDescent="0.35">
      <c r="A416" t="s">
        <v>112</v>
      </c>
      <c r="B416" t="s">
        <v>101</v>
      </c>
      <c r="C416">
        <v>319404.7</v>
      </c>
      <c r="D416">
        <v>3.5937503456015598</v>
      </c>
      <c r="E416">
        <v>0.83553340036861312</v>
      </c>
      <c r="F416">
        <v>15096.69</v>
      </c>
      <c r="G416">
        <v>-1747.62351995877</v>
      </c>
      <c r="H416">
        <v>-1747.62351995877</v>
      </c>
      <c r="I416">
        <v>0.57956335448444818</v>
      </c>
      <c r="J416">
        <v>0.7611739970984327</v>
      </c>
      <c r="K416">
        <v>2.8227868649839349</v>
      </c>
      <c r="L416">
        <v>-1330.245580110249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-1747.62351995877</v>
      </c>
      <c r="T416">
        <v>-1330.245580110249</v>
      </c>
      <c r="U416">
        <v>0</v>
      </c>
      <c r="V416">
        <v>0</v>
      </c>
      <c r="W416">
        <v>0</v>
      </c>
    </row>
    <row r="417" spans="1:23" x14ac:dyDescent="0.35">
      <c r="A417" t="s">
        <v>112</v>
      </c>
      <c r="B417" t="s">
        <v>102</v>
      </c>
      <c r="C417">
        <v>321848.7</v>
      </c>
      <c r="D417">
        <v>3.5693170020665148</v>
      </c>
      <c r="E417">
        <v>0.46081514583496269</v>
      </c>
      <c r="F417">
        <v>19263.25</v>
      </c>
      <c r="G417">
        <v>3296.2288795207619</v>
      </c>
      <c r="H417">
        <v>3296.2288795207619</v>
      </c>
      <c r="I417">
        <v>-0.60612920999493936</v>
      </c>
      <c r="J417">
        <v>0.22930169351429011</v>
      </c>
      <c r="K417">
        <v>3.5937503456015598</v>
      </c>
      <c r="L417">
        <v>755.8308642848217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3296.2288795207619</v>
      </c>
      <c r="T417">
        <v>755.8308642848217</v>
      </c>
      <c r="U417">
        <v>0</v>
      </c>
      <c r="V417">
        <v>0</v>
      </c>
      <c r="W417">
        <v>0</v>
      </c>
    </row>
    <row r="418" spans="1:23" x14ac:dyDescent="0.35">
      <c r="A418" t="s">
        <v>112</v>
      </c>
      <c r="B418" t="s">
        <v>103</v>
      </c>
      <c r="C418">
        <v>324467.20000000001</v>
      </c>
      <c r="D418">
        <v>3.5942604513014862</v>
      </c>
      <c r="E418">
        <v>0.60963212496913655</v>
      </c>
      <c r="F418">
        <v>26370.25</v>
      </c>
      <c r="G418">
        <v>6352.7743362205329</v>
      </c>
      <c r="H418">
        <v>6352.7743362205329</v>
      </c>
      <c r="I418">
        <v>-0.13523892511337271</v>
      </c>
      <c r="J418">
        <v>0.43278978726369749</v>
      </c>
      <c r="K418">
        <v>3.5693170020665148</v>
      </c>
      <c r="L418">
        <v>2749.415853507162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6352.7743362205329</v>
      </c>
      <c r="T418">
        <v>2749.415853507162</v>
      </c>
      <c r="U418">
        <v>0</v>
      </c>
      <c r="V418">
        <v>0</v>
      </c>
      <c r="W418">
        <v>0</v>
      </c>
    </row>
    <row r="419" spans="1:23" x14ac:dyDescent="0.35">
      <c r="A419" t="s">
        <v>112</v>
      </c>
      <c r="B419" t="s">
        <v>104</v>
      </c>
      <c r="C419">
        <v>326246.59999999998</v>
      </c>
      <c r="D419">
        <v>3.0341985974111658</v>
      </c>
      <c r="E419">
        <v>-4.0782939207617643E-2</v>
      </c>
      <c r="F419">
        <v>48145.7</v>
      </c>
      <c r="G419">
        <v>21516.57673025272</v>
      </c>
      <c r="H419">
        <v>21516.57673025272</v>
      </c>
      <c r="I419">
        <v>-2.1932980030719209</v>
      </c>
      <c r="J419">
        <v>1.229008743323442E-2</v>
      </c>
      <c r="K419">
        <v>3.5942604513014862</v>
      </c>
      <c r="L419">
        <v>264.44060927870322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5">
      <c r="A420" t="s">
        <v>112</v>
      </c>
      <c r="B420" t="s">
        <v>105</v>
      </c>
      <c r="C420">
        <v>328577.3</v>
      </c>
      <c r="D420">
        <v>2.831317150404483</v>
      </c>
      <c r="E420">
        <v>3.9935192810109987E-2</v>
      </c>
      <c r="F420">
        <v>80038.14</v>
      </c>
      <c r="G420">
        <v>32860.236300339107</v>
      </c>
      <c r="H420">
        <v>32860.236300339107</v>
      </c>
      <c r="I420">
        <v>-1.9378877373745751</v>
      </c>
      <c r="J420">
        <v>2.031691244520006E-2</v>
      </c>
      <c r="K420">
        <v>3.0341985974111658</v>
      </c>
      <c r="L420">
        <v>667.61854384257447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5">
      <c r="A421" t="s">
        <v>112</v>
      </c>
      <c r="B421" t="s">
        <v>106</v>
      </c>
      <c r="C421">
        <v>330538.8</v>
      </c>
      <c r="D421">
        <v>2.6642490941349979</v>
      </c>
      <c r="E421">
        <v>-6.8935251846999876E-2</v>
      </c>
      <c r="F421">
        <v>106862.2</v>
      </c>
      <c r="G421">
        <v>30173.051455287681</v>
      </c>
      <c r="H421">
        <v>30173.051455287681</v>
      </c>
      <c r="I421">
        <v>-2.2823782316584822</v>
      </c>
      <c r="J421">
        <v>1.0305113586716709E-2</v>
      </c>
      <c r="K421">
        <v>2.831317150404483</v>
      </c>
      <c r="L421">
        <v>310.93672250458758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30173.051455287681</v>
      </c>
      <c r="T421">
        <v>310.93672250458758</v>
      </c>
      <c r="U421">
        <v>0</v>
      </c>
      <c r="V421">
        <v>0</v>
      </c>
      <c r="W421">
        <v>0</v>
      </c>
    </row>
    <row r="422" spans="1:23" x14ac:dyDescent="0.35">
      <c r="A422" t="s">
        <v>112</v>
      </c>
      <c r="B422" t="s">
        <v>107</v>
      </c>
      <c r="C422">
        <v>333076.2</v>
      </c>
      <c r="D422">
        <v>2.6186840179023481</v>
      </c>
      <c r="E422">
        <v>-4.8486214405895553E-2</v>
      </c>
      <c r="F422">
        <v>94947.06</v>
      </c>
      <c r="G422">
        <v>-5865.0461574176588</v>
      </c>
      <c r="H422">
        <v>-5865.0461574176588</v>
      </c>
      <c r="I422">
        <v>-2.217672892776998</v>
      </c>
      <c r="J422">
        <v>1.171216679993926E-2</v>
      </c>
      <c r="K422">
        <v>2.6642490941349979</v>
      </c>
      <c r="L422">
        <v>-68.692398885018463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-5865.0461574176588</v>
      </c>
      <c r="T422">
        <v>-68.692398885018463</v>
      </c>
      <c r="U422">
        <v>0</v>
      </c>
      <c r="V422">
        <v>0</v>
      </c>
      <c r="W422">
        <v>0</v>
      </c>
    </row>
    <row r="423" spans="1:23" x14ac:dyDescent="0.35">
      <c r="A423" t="s">
        <v>112</v>
      </c>
      <c r="B423" t="s">
        <v>108</v>
      </c>
      <c r="C423">
        <v>335153.90000000002</v>
      </c>
      <c r="D423">
        <v>2.6936292190237272</v>
      </c>
      <c r="E423">
        <v>-0.1130778428156369</v>
      </c>
      <c r="F423">
        <v>81871.73</v>
      </c>
      <c r="G423">
        <v>-6116.8052336188266</v>
      </c>
      <c r="H423">
        <v>-6116.8052336188266</v>
      </c>
      <c r="I423">
        <v>-2.4220552856987401</v>
      </c>
      <c r="J423">
        <v>7.8130931261429174E-3</v>
      </c>
      <c r="K423">
        <v>2.6186840179023481</v>
      </c>
      <c r="L423">
        <v>-47.791168924742273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-6116.8052336188266</v>
      </c>
      <c r="T423">
        <v>-47.791168924742273</v>
      </c>
      <c r="U423">
        <v>0</v>
      </c>
      <c r="V423">
        <v>0</v>
      </c>
      <c r="W423">
        <v>0</v>
      </c>
    </row>
    <row r="424" spans="1:23" x14ac:dyDescent="0.35">
      <c r="A424" t="s">
        <v>112</v>
      </c>
      <c r="B424" t="s">
        <v>109</v>
      </c>
      <c r="C424">
        <v>337477</v>
      </c>
      <c r="D424">
        <v>2.6725237574759482</v>
      </c>
      <c r="E424">
        <v>0.29481685807748848</v>
      </c>
      <c r="F424">
        <v>77922.84</v>
      </c>
      <c r="G424">
        <v>1879.7276364797731</v>
      </c>
      <c r="H424">
        <v>1879.7276364797731</v>
      </c>
      <c r="I424">
        <v>-1.1313850071946241</v>
      </c>
      <c r="J424">
        <v>9.4253627223275752E-2</v>
      </c>
      <c r="K424">
        <v>2.6936292190237272</v>
      </c>
      <c r="L424">
        <v>177.17114793005371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1879.7276364797731</v>
      </c>
      <c r="T424">
        <v>177.17114793005371</v>
      </c>
      <c r="U424">
        <v>0</v>
      </c>
      <c r="V424">
        <v>0</v>
      </c>
      <c r="W424">
        <v>0</v>
      </c>
    </row>
    <row r="425" spans="1:23" x14ac:dyDescent="0.35">
      <c r="A425" t="s">
        <v>113</v>
      </c>
      <c r="B425" t="s">
        <v>4</v>
      </c>
      <c r="C425">
        <v>431476.2</v>
      </c>
      <c r="F425">
        <v>5832.3329999999996</v>
      </c>
      <c r="G425">
        <v>-3714.5931994258599</v>
      </c>
      <c r="H425">
        <v>-3714.5931994258599</v>
      </c>
      <c r="M425">
        <v>0</v>
      </c>
      <c r="N425">
        <v>0</v>
      </c>
    </row>
    <row r="426" spans="1:23" x14ac:dyDescent="0.35">
      <c r="A426" t="s">
        <v>113</v>
      </c>
      <c r="B426" t="s">
        <v>5</v>
      </c>
      <c r="C426">
        <v>436441.5</v>
      </c>
      <c r="F426">
        <v>5569.9409999999998</v>
      </c>
      <c r="G426">
        <v>-1919.831103877337</v>
      </c>
      <c r="H426">
        <v>-1919.831103877337</v>
      </c>
      <c r="M426">
        <v>0</v>
      </c>
      <c r="N426">
        <v>0</v>
      </c>
    </row>
    <row r="427" spans="1:23" x14ac:dyDescent="0.35">
      <c r="A427" t="s">
        <v>113</v>
      </c>
      <c r="B427" t="s">
        <v>6</v>
      </c>
      <c r="C427">
        <v>439852.79999999999</v>
      </c>
      <c r="F427">
        <v>13816.67</v>
      </c>
      <c r="G427">
        <v>6474.4940275934759</v>
      </c>
      <c r="H427">
        <v>6474.4940275934759</v>
      </c>
      <c r="M427">
        <v>0</v>
      </c>
      <c r="N427">
        <v>0</v>
      </c>
    </row>
    <row r="428" spans="1:23" x14ac:dyDescent="0.35">
      <c r="A428" t="s">
        <v>113</v>
      </c>
      <c r="B428" t="s">
        <v>7</v>
      </c>
      <c r="C428">
        <v>442456.7</v>
      </c>
      <c r="F428">
        <v>11881.05</v>
      </c>
      <c r="G428">
        <v>-3395.2229350538159</v>
      </c>
      <c r="H428">
        <v>-3395.2229350538159</v>
      </c>
      <c r="M428">
        <v>0</v>
      </c>
      <c r="N428">
        <v>0</v>
      </c>
    </row>
    <row r="429" spans="1:23" x14ac:dyDescent="0.35">
      <c r="A429" t="s">
        <v>113</v>
      </c>
      <c r="B429" t="s">
        <v>8</v>
      </c>
      <c r="C429">
        <v>444659</v>
      </c>
      <c r="D429">
        <v>3.0095343708258451</v>
      </c>
      <c r="F429">
        <v>22324.51</v>
      </c>
      <c r="G429">
        <v>9331.4609908810216</v>
      </c>
      <c r="H429">
        <v>9331.4609908810216</v>
      </c>
      <c r="M429">
        <v>0</v>
      </c>
      <c r="N429">
        <v>0</v>
      </c>
      <c r="Q429">
        <v>0</v>
      </c>
      <c r="R429">
        <v>1</v>
      </c>
      <c r="S429">
        <v>0</v>
      </c>
      <c r="U429">
        <v>0</v>
      </c>
      <c r="V429">
        <v>0</v>
      </c>
    </row>
    <row r="430" spans="1:23" x14ac:dyDescent="0.35">
      <c r="A430" t="s">
        <v>113</v>
      </c>
      <c r="B430" t="s">
        <v>9</v>
      </c>
      <c r="C430">
        <v>444855.3</v>
      </c>
      <c r="D430">
        <v>1.9094715068626871</v>
      </c>
      <c r="F430">
        <v>13179.21</v>
      </c>
      <c r="G430">
        <v>-9943.8528374191192</v>
      </c>
      <c r="H430">
        <v>-9943.8528374191192</v>
      </c>
      <c r="K430">
        <v>3.0095343708258451</v>
      </c>
      <c r="M430">
        <v>0</v>
      </c>
      <c r="N430">
        <v>0</v>
      </c>
      <c r="Q430">
        <v>0</v>
      </c>
      <c r="R430">
        <v>1</v>
      </c>
      <c r="S430">
        <v>0</v>
      </c>
      <c r="U430">
        <v>0</v>
      </c>
      <c r="V430">
        <v>0</v>
      </c>
    </row>
    <row r="431" spans="1:23" x14ac:dyDescent="0.35">
      <c r="A431" t="s">
        <v>113</v>
      </c>
      <c r="B431" t="s">
        <v>10</v>
      </c>
      <c r="C431">
        <v>447420</v>
      </c>
      <c r="D431">
        <v>1.705762529881174</v>
      </c>
      <c r="F431">
        <v>25155.95</v>
      </c>
      <c r="G431">
        <v>11353.658528725049</v>
      </c>
      <c r="H431">
        <v>11353.658528725049</v>
      </c>
      <c r="K431">
        <v>1.9094715068626871</v>
      </c>
      <c r="M431">
        <v>0</v>
      </c>
      <c r="N431">
        <v>0</v>
      </c>
      <c r="Q431">
        <v>0</v>
      </c>
      <c r="R431">
        <v>1</v>
      </c>
      <c r="S431">
        <v>0</v>
      </c>
      <c r="U431">
        <v>0</v>
      </c>
      <c r="V431">
        <v>0</v>
      </c>
    </row>
    <row r="432" spans="1:23" x14ac:dyDescent="0.35">
      <c r="A432" t="s">
        <v>113</v>
      </c>
      <c r="B432" t="s">
        <v>11</v>
      </c>
      <c r="C432">
        <v>445445.9</v>
      </c>
      <c r="D432">
        <v>0.67331963960295049</v>
      </c>
      <c r="F432">
        <v>23448.18</v>
      </c>
      <c r="G432">
        <v>-2327.5821782993439</v>
      </c>
      <c r="H432">
        <v>-2327.5821782993439</v>
      </c>
      <c r="K432">
        <v>1.705762529881174</v>
      </c>
      <c r="M432">
        <v>0</v>
      </c>
      <c r="N432">
        <v>0</v>
      </c>
      <c r="Q432">
        <v>0</v>
      </c>
      <c r="R432">
        <v>1</v>
      </c>
      <c r="S432">
        <v>0</v>
      </c>
      <c r="U432">
        <v>0</v>
      </c>
      <c r="V432">
        <v>0</v>
      </c>
    </row>
    <row r="433" spans="1:23" x14ac:dyDescent="0.35">
      <c r="A433" t="s">
        <v>113</v>
      </c>
      <c r="B433" t="s">
        <v>12</v>
      </c>
      <c r="C433">
        <v>448014.5</v>
      </c>
      <c r="D433">
        <v>0.75179016831290602</v>
      </c>
      <c r="E433">
        <v>0.79742296439265015</v>
      </c>
      <c r="F433">
        <v>22597.360000000001</v>
      </c>
      <c r="G433">
        <v>-922.17355643885821</v>
      </c>
      <c r="H433">
        <v>-922.17355643885821</v>
      </c>
      <c r="I433">
        <v>0.4589733911745365</v>
      </c>
      <c r="J433">
        <v>0.71462356380121062</v>
      </c>
      <c r="K433">
        <v>0.67331963960295049</v>
      </c>
      <c r="L433">
        <v>-659.00695334557372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35">
      <c r="A434" t="s">
        <v>113</v>
      </c>
      <c r="B434" t="s">
        <v>13</v>
      </c>
      <c r="C434">
        <v>450143.3</v>
      </c>
      <c r="D434">
        <v>1.181691576797788</v>
      </c>
      <c r="E434">
        <v>0.83375337901225111</v>
      </c>
      <c r="F434">
        <v>17938.45</v>
      </c>
      <c r="G434">
        <v>-4851.7453407365683</v>
      </c>
      <c r="H434">
        <v>-4851.7453407365683</v>
      </c>
      <c r="I434">
        <v>0.57393096785444642</v>
      </c>
      <c r="J434">
        <v>0.75912017411931076</v>
      </c>
      <c r="K434">
        <v>0.75179016831290602</v>
      </c>
      <c r="L434">
        <v>-3683.0577678424979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35">
      <c r="A435" t="s">
        <v>113</v>
      </c>
      <c r="B435" t="s">
        <v>14</v>
      </c>
      <c r="C435">
        <v>451956.1</v>
      </c>
      <c r="D435">
        <v>1.0087300437836499</v>
      </c>
      <c r="E435">
        <v>0.8790550911599404</v>
      </c>
      <c r="F435">
        <v>14136.45</v>
      </c>
      <c r="G435">
        <v>-4222.8378093282299</v>
      </c>
      <c r="H435">
        <v>-4222.8378093282299</v>
      </c>
      <c r="I435">
        <v>0.71727574116566262</v>
      </c>
      <c r="J435">
        <v>0.80760949897853629</v>
      </c>
      <c r="K435">
        <v>1.181691576797788</v>
      </c>
      <c r="L435">
        <v>-3410.403927459191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5">
      <c r="A436" t="s">
        <v>113</v>
      </c>
      <c r="B436" t="s">
        <v>15</v>
      </c>
      <c r="C436">
        <v>452344.9</v>
      </c>
      <c r="D436">
        <v>1.5369139003831629</v>
      </c>
      <c r="E436">
        <v>0.95790048950492057</v>
      </c>
      <c r="F436">
        <v>27832.880000000001</v>
      </c>
      <c r="G436">
        <v>12885.617455236321</v>
      </c>
      <c r="H436">
        <v>12885.617455236321</v>
      </c>
      <c r="I436">
        <v>0.96676025767902385</v>
      </c>
      <c r="J436">
        <v>0.87363857589982796</v>
      </c>
      <c r="K436">
        <v>1.0087300437836499</v>
      </c>
      <c r="L436">
        <v>11257.372483182629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35">
      <c r="A437" t="s">
        <v>113</v>
      </c>
      <c r="B437" t="s">
        <v>16</v>
      </c>
      <c r="C437">
        <v>453618.3</v>
      </c>
      <c r="D437">
        <v>1.24304975524487</v>
      </c>
      <c r="E437">
        <v>0.92941087641527109</v>
      </c>
      <c r="F437">
        <v>25718.62</v>
      </c>
      <c r="G437">
        <v>-2578.9762101676129</v>
      </c>
      <c r="H437">
        <v>-2578.9762101676129</v>
      </c>
      <c r="I437">
        <v>0.87661273484928537</v>
      </c>
      <c r="J437">
        <v>0.85235916629983643</v>
      </c>
      <c r="K437">
        <v>1.5369139003831629</v>
      </c>
      <c r="L437">
        <v>-2198.2140124055791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5">
      <c r="A438" t="s">
        <v>113</v>
      </c>
      <c r="B438" t="s">
        <v>17</v>
      </c>
      <c r="C438">
        <v>451662.9</v>
      </c>
      <c r="D438">
        <v>0.33701286113838103</v>
      </c>
      <c r="E438">
        <v>0.91810423364612903</v>
      </c>
      <c r="F438">
        <v>34454.82</v>
      </c>
      <c r="G438">
        <v>8892.3153268391106</v>
      </c>
      <c r="H438">
        <v>8892.3153268391106</v>
      </c>
      <c r="I438">
        <v>0.84083598232015955</v>
      </c>
      <c r="J438">
        <v>0.8431257998808559</v>
      </c>
      <c r="K438">
        <v>1.24304975524487</v>
      </c>
      <c r="L438">
        <v>7497.3404727340194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5">
      <c r="A439" t="s">
        <v>113</v>
      </c>
      <c r="B439" t="s">
        <v>18</v>
      </c>
      <c r="C439">
        <v>456638.9</v>
      </c>
      <c r="D439">
        <v>1.030787416418542</v>
      </c>
      <c r="E439">
        <v>0.90886022437255864</v>
      </c>
      <c r="F439">
        <v>23886.34</v>
      </c>
      <c r="G439">
        <v>-10175.62221530782</v>
      </c>
      <c r="H439">
        <v>-10175.62221530782</v>
      </c>
      <c r="I439">
        <v>0.81158586458759352</v>
      </c>
      <c r="J439">
        <v>0.83523208566375773</v>
      </c>
      <c r="K439">
        <v>0.33701286113838103</v>
      </c>
      <c r="L439">
        <v>-8499.0061658180148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-10175.62221530782</v>
      </c>
      <c r="T439">
        <v>-8499.0061658180148</v>
      </c>
      <c r="U439">
        <v>0</v>
      </c>
      <c r="V439">
        <v>0</v>
      </c>
      <c r="W439">
        <v>0</v>
      </c>
    </row>
    <row r="440" spans="1:23" x14ac:dyDescent="0.35">
      <c r="A440" t="s">
        <v>113</v>
      </c>
      <c r="B440" t="s">
        <v>19</v>
      </c>
      <c r="C440">
        <v>458359.1</v>
      </c>
      <c r="D440">
        <v>1.3207996081624369</v>
      </c>
      <c r="E440">
        <v>0.90108215068435848</v>
      </c>
      <c r="F440">
        <v>12058.21</v>
      </c>
      <c r="G440">
        <v>-11403.891117199109</v>
      </c>
      <c r="H440">
        <v>-11403.891117199109</v>
      </c>
      <c r="I440">
        <v>0.78697429569151911</v>
      </c>
      <c r="J440">
        <v>0.82834578284222005</v>
      </c>
      <c r="K440">
        <v>1.030787416418542</v>
      </c>
      <c r="L440">
        <v>-9446.3651149237394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-11403.891117199109</v>
      </c>
      <c r="T440">
        <v>-9446.3651149237394</v>
      </c>
      <c r="U440">
        <v>0</v>
      </c>
      <c r="V440">
        <v>0</v>
      </c>
      <c r="W440">
        <v>0</v>
      </c>
    </row>
    <row r="441" spans="1:23" x14ac:dyDescent="0.35">
      <c r="A441" t="s">
        <v>113</v>
      </c>
      <c r="B441" t="s">
        <v>20</v>
      </c>
      <c r="C441">
        <v>463090.1</v>
      </c>
      <c r="D441">
        <v>2.066554007089926</v>
      </c>
      <c r="E441">
        <v>0.89304575582811829</v>
      </c>
      <c r="F441">
        <v>16122.31</v>
      </c>
      <c r="G441">
        <v>3477.0160780143342</v>
      </c>
      <c r="H441">
        <v>3477.0160780143342</v>
      </c>
      <c r="I441">
        <v>0.76154534070739865</v>
      </c>
      <c r="J441">
        <v>0.82099314834603054</v>
      </c>
      <c r="K441">
        <v>1.3207996081624369</v>
      </c>
      <c r="L441">
        <v>2854.606376738755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3477.0160780143342</v>
      </c>
      <c r="T441">
        <v>2854.606376738755</v>
      </c>
      <c r="U441">
        <v>0</v>
      </c>
      <c r="V441">
        <v>0</v>
      </c>
      <c r="W441">
        <v>0</v>
      </c>
    </row>
    <row r="442" spans="1:23" x14ac:dyDescent="0.35">
      <c r="A442" t="s">
        <v>113</v>
      </c>
      <c r="B442" t="s">
        <v>21</v>
      </c>
      <c r="C442">
        <v>465190.7</v>
      </c>
      <c r="D442">
        <v>2.9511323915607912</v>
      </c>
      <c r="E442">
        <v>0.89545781554742399</v>
      </c>
      <c r="F442">
        <v>9975.3389999999999</v>
      </c>
      <c r="G442">
        <v>-7181.6860400218247</v>
      </c>
      <c r="H442">
        <v>-7181.6860400218247</v>
      </c>
      <c r="I442">
        <v>0.76917763841283149</v>
      </c>
      <c r="J442">
        <v>0.82322550365868885</v>
      </c>
      <c r="K442">
        <v>2.066554007089926</v>
      </c>
      <c r="L442">
        <v>-5912.1471074155425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-7181.6860400218247</v>
      </c>
      <c r="T442">
        <v>-5912.1471074155425</v>
      </c>
      <c r="U442">
        <v>0</v>
      </c>
      <c r="V442">
        <v>0</v>
      </c>
      <c r="W442">
        <v>0</v>
      </c>
    </row>
    <row r="443" spans="1:23" x14ac:dyDescent="0.35">
      <c r="A443" t="s">
        <v>113</v>
      </c>
      <c r="B443" t="s">
        <v>22</v>
      </c>
      <c r="C443">
        <v>466838.2</v>
      </c>
      <c r="D443">
        <v>2.2089805440203292</v>
      </c>
      <c r="E443">
        <v>0.58317561378437122</v>
      </c>
      <c r="F443">
        <v>14397.81</v>
      </c>
      <c r="G443">
        <v>3353.6931959349681</v>
      </c>
      <c r="H443">
        <v>3353.6931959349681</v>
      </c>
      <c r="I443">
        <v>-0.21895325772009919</v>
      </c>
      <c r="J443">
        <v>0.39223991761599608</v>
      </c>
      <c r="K443">
        <v>2.9511323915607912</v>
      </c>
      <c r="L443">
        <v>1315.4523428828591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5">
      <c r="A444" t="s">
        <v>113</v>
      </c>
      <c r="B444" t="s">
        <v>23</v>
      </c>
      <c r="C444">
        <v>471008.3</v>
      </c>
      <c r="D444">
        <v>2.7222777907632789</v>
      </c>
      <c r="E444">
        <v>0.54833308010088799</v>
      </c>
      <c r="F444">
        <v>13202.73</v>
      </c>
      <c r="G444">
        <v>-2405.1200373209231</v>
      </c>
      <c r="H444">
        <v>-2405.1200373209231</v>
      </c>
      <c r="I444">
        <v>-0.3292028455538798</v>
      </c>
      <c r="J444">
        <v>0.34109784180852848</v>
      </c>
      <c r="K444">
        <v>2.2089805440203292</v>
      </c>
      <c r="L444">
        <v>-820.38125402061428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5">
      <c r="A445" t="s">
        <v>113</v>
      </c>
      <c r="B445" t="s">
        <v>24</v>
      </c>
      <c r="C445">
        <v>472380.8</v>
      </c>
      <c r="D445">
        <v>1.9863804388806741</v>
      </c>
      <c r="E445">
        <v>0.74174941920246984</v>
      </c>
      <c r="F445">
        <v>11537.9</v>
      </c>
      <c r="G445">
        <v>-2694.6719418449161</v>
      </c>
      <c r="H445">
        <v>-2694.6719418449161</v>
      </c>
      <c r="I445">
        <v>0.28280981288193963</v>
      </c>
      <c r="J445">
        <v>0.63775181353057231</v>
      </c>
      <c r="K445">
        <v>2.7222777907632789</v>
      </c>
      <c r="L445">
        <v>-1718.5319177815441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5">
      <c r="A446" t="s">
        <v>113</v>
      </c>
      <c r="B446" t="s">
        <v>25</v>
      </c>
      <c r="C446">
        <v>473386.8</v>
      </c>
      <c r="D446">
        <v>1.7465384251298821</v>
      </c>
      <c r="E446">
        <v>0.70037615434459854</v>
      </c>
      <c r="F446">
        <v>11866.98</v>
      </c>
      <c r="G446">
        <v>-828.06583405836682</v>
      </c>
      <c r="H446">
        <v>-828.06583405836682</v>
      </c>
      <c r="I446">
        <v>0.15189552750433999</v>
      </c>
      <c r="J446">
        <v>0.5753690091383129</v>
      </c>
      <c r="K446">
        <v>1.9863804388806741</v>
      </c>
      <c r="L446">
        <v>-476.44341844345308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5">
      <c r="A447" t="s">
        <v>113</v>
      </c>
      <c r="B447" t="s">
        <v>26</v>
      </c>
      <c r="C447">
        <v>477075.1</v>
      </c>
      <c r="D447">
        <v>2.169119001762017</v>
      </c>
      <c r="E447">
        <v>0.89185908254976332</v>
      </c>
      <c r="F447">
        <v>20193.73</v>
      </c>
      <c r="G447">
        <v>7096.9915636258847</v>
      </c>
      <c r="H447">
        <v>7096.9915636258847</v>
      </c>
      <c r="I447">
        <v>0.7577904404174115</v>
      </c>
      <c r="J447">
        <v>0.81988682082151321</v>
      </c>
      <c r="K447">
        <v>1.7465384251298821</v>
      </c>
      <c r="L447">
        <v>5818.7298504983264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7096.9915636258847</v>
      </c>
      <c r="T447">
        <v>5818.7298504983264</v>
      </c>
      <c r="U447">
        <v>0</v>
      </c>
      <c r="V447">
        <v>0</v>
      </c>
      <c r="W447">
        <v>0</v>
      </c>
    </row>
    <row r="448" spans="1:23" x14ac:dyDescent="0.35">
      <c r="A448" t="s">
        <v>113</v>
      </c>
      <c r="B448" t="s">
        <v>27</v>
      </c>
      <c r="C448">
        <v>480362</v>
      </c>
      <c r="D448">
        <v>1.966427038599351</v>
      </c>
      <c r="E448">
        <v>0.84160127957997377</v>
      </c>
      <c r="F448">
        <v>12165.63</v>
      </c>
      <c r="G448">
        <v>-8911.6409368498116</v>
      </c>
      <c r="H448">
        <v>-8911.6409368498116</v>
      </c>
      <c r="I448">
        <v>0.59876348465164098</v>
      </c>
      <c r="J448">
        <v>0.76808455296698541</v>
      </c>
      <c r="K448">
        <v>2.169119001762017</v>
      </c>
      <c r="L448">
        <v>-6844.893745182575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5">
      <c r="A449" t="s">
        <v>113</v>
      </c>
      <c r="B449" t="s">
        <v>28</v>
      </c>
      <c r="C449">
        <v>484500.5</v>
      </c>
      <c r="D449">
        <v>2.5333023347234129</v>
      </c>
      <c r="E449">
        <v>0.7563984151825609</v>
      </c>
      <c r="F449">
        <v>11552.83</v>
      </c>
      <c r="G449">
        <v>-1385.556303605184</v>
      </c>
      <c r="H449">
        <v>-1385.556303605184</v>
      </c>
      <c r="I449">
        <v>0.32916252028419568</v>
      </c>
      <c r="J449">
        <v>0.65888403174206056</v>
      </c>
      <c r="K449">
        <v>1.966427038599351</v>
      </c>
      <c r="L449">
        <v>-912.92092352501049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-1385.556303605184</v>
      </c>
      <c r="T449">
        <v>-912.92092352501049</v>
      </c>
      <c r="U449">
        <v>0</v>
      </c>
      <c r="V449">
        <v>0</v>
      </c>
      <c r="W449">
        <v>0</v>
      </c>
    </row>
    <row r="450" spans="1:23" x14ac:dyDescent="0.35">
      <c r="A450" t="s">
        <v>113</v>
      </c>
      <c r="B450" t="s">
        <v>29</v>
      </c>
      <c r="C450">
        <v>490428.3</v>
      </c>
      <c r="D450">
        <v>3.5366277656004361</v>
      </c>
      <c r="E450">
        <v>0.77590363106817051</v>
      </c>
      <c r="F450">
        <v>8235.1579999999994</v>
      </c>
      <c r="G450">
        <v>-4527.5681324086381</v>
      </c>
      <c r="H450">
        <v>-4527.5681324086381</v>
      </c>
      <c r="I450">
        <v>0.39088139617113399</v>
      </c>
      <c r="J450">
        <v>0.68605991163563429</v>
      </c>
      <c r="K450">
        <v>2.5333023347234129</v>
      </c>
      <c r="L450">
        <v>-3106.1829928445841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35">
      <c r="A451" t="s">
        <v>113</v>
      </c>
      <c r="B451" t="s">
        <v>30</v>
      </c>
      <c r="C451">
        <v>490781.6</v>
      </c>
      <c r="D451">
        <v>2.8325301477841029</v>
      </c>
      <c r="E451">
        <v>0.71847456432461798</v>
      </c>
      <c r="F451">
        <v>11854.69</v>
      </c>
      <c r="G451">
        <v>2246.9163671678002</v>
      </c>
      <c r="H451">
        <v>2246.9163671678002</v>
      </c>
      <c r="I451">
        <v>0.20916295411774369</v>
      </c>
      <c r="J451">
        <v>0.60308258509125723</v>
      </c>
      <c r="K451">
        <v>3.5366277656004361</v>
      </c>
      <c r="L451">
        <v>1355.0761311954129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5">
      <c r="A452" t="s">
        <v>113</v>
      </c>
      <c r="B452" t="s">
        <v>31</v>
      </c>
      <c r="C452">
        <v>493380.2</v>
      </c>
      <c r="D452">
        <v>2.6740087250013129</v>
      </c>
      <c r="E452">
        <v>0.814216119891368</v>
      </c>
      <c r="F452">
        <v>9051.4310000000005</v>
      </c>
      <c r="G452">
        <v>-4203.3719888323176</v>
      </c>
      <c r="H452">
        <v>-4203.3719888323176</v>
      </c>
      <c r="I452">
        <v>0.51211069998741099</v>
      </c>
      <c r="J452">
        <v>0.73579406096919697</v>
      </c>
      <c r="K452">
        <v>2.8325301477841029</v>
      </c>
      <c r="L452">
        <v>-3092.8161454271012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5">
      <c r="A453" t="s">
        <v>113</v>
      </c>
      <c r="B453" t="s">
        <v>32</v>
      </c>
      <c r="C453">
        <v>498552.2</v>
      </c>
      <c r="D453">
        <v>2.8589834740144822</v>
      </c>
      <c r="E453">
        <v>0.89185223803151492</v>
      </c>
      <c r="F453">
        <v>13357.51</v>
      </c>
      <c r="G453">
        <v>2981.2693730277952</v>
      </c>
      <c r="H453">
        <v>2981.2693730277952</v>
      </c>
      <c r="I453">
        <v>0.75776878282721838</v>
      </c>
      <c r="J453">
        <v>0.81988042427529273</v>
      </c>
      <c r="K453">
        <v>2.6740087250013129</v>
      </c>
      <c r="L453">
        <v>2444.2843984369651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5">
      <c r="A454" t="s">
        <v>113</v>
      </c>
      <c r="B454" t="s">
        <v>33</v>
      </c>
      <c r="C454">
        <v>501817.8</v>
      </c>
      <c r="D454">
        <v>2.2958014652481511</v>
      </c>
      <c r="E454">
        <v>0.89783268112198877</v>
      </c>
      <c r="F454">
        <v>18459.61</v>
      </c>
      <c r="G454">
        <v>3803.4009892178929</v>
      </c>
      <c r="H454">
        <v>3803.4009892178929</v>
      </c>
      <c r="I454">
        <v>0.77669224550584326</v>
      </c>
      <c r="J454">
        <v>0.82540202006272356</v>
      </c>
      <c r="K454">
        <v>2.8589834740144822</v>
      </c>
      <c r="L454">
        <v>3139.33485960901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3803.4009892178929</v>
      </c>
      <c r="T454">
        <v>3139.33485960901</v>
      </c>
      <c r="U454">
        <v>0</v>
      </c>
      <c r="V454">
        <v>0</v>
      </c>
      <c r="W454">
        <v>0</v>
      </c>
    </row>
    <row r="455" spans="1:23" x14ac:dyDescent="0.35">
      <c r="A455" t="s">
        <v>113</v>
      </c>
      <c r="B455" t="s">
        <v>34</v>
      </c>
      <c r="C455">
        <v>503518.3</v>
      </c>
      <c r="D455">
        <v>2.5620834757621052</v>
      </c>
      <c r="E455">
        <v>0.76647758763207308</v>
      </c>
      <c r="F455">
        <v>21867.71</v>
      </c>
      <c r="G455">
        <v>2532.642848660435</v>
      </c>
      <c r="H455">
        <v>2532.642848660435</v>
      </c>
      <c r="I455">
        <v>0.36105528153855537</v>
      </c>
      <c r="J455">
        <v>0.67307160802442545</v>
      </c>
      <c r="K455">
        <v>2.2958014652481511</v>
      </c>
      <c r="L455">
        <v>1704.64999469944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5">
      <c r="A456" t="s">
        <v>113</v>
      </c>
      <c r="B456" t="s">
        <v>35</v>
      </c>
      <c r="C456">
        <v>503763.4</v>
      </c>
      <c r="D456">
        <v>2.0826639825546831</v>
      </c>
      <c r="E456">
        <v>0.67032696178596896</v>
      </c>
      <c r="F456">
        <v>13843.68</v>
      </c>
      <c r="G456">
        <v>-8502.2952960938928</v>
      </c>
      <c r="H456">
        <v>-8502.2952960938928</v>
      </c>
      <c r="I456">
        <v>5.6813145596583479E-2</v>
      </c>
      <c r="J456">
        <v>0.52837604925742887</v>
      </c>
      <c r="K456">
        <v>2.5620834757621052</v>
      </c>
      <c r="L456">
        <v>-4492.4091981701122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5">
      <c r="A457" t="s">
        <v>113</v>
      </c>
      <c r="B457" t="s">
        <v>36</v>
      </c>
      <c r="C457">
        <v>508267.3</v>
      </c>
      <c r="D457">
        <v>1.929919223393219</v>
      </c>
      <c r="E457">
        <v>0.72891985018344985</v>
      </c>
      <c r="F457">
        <v>13176.87</v>
      </c>
      <c r="G457">
        <v>-1287.1085488489391</v>
      </c>
      <c r="H457">
        <v>-1287.1085488489391</v>
      </c>
      <c r="I457">
        <v>0.24221418027722741</v>
      </c>
      <c r="J457">
        <v>0.61879302094974675</v>
      </c>
      <c r="K457">
        <v>2.0826639825546831</v>
      </c>
      <c r="L457">
        <v>-796.45378723247961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5">
      <c r="A458" t="s">
        <v>113</v>
      </c>
      <c r="B458" t="s">
        <v>37</v>
      </c>
      <c r="C458">
        <v>504444.5</v>
      </c>
      <c r="D458">
        <v>0.52207182284110065</v>
      </c>
      <c r="E458">
        <v>0.58022497947016005</v>
      </c>
      <c r="F458">
        <v>18019.05</v>
      </c>
      <c r="G458">
        <v>3782.8150578267828</v>
      </c>
      <c r="H458">
        <v>3782.8150578267828</v>
      </c>
      <c r="I458">
        <v>-0.22828972618548521</v>
      </c>
      <c r="J458">
        <v>0.38779758584743912</v>
      </c>
      <c r="K458">
        <v>1.929919223393219</v>
      </c>
      <c r="L458">
        <v>1466.966547132567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5">
      <c r="A459" t="s">
        <v>113</v>
      </c>
      <c r="B459" t="s">
        <v>38</v>
      </c>
      <c r="C459">
        <v>503330.7</v>
      </c>
      <c r="D459">
        <v>-3.7264773997073841E-2</v>
      </c>
      <c r="E459">
        <v>0.61139952213882398</v>
      </c>
      <c r="F459">
        <v>14048.15</v>
      </c>
      <c r="G459">
        <v>-4873.0704452221198</v>
      </c>
      <c r="H459">
        <v>-4873.0704452221198</v>
      </c>
      <c r="I459">
        <v>-0.12964648424019359</v>
      </c>
      <c r="J459">
        <v>0.4355375201410327</v>
      </c>
      <c r="K459">
        <v>0.52207182284110065</v>
      </c>
      <c r="L459">
        <v>-2122.4050171846002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5">
      <c r="A460" t="s">
        <v>113</v>
      </c>
      <c r="B460" t="s">
        <v>39</v>
      </c>
      <c r="C460">
        <v>496844.5</v>
      </c>
      <c r="D460">
        <v>-1.382961352663941</v>
      </c>
      <c r="E460">
        <v>0.76551779193662972</v>
      </c>
      <c r="F460">
        <v>13245.42</v>
      </c>
      <c r="G460">
        <v>-1612.889016524221</v>
      </c>
      <c r="H460">
        <v>-1612.889016524221</v>
      </c>
      <c r="I460">
        <v>0.35801827278401038</v>
      </c>
      <c r="J460">
        <v>0.67173364102962152</v>
      </c>
      <c r="K460">
        <v>-3.7264773997073841E-2</v>
      </c>
      <c r="L460">
        <v>-1083.4318116464999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5">
      <c r="A461" t="s">
        <v>113</v>
      </c>
      <c r="B461" t="s">
        <v>40</v>
      </c>
      <c r="C461">
        <v>487397.4</v>
      </c>
      <c r="D461">
        <v>-4.1927683546806476</v>
      </c>
      <c r="E461">
        <v>0.57585363299919545</v>
      </c>
      <c r="F461">
        <v>21794.11</v>
      </c>
      <c r="G461">
        <v>7502.5523747752904</v>
      </c>
      <c r="H461">
        <v>7502.5523747752904</v>
      </c>
      <c r="I461">
        <v>-0.2421216464206935</v>
      </c>
      <c r="J461">
        <v>0.38125063530297759</v>
      </c>
      <c r="K461">
        <v>-1.382961352663941</v>
      </c>
      <c r="L461">
        <v>2860.352859276943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5">
      <c r="A462" t="s">
        <v>113</v>
      </c>
      <c r="B462" t="s">
        <v>41</v>
      </c>
      <c r="C462">
        <v>488281.4</v>
      </c>
      <c r="D462">
        <v>-3.2565944826498301</v>
      </c>
      <c r="E462">
        <v>0.63002365300835239</v>
      </c>
      <c r="F462">
        <v>18972.07</v>
      </c>
      <c r="G462">
        <v>-3571.395125890052</v>
      </c>
      <c r="H462">
        <v>-3571.395125890052</v>
      </c>
      <c r="I462">
        <v>-7.0715558872350801E-2</v>
      </c>
      <c r="J462">
        <v>0.46470104067798212</v>
      </c>
      <c r="K462">
        <v>-4.1927683546806476</v>
      </c>
      <c r="L462">
        <v>-1659.63103167338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5">
      <c r="A463" t="s">
        <v>113</v>
      </c>
      <c r="B463" t="s">
        <v>42</v>
      </c>
      <c r="C463">
        <v>489406.6</v>
      </c>
      <c r="D463">
        <v>-2.8053772520354299</v>
      </c>
      <c r="E463">
        <v>0.74923951150267598</v>
      </c>
      <c r="F463">
        <v>14507.25</v>
      </c>
      <c r="G463">
        <v>-4886.0951899900501</v>
      </c>
      <c r="H463">
        <v>-4886.0951899900501</v>
      </c>
      <c r="I463">
        <v>0.30651014410458421</v>
      </c>
      <c r="J463">
        <v>0.64862946241930319</v>
      </c>
      <c r="K463">
        <v>-3.2565944826498301</v>
      </c>
      <c r="L463">
        <v>-3169.2652964127892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35">
      <c r="A464" t="s">
        <v>113</v>
      </c>
      <c r="B464" t="s">
        <v>43</v>
      </c>
      <c r="C464">
        <v>492951.1</v>
      </c>
      <c r="D464">
        <v>-0.78671193945465712</v>
      </c>
      <c r="E464">
        <v>0.82718606743996892</v>
      </c>
      <c r="F464">
        <v>18951.79</v>
      </c>
      <c r="G464">
        <v>3701.552958534176</v>
      </c>
      <c r="H464">
        <v>3701.552958534176</v>
      </c>
      <c r="I464">
        <v>0.5531505217308238</v>
      </c>
      <c r="J464">
        <v>0.75143886865826137</v>
      </c>
      <c r="K464">
        <v>-2.8053772520354299</v>
      </c>
      <c r="L464">
        <v>2781.4907674395608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3701.552958534176</v>
      </c>
      <c r="T464">
        <v>2781.4907674395608</v>
      </c>
      <c r="U464">
        <v>0</v>
      </c>
      <c r="V464">
        <v>0</v>
      </c>
      <c r="W464">
        <v>0</v>
      </c>
    </row>
    <row r="465" spans="1:23" x14ac:dyDescent="0.35">
      <c r="A465" t="s">
        <v>113</v>
      </c>
      <c r="B465" t="s">
        <v>44</v>
      </c>
      <c r="C465">
        <v>494310.7</v>
      </c>
      <c r="D465">
        <v>1.408446010253728</v>
      </c>
      <c r="E465">
        <v>0.80468931218629103</v>
      </c>
      <c r="F465">
        <v>19711.91</v>
      </c>
      <c r="G465">
        <v>-36.739168690150109</v>
      </c>
      <c r="H465">
        <v>-36.739168690150109</v>
      </c>
      <c r="I465">
        <v>0.4819657446176952</v>
      </c>
      <c r="J465">
        <v>0.72390826387285301</v>
      </c>
      <c r="K465">
        <v>-0.78671193945465712</v>
      </c>
      <c r="L465">
        <v>-26.595787822618441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-36.739168690150109</v>
      </c>
      <c r="T465">
        <v>-26.595787822618441</v>
      </c>
      <c r="U465">
        <v>0</v>
      </c>
      <c r="V465">
        <v>0</v>
      </c>
      <c r="W465">
        <v>0</v>
      </c>
    </row>
    <row r="466" spans="1:23" x14ac:dyDescent="0.35">
      <c r="A466" t="s">
        <v>113</v>
      </c>
      <c r="B466" t="s">
        <v>45</v>
      </c>
      <c r="C466">
        <v>496705.5</v>
      </c>
      <c r="D466">
        <v>1.710541612951362</v>
      </c>
      <c r="E466">
        <v>0.83266736824079313</v>
      </c>
      <c r="F466">
        <v>21449.03</v>
      </c>
      <c r="G466">
        <v>1198.9148978520791</v>
      </c>
      <c r="H466">
        <v>1198.9148978520791</v>
      </c>
      <c r="I466">
        <v>0.57049458630355343</v>
      </c>
      <c r="J466">
        <v>0.75786120599063167</v>
      </c>
      <c r="K466">
        <v>1.408446010253728</v>
      </c>
      <c r="L466">
        <v>908.61109036631149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1198.9148978520791</v>
      </c>
      <c r="T466">
        <v>908.61109036631149</v>
      </c>
      <c r="U466">
        <v>0</v>
      </c>
      <c r="V466">
        <v>0</v>
      </c>
      <c r="W466">
        <v>0</v>
      </c>
    </row>
    <row r="467" spans="1:23" x14ac:dyDescent="0.35">
      <c r="A467" t="s">
        <v>113</v>
      </c>
      <c r="B467" t="s">
        <v>46</v>
      </c>
      <c r="C467">
        <v>500079.6</v>
      </c>
      <c r="D467">
        <v>2.1573648932475762</v>
      </c>
      <c r="E467">
        <v>0.82699589253821004</v>
      </c>
      <c r="F467">
        <v>19653.439999999999</v>
      </c>
      <c r="G467">
        <v>-2226.0035218636149</v>
      </c>
      <c r="H467">
        <v>-2226.0035218636149</v>
      </c>
      <c r="I467">
        <v>0.55254876570682987</v>
      </c>
      <c r="J467">
        <v>0.75121401047170022</v>
      </c>
      <c r="K467">
        <v>1.710541612951362</v>
      </c>
      <c r="L467">
        <v>-1672.205032983295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5">
      <c r="A468" t="s">
        <v>113</v>
      </c>
      <c r="B468" t="s">
        <v>47</v>
      </c>
      <c r="C468">
        <v>502895.7</v>
      </c>
      <c r="D468">
        <v>1.9972812251530649</v>
      </c>
      <c r="E468">
        <v>0.73011996685574876</v>
      </c>
      <c r="F468">
        <v>14901.64</v>
      </c>
      <c r="G468">
        <v>-5163.8778878903649</v>
      </c>
      <c r="H468">
        <v>-5163.8778878903649</v>
      </c>
      <c r="I468">
        <v>0.24601161847949349</v>
      </c>
      <c r="J468">
        <v>0.62058293931108555</v>
      </c>
      <c r="K468">
        <v>2.1573648932475762</v>
      </c>
      <c r="L468">
        <v>-3204.6145179105229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-5163.8778878903649</v>
      </c>
      <c r="T468">
        <v>-3204.6145179105229</v>
      </c>
      <c r="U468">
        <v>0</v>
      </c>
      <c r="V468">
        <v>0</v>
      </c>
      <c r="W468">
        <v>0</v>
      </c>
    </row>
    <row r="469" spans="1:23" x14ac:dyDescent="0.35">
      <c r="A469" t="s">
        <v>113</v>
      </c>
      <c r="B469" t="s">
        <v>48</v>
      </c>
      <c r="C469">
        <v>509541.8</v>
      </c>
      <c r="D469">
        <v>3.034762366262199</v>
      </c>
      <c r="E469">
        <v>0.88549828516312767</v>
      </c>
      <c r="F469">
        <v>13397.83</v>
      </c>
      <c r="G469">
        <v>-2196.1557660518852</v>
      </c>
      <c r="H469">
        <v>-2196.1557660518852</v>
      </c>
      <c r="I469">
        <v>0.73766345147506596</v>
      </c>
      <c r="J469">
        <v>0.8138656991593699</v>
      </c>
      <c r="K469">
        <v>1.9972812251530649</v>
      </c>
      <c r="L469">
        <v>-1787.3758480006991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-2196.1557660518852</v>
      </c>
      <c r="T469">
        <v>-1787.3758480006991</v>
      </c>
      <c r="U469">
        <v>0</v>
      </c>
      <c r="V469">
        <v>0</v>
      </c>
      <c r="W469">
        <v>0</v>
      </c>
    </row>
    <row r="470" spans="1:23" x14ac:dyDescent="0.35">
      <c r="A470" t="s">
        <v>113</v>
      </c>
      <c r="B470" t="s">
        <v>49</v>
      </c>
      <c r="C470">
        <v>509597.2</v>
      </c>
      <c r="D470">
        <v>2.5623314603022029</v>
      </c>
      <c r="E470">
        <v>0.83933536526527874</v>
      </c>
      <c r="F470">
        <v>14121</v>
      </c>
      <c r="G470">
        <v>-273.04318602130661</v>
      </c>
      <c r="H470">
        <v>-273.04318602130661</v>
      </c>
      <c r="I470">
        <v>0.59159362377036373</v>
      </c>
      <c r="J470">
        <v>0.76552039534163985</v>
      </c>
      <c r="K470">
        <v>3.034762366262199</v>
      </c>
      <c r="L470">
        <v>-209.02012770837149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-273.04318602130661</v>
      </c>
      <c r="T470">
        <v>-209.02012770837149</v>
      </c>
      <c r="U470">
        <v>0</v>
      </c>
      <c r="V470">
        <v>0</v>
      </c>
      <c r="W470">
        <v>0</v>
      </c>
    </row>
    <row r="471" spans="1:23" x14ac:dyDescent="0.35">
      <c r="A471" t="s">
        <v>113</v>
      </c>
      <c r="B471" t="s">
        <v>50</v>
      </c>
      <c r="C471">
        <v>511325.4</v>
      </c>
      <c r="D471">
        <v>2.2238892394035461</v>
      </c>
      <c r="E471">
        <v>0.86394334724719724</v>
      </c>
      <c r="F471">
        <v>20227.560000000001</v>
      </c>
      <c r="G471">
        <v>5061.6006823259177</v>
      </c>
      <c r="H471">
        <v>5061.6006823259177</v>
      </c>
      <c r="I471">
        <v>0.66945879556221011</v>
      </c>
      <c r="J471">
        <v>0.79231188334207869</v>
      </c>
      <c r="K471">
        <v>2.5623314603022029</v>
      </c>
      <c r="L471">
        <v>4010.3663693391982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5">
      <c r="A472" t="s">
        <v>113</v>
      </c>
      <c r="B472" t="s">
        <v>51</v>
      </c>
      <c r="C472">
        <v>513023.5</v>
      </c>
      <c r="D472">
        <v>1.9938860354703969</v>
      </c>
      <c r="E472">
        <v>0.86943697196439329</v>
      </c>
      <c r="F472">
        <v>19436.98</v>
      </c>
      <c r="G472">
        <v>-1556.8530311641989</v>
      </c>
      <c r="H472">
        <v>-1556.8530311641989</v>
      </c>
      <c r="I472">
        <v>0.68684185576920787</v>
      </c>
      <c r="J472">
        <v>0.79797466065401368</v>
      </c>
      <c r="K472">
        <v>2.2238892394035461</v>
      </c>
      <c r="L472">
        <v>-1242.329269231424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5">
      <c r="A473" t="s">
        <v>113</v>
      </c>
      <c r="B473" t="s">
        <v>52</v>
      </c>
      <c r="C473">
        <v>512828.5</v>
      </c>
      <c r="D473">
        <v>0.64295907707304145</v>
      </c>
      <c r="E473">
        <v>0.86950896251102427</v>
      </c>
      <c r="F473">
        <v>18629.88</v>
      </c>
      <c r="G473">
        <v>-1290.561426222474</v>
      </c>
      <c r="H473">
        <v>-1290.561426222474</v>
      </c>
      <c r="I473">
        <v>0.68706964999812636</v>
      </c>
      <c r="J473">
        <v>0.79804809660070142</v>
      </c>
      <c r="K473">
        <v>1.9938860354703969</v>
      </c>
      <c r="L473">
        <v>-1029.930089743131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5">
      <c r="A474" t="s">
        <v>113</v>
      </c>
      <c r="B474" t="s">
        <v>53</v>
      </c>
      <c r="C474">
        <v>510722.5</v>
      </c>
      <c r="D474">
        <v>0.22057801221696349</v>
      </c>
      <c r="E474">
        <v>0.83191986834796727</v>
      </c>
      <c r="F474">
        <v>36827.879999999997</v>
      </c>
      <c r="G474">
        <v>17641.959197543922</v>
      </c>
      <c r="H474">
        <v>17641.959197543922</v>
      </c>
      <c r="I474">
        <v>0.56812932906254765</v>
      </c>
      <c r="J474">
        <v>0.75699206206360359</v>
      </c>
      <c r="K474">
        <v>0.64295907707304145</v>
      </c>
      <c r="L474">
        <v>13354.82307179073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35">
      <c r="A475" t="s">
        <v>113</v>
      </c>
      <c r="B475" t="s">
        <v>54</v>
      </c>
      <c r="C475">
        <v>512450.8</v>
      </c>
      <c r="D475">
        <v>0.2198528259016288</v>
      </c>
      <c r="E475">
        <v>0.81184925414099773</v>
      </c>
      <c r="F475">
        <v>25945.24</v>
      </c>
      <c r="G475">
        <v>-10760.52865517087</v>
      </c>
      <c r="H475">
        <v>-10760.52865517087</v>
      </c>
      <c r="I475">
        <v>0.50462140613161111</v>
      </c>
      <c r="J475">
        <v>0.73287194023674584</v>
      </c>
      <c r="K475">
        <v>0.22057801221696349</v>
      </c>
      <c r="L475">
        <v>-7886.0895134881803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-10760.52865517087</v>
      </c>
      <c r="T475">
        <v>-7886.0895134881803</v>
      </c>
      <c r="U475">
        <v>0</v>
      </c>
      <c r="V475">
        <v>0</v>
      </c>
      <c r="W475">
        <v>0</v>
      </c>
    </row>
    <row r="476" spans="1:23" x14ac:dyDescent="0.35">
      <c r="A476" t="s">
        <v>113</v>
      </c>
      <c r="B476" t="s">
        <v>55</v>
      </c>
      <c r="C476">
        <v>512135.7</v>
      </c>
      <c r="D476">
        <v>-0.1732024103072291</v>
      </c>
      <c r="E476">
        <v>0.82109258408230645</v>
      </c>
      <c r="F476">
        <v>38752.269999999997</v>
      </c>
      <c r="G476">
        <v>13434.743327128041</v>
      </c>
      <c r="H476">
        <v>13434.743327128041</v>
      </c>
      <c r="I476">
        <v>0.53386937430460335</v>
      </c>
      <c r="J476">
        <v>0.74416665054504638</v>
      </c>
      <c r="K476">
        <v>0.2198528259016288</v>
      </c>
      <c r="L476">
        <v>9997.6879426812848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5">
      <c r="A477" t="s">
        <v>113</v>
      </c>
      <c r="B477" t="s">
        <v>56</v>
      </c>
      <c r="C477">
        <v>513118.1</v>
      </c>
      <c r="D477">
        <v>5.6455181525381953E-2</v>
      </c>
      <c r="E477">
        <v>0.79319530985455722</v>
      </c>
      <c r="F477">
        <v>31598.92</v>
      </c>
      <c r="G477">
        <v>-6578.8883624478913</v>
      </c>
      <c r="H477">
        <v>-6578.8883624478913</v>
      </c>
      <c r="I477">
        <v>0.44559614442886408</v>
      </c>
      <c r="J477">
        <v>0.7091361578384161</v>
      </c>
      <c r="K477">
        <v>-0.1732024103072291</v>
      </c>
      <c r="L477">
        <v>-4665.3276161941667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5">
      <c r="A478" t="s">
        <v>113</v>
      </c>
      <c r="B478" t="s">
        <v>57</v>
      </c>
      <c r="C478">
        <v>517682.7</v>
      </c>
      <c r="D478">
        <v>1.3536116453066189</v>
      </c>
      <c r="E478">
        <v>0.80758595256331178</v>
      </c>
      <c r="F478">
        <v>14113.9</v>
      </c>
      <c r="G478">
        <v>-16534.748271214699</v>
      </c>
      <c r="H478">
        <v>-16534.748271214699</v>
      </c>
      <c r="I478">
        <v>0.49113136416104702</v>
      </c>
      <c r="J478">
        <v>0.72755696030521599</v>
      </c>
      <c r="K478">
        <v>5.6455181525381953E-2</v>
      </c>
      <c r="L478">
        <v>-12029.971191616891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-16534.748271214699</v>
      </c>
      <c r="T478">
        <v>-12029.971191616891</v>
      </c>
      <c r="U478">
        <v>0</v>
      </c>
      <c r="V478">
        <v>0</v>
      </c>
      <c r="W478">
        <v>0</v>
      </c>
    </row>
    <row r="479" spans="1:23" x14ac:dyDescent="0.35">
      <c r="A479" t="s">
        <v>113</v>
      </c>
      <c r="B479" t="s">
        <v>58</v>
      </c>
      <c r="C479">
        <v>516626.7</v>
      </c>
      <c r="D479">
        <v>0.81158570101647309</v>
      </c>
      <c r="E479">
        <v>0.5983635625260797</v>
      </c>
      <c r="F479">
        <v>15802.53</v>
      </c>
      <c r="G479">
        <v>1579.518846364859</v>
      </c>
      <c r="H479">
        <v>1579.518846364859</v>
      </c>
      <c r="I479">
        <v>-0.1708951829536331</v>
      </c>
      <c r="J479">
        <v>0.41537464144010211</v>
      </c>
      <c r="K479">
        <v>1.3536116453066189</v>
      </c>
      <c r="L479">
        <v>656.0920744566871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1579.518846364859</v>
      </c>
      <c r="T479">
        <v>656.0920744566871</v>
      </c>
      <c r="U479">
        <v>0</v>
      </c>
      <c r="V479">
        <v>0</v>
      </c>
      <c r="W479">
        <v>0</v>
      </c>
    </row>
    <row r="480" spans="1:23" x14ac:dyDescent="0.35">
      <c r="A480" t="s">
        <v>113</v>
      </c>
      <c r="B480" t="s">
        <v>59</v>
      </c>
      <c r="C480">
        <v>519770.2</v>
      </c>
      <c r="D480">
        <v>1.479716183640875</v>
      </c>
      <c r="E480">
        <v>0.58202867919290535</v>
      </c>
      <c r="F480">
        <v>18492.009999999998</v>
      </c>
      <c r="G480">
        <v>1747.8482793999319</v>
      </c>
      <c r="H480">
        <v>1747.8482793999319</v>
      </c>
      <c r="I480">
        <v>-0.2225824158958537</v>
      </c>
      <c r="J480">
        <v>0.39051098369371318</v>
      </c>
      <c r="K480">
        <v>0.81158570101647309</v>
      </c>
      <c r="L480">
        <v>682.55395093583149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1747.8482793999319</v>
      </c>
      <c r="T480">
        <v>682.55395093583149</v>
      </c>
      <c r="U480">
        <v>0</v>
      </c>
      <c r="V480">
        <v>0</v>
      </c>
      <c r="W480">
        <v>0</v>
      </c>
    </row>
    <row r="481" spans="1:23" x14ac:dyDescent="0.35">
      <c r="A481" t="s">
        <v>113</v>
      </c>
      <c r="B481" t="s">
        <v>60</v>
      </c>
      <c r="C481">
        <v>519680.1</v>
      </c>
      <c r="D481">
        <v>1.270739685890186</v>
      </c>
      <c r="E481">
        <v>0.47508492398791108</v>
      </c>
      <c r="F481">
        <v>19536.86</v>
      </c>
      <c r="G481">
        <v>296.42782514671848</v>
      </c>
      <c r="H481">
        <v>296.42782514671848</v>
      </c>
      <c r="I481">
        <v>-0.5609764328136454</v>
      </c>
      <c r="J481">
        <v>0.24564922672673789</v>
      </c>
      <c r="K481">
        <v>1.479716183640875</v>
      </c>
      <c r="L481">
        <v>72.817266027580075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296.42782514671848</v>
      </c>
      <c r="T481">
        <v>72.817266027580075</v>
      </c>
      <c r="U481">
        <v>0</v>
      </c>
      <c r="V481">
        <v>0</v>
      </c>
      <c r="W481">
        <v>0</v>
      </c>
    </row>
    <row r="482" spans="1:23" x14ac:dyDescent="0.35">
      <c r="A482" t="s">
        <v>113</v>
      </c>
      <c r="B482" t="s">
        <v>61</v>
      </c>
      <c r="C482">
        <v>520870.2</v>
      </c>
      <c r="D482">
        <v>0.61383681247777422</v>
      </c>
      <c r="E482">
        <v>-0.52635722486740288</v>
      </c>
      <c r="F482">
        <v>20086.099999999999</v>
      </c>
      <c r="G482">
        <v>-19.53534989586478</v>
      </c>
      <c r="H482">
        <v>-19.53534989586478</v>
      </c>
      <c r="I482">
        <v>-3.7297639025668028</v>
      </c>
      <c r="J482">
        <v>5.7559655535674643E-4</v>
      </c>
      <c r="K482">
        <v>1.270739685890186</v>
      </c>
      <c r="L482">
        <v>-1.124448010774854E-2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-19.53534989586478</v>
      </c>
      <c r="T482">
        <v>-1.124448010774854E-2</v>
      </c>
      <c r="U482">
        <v>0</v>
      </c>
      <c r="V482">
        <v>0</v>
      </c>
      <c r="W482">
        <v>0</v>
      </c>
    </row>
    <row r="483" spans="1:23" x14ac:dyDescent="0.35">
      <c r="A483" t="s">
        <v>113</v>
      </c>
      <c r="B483" t="s">
        <v>62</v>
      </c>
      <c r="C483">
        <v>524402</v>
      </c>
      <c r="D483">
        <v>1.4938002350371331</v>
      </c>
      <c r="E483">
        <v>-0.24123483168750859</v>
      </c>
      <c r="F483">
        <v>14211.19</v>
      </c>
      <c r="G483">
        <v>-6368.2256188433221</v>
      </c>
      <c r="H483">
        <v>-6368.2256188433221</v>
      </c>
      <c r="I483">
        <v>-2.827572729679575</v>
      </c>
      <c r="J483">
        <v>3.487260477421014E-3</v>
      </c>
      <c r="K483">
        <v>0.61383681247777422</v>
      </c>
      <c r="L483">
        <v>-22.20766151189229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-6368.2256188433221</v>
      </c>
      <c r="T483">
        <v>-22.20766151189229</v>
      </c>
      <c r="U483">
        <v>0</v>
      </c>
      <c r="V483">
        <v>0</v>
      </c>
      <c r="W483">
        <v>0</v>
      </c>
    </row>
    <row r="484" spans="1:23" x14ac:dyDescent="0.35">
      <c r="A484" t="s">
        <v>113</v>
      </c>
      <c r="B484" t="s">
        <v>63</v>
      </c>
      <c r="C484">
        <v>522870.6</v>
      </c>
      <c r="D484">
        <v>0.59472238920386689</v>
      </c>
      <c r="E484">
        <v>7.9241852471059523E-3</v>
      </c>
      <c r="F484">
        <v>17252.02</v>
      </c>
      <c r="G484">
        <v>2343.4323165346868</v>
      </c>
      <c r="H484">
        <v>2343.4323165346868</v>
      </c>
      <c r="I484">
        <v>-2.0391777417705019</v>
      </c>
      <c r="J484">
        <v>1.66532652054724E-2</v>
      </c>
      <c r="K484">
        <v>1.4938002350371331</v>
      </c>
      <c r="L484">
        <v>39.025799858326693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2343.4323165346868</v>
      </c>
      <c r="T484">
        <v>39.025799858326693</v>
      </c>
      <c r="U484">
        <v>0</v>
      </c>
      <c r="V484">
        <v>0</v>
      </c>
      <c r="W484">
        <v>0</v>
      </c>
    </row>
    <row r="485" spans="1:23" x14ac:dyDescent="0.35">
      <c r="A485" t="s">
        <v>113</v>
      </c>
      <c r="B485" t="s">
        <v>64</v>
      </c>
      <c r="C485">
        <v>525842</v>
      </c>
      <c r="D485">
        <v>1.1787357427047589</v>
      </c>
      <c r="E485">
        <v>-0.46816568906609018</v>
      </c>
      <c r="F485">
        <v>29838.2</v>
      </c>
      <c r="G485">
        <v>11706.8741061117</v>
      </c>
      <c r="H485">
        <v>11706.8741061117</v>
      </c>
      <c r="I485">
        <v>-3.5456328374786561</v>
      </c>
      <c r="J485">
        <v>8.3165100359696266E-4</v>
      </c>
      <c r="K485">
        <v>0.59472238920386689</v>
      </c>
      <c r="L485">
        <v>9.736033599331094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11706.8741061117</v>
      </c>
      <c r="T485">
        <v>9.736033599331094</v>
      </c>
      <c r="U485">
        <v>0</v>
      </c>
      <c r="V485">
        <v>0</v>
      </c>
      <c r="W485">
        <v>0</v>
      </c>
    </row>
    <row r="486" spans="1:23" x14ac:dyDescent="0.35">
      <c r="A486" t="s">
        <v>113</v>
      </c>
      <c r="B486" t="s">
        <v>65</v>
      </c>
      <c r="C486">
        <v>526042.80000000005</v>
      </c>
      <c r="D486">
        <v>0.98817038113620426</v>
      </c>
      <c r="E486">
        <v>-1.6361284247661759E-2</v>
      </c>
      <c r="F486">
        <v>25360.74</v>
      </c>
      <c r="G486">
        <v>-4702.6314541169268</v>
      </c>
      <c r="H486">
        <v>-4702.6314541169268</v>
      </c>
      <c r="I486">
        <v>-2.1160224117497468</v>
      </c>
      <c r="J486">
        <v>1.4314775212549379E-2</v>
      </c>
      <c r="K486">
        <v>1.1787357427047589</v>
      </c>
      <c r="L486">
        <v>-67.317112173148047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5">
      <c r="A487" t="s">
        <v>113</v>
      </c>
      <c r="B487" t="s">
        <v>66</v>
      </c>
      <c r="C487">
        <v>527648.5</v>
      </c>
      <c r="D487">
        <v>0.61717765547356218</v>
      </c>
      <c r="E487">
        <v>0.35749317768927591</v>
      </c>
      <c r="F487">
        <v>21280.47</v>
      </c>
      <c r="G487">
        <v>-3835.168726222837</v>
      </c>
      <c r="H487">
        <v>-3835.168726222837</v>
      </c>
      <c r="I487">
        <v>-0.93306308069782917</v>
      </c>
      <c r="J487">
        <v>0.1339905945897375</v>
      </c>
      <c r="K487">
        <v>0.98817038113620426</v>
      </c>
      <c r="L487">
        <v>-513.87653797856422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35">
      <c r="A488" t="s">
        <v>113</v>
      </c>
      <c r="B488" t="s">
        <v>67</v>
      </c>
      <c r="C488">
        <v>529118.9</v>
      </c>
      <c r="D488">
        <v>1.1879155594018631</v>
      </c>
      <c r="E488">
        <v>0.37716669132970038</v>
      </c>
      <c r="F488">
        <v>18517.900000000001</v>
      </c>
      <c r="G488">
        <v>-2909.1155667876369</v>
      </c>
      <c r="H488">
        <v>-2909.1155667876369</v>
      </c>
      <c r="I488">
        <v>-0.87081167298440987</v>
      </c>
      <c r="J488">
        <v>0.1491068567901237</v>
      </c>
      <c r="K488">
        <v>0.61717765547356218</v>
      </c>
      <c r="L488">
        <v>-433.76907820292388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5">
      <c r="A489" t="s">
        <v>113</v>
      </c>
      <c r="B489" t="s">
        <v>68</v>
      </c>
      <c r="C489">
        <v>530756.6</v>
      </c>
      <c r="D489">
        <v>0.93027483528131927</v>
      </c>
      <c r="E489">
        <v>0.35417056914641598</v>
      </c>
      <c r="F489">
        <v>22826.080000000002</v>
      </c>
      <c r="G489">
        <v>3842.526243353896</v>
      </c>
      <c r="H489">
        <v>3842.526243353896</v>
      </c>
      <c r="I489">
        <v>-0.94357655901461857</v>
      </c>
      <c r="J489">
        <v>0.131569409999334</v>
      </c>
      <c r="K489">
        <v>1.1879155594018631</v>
      </c>
      <c r="L489">
        <v>505.55891074502932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5">
      <c r="A490" t="s">
        <v>113</v>
      </c>
      <c r="B490" t="s">
        <v>69</v>
      </c>
      <c r="C490">
        <v>529374.6</v>
      </c>
      <c r="D490">
        <v>0.63137315492651258</v>
      </c>
      <c r="E490">
        <v>0.35032633536406033</v>
      </c>
      <c r="F490">
        <v>18513.21</v>
      </c>
      <c r="G490">
        <v>-4750.2373136210626</v>
      </c>
      <c r="H490">
        <v>-4750.2373136210626</v>
      </c>
      <c r="I490">
        <v>-0.95574057653101174</v>
      </c>
      <c r="J490">
        <v>0.1288145437365591</v>
      </c>
      <c r="K490">
        <v>0.93027483528131927</v>
      </c>
      <c r="L490">
        <v>-611.89965219447538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5">
      <c r="A491" t="s">
        <v>113</v>
      </c>
      <c r="B491" t="s">
        <v>70</v>
      </c>
      <c r="C491">
        <v>530336.69999999995</v>
      </c>
      <c r="D491">
        <v>0.50817455386610055</v>
      </c>
      <c r="E491">
        <v>0.41120025937376009</v>
      </c>
      <c r="F491">
        <v>30182.29</v>
      </c>
      <c r="G491">
        <v>11282.735474875861</v>
      </c>
      <c r="H491">
        <v>11282.735474875861</v>
      </c>
      <c r="I491">
        <v>-0.76312183379371978</v>
      </c>
      <c r="J491">
        <v>0.1785439469732174</v>
      </c>
      <c r="K491">
        <v>0.63137315492651258</v>
      </c>
      <c r="L491">
        <v>2014.464124339074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11282.735474875861</v>
      </c>
      <c r="T491">
        <v>2014.464124339074</v>
      </c>
      <c r="U491">
        <v>0</v>
      </c>
      <c r="V491">
        <v>0</v>
      </c>
      <c r="W491">
        <v>0</v>
      </c>
    </row>
    <row r="492" spans="1:23" x14ac:dyDescent="0.35">
      <c r="A492" t="s">
        <v>113</v>
      </c>
      <c r="B492" t="s">
        <v>71</v>
      </c>
      <c r="C492">
        <v>533737.1</v>
      </c>
      <c r="D492">
        <v>0.86902253246754668</v>
      </c>
      <c r="E492">
        <v>0.48895391106199698</v>
      </c>
      <c r="F492">
        <v>32031.3</v>
      </c>
      <c r="G492">
        <v>1702.312279079182</v>
      </c>
      <c r="H492">
        <v>1702.312279079182</v>
      </c>
      <c r="I492">
        <v>-0.51709184845820777</v>
      </c>
      <c r="J492">
        <v>0.26227381158570862</v>
      </c>
      <c r="K492">
        <v>0.50817455386610055</v>
      </c>
      <c r="L492">
        <v>446.47192994325161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1702.312279079182</v>
      </c>
      <c r="T492">
        <v>446.47192994325161</v>
      </c>
      <c r="U492">
        <v>0</v>
      </c>
      <c r="V492">
        <v>0</v>
      </c>
      <c r="W492">
        <v>0</v>
      </c>
    </row>
    <row r="493" spans="1:23" x14ac:dyDescent="0.35">
      <c r="A493" t="s">
        <v>113</v>
      </c>
      <c r="B493" t="s">
        <v>72</v>
      </c>
      <c r="C493">
        <v>537273.69999999995</v>
      </c>
      <c r="D493">
        <v>1.2204112351618921</v>
      </c>
      <c r="E493">
        <v>0.80583808657430334</v>
      </c>
      <c r="F493">
        <v>29910.11</v>
      </c>
      <c r="G493">
        <v>-1594.595393211242</v>
      </c>
      <c r="H493">
        <v>-1594.595393211242</v>
      </c>
      <c r="I493">
        <v>0.48560072432218199</v>
      </c>
      <c r="J493">
        <v>0.72535890720768315</v>
      </c>
      <c r="K493">
        <v>0.86902253246754668</v>
      </c>
      <c r="L493">
        <v>-1156.653971858113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-1594.595393211242</v>
      </c>
      <c r="T493">
        <v>-1156.653971858113</v>
      </c>
      <c r="U493">
        <v>0</v>
      </c>
      <c r="V493">
        <v>0</v>
      </c>
      <c r="W493">
        <v>0</v>
      </c>
    </row>
    <row r="494" spans="1:23" x14ac:dyDescent="0.35">
      <c r="A494" t="s">
        <v>113</v>
      </c>
      <c r="B494" t="s">
        <v>73</v>
      </c>
      <c r="C494">
        <v>541258.4</v>
      </c>
      <c r="D494">
        <v>2.2200489028751411</v>
      </c>
      <c r="E494">
        <v>0.78521600831951344</v>
      </c>
      <c r="F494">
        <v>16514.349999999999</v>
      </c>
      <c r="G494">
        <v>-12857.951240235971</v>
      </c>
      <c r="H494">
        <v>-12857.951240235971</v>
      </c>
      <c r="I494">
        <v>0.42034784551261589</v>
      </c>
      <c r="J494">
        <v>0.69861171633999608</v>
      </c>
      <c r="K494">
        <v>1.2204112351618921</v>
      </c>
      <c r="L494">
        <v>-8982.715384557232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-12857.951240235971</v>
      </c>
      <c r="T494">
        <v>-8982.715384557232</v>
      </c>
      <c r="U494">
        <v>0</v>
      </c>
      <c r="V494">
        <v>0</v>
      </c>
      <c r="W494">
        <v>0</v>
      </c>
    </row>
    <row r="495" spans="1:23" x14ac:dyDescent="0.35">
      <c r="A495" t="s">
        <v>113</v>
      </c>
      <c r="B495" t="s">
        <v>74</v>
      </c>
      <c r="C495">
        <v>545301.5</v>
      </c>
      <c r="D495">
        <v>2.7826764849418928</v>
      </c>
      <c r="E495">
        <v>0.69205812955315793</v>
      </c>
      <c r="F495">
        <v>16325.61</v>
      </c>
      <c r="G495">
        <v>-289.78211110166382</v>
      </c>
      <c r="H495">
        <v>-289.78211110166382</v>
      </c>
      <c r="I495">
        <v>0.12557543226734461</v>
      </c>
      <c r="J495">
        <v>0.56245974757292927</v>
      </c>
      <c r="K495">
        <v>2.2200489028751411</v>
      </c>
      <c r="L495">
        <v>-162.9907730613923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-289.78211110166382</v>
      </c>
      <c r="T495">
        <v>-162.9907730613923</v>
      </c>
      <c r="U495">
        <v>0</v>
      </c>
      <c r="V495">
        <v>0</v>
      </c>
      <c r="W495">
        <v>0</v>
      </c>
    </row>
    <row r="496" spans="1:23" x14ac:dyDescent="0.35">
      <c r="A496" t="s">
        <v>113</v>
      </c>
      <c r="B496" t="s">
        <v>75</v>
      </c>
      <c r="C496">
        <v>548577.69999999995</v>
      </c>
      <c r="D496">
        <v>2.7425533120276131</v>
      </c>
      <c r="E496">
        <v>0.69382332117783396</v>
      </c>
      <c r="F496">
        <v>28396.560000000001</v>
      </c>
      <c r="G496">
        <v>11273.465479390619</v>
      </c>
      <c r="H496">
        <v>11273.465479390619</v>
      </c>
      <c r="I496">
        <v>0.13116089430165209</v>
      </c>
      <c r="J496">
        <v>0.56520695297232515</v>
      </c>
      <c r="K496">
        <v>2.7826764849418928</v>
      </c>
      <c r="L496">
        <v>6371.8410730450651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11273.465479390619</v>
      </c>
      <c r="T496">
        <v>6371.8410730450651</v>
      </c>
      <c r="U496">
        <v>0</v>
      </c>
      <c r="V496">
        <v>0</v>
      </c>
      <c r="W496">
        <v>0</v>
      </c>
    </row>
    <row r="497" spans="1:23" x14ac:dyDescent="0.35">
      <c r="A497" t="s">
        <v>113</v>
      </c>
      <c r="B497" t="s">
        <v>76</v>
      </c>
      <c r="C497">
        <v>548265.19999999995</v>
      </c>
      <c r="D497">
        <v>2.0251463401053749</v>
      </c>
      <c r="E497">
        <v>0.62860554207882147</v>
      </c>
      <c r="F497">
        <v>13622.16</v>
      </c>
      <c r="G497">
        <v>-15104.230619776299</v>
      </c>
      <c r="H497">
        <v>-15104.230619776299</v>
      </c>
      <c r="I497">
        <v>-7.5202779776078546E-2</v>
      </c>
      <c r="J497">
        <v>0.46246933448627081</v>
      </c>
      <c r="K497">
        <v>2.7425533120276131</v>
      </c>
      <c r="L497">
        <v>-6985.2434826550989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-15104.230619776299</v>
      </c>
      <c r="T497">
        <v>-6985.2434826550989</v>
      </c>
      <c r="U497">
        <v>0</v>
      </c>
      <c r="V497">
        <v>0</v>
      </c>
      <c r="W497">
        <v>0</v>
      </c>
    </row>
    <row r="498" spans="1:23" x14ac:dyDescent="0.35">
      <c r="A498" t="s">
        <v>113</v>
      </c>
      <c r="B498" t="s">
        <v>77</v>
      </c>
      <c r="C498">
        <v>549547.69999999995</v>
      </c>
      <c r="D498">
        <v>1.5198777436923561</v>
      </c>
      <c r="E498">
        <v>0.40752774226847821</v>
      </c>
      <c r="F498">
        <v>25653.23</v>
      </c>
      <c r="G498">
        <v>11737.80673016071</v>
      </c>
      <c r="H498">
        <v>11737.80673016071</v>
      </c>
      <c r="I498">
        <v>-0.77474250124712518</v>
      </c>
      <c r="J498">
        <v>0.17516066224992821</v>
      </c>
      <c r="K498">
        <v>2.0251463401053749</v>
      </c>
      <c r="L498">
        <v>2056.0020002166139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11737.80673016071</v>
      </c>
      <c r="T498">
        <v>2056.0020002166139</v>
      </c>
      <c r="U498">
        <v>0</v>
      </c>
      <c r="V498">
        <v>0</v>
      </c>
      <c r="W498">
        <v>0</v>
      </c>
    </row>
    <row r="499" spans="1:23" x14ac:dyDescent="0.35">
      <c r="A499" t="s">
        <v>113</v>
      </c>
      <c r="B499" t="s">
        <v>78</v>
      </c>
      <c r="C499">
        <v>552535.1</v>
      </c>
      <c r="D499">
        <v>1.3178108078144899</v>
      </c>
      <c r="E499">
        <v>0.34975362140775351</v>
      </c>
      <c r="F499">
        <v>28710.76</v>
      </c>
      <c r="G499">
        <v>2480.1654601144551</v>
      </c>
      <c r="H499">
        <v>2480.1654601144551</v>
      </c>
      <c r="I499">
        <v>-0.95755277188405552</v>
      </c>
      <c r="J499">
        <v>0.1284083565898046</v>
      </c>
      <c r="K499">
        <v>1.5198777436923561</v>
      </c>
      <c r="L499">
        <v>318.4739708040936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2480.1654601144551</v>
      </c>
      <c r="T499">
        <v>318.4739708040936</v>
      </c>
      <c r="U499">
        <v>0</v>
      </c>
      <c r="V499">
        <v>0</v>
      </c>
      <c r="W499">
        <v>0</v>
      </c>
    </row>
    <row r="500" spans="1:23" x14ac:dyDescent="0.35">
      <c r="A500" t="s">
        <v>113</v>
      </c>
      <c r="B500" t="s">
        <v>79</v>
      </c>
      <c r="C500">
        <v>556490.4</v>
      </c>
      <c r="D500">
        <v>1.432099114017281</v>
      </c>
      <c r="E500">
        <v>0.86309507776584427</v>
      </c>
      <c r="F500">
        <v>26443.05</v>
      </c>
      <c r="G500">
        <v>-2105.371652046339</v>
      </c>
      <c r="H500">
        <v>-2105.371652046339</v>
      </c>
      <c r="I500">
        <v>0.66677468075182622</v>
      </c>
      <c r="J500">
        <v>0.79142713473768489</v>
      </c>
      <c r="K500">
        <v>1.3178108078144899</v>
      </c>
      <c r="L500">
        <v>-1666.24825413698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5">
      <c r="A501" t="s">
        <v>113</v>
      </c>
      <c r="B501" t="s">
        <v>80</v>
      </c>
      <c r="C501">
        <v>561777.1</v>
      </c>
      <c r="D501">
        <v>2.4346040510522462</v>
      </c>
      <c r="E501">
        <v>0.89820752198541254</v>
      </c>
      <c r="F501">
        <v>36588.019999999997</v>
      </c>
      <c r="G501">
        <v>10374.885475181431</v>
      </c>
      <c r="H501">
        <v>10374.885475181431</v>
      </c>
      <c r="I501">
        <v>0.77787832603233831</v>
      </c>
      <c r="J501">
        <v>0.82574361671405316</v>
      </c>
      <c r="K501">
        <v>1.432099114017281</v>
      </c>
      <c r="L501">
        <v>8566.9954552704148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5">
      <c r="A502" t="s">
        <v>113</v>
      </c>
      <c r="B502" t="s">
        <v>81</v>
      </c>
      <c r="C502">
        <v>564619.5</v>
      </c>
      <c r="D502">
        <v>2.705647668511892</v>
      </c>
      <c r="E502">
        <v>0.89182940513251108</v>
      </c>
      <c r="F502">
        <v>40489.040000000001</v>
      </c>
      <c r="G502">
        <v>4415.4972307526914</v>
      </c>
      <c r="H502">
        <v>4415.4972307526914</v>
      </c>
      <c r="I502">
        <v>0.75769653441592055</v>
      </c>
      <c r="J502">
        <v>0.81985908450190026</v>
      </c>
      <c r="K502">
        <v>2.4346040510522462</v>
      </c>
      <c r="L502">
        <v>3620.085517225577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5">
      <c r="A503" t="s">
        <v>113</v>
      </c>
      <c r="B503" t="s">
        <v>82</v>
      </c>
      <c r="C503">
        <v>564841.19999999995</v>
      </c>
      <c r="D503">
        <v>2.2027668908461848</v>
      </c>
      <c r="E503">
        <v>0.89912368489712635</v>
      </c>
      <c r="F503">
        <v>32800.980000000003</v>
      </c>
      <c r="G503">
        <v>-6497.529962925415</v>
      </c>
      <c r="H503">
        <v>-6497.529962925415</v>
      </c>
      <c r="I503">
        <v>0.78077727087723992</v>
      </c>
      <c r="J503">
        <v>0.82657630644527758</v>
      </c>
      <c r="K503">
        <v>2.705647668511892</v>
      </c>
      <c r="L503">
        <v>-5370.7043177724108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-6497.529962925415</v>
      </c>
      <c r="T503">
        <v>-5370.7043177724108</v>
      </c>
      <c r="U503">
        <v>0</v>
      </c>
      <c r="V503">
        <v>0</v>
      </c>
      <c r="W503">
        <v>0</v>
      </c>
    </row>
    <row r="504" spans="1:23" x14ac:dyDescent="0.35">
      <c r="A504" t="s">
        <v>113</v>
      </c>
      <c r="B504" t="s">
        <v>83</v>
      </c>
      <c r="C504">
        <v>561986.19999999995</v>
      </c>
      <c r="D504">
        <v>0.98273745391152334</v>
      </c>
      <c r="E504">
        <v>0.8890418576073259</v>
      </c>
      <c r="F504">
        <v>52716.26</v>
      </c>
      <c r="G504">
        <v>21002.415296564999</v>
      </c>
      <c r="H504">
        <v>21002.415296564999</v>
      </c>
      <c r="I504">
        <v>0.74887610911302627</v>
      </c>
      <c r="J504">
        <v>0.81723898817414919</v>
      </c>
      <c r="K504">
        <v>2.2027668908461848</v>
      </c>
      <c r="L504">
        <v>17163.992626178049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21002.415296564999</v>
      </c>
      <c r="T504">
        <v>17163.992626178049</v>
      </c>
      <c r="U504">
        <v>0</v>
      </c>
      <c r="V504">
        <v>0</v>
      </c>
      <c r="W504">
        <v>0</v>
      </c>
    </row>
    <row r="505" spans="1:23" x14ac:dyDescent="0.35">
      <c r="A505" t="s">
        <v>113</v>
      </c>
      <c r="B505" t="s">
        <v>84</v>
      </c>
      <c r="C505">
        <v>533939.69999999995</v>
      </c>
      <c r="D505">
        <v>-5.0822240766619657</v>
      </c>
      <c r="E505">
        <v>0.91636134357320109</v>
      </c>
      <c r="F505">
        <v>55684.71</v>
      </c>
      <c r="G505">
        <v>4447.7439987703037</v>
      </c>
      <c r="H505">
        <v>4447.7439987703037</v>
      </c>
      <c r="I505">
        <v>0.83532108739531141</v>
      </c>
      <c r="J505">
        <v>0.84166142094509189</v>
      </c>
      <c r="K505">
        <v>0.98273745391152334</v>
      </c>
      <c r="L505">
        <v>3743.494534005019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5">
      <c r="A506" t="s">
        <v>113</v>
      </c>
      <c r="B506" t="s">
        <v>85</v>
      </c>
      <c r="C506">
        <v>468637.2</v>
      </c>
      <c r="D506">
        <v>-18.632314462262901</v>
      </c>
      <c r="E506">
        <v>0.92863244977212134</v>
      </c>
      <c r="F506">
        <v>28914.37</v>
      </c>
      <c r="G506">
        <v>-24149.360667720372</v>
      </c>
      <c r="H506">
        <v>-24149.360667720372</v>
      </c>
      <c r="I506">
        <v>0.87414961843686501</v>
      </c>
      <c r="J506">
        <v>0.85173815760109084</v>
      </c>
      <c r="K506">
        <v>-5.0822240766619657</v>
      </c>
      <c r="L506">
        <v>-20568.931962368399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-24149.360667720372</v>
      </c>
      <c r="T506">
        <v>-20568.931962368399</v>
      </c>
      <c r="U506">
        <v>0</v>
      </c>
      <c r="V506">
        <v>0</v>
      </c>
      <c r="W506">
        <v>0</v>
      </c>
    </row>
    <row r="507" spans="1:23" x14ac:dyDescent="0.35">
      <c r="A507" t="s">
        <v>113</v>
      </c>
      <c r="B507" t="s">
        <v>86</v>
      </c>
      <c r="C507">
        <v>539646</v>
      </c>
      <c r="D507">
        <v>-4.5631260661960589</v>
      </c>
      <c r="E507">
        <v>0.92623808929760598</v>
      </c>
      <c r="F507">
        <v>27497.73</v>
      </c>
      <c r="G507">
        <v>298.34674216415812</v>
      </c>
      <c r="H507">
        <v>298.34674216415812</v>
      </c>
      <c r="I507">
        <v>0.8665733251098976</v>
      </c>
      <c r="J507">
        <v>0.84981446893067369</v>
      </c>
      <c r="K507">
        <v>-18.632314462262901</v>
      </c>
      <c r="L507">
        <v>253.5393782494306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298.34674216415812</v>
      </c>
      <c r="T507">
        <v>253.5393782494306</v>
      </c>
      <c r="U507">
        <v>0</v>
      </c>
      <c r="V507">
        <v>0</v>
      </c>
      <c r="W507">
        <v>0</v>
      </c>
    </row>
    <row r="508" spans="1:23" x14ac:dyDescent="0.35">
      <c r="A508" t="s">
        <v>113</v>
      </c>
      <c r="B508" t="s">
        <v>87</v>
      </c>
      <c r="C508">
        <v>539596.69999999995</v>
      </c>
      <c r="D508">
        <v>-4.0655285758381341</v>
      </c>
      <c r="E508">
        <v>0.93727931157126287</v>
      </c>
      <c r="F508">
        <v>22319.62</v>
      </c>
      <c r="G508">
        <v>-4896.0136572600422</v>
      </c>
      <c r="H508">
        <v>-4896.0136572600422</v>
      </c>
      <c r="I508">
        <v>0.90151022768736067</v>
      </c>
      <c r="J508">
        <v>0.85851621554638891</v>
      </c>
      <c r="K508">
        <v>-4.5631260661960589</v>
      </c>
      <c r="L508">
        <v>-4203.3071162943261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-4896.0136572600422</v>
      </c>
      <c r="T508">
        <v>-4203.3071162943261</v>
      </c>
      <c r="U508">
        <v>0</v>
      </c>
      <c r="V508">
        <v>0</v>
      </c>
      <c r="W508">
        <v>0</v>
      </c>
    </row>
    <row r="509" spans="1:23" x14ac:dyDescent="0.35">
      <c r="A509" t="s">
        <v>113</v>
      </c>
      <c r="B509" t="s">
        <v>88</v>
      </c>
      <c r="C509">
        <v>542016.30000000005</v>
      </c>
      <c r="D509">
        <v>1.501316355239191</v>
      </c>
      <c r="E509">
        <v>0.92125602185918132</v>
      </c>
      <c r="F509">
        <v>11888.73</v>
      </c>
      <c r="G509">
        <v>-10426.43013953445</v>
      </c>
      <c r="H509">
        <v>-10426.43013953445</v>
      </c>
      <c r="I509">
        <v>0.85080894681766117</v>
      </c>
      <c r="J509">
        <v>0.84574592301488472</v>
      </c>
      <c r="K509">
        <v>-4.0655285758381341</v>
      </c>
      <c r="L509">
        <v>-8818.110782110778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-10426.43013953445</v>
      </c>
      <c r="T509">
        <v>-8818.110782110778</v>
      </c>
      <c r="U509">
        <v>0</v>
      </c>
      <c r="V509">
        <v>0</v>
      </c>
      <c r="W509">
        <v>0</v>
      </c>
    </row>
    <row r="510" spans="1:23" x14ac:dyDescent="0.35">
      <c r="A510" t="s">
        <v>113</v>
      </c>
      <c r="B510" t="s">
        <v>89</v>
      </c>
      <c r="C510">
        <v>548534.30000000005</v>
      </c>
      <c r="D510">
        <v>15.7420903618073</v>
      </c>
      <c r="E510">
        <v>0.9144617140243384</v>
      </c>
      <c r="F510">
        <v>18072.810000000001</v>
      </c>
      <c r="G510">
        <v>5509.7133275447604</v>
      </c>
      <c r="H510">
        <v>5509.7133275447604</v>
      </c>
      <c r="I510">
        <v>0.82931023362958012</v>
      </c>
      <c r="J510">
        <v>0.84005273026854577</v>
      </c>
      <c r="K510">
        <v>1.501316355239191</v>
      </c>
      <c r="L510">
        <v>4628.4497238009699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5509.7133275447604</v>
      </c>
      <c r="T510">
        <v>4628.4497238009699</v>
      </c>
      <c r="U510">
        <v>0</v>
      </c>
      <c r="V510">
        <v>0</v>
      </c>
      <c r="W510">
        <v>0</v>
      </c>
    </row>
    <row r="511" spans="1:23" x14ac:dyDescent="0.35">
      <c r="A511" t="s">
        <v>113</v>
      </c>
      <c r="B511" t="s">
        <v>90</v>
      </c>
      <c r="C511">
        <v>564869.5</v>
      </c>
      <c r="D511">
        <v>4.5681361984371618</v>
      </c>
      <c r="E511">
        <v>0.88650968893939308</v>
      </c>
      <c r="F511">
        <v>21508.560000000001</v>
      </c>
      <c r="G511">
        <v>2469.4532050039338</v>
      </c>
      <c r="H511">
        <v>2469.4532050039338</v>
      </c>
      <c r="I511">
        <v>0.74086375976721663</v>
      </c>
      <c r="J511">
        <v>0.81483337053964022</v>
      </c>
      <c r="K511">
        <v>15.7420903618073</v>
      </c>
      <c r="L511">
        <v>2012.192878423273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2469.4532050039338</v>
      </c>
      <c r="T511">
        <v>2012.192878423273</v>
      </c>
      <c r="U511">
        <v>0</v>
      </c>
      <c r="V511">
        <v>0</v>
      </c>
      <c r="W511">
        <v>0</v>
      </c>
    </row>
    <row r="512" spans="1:23" x14ac:dyDescent="0.35">
      <c r="A512" t="s">
        <v>113</v>
      </c>
      <c r="B512" t="s">
        <v>91</v>
      </c>
      <c r="C512">
        <v>567750.19999999995</v>
      </c>
      <c r="D512">
        <v>5.0859524579644839</v>
      </c>
      <c r="E512">
        <v>0.89400765352004197</v>
      </c>
      <c r="F512">
        <v>19802.650000000001</v>
      </c>
      <c r="G512">
        <v>-2218.2724663803642</v>
      </c>
      <c r="H512">
        <v>-2218.2724663803642</v>
      </c>
      <c r="I512">
        <v>0.76458900065004853</v>
      </c>
      <c r="J512">
        <v>0.82188601415924878</v>
      </c>
      <c r="K512">
        <v>4.5681361984371618</v>
      </c>
      <c r="L512">
        <v>-1823.1671157125629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-2218.2724663803642</v>
      </c>
      <c r="T512">
        <v>-1823.1671157125629</v>
      </c>
      <c r="U512">
        <v>0</v>
      </c>
      <c r="V512">
        <v>0</v>
      </c>
      <c r="W512">
        <v>0</v>
      </c>
    </row>
    <row r="513" spans="1:23" x14ac:dyDescent="0.35">
      <c r="A513" t="s">
        <v>113</v>
      </c>
      <c r="B513" t="s">
        <v>92</v>
      </c>
      <c r="C513">
        <v>567671.19999999995</v>
      </c>
      <c r="D513">
        <v>4.624630308173729</v>
      </c>
      <c r="E513">
        <v>0.84256759687088312</v>
      </c>
      <c r="F513">
        <v>26455.02</v>
      </c>
      <c r="G513">
        <v>6249.2545952329347</v>
      </c>
      <c r="H513">
        <v>6249.2545952329347</v>
      </c>
      <c r="I513">
        <v>0.60182112919630038</v>
      </c>
      <c r="J513">
        <v>0.7691720872161073</v>
      </c>
      <c r="K513">
        <v>5.0859524579644839</v>
      </c>
      <c r="L513">
        <v>4806.7522005601659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5">
      <c r="A514" t="s">
        <v>113</v>
      </c>
      <c r="B514" t="s">
        <v>93</v>
      </c>
      <c r="C514">
        <v>569887.9</v>
      </c>
      <c r="D514">
        <v>3.8189862876261329</v>
      </c>
      <c r="E514">
        <v>0.89619288291169097</v>
      </c>
      <c r="F514">
        <v>29343.64</v>
      </c>
      <c r="G514">
        <v>2660.8418006622051</v>
      </c>
      <c r="H514">
        <v>2660.8418006622051</v>
      </c>
      <c r="I514">
        <v>0.77150355634626</v>
      </c>
      <c r="J514">
        <v>0.82390144578671942</v>
      </c>
      <c r="K514">
        <v>4.624630308173729</v>
      </c>
      <c r="L514">
        <v>2192.271406575328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5">
      <c r="A515" t="s">
        <v>113</v>
      </c>
      <c r="B515" t="s">
        <v>94</v>
      </c>
      <c r="C515">
        <v>572783.5</v>
      </c>
      <c r="D515">
        <v>1.391307834897924</v>
      </c>
      <c r="E515">
        <v>0.98473695302825559</v>
      </c>
      <c r="F515">
        <v>24504.76</v>
      </c>
      <c r="G515">
        <v>-4610.2754712220849</v>
      </c>
      <c r="H515">
        <v>-4610.2754712220849</v>
      </c>
      <c r="I515">
        <v>1.051676844665536</v>
      </c>
      <c r="J515">
        <v>0.89122871257949721</v>
      </c>
      <c r="K515">
        <v>3.8189862876261329</v>
      </c>
      <c r="L515">
        <v>-4108.8098728540936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5">
      <c r="A516" t="s">
        <v>113</v>
      </c>
      <c r="B516" t="s">
        <v>95</v>
      </c>
      <c r="C516">
        <v>575074.19999999995</v>
      </c>
      <c r="D516">
        <v>1.2817542696888551</v>
      </c>
      <c r="E516">
        <v>0.96313251467945415</v>
      </c>
      <c r="F516">
        <v>26500.43</v>
      </c>
      <c r="G516">
        <v>2181.4839460196272</v>
      </c>
      <c r="H516">
        <v>2181.4839460196272</v>
      </c>
      <c r="I516">
        <v>0.98331555828569961</v>
      </c>
      <c r="J516">
        <v>0.87724880135835592</v>
      </c>
      <c r="K516">
        <v>1.391307834897924</v>
      </c>
      <c r="L516">
        <v>1913.704176828214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5">
      <c r="A517" t="s">
        <v>113</v>
      </c>
      <c r="B517" t="s">
        <v>96</v>
      </c>
      <c r="C517">
        <v>575881.69999999995</v>
      </c>
      <c r="D517">
        <v>1.435987978777298</v>
      </c>
      <c r="E517">
        <v>0.9633317251387935</v>
      </c>
      <c r="F517">
        <v>26400.05</v>
      </c>
      <c r="G517">
        <v>-84.520772908697836</v>
      </c>
      <c r="H517">
        <v>-84.520772908697836</v>
      </c>
      <c r="I517">
        <v>0.98394590483953692</v>
      </c>
      <c r="J517">
        <v>0.87738449245329442</v>
      </c>
      <c r="K517">
        <v>1.2817542696888551</v>
      </c>
      <c r="L517">
        <v>-74.157215440258014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35">
      <c r="A518" t="s">
        <v>113</v>
      </c>
      <c r="B518" t="s">
        <v>97</v>
      </c>
      <c r="C518">
        <v>581329.19999999995</v>
      </c>
      <c r="D518">
        <v>1.987753086329086</v>
      </c>
      <c r="E518">
        <v>0.92551149540639677</v>
      </c>
      <c r="F518">
        <v>30702.400000000001</v>
      </c>
      <c r="G518">
        <v>4416.8820192602216</v>
      </c>
      <c r="H518">
        <v>4416.8820192602216</v>
      </c>
      <c r="I518">
        <v>0.86427421914487035</v>
      </c>
      <c r="J518">
        <v>0.84922665541533071</v>
      </c>
      <c r="K518">
        <v>1.435987978777298</v>
      </c>
      <c r="L518">
        <v>3750.9339445804699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4416.8820192602216</v>
      </c>
      <c r="T518">
        <v>3750.9339445804699</v>
      </c>
      <c r="U518">
        <v>0</v>
      </c>
      <c r="V518">
        <v>0</v>
      </c>
      <c r="W518">
        <v>0</v>
      </c>
    </row>
    <row r="519" spans="1:23" x14ac:dyDescent="0.35">
      <c r="A519" t="s">
        <v>113</v>
      </c>
      <c r="B519" t="s">
        <v>98</v>
      </c>
      <c r="C519">
        <v>583427.69999999995</v>
      </c>
      <c r="D519">
        <v>1.8412727228817749</v>
      </c>
      <c r="E519">
        <v>0.92649527379264573</v>
      </c>
      <c r="F519">
        <v>17905.28</v>
      </c>
      <c r="G519">
        <v>-12517.608803376361</v>
      </c>
      <c r="H519">
        <v>-12517.608803376361</v>
      </c>
      <c r="I519">
        <v>0.86738711450974293</v>
      </c>
      <c r="J519">
        <v>0.85002207829976295</v>
      </c>
      <c r="K519">
        <v>1.987753086329086</v>
      </c>
      <c r="L519">
        <v>-10640.243850389381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-12517.608803376361</v>
      </c>
      <c r="T519">
        <v>-10640.243850389381</v>
      </c>
      <c r="U519">
        <v>0</v>
      </c>
      <c r="V519">
        <v>0</v>
      </c>
      <c r="W519">
        <v>0</v>
      </c>
    </row>
    <row r="520" spans="1:23" x14ac:dyDescent="0.35">
      <c r="A520" t="s">
        <v>113</v>
      </c>
      <c r="B520" t="s">
        <v>99</v>
      </c>
      <c r="C520">
        <v>586350.30000000005</v>
      </c>
      <c r="D520">
        <v>1.941831659653054</v>
      </c>
      <c r="E520">
        <v>0.90635894408532469</v>
      </c>
      <c r="F520">
        <v>16655.52</v>
      </c>
      <c r="G520">
        <v>-1255.046474869388</v>
      </c>
      <c r="H520">
        <v>-1255.046474869388</v>
      </c>
      <c r="I520">
        <v>0.80367125300310283</v>
      </c>
      <c r="J520">
        <v>0.8330421013528978</v>
      </c>
      <c r="K520">
        <v>1.8412727228817749</v>
      </c>
      <c r="L520">
        <v>-1045.5065527207421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-1255.046474869388</v>
      </c>
      <c r="T520">
        <v>-1045.5065527207421</v>
      </c>
      <c r="U520">
        <v>0</v>
      </c>
      <c r="V520">
        <v>0</v>
      </c>
      <c r="W520">
        <v>0</v>
      </c>
    </row>
    <row r="521" spans="1:23" x14ac:dyDescent="0.35">
      <c r="A521" t="s">
        <v>113</v>
      </c>
      <c r="B521" t="s">
        <v>100</v>
      </c>
      <c r="C521">
        <v>587761.69999999995</v>
      </c>
      <c r="D521">
        <v>2.0419335987160552</v>
      </c>
      <c r="E521">
        <v>0.90244569561226051</v>
      </c>
      <c r="F521">
        <v>16042.91</v>
      </c>
      <c r="G521">
        <v>-1325.5086914047929</v>
      </c>
      <c r="H521">
        <v>-1325.5086914047929</v>
      </c>
      <c r="I521">
        <v>0.79128885753307954</v>
      </c>
      <c r="J521">
        <v>0.82956927555586746</v>
      </c>
      <c r="K521">
        <v>1.941831659653054</v>
      </c>
      <c r="L521">
        <v>-1099.60128487168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-1325.5086914047929</v>
      </c>
      <c r="T521">
        <v>-1099.60128487168</v>
      </c>
      <c r="U521">
        <v>0</v>
      </c>
      <c r="V521">
        <v>0</v>
      </c>
      <c r="W521">
        <v>0</v>
      </c>
    </row>
    <row r="522" spans="1:23" x14ac:dyDescent="0.35">
      <c r="A522" t="s">
        <v>113</v>
      </c>
      <c r="B522" t="s">
        <v>101</v>
      </c>
      <c r="C522">
        <v>589251.9</v>
      </c>
      <c r="D522">
        <v>1.353656056509148</v>
      </c>
      <c r="E522">
        <v>0.59483462208102433</v>
      </c>
      <c r="F522">
        <v>15096.69</v>
      </c>
      <c r="G522">
        <v>-1747.62351995877</v>
      </c>
      <c r="H522">
        <v>-1747.62351995877</v>
      </c>
      <c r="I522">
        <v>-0.18206154166599459</v>
      </c>
      <c r="J522">
        <v>0.40996185142855612</v>
      </c>
      <c r="K522">
        <v>2.0419335987160552</v>
      </c>
      <c r="L522">
        <v>-716.45897384238742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-1747.62351995877</v>
      </c>
      <c r="T522">
        <v>-716.45897384238742</v>
      </c>
      <c r="U522">
        <v>0</v>
      </c>
      <c r="V522">
        <v>0</v>
      </c>
      <c r="W522">
        <v>0</v>
      </c>
    </row>
    <row r="523" spans="1:23" x14ac:dyDescent="0.35">
      <c r="A523" t="s">
        <v>113</v>
      </c>
      <c r="B523" t="s">
        <v>102</v>
      </c>
      <c r="C523">
        <v>591668.4</v>
      </c>
      <c r="D523">
        <v>1.4025806220145181</v>
      </c>
      <c r="E523">
        <v>0.50216672319058175</v>
      </c>
      <c r="F523">
        <v>19263.25</v>
      </c>
      <c r="G523">
        <v>3296.2288795207619</v>
      </c>
      <c r="H523">
        <v>3296.2288795207619</v>
      </c>
      <c r="I523">
        <v>-0.475283548736532</v>
      </c>
      <c r="J523">
        <v>0.27877078839642999</v>
      </c>
      <c r="K523">
        <v>1.353656056509148</v>
      </c>
      <c r="L523">
        <v>918.89232347908398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3296.2288795207619</v>
      </c>
      <c r="T523">
        <v>918.89232347908398</v>
      </c>
      <c r="U523">
        <v>0</v>
      </c>
      <c r="V523">
        <v>0</v>
      </c>
      <c r="W523">
        <v>0</v>
      </c>
    </row>
    <row r="524" spans="1:23" x14ac:dyDescent="0.35">
      <c r="A524" t="s">
        <v>113</v>
      </c>
      <c r="B524" t="s">
        <v>103</v>
      </c>
      <c r="C524">
        <v>591498.80000000005</v>
      </c>
      <c r="D524">
        <v>0.87422621291450131</v>
      </c>
      <c r="E524">
        <v>0.61781501581734033</v>
      </c>
      <c r="F524">
        <v>26370.25</v>
      </c>
      <c r="G524">
        <v>6352.7743362205329</v>
      </c>
      <c r="H524">
        <v>6352.7743362205329</v>
      </c>
      <c r="I524">
        <v>-0.1093464239681146</v>
      </c>
      <c r="J524">
        <v>0.44554365352748732</v>
      </c>
      <c r="K524">
        <v>1.4025806220145181</v>
      </c>
      <c r="L524">
        <v>2830.438287795354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6352.7743362205329</v>
      </c>
      <c r="T524">
        <v>2830.438287795354</v>
      </c>
      <c r="U524">
        <v>0</v>
      </c>
      <c r="V524">
        <v>0</v>
      </c>
      <c r="W524">
        <v>0</v>
      </c>
    </row>
    <row r="525" spans="1:23" x14ac:dyDescent="0.35">
      <c r="A525" t="s">
        <v>113</v>
      </c>
      <c r="B525" t="s">
        <v>104</v>
      </c>
      <c r="C525">
        <v>592464.6</v>
      </c>
      <c r="D525">
        <v>0.79695307440825325</v>
      </c>
      <c r="E525">
        <v>0.14651788517158201</v>
      </c>
      <c r="F525">
        <v>48145.7</v>
      </c>
      <c r="G525">
        <v>21516.57673025272</v>
      </c>
      <c r="H525">
        <v>21516.57673025272</v>
      </c>
      <c r="I525">
        <v>-1.6006362042394511</v>
      </c>
      <c r="J525">
        <v>3.9117867881986672E-2</v>
      </c>
      <c r="K525">
        <v>0.87422621291450131</v>
      </c>
      <c r="L525">
        <v>841.68260580665458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35">
      <c r="A526" t="s">
        <v>113</v>
      </c>
      <c r="B526" t="s">
        <v>105</v>
      </c>
      <c r="C526">
        <v>593945.19999999995</v>
      </c>
      <c r="D526">
        <v>0.7933292965665556</v>
      </c>
      <c r="E526">
        <v>4.0634115355640002E-2</v>
      </c>
      <c r="F526">
        <v>80038.14</v>
      </c>
      <c r="G526">
        <v>32860.236300339107</v>
      </c>
      <c r="H526">
        <v>32860.236300339107</v>
      </c>
      <c r="I526">
        <v>-1.9356761897508461</v>
      </c>
      <c r="J526">
        <v>2.0405137373980479E-2</v>
      </c>
      <c r="K526">
        <v>0.79695307440825325</v>
      </c>
      <c r="L526">
        <v>670.51763584987953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5">
      <c r="A527" t="s">
        <v>113</v>
      </c>
      <c r="B527" t="s">
        <v>106</v>
      </c>
      <c r="C527">
        <v>596554.6</v>
      </c>
      <c r="D527">
        <v>0.82244284824445713</v>
      </c>
      <c r="E527">
        <v>-3.1913797449881931E-2</v>
      </c>
      <c r="F527">
        <v>106862.2</v>
      </c>
      <c r="G527">
        <v>30173.051455287681</v>
      </c>
      <c r="H527">
        <v>30173.051455287681</v>
      </c>
      <c r="I527">
        <v>-2.1652340502000529</v>
      </c>
      <c r="J527">
        <v>1.299041336406076E-2</v>
      </c>
      <c r="K527">
        <v>0.7933292965665556</v>
      </c>
      <c r="L527">
        <v>391.96041085926203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30173.051455287681</v>
      </c>
      <c r="T527">
        <v>391.96041085926203</v>
      </c>
      <c r="U527">
        <v>0</v>
      </c>
      <c r="V527">
        <v>0</v>
      </c>
      <c r="W527">
        <v>0</v>
      </c>
    </row>
    <row r="528" spans="1:23" x14ac:dyDescent="0.35">
      <c r="A528" t="s">
        <v>113</v>
      </c>
      <c r="B528" t="s">
        <v>107</v>
      </c>
      <c r="C528">
        <v>598177.1</v>
      </c>
      <c r="D528">
        <v>1.1227209275998189</v>
      </c>
      <c r="E528">
        <v>-0.12538590369742769</v>
      </c>
      <c r="F528">
        <v>94947.06</v>
      </c>
      <c r="G528">
        <v>-5865.0461574176588</v>
      </c>
      <c r="H528">
        <v>-5865.0461574176588</v>
      </c>
      <c r="I528">
        <v>-2.461000749641673</v>
      </c>
      <c r="J528">
        <v>7.2318555381998073E-3</v>
      </c>
      <c r="K528">
        <v>0.82244284824445713</v>
      </c>
      <c r="L528">
        <v>-42.415166535318399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-5865.0461574176588</v>
      </c>
      <c r="T528">
        <v>-42.415166535318399</v>
      </c>
      <c r="U528">
        <v>0</v>
      </c>
      <c r="V528">
        <v>0</v>
      </c>
      <c r="W528">
        <v>0</v>
      </c>
    </row>
    <row r="529" spans="1:23" x14ac:dyDescent="0.35">
      <c r="A529" t="s">
        <v>113</v>
      </c>
      <c r="B529" t="s">
        <v>108</v>
      </c>
      <c r="C529">
        <v>597303.1</v>
      </c>
      <c r="D529">
        <v>0.81335653576268019</v>
      </c>
      <c r="E529">
        <v>-0.34255060636153439</v>
      </c>
      <c r="F529">
        <v>81871.73</v>
      </c>
      <c r="G529">
        <v>-6116.8052336188266</v>
      </c>
      <c r="H529">
        <v>-6116.8052336188266</v>
      </c>
      <c r="I529">
        <v>-3.1481585544747039</v>
      </c>
      <c r="J529">
        <v>1.839689461152365E-3</v>
      </c>
      <c r="K529">
        <v>1.1227209275998189</v>
      </c>
      <c r="L529">
        <v>-11.25302212421018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-6116.8052336188266</v>
      </c>
      <c r="T529">
        <v>-11.25302212421018</v>
      </c>
      <c r="U529">
        <v>0</v>
      </c>
      <c r="V529">
        <v>0</v>
      </c>
      <c r="W529">
        <v>0</v>
      </c>
    </row>
    <row r="530" spans="1:23" x14ac:dyDescent="0.35">
      <c r="A530" t="s">
        <v>113</v>
      </c>
      <c r="B530" t="s">
        <v>109</v>
      </c>
      <c r="C530">
        <v>598284.19999999995</v>
      </c>
      <c r="D530">
        <v>0.72788326762889655</v>
      </c>
      <c r="E530">
        <v>0.29803081405581061</v>
      </c>
      <c r="F530">
        <v>77922.84</v>
      </c>
      <c r="G530">
        <v>1879.7276364797731</v>
      </c>
      <c r="H530">
        <v>1879.7276364797731</v>
      </c>
      <c r="I530">
        <v>-1.1212153299505749</v>
      </c>
      <c r="J530">
        <v>9.6004383464514967E-2</v>
      </c>
      <c r="K530">
        <v>0.81335653576268019</v>
      </c>
      <c r="L530">
        <v>180.46209282145051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1879.7276364797731</v>
      </c>
      <c r="T530">
        <v>180.46209282145051</v>
      </c>
      <c r="U530">
        <v>0</v>
      </c>
      <c r="V530">
        <v>0</v>
      </c>
      <c r="W530">
        <v>0</v>
      </c>
    </row>
    <row r="531" spans="1:23" x14ac:dyDescent="0.35">
      <c r="A531" t="s">
        <v>114</v>
      </c>
      <c r="B531" t="s">
        <v>4</v>
      </c>
      <c r="C531">
        <v>388947</v>
      </c>
      <c r="F531">
        <v>5832.3329999999996</v>
      </c>
      <c r="G531">
        <v>-3714.5931994258599</v>
      </c>
      <c r="H531">
        <v>-3714.5931994258599</v>
      </c>
      <c r="M531">
        <v>0</v>
      </c>
      <c r="N531">
        <v>0</v>
      </c>
    </row>
    <row r="532" spans="1:23" x14ac:dyDescent="0.35">
      <c r="A532" t="s">
        <v>114</v>
      </c>
      <c r="B532" t="s">
        <v>5</v>
      </c>
      <c r="C532">
        <v>391450.6</v>
      </c>
      <c r="F532">
        <v>5569.9409999999998</v>
      </c>
      <c r="G532">
        <v>-1919.831103877337</v>
      </c>
      <c r="H532">
        <v>-1919.831103877337</v>
      </c>
      <c r="M532">
        <v>0</v>
      </c>
      <c r="N532">
        <v>0</v>
      </c>
    </row>
    <row r="533" spans="1:23" x14ac:dyDescent="0.35">
      <c r="A533" t="s">
        <v>114</v>
      </c>
      <c r="B533" t="s">
        <v>6</v>
      </c>
      <c r="C533">
        <v>394898.1</v>
      </c>
      <c r="F533">
        <v>13816.67</v>
      </c>
      <c r="G533">
        <v>6474.4940275934759</v>
      </c>
      <c r="H533">
        <v>6474.4940275934759</v>
      </c>
      <c r="M533">
        <v>0</v>
      </c>
      <c r="N533">
        <v>0</v>
      </c>
    </row>
    <row r="534" spans="1:23" x14ac:dyDescent="0.35">
      <c r="A534" t="s">
        <v>114</v>
      </c>
      <c r="B534" t="s">
        <v>7</v>
      </c>
      <c r="C534">
        <v>398693.3</v>
      </c>
      <c r="F534">
        <v>11881.05</v>
      </c>
      <c r="G534">
        <v>-3395.2229350538159</v>
      </c>
      <c r="H534">
        <v>-3395.2229350538159</v>
      </c>
      <c r="M534">
        <v>0</v>
      </c>
      <c r="N534">
        <v>0</v>
      </c>
    </row>
    <row r="535" spans="1:23" x14ac:dyDescent="0.35">
      <c r="A535" t="s">
        <v>114</v>
      </c>
      <c r="B535" t="s">
        <v>8</v>
      </c>
      <c r="C535">
        <v>402065.6</v>
      </c>
      <c r="D535">
        <v>3.317217183617216</v>
      </c>
      <c r="F535">
        <v>22324.51</v>
      </c>
      <c r="G535">
        <v>9331.4609908810216</v>
      </c>
      <c r="H535">
        <v>9331.4609908810216</v>
      </c>
      <c r="M535">
        <v>0</v>
      </c>
      <c r="N535">
        <v>0</v>
      </c>
      <c r="Q535">
        <v>0</v>
      </c>
      <c r="R535">
        <v>1</v>
      </c>
      <c r="S535">
        <v>0</v>
      </c>
      <c r="U535">
        <v>0</v>
      </c>
      <c r="V535">
        <v>0</v>
      </c>
    </row>
    <row r="536" spans="1:23" x14ac:dyDescent="0.35">
      <c r="A536" t="s">
        <v>114</v>
      </c>
      <c r="B536" t="s">
        <v>9</v>
      </c>
      <c r="C536">
        <v>401741.8</v>
      </c>
      <c r="D536">
        <v>2.5950267590593641</v>
      </c>
      <c r="F536">
        <v>13179.21</v>
      </c>
      <c r="G536">
        <v>-9943.8528374191192</v>
      </c>
      <c r="H536">
        <v>-9943.8528374191192</v>
      </c>
      <c r="K536">
        <v>3.317217183617216</v>
      </c>
      <c r="M536">
        <v>0</v>
      </c>
      <c r="N536">
        <v>0</v>
      </c>
      <c r="Q536">
        <v>0</v>
      </c>
      <c r="R536">
        <v>1</v>
      </c>
      <c r="S536">
        <v>0</v>
      </c>
      <c r="U536">
        <v>0</v>
      </c>
      <c r="V536">
        <v>0</v>
      </c>
    </row>
    <row r="537" spans="1:23" x14ac:dyDescent="0.35">
      <c r="A537" t="s">
        <v>114</v>
      </c>
      <c r="B537" t="s">
        <v>10</v>
      </c>
      <c r="C537">
        <v>400019</v>
      </c>
      <c r="D537">
        <v>1.2884289043507799</v>
      </c>
      <c r="F537">
        <v>25155.95</v>
      </c>
      <c r="G537">
        <v>11353.658528725049</v>
      </c>
      <c r="H537">
        <v>11353.658528725049</v>
      </c>
      <c r="K537">
        <v>2.5950267590593641</v>
      </c>
      <c r="M537">
        <v>0</v>
      </c>
      <c r="N537">
        <v>0</v>
      </c>
      <c r="Q537">
        <v>0</v>
      </c>
      <c r="R537">
        <v>1</v>
      </c>
      <c r="S537">
        <v>0</v>
      </c>
      <c r="U537">
        <v>0</v>
      </c>
      <c r="V537">
        <v>0</v>
      </c>
    </row>
    <row r="538" spans="1:23" x14ac:dyDescent="0.35">
      <c r="A538" t="s">
        <v>114</v>
      </c>
      <c r="B538" t="s">
        <v>11</v>
      </c>
      <c r="C538">
        <v>399425.2</v>
      </c>
      <c r="D538">
        <v>0.18340640021832519</v>
      </c>
      <c r="F538">
        <v>23448.18</v>
      </c>
      <c r="G538">
        <v>-2327.5821782993439</v>
      </c>
      <c r="H538">
        <v>-2327.5821782993439</v>
      </c>
      <c r="K538">
        <v>1.2884289043507799</v>
      </c>
      <c r="M538">
        <v>0</v>
      </c>
      <c r="N538">
        <v>0</v>
      </c>
      <c r="Q538">
        <v>0</v>
      </c>
      <c r="R538">
        <v>1</v>
      </c>
      <c r="S538">
        <v>0</v>
      </c>
      <c r="U538">
        <v>0</v>
      </c>
      <c r="V538">
        <v>0</v>
      </c>
    </row>
    <row r="539" spans="1:23" x14ac:dyDescent="0.35">
      <c r="A539" t="s">
        <v>114</v>
      </c>
      <c r="B539" t="s">
        <v>12</v>
      </c>
      <c r="C539">
        <v>400015.5</v>
      </c>
      <c r="D539">
        <v>-0.51119630283291972</v>
      </c>
      <c r="E539">
        <v>0.75102515647160129</v>
      </c>
      <c r="F539">
        <v>22597.360000000001</v>
      </c>
      <c r="G539">
        <v>-922.17355643885821</v>
      </c>
      <c r="H539">
        <v>-922.17355643885821</v>
      </c>
      <c r="I539">
        <v>0.3121603251054797</v>
      </c>
      <c r="J539">
        <v>0.65120057410554089</v>
      </c>
      <c r="K539">
        <v>0.18340640021832519</v>
      </c>
      <c r="L539">
        <v>-600.5199493779329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5">
      <c r="A540" t="s">
        <v>114</v>
      </c>
      <c r="B540" t="s">
        <v>13</v>
      </c>
      <c r="C540">
        <v>401291.5</v>
      </c>
      <c r="D540">
        <v>-0.112149781882598</v>
      </c>
      <c r="E540">
        <v>0.79386524590602348</v>
      </c>
      <c r="F540">
        <v>17938.45</v>
      </c>
      <c r="G540">
        <v>-4851.7453407365683</v>
      </c>
      <c r="H540">
        <v>-4851.7453407365683</v>
      </c>
      <c r="I540">
        <v>0.44771597228696719</v>
      </c>
      <c r="J540">
        <v>0.71000986199998262</v>
      </c>
      <c r="K540">
        <v>-0.51119630283291972</v>
      </c>
      <c r="L540">
        <v>-3444.7870398354289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5">
      <c r="A541" t="s">
        <v>114</v>
      </c>
      <c r="B541" t="s">
        <v>14</v>
      </c>
      <c r="C541">
        <v>401757.8</v>
      </c>
      <c r="D541">
        <v>0.43373735083757309</v>
      </c>
      <c r="E541">
        <v>0.8691606696851073</v>
      </c>
      <c r="F541">
        <v>14136.45</v>
      </c>
      <c r="G541">
        <v>-4222.8378093282299</v>
      </c>
      <c r="H541">
        <v>-4222.8378093282299</v>
      </c>
      <c r="I541">
        <v>0.68596757341403991</v>
      </c>
      <c r="J541">
        <v>0.79769262573460376</v>
      </c>
      <c r="K541">
        <v>-0.112149781882598</v>
      </c>
      <c r="L541">
        <v>-3368.5265801743981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35">
      <c r="A542" t="s">
        <v>114</v>
      </c>
      <c r="B542" t="s">
        <v>15</v>
      </c>
      <c r="C542">
        <v>404150.1</v>
      </c>
      <c r="D542">
        <v>1.175982997941186</v>
      </c>
      <c r="E542">
        <v>0.96009907498338753</v>
      </c>
      <c r="F542">
        <v>27832.880000000001</v>
      </c>
      <c r="G542">
        <v>12885.617455236321</v>
      </c>
      <c r="H542">
        <v>12885.617455236321</v>
      </c>
      <c r="I542">
        <v>0.97371707502819449</v>
      </c>
      <c r="J542">
        <v>0.87516659236964722</v>
      </c>
      <c r="K542">
        <v>0.43373735083757309</v>
      </c>
      <c r="L542">
        <v>11277.06191887802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35">
      <c r="A543" t="s">
        <v>114</v>
      </c>
      <c r="B543" t="s">
        <v>16</v>
      </c>
      <c r="C543">
        <v>402564.6</v>
      </c>
      <c r="D543">
        <v>0.63522845175592113</v>
      </c>
      <c r="E543">
        <v>0.95787033861935855</v>
      </c>
      <c r="F543">
        <v>25718.62</v>
      </c>
      <c r="G543">
        <v>-2578.9762101676129</v>
      </c>
      <c r="H543">
        <v>-2578.9762101676129</v>
      </c>
      <c r="I543">
        <v>0.96666485351765508</v>
      </c>
      <c r="J543">
        <v>0.8736175102631244</v>
      </c>
      <c r="K543">
        <v>1.175982997941186</v>
      </c>
      <c r="L543">
        <v>-2253.038775754459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5">
      <c r="A544" t="s">
        <v>114</v>
      </c>
      <c r="B544" t="s">
        <v>17</v>
      </c>
      <c r="C544">
        <v>401630.9</v>
      </c>
      <c r="D544">
        <v>8.4541176137245433E-2</v>
      </c>
      <c r="E544">
        <v>0.96512129502834121</v>
      </c>
      <c r="F544">
        <v>34454.82</v>
      </c>
      <c r="G544">
        <v>8892.3153268391106</v>
      </c>
      <c r="H544">
        <v>8892.3153268391106</v>
      </c>
      <c r="I544">
        <v>0.98960850516919963</v>
      </c>
      <c r="J544">
        <v>0.87859767020681789</v>
      </c>
      <c r="K544">
        <v>0.63522845175592113</v>
      </c>
      <c r="L544">
        <v>7812.7675289052213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35">
      <c r="A545" t="s">
        <v>114</v>
      </c>
      <c r="B545" t="s">
        <v>18</v>
      </c>
      <c r="C545">
        <v>400714.4</v>
      </c>
      <c r="D545">
        <v>-0.26004653818345902</v>
      </c>
      <c r="E545">
        <v>0.94614051530737342</v>
      </c>
      <c r="F545">
        <v>23886.34</v>
      </c>
      <c r="G545">
        <v>-10175.62221530782</v>
      </c>
      <c r="H545">
        <v>-10175.62221530782</v>
      </c>
      <c r="I545">
        <v>0.92954906287920147</v>
      </c>
      <c r="J545">
        <v>0.86519179262755941</v>
      </c>
      <c r="K545">
        <v>8.4541176137245433E-2</v>
      </c>
      <c r="L545">
        <v>-8803.8648255629869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-10175.62221530782</v>
      </c>
      <c r="T545">
        <v>-8803.8648255629869</v>
      </c>
      <c r="U545">
        <v>0</v>
      </c>
      <c r="V545">
        <v>0</v>
      </c>
      <c r="W545">
        <v>0</v>
      </c>
    </row>
    <row r="546" spans="1:23" x14ac:dyDescent="0.35">
      <c r="A546" t="s">
        <v>114</v>
      </c>
      <c r="B546" t="s">
        <v>19</v>
      </c>
      <c r="C546">
        <v>404649</v>
      </c>
      <c r="D546">
        <v>0.1233681054481655</v>
      </c>
      <c r="E546">
        <v>0.94487796468785112</v>
      </c>
      <c r="F546">
        <v>12058.21</v>
      </c>
      <c r="G546">
        <v>-11403.891117199109</v>
      </c>
      <c r="H546">
        <v>-11403.891117199109</v>
      </c>
      <c r="I546">
        <v>0.92555406967101228</v>
      </c>
      <c r="J546">
        <v>0.86425715874976095</v>
      </c>
      <c r="K546">
        <v>-0.26004653818345902</v>
      </c>
      <c r="L546">
        <v>-9855.8945356421427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-11403.891117199109</v>
      </c>
      <c r="T546">
        <v>-9855.8945356421427</v>
      </c>
      <c r="U546">
        <v>0</v>
      </c>
      <c r="V546">
        <v>0</v>
      </c>
      <c r="W546">
        <v>0</v>
      </c>
    </row>
    <row r="547" spans="1:23" x14ac:dyDescent="0.35">
      <c r="A547" t="s">
        <v>114</v>
      </c>
      <c r="B547" t="s">
        <v>20</v>
      </c>
      <c r="C547">
        <v>406079.7</v>
      </c>
      <c r="D547">
        <v>0.86938648802850382</v>
      </c>
      <c r="E547">
        <v>0.93530621333058717</v>
      </c>
      <c r="F547">
        <v>16122.31</v>
      </c>
      <c r="G547">
        <v>3477.0160780143342</v>
      </c>
      <c r="H547">
        <v>3477.0160780143342</v>
      </c>
      <c r="I547">
        <v>0.89526690250997343</v>
      </c>
      <c r="J547">
        <v>0.85699271010510203</v>
      </c>
      <c r="K547">
        <v>0.1233681054481655</v>
      </c>
      <c r="L547">
        <v>2979.777431776517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3477.0160780143342</v>
      </c>
      <c r="T547">
        <v>2979.777431776517</v>
      </c>
      <c r="U547">
        <v>0</v>
      </c>
      <c r="V547">
        <v>0</v>
      </c>
      <c r="W547">
        <v>0</v>
      </c>
    </row>
    <row r="548" spans="1:23" x14ac:dyDescent="0.35">
      <c r="A548" t="s">
        <v>114</v>
      </c>
      <c r="B548" t="s">
        <v>21</v>
      </c>
      <c r="C548">
        <v>407317.1</v>
      </c>
      <c r="D548">
        <v>1.4058489920106301</v>
      </c>
      <c r="E548">
        <v>0.91981893824211891</v>
      </c>
      <c r="F548">
        <v>9975.3389999999999</v>
      </c>
      <c r="G548">
        <v>-7181.6860400218247</v>
      </c>
      <c r="H548">
        <v>-7181.6860400218247</v>
      </c>
      <c r="I548">
        <v>0.84626169207714508</v>
      </c>
      <c r="J548">
        <v>0.84455572126600764</v>
      </c>
      <c r="K548">
        <v>0.86938648802850382</v>
      </c>
      <c r="L548">
        <v>-6065.3340334366503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-7181.6860400218247</v>
      </c>
      <c r="T548">
        <v>-6065.3340334366503</v>
      </c>
      <c r="U548">
        <v>0</v>
      </c>
      <c r="V548">
        <v>0</v>
      </c>
      <c r="W548">
        <v>0</v>
      </c>
    </row>
    <row r="549" spans="1:23" x14ac:dyDescent="0.35">
      <c r="A549" t="s">
        <v>114</v>
      </c>
      <c r="B549" t="s">
        <v>22</v>
      </c>
      <c r="C549">
        <v>407719.6</v>
      </c>
      <c r="D549">
        <v>1.7330729127859841</v>
      </c>
      <c r="E549">
        <v>0.6016197050816543</v>
      </c>
      <c r="F549">
        <v>14397.81</v>
      </c>
      <c r="G549">
        <v>3353.6931959349681</v>
      </c>
      <c r="H549">
        <v>3353.6931959349681</v>
      </c>
      <c r="I549">
        <v>-0.16059201792145561</v>
      </c>
      <c r="J549">
        <v>0.42038721637642201</v>
      </c>
      <c r="K549">
        <v>1.4058489920106301</v>
      </c>
      <c r="L549">
        <v>1409.849747219647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35">
      <c r="A550" t="s">
        <v>114</v>
      </c>
      <c r="B550" t="s">
        <v>23</v>
      </c>
      <c r="C550">
        <v>408628.8</v>
      </c>
      <c r="D550">
        <v>0.97871398139099419</v>
      </c>
      <c r="E550">
        <v>0.56272608557124915</v>
      </c>
      <c r="F550">
        <v>13202.73</v>
      </c>
      <c r="G550">
        <v>-2405.1200373209231</v>
      </c>
      <c r="H550">
        <v>-2405.1200373209231</v>
      </c>
      <c r="I550">
        <v>-0.28366014951427221</v>
      </c>
      <c r="J550">
        <v>0.36185538150187951</v>
      </c>
      <c r="K550">
        <v>1.7330729127859841</v>
      </c>
      <c r="L550">
        <v>-870.30562866257731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5">
      <c r="A551" t="s">
        <v>114</v>
      </c>
      <c r="B551" t="s">
        <v>24</v>
      </c>
      <c r="C551">
        <v>408009.3</v>
      </c>
      <c r="D551">
        <v>0.47405225069624241</v>
      </c>
      <c r="E551">
        <v>0.68553820243242669</v>
      </c>
      <c r="F551">
        <v>11537.9</v>
      </c>
      <c r="G551">
        <v>-2694.6719418449161</v>
      </c>
      <c r="H551">
        <v>-2694.6719418449161</v>
      </c>
      <c r="I551">
        <v>0.1049449211714292</v>
      </c>
      <c r="J551">
        <v>0.55228067140740078</v>
      </c>
      <c r="K551">
        <v>0.97871398139099419</v>
      </c>
      <c r="L551">
        <v>-1488.215229264795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5">
      <c r="A552" t="s">
        <v>114</v>
      </c>
      <c r="B552" t="s">
        <v>25</v>
      </c>
      <c r="C552">
        <v>411343.4</v>
      </c>
      <c r="D552">
        <v>0.98363911866567544</v>
      </c>
      <c r="E552">
        <v>0.58694891693963624</v>
      </c>
      <c r="F552">
        <v>11866.98</v>
      </c>
      <c r="G552">
        <v>-828.06583405836682</v>
      </c>
      <c r="H552">
        <v>-828.06583405836682</v>
      </c>
      <c r="I552">
        <v>-0.20701368060957809</v>
      </c>
      <c r="J552">
        <v>0.39794682977319462</v>
      </c>
      <c r="K552">
        <v>0.47405225069624241</v>
      </c>
      <c r="L552">
        <v>-329.52617350702332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5">
      <c r="A553" t="s">
        <v>114</v>
      </c>
      <c r="B553" t="s">
        <v>26</v>
      </c>
      <c r="C553">
        <v>413569.9</v>
      </c>
      <c r="D553">
        <v>1.424686168302443</v>
      </c>
      <c r="E553">
        <v>0.85208647612621136</v>
      </c>
      <c r="F553">
        <v>20193.73</v>
      </c>
      <c r="G553">
        <v>7096.9915636258847</v>
      </c>
      <c r="H553">
        <v>7096.9915636258847</v>
      </c>
      <c r="I553">
        <v>0.63194099717355212</v>
      </c>
      <c r="J553">
        <v>0.77969364758593518</v>
      </c>
      <c r="K553">
        <v>0.98363911866567544</v>
      </c>
      <c r="L553">
        <v>5533.4792391300753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7096.9915636258847</v>
      </c>
      <c r="T553">
        <v>5533.4792391300753</v>
      </c>
      <c r="U553">
        <v>0</v>
      </c>
      <c r="V553">
        <v>0</v>
      </c>
      <c r="W553">
        <v>0</v>
      </c>
    </row>
    <row r="554" spans="1:23" x14ac:dyDescent="0.35">
      <c r="A554" t="s">
        <v>114</v>
      </c>
      <c r="B554" t="s">
        <v>27</v>
      </c>
      <c r="C554">
        <v>415456.1</v>
      </c>
      <c r="D554">
        <v>1.656978839609202</v>
      </c>
      <c r="E554">
        <v>0.80567088100500495</v>
      </c>
      <c r="F554">
        <v>12165.63</v>
      </c>
      <c r="G554">
        <v>-8911.6409368498116</v>
      </c>
      <c r="H554">
        <v>-8911.6409368498116</v>
      </c>
      <c r="I554">
        <v>0.48507164841552952</v>
      </c>
      <c r="J554">
        <v>0.72514805896642343</v>
      </c>
      <c r="K554">
        <v>1.424686168302443</v>
      </c>
      <c r="L554">
        <v>-6462.2591275623599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35">
      <c r="A555" t="s">
        <v>114</v>
      </c>
      <c r="B555" t="s">
        <v>28</v>
      </c>
      <c r="C555">
        <v>416851.3</v>
      </c>
      <c r="D555">
        <v>2.143959521753644</v>
      </c>
      <c r="E555">
        <v>0.8114216219609266</v>
      </c>
      <c r="F555">
        <v>11552.83</v>
      </c>
      <c r="G555">
        <v>-1385.556303605184</v>
      </c>
      <c r="H555">
        <v>-1385.556303605184</v>
      </c>
      <c r="I555">
        <v>0.50326828204409235</v>
      </c>
      <c r="J555">
        <v>0.73234180247270364</v>
      </c>
      <c r="K555">
        <v>1.656978839609202</v>
      </c>
      <c r="L555">
        <v>-1014.700800809637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-1385.556303605184</v>
      </c>
      <c r="T555">
        <v>-1014.700800809637</v>
      </c>
      <c r="U555">
        <v>0</v>
      </c>
      <c r="V555">
        <v>0</v>
      </c>
      <c r="W555">
        <v>0</v>
      </c>
    </row>
    <row r="556" spans="1:23" x14ac:dyDescent="0.35">
      <c r="A556" t="s">
        <v>114</v>
      </c>
      <c r="B556" t="s">
        <v>29</v>
      </c>
      <c r="C556">
        <v>418171.5</v>
      </c>
      <c r="D556">
        <v>1.646324670590954</v>
      </c>
      <c r="E556">
        <v>0.82445989271956788</v>
      </c>
      <c r="F556">
        <v>8235.1579999999994</v>
      </c>
      <c r="G556">
        <v>-4527.5681324086381</v>
      </c>
      <c r="H556">
        <v>-4527.5681324086381</v>
      </c>
      <c r="I556">
        <v>0.54452429374127997</v>
      </c>
      <c r="J556">
        <v>0.74820252209272387</v>
      </c>
      <c r="K556">
        <v>2.143959521753644</v>
      </c>
      <c r="L556">
        <v>-3387.537895614787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5">
      <c r="A557" t="s">
        <v>114</v>
      </c>
      <c r="B557" t="s">
        <v>30</v>
      </c>
      <c r="C557">
        <v>419423.9</v>
      </c>
      <c r="D557">
        <v>1.405555809757131</v>
      </c>
      <c r="E557">
        <v>0.88402391338313702</v>
      </c>
      <c r="F557">
        <v>11854.69</v>
      </c>
      <c r="G557">
        <v>2246.9163671678002</v>
      </c>
      <c r="H557">
        <v>2246.9163671678002</v>
      </c>
      <c r="I557">
        <v>0.73299820862750631</v>
      </c>
      <c r="J557">
        <v>0.81244809834257803</v>
      </c>
      <c r="K557">
        <v>1.646324670590954</v>
      </c>
      <c r="L557">
        <v>1825.5029296402929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5">
      <c r="A558" t="s">
        <v>114</v>
      </c>
      <c r="B558" t="s">
        <v>31</v>
      </c>
      <c r="C558">
        <v>425187.9</v>
      </c>
      <c r="D558">
        <v>2.3154235989075871</v>
      </c>
      <c r="E558">
        <v>0.81339426411225868</v>
      </c>
      <c r="F558">
        <v>9051.4310000000005</v>
      </c>
      <c r="G558">
        <v>-4203.3719888323176</v>
      </c>
      <c r="H558">
        <v>-4203.3719888323176</v>
      </c>
      <c r="I558">
        <v>0.5095101640525469</v>
      </c>
      <c r="J558">
        <v>0.73478172733471847</v>
      </c>
      <c r="K558">
        <v>1.405555809757131</v>
      </c>
      <c r="L558">
        <v>-3088.560930584581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5">
      <c r="A559" t="s">
        <v>114</v>
      </c>
      <c r="B559" t="s">
        <v>32</v>
      </c>
      <c r="C559">
        <v>424785.5</v>
      </c>
      <c r="D559">
        <v>1.885477215561643</v>
      </c>
      <c r="E559">
        <v>0.86439561148848687</v>
      </c>
      <c r="F559">
        <v>13357.51</v>
      </c>
      <c r="G559">
        <v>2981.2693730277952</v>
      </c>
      <c r="H559">
        <v>2981.2693730277952</v>
      </c>
      <c r="I559">
        <v>0.67088986101362358</v>
      </c>
      <c r="J559">
        <v>0.79278246372672567</v>
      </c>
      <c r="K559">
        <v>2.3154235989075871</v>
      </c>
      <c r="L559">
        <v>2363.4980785820062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5">
      <c r="A560" t="s">
        <v>114</v>
      </c>
      <c r="B560" t="s">
        <v>33</v>
      </c>
      <c r="C560">
        <v>425815.2</v>
      </c>
      <c r="D560">
        <v>1.811381387144021</v>
      </c>
      <c r="E560">
        <v>0.73744125962025886</v>
      </c>
      <c r="F560">
        <v>18459.61</v>
      </c>
      <c r="G560">
        <v>3803.4009892178929</v>
      </c>
      <c r="H560">
        <v>3803.4009892178929</v>
      </c>
      <c r="I560">
        <v>0.26917783012845609</v>
      </c>
      <c r="J560">
        <v>0.63142981956354149</v>
      </c>
      <c r="K560">
        <v>1.885477215561643</v>
      </c>
      <c r="L560">
        <v>2401.58080034965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3803.4009892178929</v>
      </c>
      <c r="T560">
        <v>2401.58080034965</v>
      </c>
      <c r="U560">
        <v>0</v>
      </c>
      <c r="V560">
        <v>0</v>
      </c>
      <c r="W560">
        <v>0</v>
      </c>
    </row>
    <row r="561" spans="1:23" x14ac:dyDescent="0.35">
      <c r="A561" t="s">
        <v>114</v>
      </c>
      <c r="B561" t="s">
        <v>34</v>
      </c>
      <c r="C561">
        <v>425733.2</v>
      </c>
      <c r="D561">
        <v>1.493075597248626</v>
      </c>
      <c r="E561">
        <v>0.57642065554889177</v>
      </c>
      <c r="F561">
        <v>21867.71</v>
      </c>
      <c r="G561">
        <v>2532.642848660435</v>
      </c>
      <c r="H561">
        <v>2532.642848660435</v>
      </c>
      <c r="I561">
        <v>-0.24032745995410729</v>
      </c>
      <c r="J561">
        <v>0.38209748736187071</v>
      </c>
      <c r="K561">
        <v>1.811381387144021</v>
      </c>
      <c r="L561">
        <v>967.71646885816267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5">
      <c r="A562" t="s">
        <v>114</v>
      </c>
      <c r="B562" t="s">
        <v>35</v>
      </c>
      <c r="C562">
        <v>424839.6</v>
      </c>
      <c r="D562">
        <v>-8.1950294429952067E-2</v>
      </c>
      <c r="E562">
        <v>0.61600968723748362</v>
      </c>
      <c r="F562">
        <v>13843.68</v>
      </c>
      <c r="G562">
        <v>-8502.2952960938928</v>
      </c>
      <c r="H562">
        <v>-8502.2952960938928</v>
      </c>
      <c r="I562">
        <v>-0.11505888832681591</v>
      </c>
      <c r="J562">
        <v>0.44272308742540462</v>
      </c>
      <c r="K562">
        <v>1.493075597248626</v>
      </c>
      <c r="L562">
        <v>-3764.162423689183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5">
      <c r="A563" t="s">
        <v>114</v>
      </c>
      <c r="B563" t="s">
        <v>36</v>
      </c>
      <c r="C563">
        <v>429488</v>
      </c>
      <c r="D563">
        <v>1.1009465934322791</v>
      </c>
      <c r="E563">
        <v>0.67803940911990479</v>
      </c>
      <c r="F563">
        <v>13176.87</v>
      </c>
      <c r="G563">
        <v>-1287.1085488489391</v>
      </c>
      <c r="H563">
        <v>-1287.1085488489391</v>
      </c>
      <c r="I563">
        <v>8.1217057995159714E-2</v>
      </c>
      <c r="J563">
        <v>0.5405194764852671</v>
      </c>
      <c r="K563">
        <v>-8.1950294429952067E-2</v>
      </c>
      <c r="L563">
        <v>-695.70723900354028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5">
      <c r="A564" t="s">
        <v>114</v>
      </c>
      <c r="B564" t="s">
        <v>37</v>
      </c>
      <c r="C564">
        <v>425487.8</v>
      </c>
      <c r="D564">
        <v>-7.6917388084296032E-2</v>
      </c>
      <c r="E564">
        <v>0.5497848091783939</v>
      </c>
      <c r="F564">
        <v>18019.05</v>
      </c>
      <c r="G564">
        <v>3782.8150578267828</v>
      </c>
      <c r="H564">
        <v>3782.8150578267828</v>
      </c>
      <c r="I564">
        <v>-0.3246092492931919</v>
      </c>
      <c r="J564">
        <v>0.34316566848704072</v>
      </c>
      <c r="K564">
        <v>1.1009465934322791</v>
      </c>
      <c r="L564">
        <v>1298.1322580819719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5">
      <c r="A565" t="s">
        <v>114</v>
      </c>
      <c r="B565" t="s">
        <v>38</v>
      </c>
      <c r="C565">
        <v>419086.5</v>
      </c>
      <c r="D565">
        <v>-1.573551645776939</v>
      </c>
      <c r="E565">
        <v>0.61275601062990481</v>
      </c>
      <c r="F565">
        <v>14048.15</v>
      </c>
      <c r="G565">
        <v>-4873.0704452221198</v>
      </c>
      <c r="H565">
        <v>-4873.0704452221198</v>
      </c>
      <c r="I565">
        <v>-0.1253542505467001</v>
      </c>
      <c r="J565">
        <v>0.43764912053649963</v>
      </c>
      <c r="K565">
        <v>-7.6917388084296032E-2</v>
      </c>
      <c r="L565">
        <v>-2132.6949946638688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5">
      <c r="A566" t="s">
        <v>114</v>
      </c>
      <c r="B566" t="s">
        <v>39</v>
      </c>
      <c r="C566">
        <v>409089.7</v>
      </c>
      <c r="D566">
        <v>-3.7777238521848848</v>
      </c>
      <c r="E566">
        <v>0.79172388222610568</v>
      </c>
      <c r="F566">
        <v>13245.42</v>
      </c>
      <c r="G566">
        <v>-1612.889016524221</v>
      </c>
      <c r="H566">
        <v>-1612.889016524221</v>
      </c>
      <c r="I566">
        <v>0.44094021753681611</v>
      </c>
      <c r="J566">
        <v>0.70721174183543911</v>
      </c>
      <c r="K566">
        <v>-1.573551645776939</v>
      </c>
      <c r="L566">
        <v>-1140.6540507633431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5">
      <c r="A567" t="s">
        <v>114</v>
      </c>
      <c r="B567" t="s">
        <v>40</v>
      </c>
      <c r="C567">
        <v>399046.40000000002</v>
      </c>
      <c r="D567">
        <v>-7.3516100714064194</v>
      </c>
      <c r="E567">
        <v>0.52459297560357465</v>
      </c>
      <c r="F567">
        <v>21794.11</v>
      </c>
      <c r="G567">
        <v>7502.5523747752904</v>
      </c>
      <c r="H567">
        <v>7502.5523747752904</v>
      </c>
      <c r="I567">
        <v>-0.40432185841718382</v>
      </c>
      <c r="J567">
        <v>0.30817958669926132</v>
      </c>
      <c r="K567">
        <v>-3.7777238521848848</v>
      </c>
      <c r="L567">
        <v>2312.13349004781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35">
      <c r="A568" t="s">
        <v>114</v>
      </c>
      <c r="B568" t="s">
        <v>41</v>
      </c>
      <c r="C568">
        <v>396905.8</v>
      </c>
      <c r="D568">
        <v>-6.9537302517007893</v>
      </c>
      <c r="E568">
        <v>0.60250327624363353</v>
      </c>
      <c r="F568">
        <v>18972.07</v>
      </c>
      <c r="G568">
        <v>-3571.395125890052</v>
      </c>
      <c r="H568">
        <v>-3571.395125890052</v>
      </c>
      <c r="I568">
        <v>-0.15779620067937589</v>
      </c>
      <c r="J568">
        <v>0.42175028736673809</v>
      </c>
      <c r="K568">
        <v>-7.3516100714064194</v>
      </c>
      <c r="L568">
        <v>-1506.236920644297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5">
      <c r="A569" t="s">
        <v>114</v>
      </c>
      <c r="B569" t="s">
        <v>42</v>
      </c>
      <c r="C569">
        <v>398239.1</v>
      </c>
      <c r="D569">
        <v>-5.1024763856630759</v>
      </c>
      <c r="E569">
        <v>0.72295007263278943</v>
      </c>
      <c r="F569">
        <v>14507.25</v>
      </c>
      <c r="G569">
        <v>-4886.0951899900501</v>
      </c>
      <c r="H569">
        <v>-4886.0951899900501</v>
      </c>
      <c r="I569">
        <v>0.22332446575765261</v>
      </c>
      <c r="J569">
        <v>0.60984219262682338</v>
      </c>
      <c r="K569">
        <v>-6.9537302517007893</v>
      </c>
      <c r="L569">
        <v>-2979.747004046907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35">
      <c r="A570" t="s">
        <v>114</v>
      </c>
      <c r="B570" t="s">
        <v>43</v>
      </c>
      <c r="C570">
        <v>399306.7</v>
      </c>
      <c r="D570">
        <v>-2.420465410782688</v>
      </c>
      <c r="E570">
        <v>0.78294939391400897</v>
      </c>
      <c r="F570">
        <v>18951.79</v>
      </c>
      <c r="G570">
        <v>3701.552958534176</v>
      </c>
      <c r="H570">
        <v>3701.552958534176</v>
      </c>
      <c r="I570">
        <v>0.41317576938706602</v>
      </c>
      <c r="J570">
        <v>0.6955829296835272</v>
      </c>
      <c r="K570">
        <v>-5.1024763856630759</v>
      </c>
      <c r="L570">
        <v>2574.7370512759289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3701.552958534176</v>
      </c>
      <c r="T570">
        <v>2574.7370512759289</v>
      </c>
      <c r="U570">
        <v>0</v>
      </c>
      <c r="V570">
        <v>0</v>
      </c>
      <c r="W570">
        <v>0</v>
      </c>
    </row>
    <row r="571" spans="1:23" x14ac:dyDescent="0.35">
      <c r="A571" t="s">
        <v>114</v>
      </c>
      <c r="B571" t="s">
        <v>44</v>
      </c>
      <c r="C571">
        <v>400834.8</v>
      </c>
      <c r="D571">
        <v>0.44716714933330792</v>
      </c>
      <c r="E571">
        <v>0.75994300839267293</v>
      </c>
      <c r="F571">
        <v>19711.91</v>
      </c>
      <c r="G571">
        <v>-36.739168690150109</v>
      </c>
      <c r="H571">
        <v>-36.739168690150109</v>
      </c>
      <c r="I571">
        <v>0.3403784078543502</v>
      </c>
      <c r="J571">
        <v>0.66390758989192455</v>
      </c>
      <c r="K571">
        <v>-2.420465410782688</v>
      </c>
      <c r="L571">
        <v>-24.39141293971041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-36.739168690150109</v>
      </c>
      <c r="T571">
        <v>-24.39141293971041</v>
      </c>
      <c r="U571">
        <v>0</v>
      </c>
      <c r="V571">
        <v>0</v>
      </c>
      <c r="W571">
        <v>0</v>
      </c>
    </row>
    <row r="572" spans="1:23" x14ac:dyDescent="0.35">
      <c r="A572" t="s">
        <v>114</v>
      </c>
      <c r="B572" t="s">
        <v>45</v>
      </c>
      <c r="C572">
        <v>403543.4</v>
      </c>
      <c r="D572">
        <v>1.6585067850983739</v>
      </c>
      <c r="E572">
        <v>0.78658516970782433</v>
      </c>
      <c r="F572">
        <v>21449.03</v>
      </c>
      <c r="G572">
        <v>1198.9148978520791</v>
      </c>
      <c r="H572">
        <v>1198.9148978520791</v>
      </c>
      <c r="I572">
        <v>0.42468017909404998</v>
      </c>
      <c r="J572">
        <v>0.70043294579476267</v>
      </c>
      <c r="K572">
        <v>0.44716714933330792</v>
      </c>
      <c r="L572">
        <v>839.75949365975862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1198.9148978520791</v>
      </c>
      <c r="T572">
        <v>839.75949365975862</v>
      </c>
      <c r="U572">
        <v>0</v>
      </c>
      <c r="V572">
        <v>0</v>
      </c>
      <c r="W572">
        <v>0</v>
      </c>
    </row>
    <row r="573" spans="1:23" x14ac:dyDescent="0.35">
      <c r="A573" t="s">
        <v>114</v>
      </c>
      <c r="B573" t="s">
        <v>46</v>
      </c>
      <c r="C573">
        <v>404616.1</v>
      </c>
      <c r="D573">
        <v>1.5886137656516539</v>
      </c>
      <c r="E573">
        <v>0.77868538917913199</v>
      </c>
      <c r="F573">
        <v>19653.439999999999</v>
      </c>
      <c r="G573">
        <v>-2226.0035218636149</v>
      </c>
      <c r="H573">
        <v>-2226.0035218636149</v>
      </c>
      <c r="I573">
        <v>0.39968350246951051</v>
      </c>
      <c r="J573">
        <v>0.68983906106608506</v>
      </c>
      <c r="K573">
        <v>1.6585067850983739</v>
      </c>
      <c r="L573">
        <v>-1535.584179452195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35">
      <c r="A574" t="s">
        <v>114</v>
      </c>
      <c r="B574" t="s">
        <v>47</v>
      </c>
      <c r="C574">
        <v>408088.9</v>
      </c>
      <c r="D574">
        <v>2.175524953368579</v>
      </c>
      <c r="E574">
        <v>0.6462034080211202</v>
      </c>
      <c r="F574">
        <v>14901.64</v>
      </c>
      <c r="G574">
        <v>-5163.8778878903649</v>
      </c>
      <c r="H574">
        <v>-5163.8778878903649</v>
      </c>
      <c r="I574">
        <v>-1.9519186713721139E-2</v>
      </c>
      <c r="J574">
        <v>0.49024164591823932</v>
      </c>
      <c r="K574">
        <v>1.5886137656516539</v>
      </c>
      <c r="L574">
        <v>-2531.5479950801741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-5163.8778878903649</v>
      </c>
      <c r="T574">
        <v>-2531.5479950801741</v>
      </c>
      <c r="U574">
        <v>0</v>
      </c>
      <c r="V574">
        <v>0</v>
      </c>
      <c r="W574">
        <v>0</v>
      </c>
    </row>
    <row r="575" spans="1:23" x14ac:dyDescent="0.35">
      <c r="A575" t="s">
        <v>114</v>
      </c>
      <c r="B575" t="s">
        <v>48</v>
      </c>
      <c r="C575">
        <v>410401.4</v>
      </c>
      <c r="D575">
        <v>2.3586332808013011</v>
      </c>
      <c r="E575">
        <v>0.77603598882442759</v>
      </c>
      <c r="F575">
        <v>13397.83</v>
      </c>
      <c r="G575">
        <v>-2196.1557660518852</v>
      </c>
      <c r="H575">
        <v>-2196.1557660518852</v>
      </c>
      <c r="I575">
        <v>0.39130020578488112</v>
      </c>
      <c r="J575">
        <v>0.68624029137432729</v>
      </c>
      <c r="K575">
        <v>2.175524953368579</v>
      </c>
      <c r="L575">
        <v>-1507.0905727988541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-2196.1557660518852</v>
      </c>
      <c r="T575">
        <v>-1507.0905727988541</v>
      </c>
      <c r="U575">
        <v>0</v>
      </c>
      <c r="V575">
        <v>0</v>
      </c>
      <c r="W575">
        <v>0</v>
      </c>
    </row>
    <row r="576" spans="1:23" x14ac:dyDescent="0.35">
      <c r="A576" t="s">
        <v>114</v>
      </c>
      <c r="B576" t="s">
        <v>49</v>
      </c>
      <c r="C576">
        <v>409423.2</v>
      </c>
      <c r="D576">
        <v>1.446529913072867</v>
      </c>
      <c r="E576">
        <v>0.80244730176740442</v>
      </c>
      <c r="F576">
        <v>14121</v>
      </c>
      <c r="G576">
        <v>-273.04318602130661</v>
      </c>
      <c r="H576">
        <v>-273.04318602130661</v>
      </c>
      <c r="I576">
        <v>0.4748715210217096</v>
      </c>
      <c r="J576">
        <v>0.72106349876608433</v>
      </c>
      <c r="K576">
        <v>2.3586332808013011</v>
      </c>
      <c r="L576">
        <v>-196.88147502676219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-273.04318602130661</v>
      </c>
      <c r="T576">
        <v>-196.88147502676219</v>
      </c>
      <c r="U576">
        <v>0</v>
      </c>
      <c r="V576">
        <v>0</v>
      </c>
      <c r="W576">
        <v>0</v>
      </c>
    </row>
    <row r="577" spans="1:23" x14ac:dyDescent="0.35">
      <c r="A577" t="s">
        <v>114</v>
      </c>
      <c r="B577" t="s">
        <v>50</v>
      </c>
      <c r="C577">
        <v>407552</v>
      </c>
      <c r="D577">
        <v>0.72298155722614554</v>
      </c>
      <c r="E577">
        <v>0.83858495631040231</v>
      </c>
      <c r="F577">
        <v>20227.560000000001</v>
      </c>
      <c r="G577">
        <v>5061.6006823259177</v>
      </c>
      <c r="H577">
        <v>5061.6006823259177</v>
      </c>
      <c r="I577">
        <v>0.58921916160485477</v>
      </c>
      <c r="J577">
        <v>0.76466689394785914</v>
      </c>
      <c r="K577">
        <v>1.446529913072867</v>
      </c>
      <c r="L577">
        <v>3870.4384721585238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5">
      <c r="A578" t="s">
        <v>114</v>
      </c>
      <c r="B578" t="s">
        <v>51</v>
      </c>
      <c r="C578">
        <v>403564.4</v>
      </c>
      <c r="D578">
        <v>-1.114896438161078</v>
      </c>
      <c r="E578">
        <v>0.85348788875874326</v>
      </c>
      <c r="F578">
        <v>19436.98</v>
      </c>
      <c r="G578">
        <v>-1556.8530311641989</v>
      </c>
      <c r="H578">
        <v>-1556.8530311641989</v>
      </c>
      <c r="I578">
        <v>0.63637538092202617</v>
      </c>
      <c r="J578">
        <v>0.78121326931850088</v>
      </c>
      <c r="K578">
        <v>0.72298155722614554</v>
      </c>
      <c r="L578">
        <v>-1216.2342463242021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5">
      <c r="A579" t="s">
        <v>114</v>
      </c>
      <c r="B579" t="s">
        <v>52</v>
      </c>
      <c r="C579">
        <v>399358.6</v>
      </c>
      <c r="D579">
        <v>-2.7275945030895161</v>
      </c>
      <c r="E579">
        <v>0.85673089964263172</v>
      </c>
      <c r="F579">
        <v>18629.88</v>
      </c>
      <c r="G579">
        <v>-1290.561426222474</v>
      </c>
      <c r="H579">
        <v>-1290.561426222474</v>
      </c>
      <c r="I579">
        <v>0.64663699440103251</v>
      </c>
      <c r="J579">
        <v>0.78470083020562142</v>
      </c>
      <c r="K579">
        <v>-1.114896438161078</v>
      </c>
      <c r="L579">
        <v>-1012.704622588126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5">
      <c r="A580" t="s">
        <v>114</v>
      </c>
      <c r="B580" t="s">
        <v>53</v>
      </c>
      <c r="C580">
        <v>396024.6</v>
      </c>
      <c r="D580">
        <v>-3.3273009379508882</v>
      </c>
      <c r="E580">
        <v>0.83122331838709407</v>
      </c>
      <c r="F580">
        <v>36827.879999999997</v>
      </c>
      <c r="G580">
        <v>17641.959197543922</v>
      </c>
      <c r="H580">
        <v>17641.959197543922</v>
      </c>
      <c r="I580">
        <v>0.56592528882857607</v>
      </c>
      <c r="J580">
        <v>0.75618025493388652</v>
      </c>
      <c r="K580">
        <v>-2.7275945030895161</v>
      </c>
      <c r="L580">
        <v>13340.50120353198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5">
      <c r="A581" t="s">
        <v>114</v>
      </c>
      <c r="B581" t="s">
        <v>54</v>
      </c>
      <c r="C581">
        <v>393397.5</v>
      </c>
      <c r="D581">
        <v>-3.5347980822096541</v>
      </c>
      <c r="E581">
        <v>0.78964483650432937</v>
      </c>
      <c r="F581">
        <v>25945.24</v>
      </c>
      <c r="G581">
        <v>-10760.52865517087</v>
      </c>
      <c r="H581">
        <v>-10760.52865517087</v>
      </c>
      <c r="I581">
        <v>0.43436165077712952</v>
      </c>
      <c r="J581">
        <v>0.70447997418422659</v>
      </c>
      <c r="K581">
        <v>-3.3273009379508882</v>
      </c>
      <c r="L581">
        <v>-7580.5769492034078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-10760.52865517087</v>
      </c>
      <c r="T581">
        <v>-7580.5769492034078</v>
      </c>
      <c r="U581">
        <v>0</v>
      </c>
      <c r="V581">
        <v>0</v>
      </c>
      <c r="W581">
        <v>0</v>
      </c>
    </row>
    <row r="582" spans="1:23" x14ac:dyDescent="0.35">
      <c r="A582" t="s">
        <v>114</v>
      </c>
      <c r="B582" t="s">
        <v>55</v>
      </c>
      <c r="C582">
        <v>390377</v>
      </c>
      <c r="D582">
        <v>-3.3223139575348259</v>
      </c>
      <c r="E582">
        <v>0.82748474288043949</v>
      </c>
      <c r="F582">
        <v>38752.269999999997</v>
      </c>
      <c r="G582">
        <v>13434.743327128041</v>
      </c>
      <c r="H582">
        <v>13434.743327128041</v>
      </c>
      <c r="I582">
        <v>0.55409559778376205</v>
      </c>
      <c r="J582">
        <v>0.75179174061436294</v>
      </c>
      <c r="K582">
        <v>-3.5347980822096541</v>
      </c>
      <c r="L582">
        <v>10100.129070608789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5">
      <c r="A583" t="s">
        <v>114</v>
      </c>
      <c r="B583" t="s">
        <v>56</v>
      </c>
      <c r="C583">
        <v>387141.9</v>
      </c>
      <c r="D583">
        <v>-3.1068467635235191</v>
      </c>
      <c r="E583">
        <v>0.72491314431783149</v>
      </c>
      <c r="F583">
        <v>31598.92</v>
      </c>
      <c r="G583">
        <v>-6578.8883624478913</v>
      </c>
      <c r="H583">
        <v>-6578.8883624478913</v>
      </c>
      <c r="I583">
        <v>0.22953606466518689</v>
      </c>
      <c r="J583">
        <v>0.6127940363567923</v>
      </c>
      <c r="K583">
        <v>-3.3223139575348259</v>
      </c>
      <c r="L583">
        <v>-4031.5035543651711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5">
      <c r="A584" t="s">
        <v>114</v>
      </c>
      <c r="B584" t="s">
        <v>57</v>
      </c>
      <c r="C584">
        <v>387051.2</v>
      </c>
      <c r="D584">
        <v>-2.291934651661415</v>
      </c>
      <c r="E584">
        <v>0.72573048515192129</v>
      </c>
      <c r="F584">
        <v>14113.9</v>
      </c>
      <c r="G584">
        <v>-16534.748271214699</v>
      </c>
      <c r="H584">
        <v>-16534.748271214699</v>
      </c>
      <c r="I584">
        <v>0.23212231430181521</v>
      </c>
      <c r="J584">
        <v>0.61402063571478971</v>
      </c>
      <c r="K584">
        <v>-3.1068467635235191</v>
      </c>
      <c r="L584">
        <v>-10152.67664487527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-16534.748271214699</v>
      </c>
      <c r="T584">
        <v>-10152.67664487527</v>
      </c>
      <c r="U584">
        <v>0</v>
      </c>
      <c r="V584">
        <v>0</v>
      </c>
      <c r="W584">
        <v>0</v>
      </c>
    </row>
    <row r="585" spans="1:23" x14ac:dyDescent="0.35">
      <c r="A585" t="s">
        <v>114</v>
      </c>
      <c r="B585" t="s">
        <v>58</v>
      </c>
      <c r="C585">
        <v>388345.2</v>
      </c>
      <c r="D585">
        <v>-1.2925916274936089</v>
      </c>
      <c r="E585">
        <v>0.32757800827894062</v>
      </c>
      <c r="F585">
        <v>15802.53</v>
      </c>
      <c r="G585">
        <v>1579.518846364859</v>
      </c>
      <c r="H585">
        <v>1579.518846364859</v>
      </c>
      <c r="I585">
        <v>-1.0277213833180729</v>
      </c>
      <c r="J585">
        <v>0.1135035741884252</v>
      </c>
      <c r="K585">
        <v>-2.291934651661415</v>
      </c>
      <c r="L585">
        <v>179.28103456038949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1579.518846364859</v>
      </c>
      <c r="T585">
        <v>179.28103456038949</v>
      </c>
      <c r="U585">
        <v>0</v>
      </c>
      <c r="V585">
        <v>0</v>
      </c>
      <c r="W585">
        <v>0</v>
      </c>
    </row>
    <row r="586" spans="1:23" x14ac:dyDescent="0.35">
      <c r="A586" t="s">
        <v>114</v>
      </c>
      <c r="B586" t="s">
        <v>59</v>
      </c>
      <c r="C586">
        <v>387774</v>
      </c>
      <c r="D586">
        <v>-0.66902431765623227</v>
      </c>
      <c r="E586">
        <v>0.35905359292931971</v>
      </c>
      <c r="F586">
        <v>18492.009999999998</v>
      </c>
      <c r="G586">
        <v>1747.8482793999319</v>
      </c>
      <c r="H586">
        <v>1747.8482793999319</v>
      </c>
      <c r="I586">
        <v>-0.9281255770527963</v>
      </c>
      <c r="J586">
        <v>0.13514060915242301</v>
      </c>
      <c r="K586">
        <v>-1.2925916274936089</v>
      </c>
      <c r="L586">
        <v>236.20528118412119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1747.8482793999319</v>
      </c>
      <c r="T586">
        <v>236.20528118412119</v>
      </c>
      <c r="U586">
        <v>0</v>
      </c>
      <c r="V586">
        <v>0</v>
      </c>
      <c r="W586">
        <v>0</v>
      </c>
    </row>
    <row r="587" spans="1:23" x14ac:dyDescent="0.35">
      <c r="A587" t="s">
        <v>114</v>
      </c>
      <c r="B587" t="s">
        <v>60</v>
      </c>
      <c r="C587">
        <v>387934.5</v>
      </c>
      <c r="D587">
        <v>0.20452184488695771</v>
      </c>
      <c r="E587">
        <v>0.4180642649909368</v>
      </c>
      <c r="F587">
        <v>19536.86</v>
      </c>
      <c r="G587">
        <v>296.42782514671848</v>
      </c>
      <c r="H587">
        <v>296.42782514671848</v>
      </c>
      <c r="I587">
        <v>-0.74140258119696556</v>
      </c>
      <c r="J587">
        <v>0.18500408992270831</v>
      </c>
      <c r="K587">
        <v>-0.66902431765623227</v>
      </c>
      <c r="L587">
        <v>54.840360019036353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296.42782514671848</v>
      </c>
      <c r="T587">
        <v>54.840360019036353</v>
      </c>
      <c r="U587">
        <v>0</v>
      </c>
      <c r="V587">
        <v>0</v>
      </c>
      <c r="W587">
        <v>0</v>
      </c>
    </row>
    <row r="588" spans="1:23" x14ac:dyDescent="0.35">
      <c r="A588" t="s">
        <v>114</v>
      </c>
      <c r="B588" t="s">
        <v>61</v>
      </c>
      <c r="C588">
        <v>388035.5</v>
      </c>
      <c r="D588">
        <v>0.25398462626913942</v>
      </c>
      <c r="E588">
        <v>-0.38022236969940643</v>
      </c>
      <c r="F588">
        <v>20086.099999999999</v>
      </c>
      <c r="G588">
        <v>-19.53534989586478</v>
      </c>
      <c r="H588">
        <v>-19.53534989586478</v>
      </c>
      <c r="I588">
        <v>-3.2673604592127901</v>
      </c>
      <c r="J588">
        <v>1.4500285989456441E-3</v>
      </c>
      <c r="K588">
        <v>0.20452184488695771</v>
      </c>
      <c r="L588">
        <v>-2.8326816039413751E-2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-19.53534989586478</v>
      </c>
      <c r="T588">
        <v>-2.8326816039413751E-2</v>
      </c>
      <c r="U588">
        <v>0</v>
      </c>
      <c r="V588">
        <v>0</v>
      </c>
      <c r="W588">
        <v>0</v>
      </c>
    </row>
    <row r="589" spans="1:23" x14ac:dyDescent="0.35">
      <c r="A589" t="s">
        <v>114</v>
      </c>
      <c r="B589" t="s">
        <v>62</v>
      </c>
      <c r="C589">
        <v>388066.4</v>
      </c>
      <c r="D589">
        <v>-7.1817580258510982E-2</v>
      </c>
      <c r="E589">
        <v>-0.18305381573422519</v>
      </c>
      <c r="F589">
        <v>14211.19</v>
      </c>
      <c r="G589">
        <v>-6368.2256188433221</v>
      </c>
      <c r="H589">
        <v>-6368.2256188433221</v>
      </c>
      <c r="I589">
        <v>-2.6434749517490101</v>
      </c>
      <c r="J589">
        <v>5.0317153930342726E-3</v>
      </c>
      <c r="K589">
        <v>0.25398462626913942</v>
      </c>
      <c r="L589">
        <v>-32.043098872649153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-6368.2256188433221</v>
      </c>
      <c r="T589">
        <v>-32.043098872649153</v>
      </c>
      <c r="U589">
        <v>0</v>
      </c>
      <c r="V589">
        <v>0</v>
      </c>
      <c r="W589">
        <v>0</v>
      </c>
    </row>
    <row r="590" spans="1:23" x14ac:dyDescent="0.35">
      <c r="A590" t="s">
        <v>114</v>
      </c>
      <c r="B590" t="s">
        <v>63</v>
      </c>
      <c r="C590">
        <v>387442.7</v>
      </c>
      <c r="D590">
        <v>-8.5472880078450622E-2</v>
      </c>
      <c r="E590">
        <v>-8.6661069532179294E-2</v>
      </c>
      <c r="F590">
        <v>17252.02</v>
      </c>
      <c r="G590">
        <v>2343.4323165346868</v>
      </c>
      <c r="H590">
        <v>2343.4323165346868</v>
      </c>
      <c r="I590">
        <v>-2.3384666927204898</v>
      </c>
      <c r="J590">
        <v>9.2216818006094665E-3</v>
      </c>
      <c r="K590">
        <v>-7.1817580258510982E-2</v>
      </c>
      <c r="L590">
        <v>21.610387144348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2343.4323165346868</v>
      </c>
      <c r="T590">
        <v>21.610387144348</v>
      </c>
      <c r="U590">
        <v>0</v>
      </c>
      <c r="V590">
        <v>0</v>
      </c>
      <c r="W590">
        <v>0</v>
      </c>
    </row>
    <row r="591" spans="1:23" x14ac:dyDescent="0.35">
      <c r="A591" t="s">
        <v>114</v>
      </c>
      <c r="B591" t="s">
        <v>64</v>
      </c>
      <c r="C591">
        <v>388996.5</v>
      </c>
      <c r="D591">
        <v>0.27338352091396978</v>
      </c>
      <c r="E591">
        <v>-0.19095052630131859</v>
      </c>
      <c r="F591">
        <v>29838.2</v>
      </c>
      <c r="G591">
        <v>11706.8741061117</v>
      </c>
      <c r="H591">
        <v>11706.8741061117</v>
      </c>
      <c r="I591">
        <v>-2.6684619143268038</v>
      </c>
      <c r="J591">
        <v>4.7876148231469741E-3</v>
      </c>
      <c r="K591">
        <v>-8.5472880078450622E-2</v>
      </c>
      <c r="L591">
        <v>56.048004003135873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11706.8741061117</v>
      </c>
      <c r="T591">
        <v>56.048004003135873</v>
      </c>
      <c r="U591">
        <v>0</v>
      </c>
      <c r="V591">
        <v>0</v>
      </c>
      <c r="W591">
        <v>0</v>
      </c>
    </row>
    <row r="592" spans="1:23" x14ac:dyDescent="0.35">
      <c r="A592" t="s">
        <v>114</v>
      </c>
      <c r="B592" t="s">
        <v>65</v>
      </c>
      <c r="C592">
        <v>390668.4</v>
      </c>
      <c r="D592">
        <v>0.67622880358374549</v>
      </c>
      <c r="E592">
        <v>7.8544344322176593E-2</v>
      </c>
      <c r="F592">
        <v>25360.74</v>
      </c>
      <c r="G592">
        <v>-4702.6314541169268</v>
      </c>
      <c r="H592">
        <v>-4702.6314541169268</v>
      </c>
      <c r="I592">
        <v>-1.815719726302661</v>
      </c>
      <c r="J592">
        <v>2.5795040872693711E-2</v>
      </c>
      <c r="K592">
        <v>0.27338352091396978</v>
      </c>
      <c r="L592">
        <v>-121.3045705681612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5">
      <c r="A593" t="s">
        <v>114</v>
      </c>
      <c r="B593" t="s">
        <v>66</v>
      </c>
      <c r="C593">
        <v>390796</v>
      </c>
      <c r="D593">
        <v>0.70092256995751845</v>
      </c>
      <c r="E593">
        <v>0.29813701609413479</v>
      </c>
      <c r="F593">
        <v>21280.47</v>
      </c>
      <c r="G593">
        <v>-3835.168726222837</v>
      </c>
      <c r="H593">
        <v>-3835.168726222837</v>
      </c>
      <c r="I593">
        <v>-1.1208792828921521</v>
      </c>
      <c r="J593">
        <v>9.6062728700669633E-2</v>
      </c>
      <c r="K593">
        <v>0.67622880358374549</v>
      </c>
      <c r="L593">
        <v>-368.41677286843708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5">
      <c r="A594" t="s">
        <v>114</v>
      </c>
      <c r="B594" t="s">
        <v>67</v>
      </c>
      <c r="C594">
        <v>392586.3</v>
      </c>
      <c r="D594">
        <v>1.3188418773817681</v>
      </c>
      <c r="E594">
        <v>0.2078962234239779</v>
      </c>
      <c r="F594">
        <v>18517.900000000001</v>
      </c>
      <c r="G594">
        <v>-2909.1155667876369</v>
      </c>
      <c r="H594">
        <v>-2909.1155667876369</v>
      </c>
      <c r="I594">
        <v>-1.4064213817549189</v>
      </c>
      <c r="J594">
        <v>5.6634109805856279E-2</v>
      </c>
      <c r="K594">
        <v>0.70092256995751845</v>
      </c>
      <c r="L594">
        <v>-164.75517044737691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5">
      <c r="A595" t="s">
        <v>114</v>
      </c>
      <c r="B595" t="s">
        <v>68</v>
      </c>
      <c r="C595">
        <v>393394.9</v>
      </c>
      <c r="D595">
        <v>1.1243595817840371</v>
      </c>
      <c r="E595">
        <v>2.9748204404288801E-2</v>
      </c>
      <c r="F595">
        <v>22826.080000000002</v>
      </c>
      <c r="G595">
        <v>3842.526243353896</v>
      </c>
      <c r="H595">
        <v>3842.526243353896</v>
      </c>
      <c r="I595">
        <v>-1.9701216524856819</v>
      </c>
      <c r="J595">
        <v>1.9072644819305061E-2</v>
      </c>
      <c r="K595">
        <v>1.3188418773817681</v>
      </c>
      <c r="L595">
        <v>73.287138248347418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5">
      <c r="A596" t="s">
        <v>114</v>
      </c>
      <c r="B596" t="s">
        <v>69</v>
      </c>
      <c r="C596">
        <v>394668.79999999999</v>
      </c>
      <c r="D596">
        <v>1.0187813847563809</v>
      </c>
      <c r="E596">
        <v>5.6502163698866443E-3</v>
      </c>
      <c r="F596">
        <v>18513.21</v>
      </c>
      <c r="G596">
        <v>-4750.2373136210626</v>
      </c>
      <c r="H596">
        <v>-4750.2373136210626</v>
      </c>
      <c r="I596">
        <v>-2.046373089093338</v>
      </c>
      <c r="J596">
        <v>1.6419236014786381E-2</v>
      </c>
      <c r="K596">
        <v>1.1243595817840371</v>
      </c>
      <c r="L596">
        <v>-77.995267578589065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t="s">
        <v>114</v>
      </c>
      <c r="B597" t="s">
        <v>70</v>
      </c>
      <c r="C597">
        <v>397368.8</v>
      </c>
      <c r="D597">
        <v>1.667913201684819</v>
      </c>
      <c r="E597">
        <v>0.11421853752848821</v>
      </c>
      <c r="F597">
        <v>30182.29</v>
      </c>
      <c r="G597">
        <v>11282.735474875861</v>
      </c>
      <c r="H597">
        <v>11282.735474875861</v>
      </c>
      <c r="I597">
        <v>-1.702838581291013</v>
      </c>
      <c r="J597">
        <v>3.2118509690812862E-2</v>
      </c>
      <c r="K597">
        <v>1.0187813847563809</v>
      </c>
      <c r="L597">
        <v>362.38464868867828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11282.735474875861</v>
      </c>
      <c r="T597">
        <v>362.38464868867828</v>
      </c>
      <c r="U597">
        <v>0</v>
      </c>
      <c r="V597">
        <v>0</v>
      </c>
      <c r="W597">
        <v>0</v>
      </c>
    </row>
    <row r="598" spans="1:23" x14ac:dyDescent="0.35">
      <c r="A598" t="s">
        <v>114</v>
      </c>
      <c r="B598" t="s">
        <v>71</v>
      </c>
      <c r="C598">
        <v>398786.6</v>
      </c>
      <c r="D598">
        <v>1.567005105526841</v>
      </c>
      <c r="E598">
        <v>0.24257421934909901</v>
      </c>
      <c r="F598">
        <v>32031.3</v>
      </c>
      <c r="G598">
        <v>1702.312279079182</v>
      </c>
      <c r="H598">
        <v>1702.312279079182</v>
      </c>
      <c r="I598">
        <v>-1.296692428275898</v>
      </c>
      <c r="J598">
        <v>6.9565375078661687E-2</v>
      </c>
      <c r="K598">
        <v>1.667913201684819</v>
      </c>
      <c r="L598">
        <v>118.4219921951547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1702.312279079182</v>
      </c>
      <c r="T598">
        <v>118.4219921951547</v>
      </c>
      <c r="U598">
        <v>0</v>
      </c>
      <c r="V598">
        <v>0</v>
      </c>
      <c r="W598">
        <v>0</v>
      </c>
    </row>
    <row r="599" spans="1:23" x14ac:dyDescent="0.35">
      <c r="A599" t="s">
        <v>114</v>
      </c>
      <c r="B599" t="s">
        <v>72</v>
      </c>
      <c r="C599">
        <v>400716</v>
      </c>
      <c r="D599">
        <v>1.8439005000695119</v>
      </c>
      <c r="E599">
        <v>0.44699342756044358</v>
      </c>
      <c r="F599">
        <v>29910.11</v>
      </c>
      <c r="G599">
        <v>-1594.595393211242</v>
      </c>
      <c r="H599">
        <v>-1594.595393211242</v>
      </c>
      <c r="I599">
        <v>-0.64986422527147558</v>
      </c>
      <c r="J599">
        <v>0.21421072183364759</v>
      </c>
      <c r="K599">
        <v>1.567005105526841</v>
      </c>
      <c r="L599">
        <v>-341.57943021238941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-1594.595393211242</v>
      </c>
      <c r="T599">
        <v>-341.57943021238941</v>
      </c>
      <c r="U599">
        <v>0</v>
      </c>
      <c r="V599">
        <v>0</v>
      </c>
      <c r="W599">
        <v>0</v>
      </c>
    </row>
    <row r="600" spans="1:23" x14ac:dyDescent="0.35">
      <c r="A600" t="s">
        <v>114</v>
      </c>
      <c r="B600" t="s">
        <v>73</v>
      </c>
      <c r="C600">
        <v>402430.6</v>
      </c>
      <c r="D600">
        <v>1.947572746528788</v>
      </c>
      <c r="E600">
        <v>0.43711962975738577</v>
      </c>
      <c r="F600">
        <v>16514.349999999999</v>
      </c>
      <c r="G600">
        <v>-12857.951240235971</v>
      </c>
      <c r="H600">
        <v>-12857.951240235971</v>
      </c>
      <c r="I600">
        <v>-0.68110713510203269</v>
      </c>
      <c r="J600">
        <v>0.20388066103246</v>
      </c>
      <c r="K600">
        <v>1.8439005000695119</v>
      </c>
      <c r="L600">
        <v>-2621.4875983824481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-12857.951240235971</v>
      </c>
      <c r="T600">
        <v>-2621.4875983824481</v>
      </c>
      <c r="U600">
        <v>0</v>
      </c>
      <c r="V600">
        <v>0</v>
      </c>
      <c r="W600">
        <v>0</v>
      </c>
    </row>
    <row r="601" spans="1:23" x14ac:dyDescent="0.35">
      <c r="A601" t="s">
        <v>114</v>
      </c>
      <c r="B601" t="s">
        <v>74</v>
      </c>
      <c r="C601">
        <v>402741.6</v>
      </c>
      <c r="D601">
        <v>1.3430348510221579</v>
      </c>
      <c r="E601">
        <v>0.53742525725870527</v>
      </c>
      <c r="F601">
        <v>16325.61</v>
      </c>
      <c r="G601">
        <v>-289.78211110166382</v>
      </c>
      <c r="H601">
        <v>-289.78211110166382</v>
      </c>
      <c r="I601">
        <v>-0.36371764242367849</v>
      </c>
      <c r="J601">
        <v>0.32575778863036192</v>
      </c>
      <c r="K601">
        <v>1.947572746528788</v>
      </c>
      <c r="L601">
        <v>-94.398779697115842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-289.78211110166382</v>
      </c>
      <c r="T601">
        <v>-94.398779697115842</v>
      </c>
      <c r="U601">
        <v>0</v>
      </c>
      <c r="V601">
        <v>0</v>
      </c>
      <c r="W601">
        <v>0</v>
      </c>
    </row>
    <row r="602" spans="1:23" x14ac:dyDescent="0.35">
      <c r="A602" t="s">
        <v>114</v>
      </c>
      <c r="B602" t="s">
        <v>75</v>
      </c>
      <c r="C602">
        <v>405134.7</v>
      </c>
      <c r="D602">
        <v>1.5793167681719471</v>
      </c>
      <c r="E602">
        <v>0.54478333736556217</v>
      </c>
      <c r="F602">
        <v>28396.560000000001</v>
      </c>
      <c r="G602">
        <v>11273.465479390619</v>
      </c>
      <c r="H602">
        <v>11273.465479390619</v>
      </c>
      <c r="I602">
        <v>-0.34043502737626968</v>
      </c>
      <c r="J602">
        <v>0.33606714306207403</v>
      </c>
      <c r="K602">
        <v>1.3430348510221579</v>
      </c>
      <c r="L602">
        <v>3788.6413360677202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11273.465479390619</v>
      </c>
      <c r="T602">
        <v>3788.6413360677202</v>
      </c>
      <c r="U602">
        <v>0</v>
      </c>
      <c r="V602">
        <v>0</v>
      </c>
      <c r="W602">
        <v>0</v>
      </c>
    </row>
    <row r="603" spans="1:23" x14ac:dyDescent="0.35">
      <c r="A603" t="s">
        <v>114</v>
      </c>
      <c r="B603" t="s">
        <v>76</v>
      </c>
      <c r="C603">
        <v>404551.1</v>
      </c>
      <c r="D603">
        <v>0.95251103535253512</v>
      </c>
      <c r="E603">
        <v>0.40382372190836419</v>
      </c>
      <c r="F603">
        <v>13622.16</v>
      </c>
      <c r="G603">
        <v>-15104.230619776299</v>
      </c>
      <c r="H603">
        <v>-15104.230619776299</v>
      </c>
      <c r="I603">
        <v>-0.78646285206145439</v>
      </c>
      <c r="J603">
        <v>0.17179970937480821</v>
      </c>
      <c r="K603">
        <v>1.5793167681719471</v>
      </c>
      <c r="L603">
        <v>-2594.9024308076482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-15104.230619776299</v>
      </c>
      <c r="T603">
        <v>-2594.9024308076482</v>
      </c>
      <c r="U603">
        <v>0</v>
      </c>
      <c r="V603">
        <v>0</v>
      </c>
      <c r="W603">
        <v>0</v>
      </c>
    </row>
    <row r="604" spans="1:23" x14ac:dyDescent="0.35">
      <c r="A604" t="s">
        <v>114</v>
      </c>
      <c r="B604" t="s">
        <v>77</v>
      </c>
      <c r="C604">
        <v>405679.9</v>
      </c>
      <c r="D604">
        <v>0.8041765355103675</v>
      </c>
      <c r="E604">
        <v>0.36336501453723691</v>
      </c>
      <c r="F604">
        <v>25653.23</v>
      </c>
      <c r="G604">
        <v>11737.80673016071</v>
      </c>
      <c r="H604">
        <v>11737.80673016071</v>
      </c>
      <c r="I604">
        <v>-0.91448327251867301</v>
      </c>
      <c r="J604">
        <v>0.13836143309759941</v>
      </c>
      <c r="K604">
        <v>0.95251103535253512</v>
      </c>
      <c r="L604">
        <v>1624.0597606076831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11737.80673016071</v>
      </c>
      <c r="T604">
        <v>1624.0597606076831</v>
      </c>
      <c r="U604">
        <v>0</v>
      </c>
      <c r="V604">
        <v>0</v>
      </c>
      <c r="W604">
        <v>0</v>
      </c>
    </row>
    <row r="605" spans="1:23" x14ac:dyDescent="0.35">
      <c r="A605" t="s">
        <v>114</v>
      </c>
      <c r="B605" t="s">
        <v>78</v>
      </c>
      <c r="C605">
        <v>405321.4</v>
      </c>
      <c r="D605">
        <v>0.63851674063595298</v>
      </c>
      <c r="E605">
        <v>0.67563988181603185</v>
      </c>
      <c r="F605">
        <v>28710.76</v>
      </c>
      <c r="G605">
        <v>2480.1654601144551</v>
      </c>
      <c r="H605">
        <v>2480.1654601144551</v>
      </c>
      <c r="I605">
        <v>7.3624415661766474E-2</v>
      </c>
      <c r="J605">
        <v>0.53674583753874805</v>
      </c>
      <c r="K605">
        <v>0.8041765355103675</v>
      </c>
      <c r="L605">
        <v>1331.2184871238071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2480.1654601144551</v>
      </c>
      <c r="T605">
        <v>1331.2184871238071</v>
      </c>
      <c r="U605">
        <v>0</v>
      </c>
      <c r="V605">
        <v>0</v>
      </c>
      <c r="W605">
        <v>0</v>
      </c>
    </row>
    <row r="606" spans="1:23" x14ac:dyDescent="0.35">
      <c r="A606" t="s">
        <v>114</v>
      </c>
      <c r="B606" t="s">
        <v>79</v>
      </c>
      <c r="C606">
        <v>406449.1</v>
      </c>
      <c r="D606">
        <v>0.32391014931526968</v>
      </c>
      <c r="E606">
        <v>0.87825278937290807</v>
      </c>
      <c r="F606">
        <v>26443.05</v>
      </c>
      <c r="G606">
        <v>-2105.371652046339</v>
      </c>
      <c r="H606">
        <v>-2105.371652046339</v>
      </c>
      <c r="I606">
        <v>0.71473707844548995</v>
      </c>
      <c r="J606">
        <v>0.80681937009722016</v>
      </c>
      <c r="K606">
        <v>0.63851674063595298</v>
      </c>
      <c r="L606">
        <v>-1698.654630124571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5">
      <c r="A607" t="s">
        <v>114</v>
      </c>
      <c r="B607" t="s">
        <v>80</v>
      </c>
      <c r="C607">
        <v>407362.3</v>
      </c>
      <c r="D607">
        <v>0.69249041439257009</v>
      </c>
      <c r="E607">
        <v>0.90671217069738264</v>
      </c>
      <c r="F607">
        <v>36588.019999999997</v>
      </c>
      <c r="G607">
        <v>10374.885475181431</v>
      </c>
      <c r="H607">
        <v>10374.885475181431</v>
      </c>
      <c r="I607">
        <v>0.80478894119263233</v>
      </c>
      <c r="J607">
        <v>0.833352772697321</v>
      </c>
      <c r="K607">
        <v>0.32391014931526968</v>
      </c>
      <c r="L607">
        <v>8645.9395771596101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35">
      <c r="A608" t="s">
        <v>114</v>
      </c>
      <c r="B608" t="s">
        <v>81</v>
      </c>
      <c r="C608">
        <v>408975.6</v>
      </c>
      <c r="D608">
        <v>0.80910715744695361</v>
      </c>
      <c r="E608">
        <v>0.90804915645444351</v>
      </c>
      <c r="F608">
        <v>40489.040000000001</v>
      </c>
      <c r="G608">
        <v>4415.4972307526914</v>
      </c>
      <c r="H608">
        <v>4415.4972307526914</v>
      </c>
      <c r="I608">
        <v>0.80901946386341816</v>
      </c>
      <c r="J608">
        <v>0.83452449637688053</v>
      </c>
      <c r="K608">
        <v>0.69249041439257009</v>
      </c>
      <c r="L608">
        <v>3684.8406027474002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35">
      <c r="A609" t="s">
        <v>114</v>
      </c>
      <c r="B609" t="s">
        <v>82</v>
      </c>
      <c r="C609">
        <v>406760.1</v>
      </c>
      <c r="D609">
        <v>0.35432441329817699</v>
      </c>
      <c r="E609">
        <v>0.90100793635617837</v>
      </c>
      <c r="F609">
        <v>32800.980000000003</v>
      </c>
      <c r="G609">
        <v>-6497.529962925415</v>
      </c>
      <c r="H609">
        <v>-6497.529962925415</v>
      </c>
      <c r="I609">
        <v>0.7867394649192353</v>
      </c>
      <c r="J609">
        <v>0.82827899181612807</v>
      </c>
      <c r="K609">
        <v>0.80910715744695361</v>
      </c>
      <c r="L609">
        <v>-5381.7675669869468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-6497.529962925415</v>
      </c>
      <c r="T609">
        <v>-5381.7675669869468</v>
      </c>
      <c r="U609">
        <v>0</v>
      </c>
      <c r="V609">
        <v>0</v>
      </c>
      <c r="W609">
        <v>0</v>
      </c>
    </row>
    <row r="610" spans="1:23" x14ac:dyDescent="0.35">
      <c r="A610" t="s">
        <v>114</v>
      </c>
      <c r="B610" t="s">
        <v>83</v>
      </c>
      <c r="C610">
        <v>405689.7</v>
      </c>
      <c r="D610">
        <v>-0.1870124223408193</v>
      </c>
      <c r="E610">
        <v>0.9331463966204131</v>
      </c>
      <c r="F610">
        <v>52716.26</v>
      </c>
      <c r="G610">
        <v>21002.415296564999</v>
      </c>
      <c r="H610">
        <v>21002.415296564999</v>
      </c>
      <c r="I610">
        <v>0.88843275823515333</v>
      </c>
      <c r="J610">
        <v>0.8553093890086978</v>
      </c>
      <c r="K610">
        <v>0.35432441329817699</v>
      </c>
      <c r="L610">
        <v>17963.56299501194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21002.415296564999</v>
      </c>
      <c r="T610">
        <v>17963.56299501194</v>
      </c>
      <c r="U610">
        <v>0</v>
      </c>
      <c r="V610">
        <v>0</v>
      </c>
      <c r="W610">
        <v>0</v>
      </c>
    </row>
    <row r="611" spans="1:23" x14ac:dyDescent="0.35">
      <c r="A611" t="s">
        <v>114</v>
      </c>
      <c r="B611" t="s">
        <v>84</v>
      </c>
      <c r="C611">
        <v>382582.5</v>
      </c>
      <c r="D611">
        <v>-6.2758645180490014</v>
      </c>
      <c r="E611">
        <v>0.92900081692460745</v>
      </c>
      <c r="F611">
        <v>55684.71</v>
      </c>
      <c r="G611">
        <v>4447.7439987703037</v>
      </c>
      <c r="H611">
        <v>4447.7439987703037</v>
      </c>
      <c r="I611">
        <v>0.87531521469062856</v>
      </c>
      <c r="J611">
        <v>0.85203229989595985</v>
      </c>
      <c r="K611">
        <v>-0.1870124223408193</v>
      </c>
      <c r="L611">
        <v>3789.6215486207152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35">
      <c r="A612" t="s">
        <v>114</v>
      </c>
      <c r="B612" t="s">
        <v>85</v>
      </c>
      <c r="C612">
        <v>334810.7</v>
      </c>
      <c r="D612">
        <v>-20.009019907813489</v>
      </c>
      <c r="E612">
        <v>0.92864122745304833</v>
      </c>
      <c r="F612">
        <v>28914.37</v>
      </c>
      <c r="G612">
        <v>-24149.360667720372</v>
      </c>
      <c r="H612">
        <v>-24149.360667720372</v>
      </c>
      <c r="I612">
        <v>0.87417739298716413</v>
      </c>
      <c r="J612">
        <v>0.85174517221936996</v>
      </c>
      <c r="K612">
        <v>-6.2758645180490014</v>
      </c>
      <c r="L612">
        <v>-20569.10136091516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-24149.360667720372</v>
      </c>
      <c r="T612">
        <v>-20569.10136091516</v>
      </c>
      <c r="U612">
        <v>0</v>
      </c>
      <c r="V612">
        <v>0</v>
      </c>
      <c r="W612">
        <v>0</v>
      </c>
    </row>
    <row r="613" spans="1:23" x14ac:dyDescent="0.35">
      <c r="A613" t="s">
        <v>114</v>
      </c>
      <c r="B613" t="s">
        <v>86</v>
      </c>
      <c r="C613">
        <v>382269</v>
      </c>
      <c r="D613">
        <v>-6.2099027504243969</v>
      </c>
      <c r="E613">
        <v>0.91847822522627931</v>
      </c>
      <c r="F613">
        <v>27497.73</v>
      </c>
      <c r="G613">
        <v>298.34674216415812</v>
      </c>
      <c r="H613">
        <v>298.34674216415812</v>
      </c>
      <c r="I613">
        <v>0.84201937552397865</v>
      </c>
      <c r="J613">
        <v>0.84343858797766524</v>
      </c>
      <c r="K613">
        <v>-20.009019907813489</v>
      </c>
      <c r="L613">
        <v>251.637154938674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298.34674216415812</v>
      </c>
      <c r="T613">
        <v>251.637154938674</v>
      </c>
      <c r="U613">
        <v>0</v>
      </c>
      <c r="V613">
        <v>0</v>
      </c>
      <c r="W613">
        <v>0</v>
      </c>
    </row>
    <row r="614" spans="1:23" x14ac:dyDescent="0.35">
      <c r="A614" t="s">
        <v>114</v>
      </c>
      <c r="B614" t="s">
        <v>87</v>
      </c>
      <c r="C614">
        <v>383315.8</v>
      </c>
      <c r="D614">
        <v>-5.6729389159535044</v>
      </c>
      <c r="E614">
        <v>0.95047860860302313</v>
      </c>
      <c r="F614">
        <v>22319.62</v>
      </c>
      <c r="G614">
        <v>-4896.0136572600422</v>
      </c>
      <c r="H614">
        <v>-4896.0136572600422</v>
      </c>
      <c r="I614">
        <v>0.94327576261276846</v>
      </c>
      <c r="J614">
        <v>0.86836183743185291</v>
      </c>
      <c r="K614">
        <v>-6.2099027504243969</v>
      </c>
      <c r="L614">
        <v>-4251.5114155097763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-4896.0136572600422</v>
      </c>
      <c r="T614">
        <v>-4251.5114155097763</v>
      </c>
      <c r="U614">
        <v>0</v>
      </c>
      <c r="V614">
        <v>0</v>
      </c>
      <c r="W614">
        <v>0</v>
      </c>
    </row>
    <row r="615" spans="1:23" x14ac:dyDescent="0.35">
      <c r="A615" t="s">
        <v>114</v>
      </c>
      <c r="B615" t="s">
        <v>88</v>
      </c>
      <c r="C615">
        <v>389642.4</v>
      </c>
      <c r="D615">
        <v>1.8285079131500741</v>
      </c>
      <c r="E615">
        <v>0.93515572506429734</v>
      </c>
      <c r="F615">
        <v>11888.73</v>
      </c>
      <c r="G615">
        <v>-10426.43013953445</v>
      </c>
      <c r="H615">
        <v>-10426.43013953445</v>
      </c>
      <c r="I615">
        <v>0.89479072389784975</v>
      </c>
      <c r="J615">
        <v>0.85687595313121223</v>
      </c>
      <c r="K615">
        <v>-5.6729389159535044</v>
      </c>
      <c r="L615">
        <v>-8934.1572635695811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-10426.43013953445</v>
      </c>
      <c r="T615">
        <v>-8934.1572635695811</v>
      </c>
      <c r="U615">
        <v>0</v>
      </c>
      <c r="V615">
        <v>0</v>
      </c>
      <c r="W615">
        <v>0</v>
      </c>
    </row>
    <row r="616" spans="1:23" x14ac:dyDescent="0.35">
      <c r="A616" t="s">
        <v>114</v>
      </c>
      <c r="B616" t="s">
        <v>89</v>
      </c>
      <c r="C616">
        <v>399491.4</v>
      </c>
      <c r="D616">
        <v>17.662694058262272</v>
      </c>
      <c r="E616">
        <v>0.93547393007735902</v>
      </c>
      <c r="F616">
        <v>18072.810000000001</v>
      </c>
      <c r="G616">
        <v>5509.7133275447604</v>
      </c>
      <c r="H616">
        <v>5509.7133275447604</v>
      </c>
      <c r="I616">
        <v>0.89579759589675156</v>
      </c>
      <c r="J616">
        <v>0.85712274035840952</v>
      </c>
      <c r="K616">
        <v>1.8285079131500741</v>
      </c>
      <c r="L616">
        <v>4722.5005858944151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5509.7133275447604</v>
      </c>
      <c r="T616">
        <v>4722.5005858944151</v>
      </c>
      <c r="U616">
        <v>0</v>
      </c>
      <c r="V616">
        <v>0</v>
      </c>
      <c r="W616">
        <v>0</v>
      </c>
    </row>
    <row r="617" spans="1:23" x14ac:dyDescent="0.35">
      <c r="A617" t="s">
        <v>114</v>
      </c>
      <c r="B617" t="s">
        <v>90</v>
      </c>
      <c r="C617">
        <v>408887.4</v>
      </c>
      <c r="D617">
        <v>6.7315263251901643</v>
      </c>
      <c r="E617">
        <v>0.8949993458875023</v>
      </c>
      <c r="F617">
        <v>21508.560000000001</v>
      </c>
      <c r="G617">
        <v>2469.4532050039338</v>
      </c>
      <c r="H617">
        <v>2469.4532050039338</v>
      </c>
      <c r="I617">
        <v>0.76772693762568922</v>
      </c>
      <c r="J617">
        <v>0.82280288035762295</v>
      </c>
      <c r="K617">
        <v>17.662694058262272</v>
      </c>
      <c r="L617">
        <v>2031.8732099856011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2469.4532050039338</v>
      </c>
      <c r="T617">
        <v>2031.8732099856011</v>
      </c>
      <c r="U617">
        <v>0</v>
      </c>
      <c r="V617">
        <v>0</v>
      </c>
      <c r="W617">
        <v>0</v>
      </c>
    </row>
    <row r="618" spans="1:23" x14ac:dyDescent="0.35">
      <c r="A618" t="s">
        <v>114</v>
      </c>
      <c r="B618" t="s">
        <v>91</v>
      </c>
      <c r="C618">
        <v>415506.5</v>
      </c>
      <c r="D618">
        <v>8.0639065463102053</v>
      </c>
      <c r="E618">
        <v>0.89103821763799229</v>
      </c>
      <c r="F618">
        <v>19802.650000000001</v>
      </c>
      <c r="G618">
        <v>-2218.2724663803642</v>
      </c>
      <c r="H618">
        <v>-2218.2724663803642</v>
      </c>
      <c r="I618">
        <v>0.7551930398089457</v>
      </c>
      <c r="J618">
        <v>0.81911841677848796</v>
      </c>
      <c r="K618">
        <v>6.7315263251901643</v>
      </c>
      <c r="L618">
        <v>-1817.0278306447949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-2218.2724663803642</v>
      </c>
      <c r="T618">
        <v>-1817.0278306447949</v>
      </c>
      <c r="U618">
        <v>0</v>
      </c>
      <c r="V618">
        <v>0</v>
      </c>
      <c r="W618">
        <v>0</v>
      </c>
    </row>
    <row r="619" spans="1:23" x14ac:dyDescent="0.35">
      <c r="A619" t="s">
        <v>114</v>
      </c>
      <c r="B619" t="s">
        <v>92</v>
      </c>
      <c r="C619">
        <v>418484.1</v>
      </c>
      <c r="D619">
        <v>7.1409500960582086</v>
      </c>
      <c r="E619">
        <v>0.84176266538374622</v>
      </c>
      <c r="F619">
        <v>26455.02</v>
      </c>
      <c r="G619">
        <v>6249.2545952329347</v>
      </c>
      <c r="H619">
        <v>6249.2545952329347</v>
      </c>
      <c r="I619">
        <v>0.599274145515451</v>
      </c>
      <c r="J619">
        <v>0.76826643187876376</v>
      </c>
      <c r="K619">
        <v>8.0639065463102053</v>
      </c>
      <c r="L619">
        <v>4801.0925297815747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35">
      <c r="A620" t="s">
        <v>114</v>
      </c>
      <c r="B620" t="s">
        <v>93</v>
      </c>
      <c r="C620">
        <v>425003.3</v>
      </c>
      <c r="D620">
        <v>6.190469553416758</v>
      </c>
      <c r="E620">
        <v>0.90417417348637252</v>
      </c>
      <c r="F620">
        <v>29343.64</v>
      </c>
      <c r="G620">
        <v>2660.8418006622051</v>
      </c>
      <c r="H620">
        <v>2660.8418006622051</v>
      </c>
      <c r="I620">
        <v>0.79675814902983977</v>
      </c>
      <c r="J620">
        <v>0.83111024658903376</v>
      </c>
      <c r="K620">
        <v>7.1409500960582086</v>
      </c>
      <c r="L620">
        <v>2211.4528850827742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5">
      <c r="A621" t="s">
        <v>114</v>
      </c>
      <c r="B621" t="s">
        <v>94</v>
      </c>
      <c r="C621">
        <v>425651.8</v>
      </c>
      <c r="D621">
        <v>4.0181828631845287</v>
      </c>
      <c r="E621">
        <v>0.95261049069153259</v>
      </c>
      <c r="F621">
        <v>24504.76</v>
      </c>
      <c r="G621">
        <v>-4610.2754712220849</v>
      </c>
      <c r="H621">
        <v>-4610.2754712220849</v>
      </c>
      <c r="I621">
        <v>0.95002151548204972</v>
      </c>
      <c r="J621">
        <v>0.86989639581515688</v>
      </c>
      <c r="K621">
        <v>6.190469553416758</v>
      </c>
      <c r="L621">
        <v>-4010.462016131115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35">
      <c r="A622" t="s">
        <v>114</v>
      </c>
      <c r="B622" t="s">
        <v>95</v>
      </c>
      <c r="C622">
        <v>424651.6</v>
      </c>
      <c r="D622">
        <v>2.1770810051916469</v>
      </c>
      <c r="E622">
        <v>0.90961520746501767</v>
      </c>
      <c r="F622">
        <v>26500.43</v>
      </c>
      <c r="G622">
        <v>2181.4839460196272</v>
      </c>
      <c r="H622">
        <v>2181.4839460196272</v>
      </c>
      <c r="I622">
        <v>0.81397480034987824</v>
      </c>
      <c r="J622">
        <v>0.83588856098649822</v>
      </c>
      <c r="K622">
        <v>4.0181828631845287</v>
      </c>
      <c r="L622">
        <v>1823.4774764534941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5">
      <c r="A623" t="s">
        <v>114</v>
      </c>
      <c r="B623" t="s">
        <v>96</v>
      </c>
      <c r="C623">
        <v>427104.2</v>
      </c>
      <c r="D623">
        <v>2.038911518541175</v>
      </c>
      <c r="E623">
        <v>0.92350855328646786</v>
      </c>
      <c r="F623">
        <v>26400.05</v>
      </c>
      <c r="G623">
        <v>-84.520772908697836</v>
      </c>
      <c r="H623">
        <v>-84.520772908697836</v>
      </c>
      <c r="I623">
        <v>0.85793646124290235</v>
      </c>
      <c r="J623">
        <v>0.84759647859213805</v>
      </c>
      <c r="K623">
        <v>2.1770810051916469</v>
      </c>
      <c r="L623">
        <v>-71.639509485298063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35">
      <c r="A624" t="s">
        <v>114</v>
      </c>
      <c r="B624" t="s">
        <v>97</v>
      </c>
      <c r="C624">
        <v>427201.5</v>
      </c>
      <c r="D624">
        <v>0.51588652756218079</v>
      </c>
      <c r="E624">
        <v>0.91995003134412057</v>
      </c>
      <c r="F624">
        <v>30702.400000000001</v>
      </c>
      <c r="G624">
        <v>4416.8820192602216</v>
      </c>
      <c r="H624">
        <v>4416.8820192602216</v>
      </c>
      <c r="I624">
        <v>0.84667650004130834</v>
      </c>
      <c r="J624">
        <v>0.84466460323912185</v>
      </c>
      <c r="K624">
        <v>2.038911518541175</v>
      </c>
      <c r="L624">
        <v>3730.7838983524471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4416.8820192602216</v>
      </c>
      <c r="T624">
        <v>3730.7838983524471</v>
      </c>
      <c r="U624">
        <v>0</v>
      </c>
      <c r="V624">
        <v>0</v>
      </c>
      <c r="W624">
        <v>0</v>
      </c>
    </row>
    <row r="625" spans="1:23" x14ac:dyDescent="0.35">
      <c r="A625" t="s">
        <v>114</v>
      </c>
      <c r="B625" t="s">
        <v>98</v>
      </c>
      <c r="C625">
        <v>427615.6</v>
      </c>
      <c r="D625">
        <v>0.46030200318943221</v>
      </c>
      <c r="E625">
        <v>0.92053836533906208</v>
      </c>
      <c r="F625">
        <v>17905.28</v>
      </c>
      <c r="G625">
        <v>-12517.608803376361</v>
      </c>
      <c r="H625">
        <v>-12517.608803376361</v>
      </c>
      <c r="I625">
        <v>0.84853812069840917</v>
      </c>
      <c r="J625">
        <v>0.84515248934497589</v>
      </c>
      <c r="K625">
        <v>0.51588652756218079</v>
      </c>
      <c r="L625">
        <v>-10579.28824082012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-12517.608803376361</v>
      </c>
      <c r="T625">
        <v>-10579.28824082012</v>
      </c>
      <c r="U625">
        <v>0</v>
      </c>
      <c r="V625">
        <v>0</v>
      </c>
      <c r="W625">
        <v>0</v>
      </c>
    </row>
    <row r="626" spans="1:23" x14ac:dyDescent="0.35">
      <c r="A626" t="s">
        <v>114</v>
      </c>
      <c r="B626" t="s">
        <v>99</v>
      </c>
      <c r="C626">
        <v>429136.5</v>
      </c>
      <c r="D626">
        <v>1.0505982109395311</v>
      </c>
      <c r="E626">
        <v>0.92592439392450421</v>
      </c>
      <c r="F626">
        <v>16655.52</v>
      </c>
      <c r="G626">
        <v>-1255.046474869388</v>
      </c>
      <c r="H626">
        <v>-1255.046474869388</v>
      </c>
      <c r="I626">
        <v>0.86558072262283359</v>
      </c>
      <c r="J626">
        <v>0.84956092154918827</v>
      </c>
      <c r="K626">
        <v>0.46030200318943221</v>
      </c>
      <c r="L626">
        <v>-1066.2384397770979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-1255.046474869388</v>
      </c>
      <c r="T626">
        <v>-1066.2384397770979</v>
      </c>
      <c r="U626">
        <v>0</v>
      </c>
      <c r="V626">
        <v>0</v>
      </c>
      <c r="W626">
        <v>0</v>
      </c>
    </row>
    <row r="627" spans="1:23" x14ac:dyDescent="0.35">
      <c r="A627" t="s">
        <v>114</v>
      </c>
      <c r="B627" t="s">
        <v>100</v>
      </c>
      <c r="C627">
        <v>429494.3</v>
      </c>
      <c r="D627">
        <v>0.55804585289572028</v>
      </c>
      <c r="E627">
        <v>0.92004670169174041</v>
      </c>
      <c r="F627">
        <v>16042.91</v>
      </c>
      <c r="G627">
        <v>-1325.5086914047929</v>
      </c>
      <c r="H627">
        <v>-1325.5086914047929</v>
      </c>
      <c r="I627">
        <v>0.84698238669345749</v>
      </c>
      <c r="J627">
        <v>0.84474485483363315</v>
      </c>
      <c r="K627">
        <v>1.0505982109395311</v>
      </c>
      <c r="L627">
        <v>-1119.7166471014609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-1325.5086914047929</v>
      </c>
      <c r="T627">
        <v>-1119.7166471014609</v>
      </c>
      <c r="U627">
        <v>0</v>
      </c>
      <c r="V627">
        <v>0</v>
      </c>
      <c r="W627">
        <v>0</v>
      </c>
    </row>
    <row r="628" spans="1:23" x14ac:dyDescent="0.35">
      <c r="A628" t="s">
        <v>114</v>
      </c>
      <c r="B628" t="s">
        <v>101</v>
      </c>
      <c r="C628">
        <v>430292.6</v>
      </c>
      <c r="D628">
        <v>0.72096435166964823</v>
      </c>
      <c r="E628">
        <v>0.65418356025482782</v>
      </c>
      <c r="F628">
        <v>15096.69</v>
      </c>
      <c r="G628">
        <v>-1747.62351995877</v>
      </c>
      <c r="H628">
        <v>-1747.62351995877</v>
      </c>
      <c r="I628">
        <v>5.7318040038154272E-3</v>
      </c>
      <c r="J628">
        <v>0.50286587061727595</v>
      </c>
      <c r="K628">
        <v>0.55804585289572028</v>
      </c>
      <c r="L628">
        <v>-878.82022287529514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-1747.62351995877</v>
      </c>
      <c r="T628">
        <v>-878.82022287529514</v>
      </c>
      <c r="U628">
        <v>0</v>
      </c>
      <c r="V628">
        <v>0</v>
      </c>
      <c r="W628">
        <v>0</v>
      </c>
    </row>
    <row r="629" spans="1:23" x14ac:dyDescent="0.35">
      <c r="A629" t="s">
        <v>114</v>
      </c>
      <c r="B629" t="s">
        <v>102</v>
      </c>
      <c r="C629">
        <v>430341.7</v>
      </c>
      <c r="D629">
        <v>0.63548831028107045</v>
      </c>
      <c r="E629">
        <v>0.53854770498812299</v>
      </c>
      <c r="F629">
        <v>19263.25</v>
      </c>
      <c r="G629">
        <v>3296.2288795207619</v>
      </c>
      <c r="H629">
        <v>3296.2288795207619</v>
      </c>
      <c r="I629">
        <v>-0.3601659661690918</v>
      </c>
      <c r="J629">
        <v>0.32731989335662431</v>
      </c>
      <c r="K629">
        <v>0.72096435166964823</v>
      </c>
      <c r="L629">
        <v>1078.9212853237609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3296.2288795207619</v>
      </c>
      <c r="T629">
        <v>1078.9212853237609</v>
      </c>
      <c r="U629">
        <v>0</v>
      </c>
      <c r="V629">
        <v>0</v>
      </c>
      <c r="W629">
        <v>0</v>
      </c>
    </row>
    <row r="630" spans="1:23" x14ac:dyDescent="0.35">
      <c r="A630" t="s">
        <v>114</v>
      </c>
      <c r="B630" t="s">
        <v>103</v>
      </c>
      <c r="C630">
        <v>430962</v>
      </c>
      <c r="D630">
        <v>0.4244869026341424</v>
      </c>
      <c r="E630">
        <v>0.65006984826287328</v>
      </c>
      <c r="F630">
        <v>26370.25</v>
      </c>
      <c r="G630">
        <v>6352.7743362205329</v>
      </c>
      <c r="H630">
        <v>6352.7743362205329</v>
      </c>
      <c r="I630">
        <v>-7.2849029813847541E-3</v>
      </c>
      <c r="J630">
        <v>0.49635761294267777</v>
      </c>
      <c r="K630">
        <v>0.63548831028107045</v>
      </c>
      <c r="L630">
        <v>3153.2479050899278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6352.7743362205329</v>
      </c>
      <c r="T630">
        <v>3153.2479050899278</v>
      </c>
      <c r="U630">
        <v>0</v>
      </c>
      <c r="V630">
        <v>0</v>
      </c>
      <c r="W630">
        <v>0</v>
      </c>
    </row>
    <row r="631" spans="1:23" x14ac:dyDescent="0.35">
      <c r="A631" t="s">
        <v>114</v>
      </c>
      <c r="B631" t="s">
        <v>104</v>
      </c>
      <c r="C631">
        <v>432407.4</v>
      </c>
      <c r="D631">
        <v>0.67597293115361157</v>
      </c>
      <c r="E631">
        <v>0.1091108520119016</v>
      </c>
      <c r="F631">
        <v>48145.7</v>
      </c>
      <c r="G631">
        <v>21516.57673025272</v>
      </c>
      <c r="H631">
        <v>21516.57673025272</v>
      </c>
      <c r="I631">
        <v>-1.7190004433445509</v>
      </c>
      <c r="J631">
        <v>3.112872038258142E-2</v>
      </c>
      <c r="K631">
        <v>0.4244869026341424</v>
      </c>
      <c r="L631">
        <v>669.7835006263947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5">
      <c r="A632" t="s">
        <v>114</v>
      </c>
      <c r="B632" t="s">
        <v>105</v>
      </c>
      <c r="C632">
        <v>432332.2</v>
      </c>
      <c r="D632">
        <v>0.47288318183474298</v>
      </c>
      <c r="E632">
        <v>0.1042116119802564</v>
      </c>
      <c r="F632">
        <v>80038.14</v>
      </c>
      <c r="G632">
        <v>32860.236300339107</v>
      </c>
      <c r="H632">
        <v>32860.236300339107</v>
      </c>
      <c r="I632">
        <v>-1.734502737152871</v>
      </c>
      <c r="J632">
        <v>3.020710214303483E-2</v>
      </c>
      <c r="K632">
        <v>0.67597293115361157</v>
      </c>
      <c r="L632">
        <v>992.61251436860459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5">
      <c r="A633" t="s">
        <v>114</v>
      </c>
      <c r="B633" t="s">
        <v>106</v>
      </c>
      <c r="C633">
        <v>433160.5</v>
      </c>
      <c r="D633">
        <v>0.6528784785059295</v>
      </c>
      <c r="E633">
        <v>3.6576000278479917E-2</v>
      </c>
      <c r="F633">
        <v>106862.2</v>
      </c>
      <c r="G633">
        <v>30173.051455287681</v>
      </c>
      <c r="H633">
        <v>30173.051455287681</v>
      </c>
      <c r="I633">
        <v>-1.948516975633505</v>
      </c>
      <c r="J633">
        <v>1.989806772001548E-2</v>
      </c>
      <c r="K633">
        <v>0.47288318183474298</v>
      </c>
      <c r="L633">
        <v>600.38542117682596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30173.051455287681</v>
      </c>
      <c r="T633">
        <v>600.38542117682596</v>
      </c>
      <c r="U633">
        <v>0</v>
      </c>
      <c r="V633">
        <v>0</v>
      </c>
      <c r="W633">
        <v>0</v>
      </c>
    </row>
    <row r="634" spans="1:23" x14ac:dyDescent="0.35">
      <c r="A634" t="s">
        <v>114</v>
      </c>
      <c r="B634" t="s">
        <v>107</v>
      </c>
      <c r="C634">
        <v>434610.7</v>
      </c>
      <c r="D634">
        <v>0.84307686963563055</v>
      </c>
      <c r="E634">
        <v>-9.6536488624629144E-3</v>
      </c>
      <c r="F634">
        <v>94947.06</v>
      </c>
      <c r="G634">
        <v>-5865.0461574176588</v>
      </c>
      <c r="H634">
        <v>-5865.0461574176588</v>
      </c>
      <c r="I634">
        <v>-2.0947979496232159</v>
      </c>
      <c r="J634">
        <v>1.492623830125472E-2</v>
      </c>
      <c r="K634">
        <v>0.6528784785059295</v>
      </c>
      <c r="L634">
        <v>-87.543076593474282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-5865.0461574176588</v>
      </c>
      <c r="T634">
        <v>-87.543076593474282</v>
      </c>
      <c r="U634">
        <v>0</v>
      </c>
      <c r="V634">
        <v>0</v>
      </c>
      <c r="W634">
        <v>0</v>
      </c>
    </row>
    <row r="635" spans="1:23" x14ac:dyDescent="0.35">
      <c r="A635" t="s">
        <v>114</v>
      </c>
      <c r="B635" t="s">
        <v>108</v>
      </c>
      <c r="C635">
        <v>435990.8</v>
      </c>
      <c r="D635">
        <v>0.82529428068277255</v>
      </c>
      <c r="E635">
        <v>-0.2355525662730005</v>
      </c>
      <c r="F635">
        <v>81871.73</v>
      </c>
      <c r="G635">
        <v>-6116.8052336188266</v>
      </c>
      <c r="H635">
        <v>-6116.8052336188266</v>
      </c>
      <c r="I635">
        <v>-2.8095927680154031</v>
      </c>
      <c r="J635">
        <v>3.614482574152852E-3</v>
      </c>
      <c r="K635">
        <v>0.84307686963563055</v>
      </c>
      <c r="L635">
        <v>-22.109085926402219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-6116.8052336188266</v>
      </c>
      <c r="T635">
        <v>-22.109085926402219</v>
      </c>
      <c r="U635">
        <v>0</v>
      </c>
      <c r="V635">
        <v>0</v>
      </c>
      <c r="W635">
        <v>0</v>
      </c>
    </row>
    <row r="636" spans="1:23" x14ac:dyDescent="0.35">
      <c r="A636" t="s">
        <v>114</v>
      </c>
      <c r="B636" t="s">
        <v>109</v>
      </c>
      <c r="C636">
        <v>436827.1</v>
      </c>
      <c r="D636">
        <v>1.034319041988476</v>
      </c>
      <c r="E636">
        <v>0.50505638136286624</v>
      </c>
      <c r="F636">
        <v>77922.84</v>
      </c>
      <c r="G636">
        <v>1879.7276364797731</v>
      </c>
      <c r="H636">
        <v>1879.7276364797731</v>
      </c>
      <c r="I636">
        <v>-0.46614002245428859</v>
      </c>
      <c r="J636">
        <v>0.28246237185828688</v>
      </c>
      <c r="K636">
        <v>0.82529428068277255</v>
      </c>
      <c r="L636">
        <v>530.95232664764819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1879.7276364797731</v>
      </c>
      <c r="T636">
        <v>530.95232664764819</v>
      </c>
      <c r="U636">
        <v>0</v>
      </c>
      <c r="V636">
        <v>0</v>
      </c>
      <c r="W636">
        <v>0</v>
      </c>
    </row>
    <row r="637" spans="1:23" x14ac:dyDescent="0.35">
      <c r="A637" t="s">
        <v>115</v>
      </c>
      <c r="B637" t="s">
        <v>4</v>
      </c>
      <c r="C637">
        <v>138217</v>
      </c>
      <c r="F637">
        <v>5832.3329999999996</v>
      </c>
      <c r="G637">
        <v>-3714.5931994258599</v>
      </c>
      <c r="H637">
        <v>-3714.5931994258599</v>
      </c>
      <c r="M637">
        <v>1</v>
      </c>
      <c r="N637">
        <v>-3714.5931994258599</v>
      </c>
    </row>
    <row r="638" spans="1:23" x14ac:dyDescent="0.35">
      <c r="A638" t="s">
        <v>115</v>
      </c>
      <c r="B638" t="s">
        <v>5</v>
      </c>
      <c r="C638">
        <v>139650.1</v>
      </c>
      <c r="F638">
        <v>5569.9409999999998</v>
      </c>
      <c r="G638">
        <v>-1919.831103877337</v>
      </c>
      <c r="H638">
        <v>-1919.831103877337</v>
      </c>
      <c r="M638">
        <v>1</v>
      </c>
      <c r="N638">
        <v>-1919.831103877337</v>
      </c>
    </row>
    <row r="639" spans="1:23" x14ac:dyDescent="0.35">
      <c r="A639" t="s">
        <v>115</v>
      </c>
      <c r="B639" t="s">
        <v>6</v>
      </c>
      <c r="C639">
        <v>140820.29999999999</v>
      </c>
      <c r="F639">
        <v>13816.67</v>
      </c>
      <c r="G639">
        <v>6474.4940275934759</v>
      </c>
      <c r="H639">
        <v>6474.4940275934759</v>
      </c>
      <c r="M639">
        <v>1</v>
      </c>
      <c r="N639">
        <v>6474.4940275934759</v>
      </c>
    </row>
    <row r="640" spans="1:23" x14ac:dyDescent="0.35">
      <c r="A640" t="s">
        <v>115</v>
      </c>
      <c r="B640" t="s">
        <v>7</v>
      </c>
      <c r="C640">
        <v>142295.79999999999</v>
      </c>
      <c r="F640">
        <v>11881.05</v>
      </c>
      <c r="G640">
        <v>-3395.2229350538159</v>
      </c>
      <c r="H640">
        <v>-3395.2229350538159</v>
      </c>
      <c r="M640">
        <v>1</v>
      </c>
      <c r="N640">
        <v>-3395.2229350538159</v>
      </c>
    </row>
    <row r="641" spans="1:23" x14ac:dyDescent="0.35">
      <c r="A641" t="s">
        <v>115</v>
      </c>
      <c r="B641" t="s">
        <v>8</v>
      </c>
      <c r="C641">
        <v>142989.4</v>
      </c>
      <c r="D641">
        <v>3.394558773963317</v>
      </c>
      <c r="F641">
        <v>22324.51</v>
      </c>
      <c r="G641">
        <v>9331.4609908810216</v>
      </c>
      <c r="H641">
        <v>9331.4609908810216</v>
      </c>
      <c r="M641">
        <v>1</v>
      </c>
      <c r="N641">
        <v>9331.4609908810216</v>
      </c>
      <c r="Q641">
        <v>0</v>
      </c>
      <c r="R641">
        <v>1</v>
      </c>
      <c r="S641">
        <v>0</v>
      </c>
      <c r="U641">
        <v>0</v>
      </c>
      <c r="V641">
        <v>0</v>
      </c>
    </row>
    <row r="642" spans="1:23" x14ac:dyDescent="0.35">
      <c r="A642" t="s">
        <v>115</v>
      </c>
      <c r="B642" t="s">
        <v>9</v>
      </c>
      <c r="C642">
        <v>143482.9</v>
      </c>
      <c r="D642">
        <v>2.7075855869210859</v>
      </c>
      <c r="F642">
        <v>13179.21</v>
      </c>
      <c r="G642">
        <v>-9943.8528374191192</v>
      </c>
      <c r="H642">
        <v>-9943.8528374191192</v>
      </c>
      <c r="K642">
        <v>3.394558773963317</v>
      </c>
      <c r="M642">
        <v>1</v>
      </c>
      <c r="N642">
        <v>-9943.8528374191192</v>
      </c>
      <c r="Q642">
        <v>0</v>
      </c>
      <c r="R642">
        <v>1</v>
      </c>
      <c r="S642">
        <v>0</v>
      </c>
      <c r="U642">
        <v>0</v>
      </c>
      <c r="V642">
        <v>0</v>
      </c>
    </row>
    <row r="643" spans="1:23" x14ac:dyDescent="0.35">
      <c r="A643" t="s">
        <v>115</v>
      </c>
      <c r="B643" t="s">
        <v>10</v>
      </c>
      <c r="C643">
        <v>143757.70000000001</v>
      </c>
      <c r="D643">
        <v>2.0644633992360921</v>
      </c>
      <c r="F643">
        <v>25155.95</v>
      </c>
      <c r="G643">
        <v>11353.658528725049</v>
      </c>
      <c r="H643">
        <v>11353.658528725049</v>
      </c>
      <c r="K643">
        <v>2.7075855869210859</v>
      </c>
      <c r="M643">
        <v>1</v>
      </c>
      <c r="N643">
        <v>11353.658528725049</v>
      </c>
      <c r="Q643">
        <v>0</v>
      </c>
      <c r="R643">
        <v>1</v>
      </c>
      <c r="S643">
        <v>0</v>
      </c>
      <c r="U643">
        <v>0</v>
      </c>
      <c r="V643">
        <v>0</v>
      </c>
    </row>
    <row r="644" spans="1:23" x14ac:dyDescent="0.35">
      <c r="A644" t="s">
        <v>115</v>
      </c>
      <c r="B644" t="s">
        <v>11</v>
      </c>
      <c r="C644">
        <v>143870.5</v>
      </c>
      <c r="D644">
        <v>1.1005599851300041</v>
      </c>
      <c r="F644">
        <v>23448.18</v>
      </c>
      <c r="G644">
        <v>-2327.5821782993439</v>
      </c>
      <c r="H644">
        <v>-2327.5821782993439</v>
      </c>
      <c r="K644">
        <v>2.0644633992360921</v>
      </c>
      <c r="M644">
        <v>1</v>
      </c>
      <c r="N644">
        <v>-2327.5821782993439</v>
      </c>
      <c r="Q644">
        <v>0</v>
      </c>
      <c r="R644">
        <v>1</v>
      </c>
      <c r="S644">
        <v>0</v>
      </c>
      <c r="U644">
        <v>0</v>
      </c>
      <c r="V644">
        <v>0</v>
      </c>
    </row>
    <row r="645" spans="1:23" x14ac:dyDescent="0.35">
      <c r="A645" t="s">
        <v>115</v>
      </c>
      <c r="B645" t="s">
        <v>12</v>
      </c>
      <c r="C645">
        <v>143614.39999999999</v>
      </c>
      <c r="D645">
        <v>0.43614284997749059</v>
      </c>
      <c r="E645">
        <v>0.78182985571913155</v>
      </c>
      <c r="F645">
        <v>22597.360000000001</v>
      </c>
      <c r="G645">
        <v>-922.17355643885821</v>
      </c>
      <c r="H645">
        <v>-922.17355643885821</v>
      </c>
      <c r="I645">
        <v>0.40963329955204603</v>
      </c>
      <c r="J645">
        <v>0.6940806372805991</v>
      </c>
      <c r="K645">
        <v>1.1005599851300041</v>
      </c>
      <c r="L645">
        <v>-640.06280973639923</v>
      </c>
      <c r="M645">
        <v>1</v>
      </c>
      <c r="N645">
        <v>-922.17355643885821</v>
      </c>
      <c r="O645">
        <v>0.6940806372805991</v>
      </c>
      <c r="P645">
        <v>-640.06280973639923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35">
      <c r="A646" t="s">
        <v>115</v>
      </c>
      <c r="B646" t="s">
        <v>13</v>
      </c>
      <c r="C646">
        <v>143854.39999999999</v>
      </c>
      <c r="D646">
        <v>0.25858126111758112</v>
      </c>
      <c r="E646">
        <v>0.81720071063974975</v>
      </c>
      <c r="F646">
        <v>17938.45</v>
      </c>
      <c r="G646">
        <v>-4851.7453407365683</v>
      </c>
      <c r="H646">
        <v>-4851.7453407365683</v>
      </c>
      <c r="I646">
        <v>0.52155461422311966</v>
      </c>
      <c r="J646">
        <v>0.7394494881285828</v>
      </c>
      <c r="K646">
        <v>0.43614284997749059</v>
      </c>
      <c r="L646">
        <v>-3587.6206087378919</v>
      </c>
      <c r="M646">
        <v>1</v>
      </c>
      <c r="N646">
        <v>-4851.7453407365683</v>
      </c>
      <c r="O646">
        <v>0.7394494881285828</v>
      </c>
      <c r="P646">
        <v>-3587.6206087378919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35">
      <c r="A647" t="s">
        <v>115</v>
      </c>
      <c r="B647" t="s">
        <v>14</v>
      </c>
      <c r="C647">
        <v>143969.70000000001</v>
      </c>
      <c r="D647">
        <v>0.14736173083552531</v>
      </c>
      <c r="E647">
        <v>0.84392903876451719</v>
      </c>
      <c r="F647">
        <v>14136.45</v>
      </c>
      <c r="G647">
        <v>-4222.8378093282299</v>
      </c>
      <c r="H647">
        <v>-4222.8378093282299</v>
      </c>
      <c r="I647">
        <v>0.60612903656596306</v>
      </c>
      <c r="J647">
        <v>0.77069824518812502</v>
      </c>
      <c r="K647">
        <v>0.25858126111758112</v>
      </c>
      <c r="L647">
        <v>-3254.533689363333</v>
      </c>
      <c r="M647">
        <v>1</v>
      </c>
      <c r="N647">
        <v>-4222.8378093282299</v>
      </c>
      <c r="O647">
        <v>0.77069824518812502</v>
      </c>
      <c r="P647">
        <v>-3254.533689363333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5">
      <c r="A648" t="s">
        <v>115</v>
      </c>
      <c r="B648" t="s">
        <v>15</v>
      </c>
      <c r="C648">
        <v>144120.6</v>
      </c>
      <c r="D648">
        <v>0.17368596659597271</v>
      </c>
      <c r="E648">
        <v>0.94080095457696689</v>
      </c>
      <c r="F648">
        <v>27832.880000000001</v>
      </c>
      <c r="G648">
        <v>12885.617455236321</v>
      </c>
      <c r="H648">
        <v>12885.617455236321</v>
      </c>
      <c r="I648">
        <v>0.91265349566562015</v>
      </c>
      <c r="J648">
        <v>0.86120170621720105</v>
      </c>
      <c r="K648">
        <v>0.14736173083552531</v>
      </c>
      <c r="L648">
        <v>11097.11573811167</v>
      </c>
      <c r="M648">
        <v>1</v>
      </c>
      <c r="N648">
        <v>12885.617455236321</v>
      </c>
      <c r="O648">
        <v>0.86120170621720105</v>
      </c>
      <c r="P648">
        <v>11097.11573811167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5">
      <c r="A649" t="s">
        <v>115</v>
      </c>
      <c r="B649" t="s">
        <v>16</v>
      </c>
      <c r="C649">
        <v>144451.29999999999</v>
      </c>
      <c r="D649">
        <v>0.58104963875090665</v>
      </c>
      <c r="E649">
        <v>0.84803550123685156</v>
      </c>
      <c r="F649">
        <v>25718.62</v>
      </c>
      <c r="G649">
        <v>-2578.9762101676129</v>
      </c>
      <c r="H649">
        <v>-2578.9762101676129</v>
      </c>
      <c r="I649">
        <v>0.61912280444583356</v>
      </c>
      <c r="J649">
        <v>0.77525848947684406</v>
      </c>
      <c r="K649">
        <v>0.17368596659597271</v>
      </c>
      <c r="L649">
        <v>-1999.3732010912599</v>
      </c>
      <c r="M649">
        <v>1</v>
      </c>
      <c r="N649">
        <v>-2578.9762101676129</v>
      </c>
      <c r="O649">
        <v>0.77525848947684406</v>
      </c>
      <c r="P649">
        <v>-1999.3732010912599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35">
      <c r="A650" t="s">
        <v>115</v>
      </c>
      <c r="B650" t="s">
        <v>17</v>
      </c>
      <c r="C650">
        <v>143728.9</v>
      </c>
      <c r="D650">
        <v>-8.7279065207738066E-2</v>
      </c>
      <c r="E650">
        <v>0.84666525773638035</v>
      </c>
      <c r="F650">
        <v>34454.82</v>
      </c>
      <c r="G650">
        <v>8892.3153268391106</v>
      </c>
      <c r="H650">
        <v>8892.3153268391106</v>
      </c>
      <c r="I650">
        <v>0.61478704681892826</v>
      </c>
      <c r="J650">
        <v>0.77374402200157821</v>
      </c>
      <c r="K650">
        <v>0.58104963875090665</v>
      </c>
      <c r="L650">
        <v>6880.3758258947719</v>
      </c>
      <c r="M650">
        <v>1</v>
      </c>
      <c r="N650">
        <v>8892.3153268391106</v>
      </c>
      <c r="O650">
        <v>0.77374402200157821</v>
      </c>
      <c r="P650">
        <v>6880.3758258947719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5">
      <c r="A651" t="s">
        <v>115</v>
      </c>
      <c r="B651" t="s">
        <v>18</v>
      </c>
      <c r="C651">
        <v>143750.1</v>
      </c>
      <c r="D651">
        <v>-0.152648543924951</v>
      </c>
      <c r="E651">
        <v>0.85553043731307887</v>
      </c>
      <c r="F651">
        <v>23886.34</v>
      </c>
      <c r="G651">
        <v>-10175.62221530782</v>
      </c>
      <c r="H651">
        <v>-10175.62221530782</v>
      </c>
      <c r="I651">
        <v>0.64283846246172294</v>
      </c>
      <c r="J651">
        <v>0.78341456506251517</v>
      </c>
      <c r="K651">
        <v>-8.7279065207738066E-2</v>
      </c>
      <c r="L651">
        <v>-7971.7306520458396</v>
      </c>
      <c r="M651">
        <v>1</v>
      </c>
      <c r="N651">
        <v>-10175.62221530782</v>
      </c>
      <c r="O651">
        <v>0.78341456506251517</v>
      </c>
      <c r="P651">
        <v>-7971.7306520458396</v>
      </c>
      <c r="Q651">
        <v>1</v>
      </c>
      <c r="R651">
        <v>0</v>
      </c>
      <c r="S651">
        <v>-10175.62221530782</v>
      </c>
      <c r="T651">
        <v>-7971.7306520458396</v>
      </c>
      <c r="U651">
        <v>1</v>
      </c>
      <c r="V651">
        <v>-10175.62221530782</v>
      </c>
      <c r="W651">
        <v>-7971.7306520458396</v>
      </c>
    </row>
    <row r="652" spans="1:23" x14ac:dyDescent="0.35">
      <c r="A652" t="s">
        <v>115</v>
      </c>
      <c r="B652" t="s">
        <v>19</v>
      </c>
      <c r="C652">
        <v>144648.1</v>
      </c>
      <c r="D652">
        <v>0.36534471134957841</v>
      </c>
      <c r="E652">
        <v>0.852514783308994</v>
      </c>
      <c r="F652">
        <v>12058.21</v>
      </c>
      <c r="G652">
        <v>-11403.891117199109</v>
      </c>
      <c r="H652">
        <v>-11403.891117199109</v>
      </c>
      <c r="I652">
        <v>0.63329625712097715</v>
      </c>
      <c r="J652">
        <v>0.78015888456705629</v>
      </c>
      <c r="K652">
        <v>-0.152648543924951</v>
      </c>
      <c r="L652">
        <v>-8896.8469737182222</v>
      </c>
      <c r="M652">
        <v>1</v>
      </c>
      <c r="N652">
        <v>-11403.891117199109</v>
      </c>
      <c r="O652">
        <v>0.78015888456705629</v>
      </c>
      <c r="P652">
        <v>-8896.8469737182222</v>
      </c>
      <c r="Q652">
        <v>1</v>
      </c>
      <c r="R652">
        <v>0</v>
      </c>
      <c r="S652">
        <v>-11403.891117199109</v>
      </c>
      <c r="T652">
        <v>-8896.8469737182222</v>
      </c>
      <c r="U652">
        <v>1</v>
      </c>
      <c r="V652">
        <v>-11403.891117199109</v>
      </c>
      <c r="W652">
        <v>-8896.8469737182222</v>
      </c>
    </row>
    <row r="653" spans="1:23" x14ac:dyDescent="0.35">
      <c r="A653" t="s">
        <v>115</v>
      </c>
      <c r="B653" t="s">
        <v>20</v>
      </c>
      <c r="C653">
        <v>145992.1</v>
      </c>
      <c r="D653">
        <v>1.061008412971167</v>
      </c>
      <c r="E653">
        <v>0.83738245552913115</v>
      </c>
      <c r="F653">
        <v>16122.31</v>
      </c>
      <c r="G653">
        <v>3477.0160780143342</v>
      </c>
      <c r="H653">
        <v>3477.0160780143342</v>
      </c>
      <c r="I653">
        <v>0.58541417954731312</v>
      </c>
      <c r="J653">
        <v>0.76329471288774264</v>
      </c>
      <c r="K653">
        <v>0.36534471134957841</v>
      </c>
      <c r="L653">
        <v>2653.9879889740159</v>
      </c>
      <c r="M653">
        <v>1</v>
      </c>
      <c r="N653">
        <v>3477.0160780143342</v>
      </c>
      <c r="O653">
        <v>0.76329471288774264</v>
      </c>
      <c r="P653">
        <v>2653.9879889740159</v>
      </c>
      <c r="Q653">
        <v>1</v>
      </c>
      <c r="R653">
        <v>0</v>
      </c>
      <c r="S653">
        <v>3477.0160780143342</v>
      </c>
      <c r="T653">
        <v>2653.9879889740159</v>
      </c>
      <c r="U653">
        <v>1</v>
      </c>
      <c r="V653">
        <v>3477.0160780143342</v>
      </c>
      <c r="W653">
        <v>2653.9879889740159</v>
      </c>
    </row>
    <row r="654" spans="1:23" x14ac:dyDescent="0.35">
      <c r="A654" t="s">
        <v>115</v>
      </c>
      <c r="B654" t="s">
        <v>21</v>
      </c>
      <c r="C654">
        <v>146659.5</v>
      </c>
      <c r="D654">
        <v>2.01846871188244</v>
      </c>
      <c r="E654">
        <v>0.85683694026246293</v>
      </c>
      <c r="F654">
        <v>9975.3389999999999</v>
      </c>
      <c r="G654">
        <v>-7181.6860400218247</v>
      </c>
      <c r="H654">
        <v>-7181.6860400218247</v>
      </c>
      <c r="I654">
        <v>0.64697253069515603</v>
      </c>
      <c r="J654">
        <v>0.78481418319658869</v>
      </c>
      <c r="K654">
        <v>1.061008412971167</v>
      </c>
      <c r="L654">
        <v>-5636.2890634740716</v>
      </c>
      <c r="M654">
        <v>1</v>
      </c>
      <c r="N654">
        <v>-7181.6860400218247</v>
      </c>
      <c r="O654">
        <v>0.78481418319658869</v>
      </c>
      <c r="P654">
        <v>-5636.2890634740716</v>
      </c>
      <c r="Q654">
        <v>1</v>
      </c>
      <c r="R654">
        <v>0</v>
      </c>
      <c r="S654">
        <v>-7181.6860400218247</v>
      </c>
      <c r="T654">
        <v>-5636.2890634740716</v>
      </c>
      <c r="U654">
        <v>1</v>
      </c>
      <c r="V654">
        <v>-7181.6860400218247</v>
      </c>
      <c r="W654">
        <v>-5636.2890634740716</v>
      </c>
    </row>
    <row r="655" spans="1:23" x14ac:dyDescent="0.35">
      <c r="A655" t="s">
        <v>115</v>
      </c>
      <c r="B655" t="s">
        <v>22</v>
      </c>
      <c r="C655">
        <v>146857.9</v>
      </c>
      <c r="D655">
        <v>2.1389077259138412</v>
      </c>
      <c r="E655">
        <v>0.55561674191151011</v>
      </c>
      <c r="F655">
        <v>14397.81</v>
      </c>
      <c r="G655">
        <v>3353.6931959349681</v>
      </c>
      <c r="H655">
        <v>3353.6931959349681</v>
      </c>
      <c r="I655">
        <v>-0.30615570667940689</v>
      </c>
      <c r="J655">
        <v>0.35153211375635712</v>
      </c>
      <c r="K655">
        <v>2.01846871188244</v>
      </c>
      <c r="L655">
        <v>1178.930858057332</v>
      </c>
      <c r="M655">
        <v>1</v>
      </c>
      <c r="N655">
        <v>3353.6931959349681</v>
      </c>
      <c r="O655">
        <v>0.35153211375635712</v>
      </c>
      <c r="P655">
        <v>1178.930858057332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35">
      <c r="A656" t="s">
        <v>115</v>
      </c>
      <c r="B656" t="s">
        <v>23</v>
      </c>
      <c r="C656">
        <v>147202.20000000001</v>
      </c>
      <c r="D656">
        <v>1.7503255653206919</v>
      </c>
      <c r="E656">
        <v>0.53861607171908388</v>
      </c>
      <c r="F656">
        <v>13202.73</v>
      </c>
      <c r="G656">
        <v>-2405.1200373209231</v>
      </c>
      <c r="H656">
        <v>-2405.1200373209231</v>
      </c>
      <c r="I656">
        <v>-0.35994963850536749</v>
      </c>
      <c r="J656">
        <v>0.327415163206767</v>
      </c>
      <c r="K656">
        <v>2.1389077259138412</v>
      </c>
      <c r="L656">
        <v>-787.47276955129553</v>
      </c>
      <c r="M656">
        <v>1</v>
      </c>
      <c r="N656">
        <v>-2405.1200373209231</v>
      </c>
      <c r="O656">
        <v>0.327415163206767</v>
      </c>
      <c r="P656">
        <v>-787.47276955129553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35">
      <c r="A657" t="s">
        <v>115</v>
      </c>
      <c r="B657" t="s">
        <v>24</v>
      </c>
      <c r="C657">
        <v>147571.1</v>
      </c>
      <c r="D657">
        <v>1.0757582881842489</v>
      </c>
      <c r="E657">
        <v>0.88407303678325255</v>
      </c>
      <c r="F657">
        <v>11537.9</v>
      </c>
      <c r="G657">
        <v>-2694.6719418449161</v>
      </c>
      <c r="H657">
        <v>-2694.6719418449161</v>
      </c>
      <c r="I657">
        <v>0.73315364607832234</v>
      </c>
      <c r="J657">
        <v>0.81249546367327907</v>
      </c>
      <c r="K657">
        <v>1.7503255653206919</v>
      </c>
      <c r="L657">
        <v>-2189.40872883666</v>
      </c>
      <c r="M657">
        <v>1</v>
      </c>
      <c r="N657">
        <v>-2694.6719418449161</v>
      </c>
      <c r="O657">
        <v>0.81249546367327907</v>
      </c>
      <c r="P657">
        <v>-2189.40872883666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5">
      <c r="A658" t="s">
        <v>115</v>
      </c>
      <c r="B658" t="s">
        <v>25</v>
      </c>
      <c r="C658">
        <v>148924.5</v>
      </c>
      <c r="D658">
        <v>1.532589270048627</v>
      </c>
      <c r="E658">
        <v>0.89817163750407591</v>
      </c>
      <c r="F658">
        <v>11866.98</v>
      </c>
      <c r="G658">
        <v>-828.06583405836682</v>
      </c>
      <c r="H658">
        <v>-828.06583405836682</v>
      </c>
      <c r="I658">
        <v>0.77776477948853839</v>
      </c>
      <c r="J658">
        <v>0.82571093762347925</v>
      </c>
      <c r="K658">
        <v>1.0757582881842489</v>
      </c>
      <c r="L658">
        <v>-683.74301625430246</v>
      </c>
      <c r="M658">
        <v>1</v>
      </c>
      <c r="N658">
        <v>-828.06583405836682</v>
      </c>
      <c r="O658">
        <v>0.82571093762347925</v>
      </c>
      <c r="P658">
        <v>-683.74301625430246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35">
      <c r="A659" t="s">
        <v>115</v>
      </c>
      <c r="B659" t="s">
        <v>26</v>
      </c>
      <c r="C659">
        <v>150733.20000000001</v>
      </c>
      <c r="D659">
        <v>2.604593402248649</v>
      </c>
      <c r="E659">
        <v>0.90963612875834887</v>
      </c>
      <c r="F659">
        <v>20193.73</v>
      </c>
      <c r="G659">
        <v>7096.9915636258847</v>
      </c>
      <c r="H659">
        <v>7096.9915636258847</v>
      </c>
      <c r="I659">
        <v>0.81404100001226976</v>
      </c>
      <c r="J659">
        <v>0.83590672256917187</v>
      </c>
      <c r="K659">
        <v>1.532589270048627</v>
      </c>
      <c r="L659">
        <v>5932.4229580515757</v>
      </c>
      <c r="M659">
        <v>1</v>
      </c>
      <c r="N659">
        <v>7096.9915636258847</v>
      </c>
      <c r="O659">
        <v>0.83590672256917187</v>
      </c>
      <c r="P659">
        <v>5932.4229580515757</v>
      </c>
      <c r="Q659">
        <v>1</v>
      </c>
      <c r="R659">
        <v>0</v>
      </c>
      <c r="S659">
        <v>7096.9915636258847</v>
      </c>
      <c r="T659">
        <v>5932.4229580515757</v>
      </c>
      <c r="U659">
        <v>1</v>
      </c>
      <c r="V659">
        <v>7096.9915636258847</v>
      </c>
      <c r="W659">
        <v>5932.4229580515757</v>
      </c>
    </row>
    <row r="660" spans="1:23" x14ac:dyDescent="0.35">
      <c r="A660" t="s">
        <v>115</v>
      </c>
      <c r="B660" t="s">
        <v>27</v>
      </c>
      <c r="C660">
        <v>151752.5</v>
      </c>
      <c r="D660">
        <v>3.0443752433220248</v>
      </c>
      <c r="E660">
        <v>0.81809578464855282</v>
      </c>
      <c r="F660">
        <v>12165.63</v>
      </c>
      <c r="G660">
        <v>-8911.6409368498116</v>
      </c>
      <c r="H660">
        <v>-8911.6409368498116</v>
      </c>
      <c r="I660">
        <v>0.52438682905134393</v>
      </c>
      <c r="J660">
        <v>0.74053933835225394</v>
      </c>
      <c r="K660">
        <v>2.604593402248649</v>
      </c>
      <c r="L660">
        <v>-6599.42068300762</v>
      </c>
      <c r="M660">
        <v>1</v>
      </c>
      <c r="N660">
        <v>-8911.6409368498116</v>
      </c>
      <c r="O660">
        <v>0.74053933835225394</v>
      </c>
      <c r="P660">
        <v>-6599.42068300762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35">
      <c r="A661" t="s">
        <v>115</v>
      </c>
      <c r="B661" t="s">
        <v>28</v>
      </c>
      <c r="C661">
        <v>152627.6</v>
      </c>
      <c r="D661">
        <v>3.3690873965645252</v>
      </c>
      <c r="E661">
        <v>0.81877987879726188</v>
      </c>
      <c r="F661">
        <v>11552.83</v>
      </c>
      <c r="G661">
        <v>-1385.556303605184</v>
      </c>
      <c r="H661">
        <v>-1385.556303605184</v>
      </c>
      <c r="I661">
        <v>0.52655145630319133</v>
      </c>
      <c r="J661">
        <v>0.74137029826865308</v>
      </c>
      <c r="K661">
        <v>3.0443752433220248</v>
      </c>
      <c r="L661">
        <v>-1027.210290071788</v>
      </c>
      <c r="M661">
        <v>1</v>
      </c>
      <c r="N661">
        <v>-1385.556303605184</v>
      </c>
      <c r="O661">
        <v>0.74137029826865308</v>
      </c>
      <c r="P661">
        <v>-1027.210290071788</v>
      </c>
      <c r="Q661">
        <v>1</v>
      </c>
      <c r="R661">
        <v>0</v>
      </c>
      <c r="S661">
        <v>-1385.556303605184</v>
      </c>
      <c r="T661">
        <v>-1027.210290071788</v>
      </c>
      <c r="U661">
        <v>1</v>
      </c>
      <c r="V661">
        <v>-1385.556303605184</v>
      </c>
      <c r="W661">
        <v>-1027.210290071788</v>
      </c>
    </row>
    <row r="662" spans="1:23" x14ac:dyDescent="0.35">
      <c r="A662" t="s">
        <v>115</v>
      </c>
      <c r="B662" t="s">
        <v>29</v>
      </c>
      <c r="C662">
        <v>155110.5</v>
      </c>
      <c r="D662">
        <v>4.0698300035803721</v>
      </c>
      <c r="E662">
        <v>0.83153153622069564</v>
      </c>
      <c r="F662">
        <v>8235.1579999999994</v>
      </c>
      <c r="G662">
        <v>-4527.5681324086381</v>
      </c>
      <c r="H662">
        <v>-4527.5681324086381</v>
      </c>
      <c r="I662">
        <v>0.56690055915266568</v>
      </c>
      <c r="J662">
        <v>0.75653969965931567</v>
      </c>
      <c r="K662">
        <v>3.3690873965645252</v>
      </c>
      <c r="L662">
        <v>-3425.2850350795202</v>
      </c>
      <c r="M662">
        <v>1</v>
      </c>
      <c r="N662">
        <v>-4527.5681324086381</v>
      </c>
      <c r="O662">
        <v>0.75653969965931567</v>
      </c>
      <c r="P662">
        <v>-3425.2850350795202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35">
      <c r="A663" t="s">
        <v>115</v>
      </c>
      <c r="B663" t="s">
        <v>30</v>
      </c>
      <c r="C663">
        <v>155904.20000000001</v>
      </c>
      <c r="D663">
        <v>3.3730329436205628</v>
      </c>
      <c r="E663">
        <v>0.65898958511206118</v>
      </c>
      <c r="F663">
        <v>11854.69</v>
      </c>
      <c r="G663">
        <v>2246.9163671678002</v>
      </c>
      <c r="H663">
        <v>2246.9163671678002</v>
      </c>
      <c r="I663">
        <v>2.0939144102622841E-2</v>
      </c>
      <c r="J663">
        <v>0.51046804219949171</v>
      </c>
      <c r="K663">
        <v>4.0698300035803721</v>
      </c>
      <c r="L663">
        <v>1146.9789989341409</v>
      </c>
      <c r="M663">
        <v>1</v>
      </c>
      <c r="N663">
        <v>2246.9163671678002</v>
      </c>
      <c r="O663">
        <v>0.51046804219949171</v>
      </c>
      <c r="P663">
        <v>1146.9789989341409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5">
      <c r="A664" t="s">
        <v>115</v>
      </c>
      <c r="B664" t="s">
        <v>31</v>
      </c>
      <c r="C664">
        <v>157257.60000000001</v>
      </c>
      <c r="D664">
        <v>3.5634320827799839</v>
      </c>
      <c r="E664">
        <v>0.63725403591919039</v>
      </c>
      <c r="F664">
        <v>9051.4310000000005</v>
      </c>
      <c r="G664">
        <v>-4203.3719888323176</v>
      </c>
      <c r="H664">
        <v>-4203.3719888323176</v>
      </c>
      <c r="I664">
        <v>-4.7837006381256271E-2</v>
      </c>
      <c r="J664">
        <v>0.47609972499259129</v>
      </c>
      <c r="K664">
        <v>3.3730329436205628</v>
      </c>
      <c r="L664">
        <v>-2001.2242479246279</v>
      </c>
      <c r="M664">
        <v>1</v>
      </c>
      <c r="N664">
        <v>-4203.3719888323176</v>
      </c>
      <c r="O664">
        <v>0.47609972499259129</v>
      </c>
      <c r="P664">
        <v>-2001.2242479246279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35">
      <c r="A665" t="s">
        <v>115</v>
      </c>
      <c r="B665" t="s">
        <v>32</v>
      </c>
      <c r="C665">
        <v>159034.1</v>
      </c>
      <c r="D665">
        <v>4.1117677131812167</v>
      </c>
      <c r="E665">
        <v>0.70780622659115577</v>
      </c>
      <c r="F665">
        <v>13357.51</v>
      </c>
      <c r="G665">
        <v>2981.2693730277952</v>
      </c>
      <c r="H665">
        <v>2981.2693730277952</v>
      </c>
      <c r="I665">
        <v>0.1754059418214958</v>
      </c>
      <c r="J665">
        <v>0.58681444473073074</v>
      </c>
      <c r="K665">
        <v>3.5634320827799839</v>
      </c>
      <c r="L665">
        <v>1749.451931726039</v>
      </c>
      <c r="M665">
        <v>1</v>
      </c>
      <c r="N665">
        <v>2981.2693730277952</v>
      </c>
      <c r="O665">
        <v>0.58681444473073074</v>
      </c>
      <c r="P665">
        <v>1749.451931726039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35">
      <c r="A666" t="s">
        <v>115</v>
      </c>
      <c r="B666" t="s">
        <v>33</v>
      </c>
      <c r="C666">
        <v>160011.79999999999</v>
      </c>
      <c r="D666">
        <v>3.110979636417222</v>
      </c>
      <c r="E666">
        <v>0.72425579192012668</v>
      </c>
      <c r="F666">
        <v>18459.61</v>
      </c>
      <c r="G666">
        <v>3803.4009892178929</v>
      </c>
      <c r="H666">
        <v>3803.4009892178929</v>
      </c>
      <c r="I666">
        <v>0.2274560543086824</v>
      </c>
      <c r="J666">
        <v>0.61180649506434992</v>
      </c>
      <c r="K666">
        <v>4.1117677131812167</v>
      </c>
      <c r="L666">
        <v>2326.945428537681</v>
      </c>
      <c r="M666">
        <v>1</v>
      </c>
      <c r="N666">
        <v>3803.4009892178929</v>
      </c>
      <c r="O666">
        <v>0.61180649506434992</v>
      </c>
      <c r="P666">
        <v>2326.945428537681</v>
      </c>
      <c r="Q666">
        <v>1</v>
      </c>
      <c r="R666">
        <v>0</v>
      </c>
      <c r="S666">
        <v>3803.4009892178929</v>
      </c>
      <c r="T666">
        <v>2326.945428537681</v>
      </c>
      <c r="U666">
        <v>1</v>
      </c>
      <c r="V666">
        <v>3803.4009892178929</v>
      </c>
      <c r="W666">
        <v>2326.945428537681</v>
      </c>
    </row>
    <row r="667" spans="1:23" x14ac:dyDescent="0.35">
      <c r="A667" t="s">
        <v>115</v>
      </c>
      <c r="B667" t="s">
        <v>34</v>
      </c>
      <c r="C667">
        <v>161774.79999999999</v>
      </c>
      <c r="D667">
        <v>3.6963528610379721</v>
      </c>
      <c r="E667">
        <v>0.8257516966142191</v>
      </c>
      <c r="F667">
        <v>21867.71</v>
      </c>
      <c r="G667">
        <v>2532.642848660435</v>
      </c>
      <c r="H667">
        <v>2532.642848660435</v>
      </c>
      <c r="I667">
        <v>0.5486118508701946</v>
      </c>
      <c r="J667">
        <v>0.74973954957838918</v>
      </c>
      <c r="K667">
        <v>3.110979636417222</v>
      </c>
      <c r="L667">
        <v>1898.822508597603</v>
      </c>
      <c r="M667">
        <v>1</v>
      </c>
      <c r="N667">
        <v>2532.642848660435</v>
      </c>
      <c r="O667">
        <v>0.74973954957838918</v>
      </c>
      <c r="P667">
        <v>1898.822508597603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35">
      <c r="A668" t="s">
        <v>115</v>
      </c>
      <c r="B668" t="s">
        <v>35</v>
      </c>
      <c r="C668">
        <v>164127.9</v>
      </c>
      <c r="D668">
        <v>4.2760776829825993</v>
      </c>
      <c r="E668">
        <v>0.84817104107238084</v>
      </c>
      <c r="F668">
        <v>13843.68</v>
      </c>
      <c r="G668">
        <v>-8502.2952960938928</v>
      </c>
      <c r="H668">
        <v>-8502.2952960938928</v>
      </c>
      <c r="I668">
        <v>0.61955168287178009</v>
      </c>
      <c r="J668">
        <v>0.77540790353741829</v>
      </c>
      <c r="K668">
        <v>3.6963528610379721</v>
      </c>
      <c r="L668">
        <v>-6592.7469708002182</v>
      </c>
      <c r="M668">
        <v>1</v>
      </c>
      <c r="N668">
        <v>-8502.2952960938928</v>
      </c>
      <c r="O668">
        <v>0.77540790353741829</v>
      </c>
      <c r="P668">
        <v>-6592.7469708002182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5">
      <c r="A669" t="s">
        <v>115</v>
      </c>
      <c r="B669" t="s">
        <v>36</v>
      </c>
      <c r="C669">
        <v>165277.79999999999</v>
      </c>
      <c r="D669">
        <v>3.8509049902719359</v>
      </c>
      <c r="E669">
        <v>0.85116017258286969</v>
      </c>
      <c r="F669">
        <v>13176.87</v>
      </c>
      <c r="G669">
        <v>-1287.1085488489391</v>
      </c>
      <c r="H669">
        <v>-1287.1085488489391</v>
      </c>
      <c r="I669">
        <v>0.62900996509677753</v>
      </c>
      <c r="J669">
        <v>0.77868506147564609</v>
      </c>
      <c r="K669">
        <v>4.2760776829825993</v>
      </c>
      <c r="L669">
        <v>-1002.252199486266</v>
      </c>
      <c r="M669">
        <v>1</v>
      </c>
      <c r="N669">
        <v>-1287.1085488489391</v>
      </c>
      <c r="O669">
        <v>0.77868506147564609</v>
      </c>
      <c r="P669">
        <v>-1002.252199486266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5">
      <c r="A670" t="s">
        <v>115</v>
      </c>
      <c r="B670" t="s">
        <v>37</v>
      </c>
      <c r="C670">
        <v>165396.5</v>
      </c>
      <c r="D670">
        <v>3.3098059029019251</v>
      </c>
      <c r="E670">
        <v>0.7124349111684759</v>
      </c>
      <c r="F670">
        <v>18019.05</v>
      </c>
      <c r="G670">
        <v>3782.8150578267828</v>
      </c>
      <c r="H670">
        <v>3782.8150578267828</v>
      </c>
      <c r="I670">
        <v>0.19005213751719019</v>
      </c>
      <c r="J670">
        <v>0.59389825255830486</v>
      </c>
      <c r="K670">
        <v>3.8509049902719359</v>
      </c>
      <c r="L670">
        <v>2246.6072525945701</v>
      </c>
      <c r="M670">
        <v>1</v>
      </c>
      <c r="N670">
        <v>3782.8150578267828</v>
      </c>
      <c r="O670">
        <v>0.59389825255830486</v>
      </c>
      <c r="P670">
        <v>2246.6072525945701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5">
      <c r="A671" t="s">
        <v>115</v>
      </c>
      <c r="B671" t="s">
        <v>38</v>
      </c>
      <c r="C671">
        <v>164952.20000000001</v>
      </c>
      <c r="D671">
        <v>1.9450490303008729</v>
      </c>
      <c r="E671">
        <v>0.76371569304357423</v>
      </c>
      <c r="F671">
        <v>14048.15</v>
      </c>
      <c r="G671">
        <v>-4873.0704452221198</v>
      </c>
      <c r="H671">
        <v>-4873.0704452221198</v>
      </c>
      <c r="I671">
        <v>0.35231602787840338</v>
      </c>
      <c r="J671">
        <v>0.66921395726967225</v>
      </c>
      <c r="K671">
        <v>3.3098059029019251</v>
      </c>
      <c r="L671">
        <v>-3261.1267567009791</v>
      </c>
      <c r="M671">
        <v>1</v>
      </c>
      <c r="N671">
        <v>-4873.0704452221198</v>
      </c>
      <c r="O671">
        <v>0.66921395726967225</v>
      </c>
      <c r="P671">
        <v>-3261.1267567009791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35">
      <c r="A672" t="s">
        <v>115</v>
      </c>
      <c r="B672" t="s">
        <v>39</v>
      </c>
      <c r="C672">
        <v>163137.5</v>
      </c>
      <c r="D672">
        <v>-0.60525984324646842</v>
      </c>
      <c r="E672">
        <v>0.85688381452006868</v>
      </c>
      <c r="F672">
        <v>13245.42</v>
      </c>
      <c r="G672">
        <v>-1612.889016524221</v>
      </c>
      <c r="H672">
        <v>-1612.889016524221</v>
      </c>
      <c r="I672">
        <v>0.64712085135484154</v>
      </c>
      <c r="J672">
        <v>0.78486427601136821</v>
      </c>
      <c r="K672">
        <v>1.9450490303008729</v>
      </c>
      <c r="L672">
        <v>-1265.8989702409699</v>
      </c>
      <c r="M672">
        <v>1</v>
      </c>
      <c r="N672">
        <v>-1612.889016524221</v>
      </c>
      <c r="O672">
        <v>0.78486427601136821</v>
      </c>
      <c r="P672">
        <v>-1265.8989702409699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5">
      <c r="A673" t="s">
        <v>115</v>
      </c>
      <c r="B673" t="s">
        <v>40</v>
      </c>
      <c r="C673">
        <v>159410.6</v>
      </c>
      <c r="D673">
        <v>-3.6144431019560979</v>
      </c>
      <c r="E673">
        <v>0.74620051138362653</v>
      </c>
      <c r="F673">
        <v>21794.11</v>
      </c>
      <c r="G673">
        <v>7502.5523747752904</v>
      </c>
      <c r="H673">
        <v>7502.5523747752904</v>
      </c>
      <c r="I673">
        <v>0.29689406642218419</v>
      </c>
      <c r="J673">
        <v>0.64423384645262249</v>
      </c>
      <c r="K673">
        <v>-0.60525984324646842</v>
      </c>
      <c r="L673">
        <v>4833.3981746137424</v>
      </c>
      <c r="M673">
        <v>1</v>
      </c>
      <c r="N673">
        <v>7502.5523747752904</v>
      </c>
      <c r="O673">
        <v>0.64423384645262249</v>
      </c>
      <c r="P673">
        <v>4833.3981746137424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5">
      <c r="A674" t="s">
        <v>115</v>
      </c>
      <c r="B674" t="s">
        <v>41</v>
      </c>
      <c r="C674">
        <v>157931.70000000001</v>
      </c>
      <c r="D674">
        <v>-4.6182960456771411</v>
      </c>
      <c r="E674">
        <v>0.77066595428458529</v>
      </c>
      <c r="F674">
        <v>18972.07</v>
      </c>
      <c r="G674">
        <v>-3571.395125890052</v>
      </c>
      <c r="H674">
        <v>-3571.395125890052</v>
      </c>
      <c r="I674">
        <v>0.37430821260639902</v>
      </c>
      <c r="J674">
        <v>0.67887715044779084</v>
      </c>
      <c r="K674">
        <v>-3.6144431019560979</v>
      </c>
      <c r="L674">
        <v>-2424.538546187368</v>
      </c>
      <c r="M674">
        <v>1</v>
      </c>
      <c r="N674">
        <v>-3571.395125890052</v>
      </c>
      <c r="O674">
        <v>0.67887715044779084</v>
      </c>
      <c r="P674">
        <v>-2424.538546187368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35">
      <c r="A675" t="s">
        <v>115</v>
      </c>
      <c r="B675" t="s">
        <v>42</v>
      </c>
      <c r="C675">
        <v>158097.1</v>
      </c>
      <c r="D675">
        <v>-4.2446333734415216</v>
      </c>
      <c r="E675">
        <v>0.83493738527825834</v>
      </c>
      <c r="F675">
        <v>14507.25</v>
      </c>
      <c r="G675">
        <v>-4886.0951899900501</v>
      </c>
      <c r="H675">
        <v>-4886.0951899900501</v>
      </c>
      <c r="I675">
        <v>0.57767742911945452</v>
      </c>
      <c r="J675">
        <v>0.76048764403856772</v>
      </c>
      <c r="K675">
        <v>-4.6182960456771411</v>
      </c>
      <c r="L675">
        <v>-3715.8150195837111</v>
      </c>
      <c r="M675">
        <v>1</v>
      </c>
      <c r="N675">
        <v>-4886.0951899900501</v>
      </c>
      <c r="O675">
        <v>0.76048764403856772</v>
      </c>
      <c r="P675">
        <v>-3715.8150195837111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5">
      <c r="A676" t="s">
        <v>115</v>
      </c>
      <c r="B676" t="s">
        <v>43</v>
      </c>
      <c r="C676">
        <v>159134.20000000001</v>
      </c>
      <c r="D676">
        <v>-2.484553210511983</v>
      </c>
      <c r="E676">
        <v>0.8964757196477745</v>
      </c>
      <c r="F676">
        <v>18951.79</v>
      </c>
      <c r="G676">
        <v>3701.552958534176</v>
      </c>
      <c r="H676">
        <v>3701.552958534176</v>
      </c>
      <c r="I676">
        <v>0.77239851518767866</v>
      </c>
      <c r="J676">
        <v>0.82416099055894243</v>
      </c>
      <c r="K676">
        <v>-4.2446333734415216</v>
      </c>
      <c r="L676">
        <v>3050.67555291191</v>
      </c>
      <c r="M676">
        <v>1</v>
      </c>
      <c r="N676">
        <v>3701.552958534176</v>
      </c>
      <c r="O676">
        <v>0.82416099055894243</v>
      </c>
      <c r="P676">
        <v>3050.67555291191</v>
      </c>
      <c r="Q676">
        <v>1</v>
      </c>
      <c r="R676">
        <v>0</v>
      </c>
      <c r="S676">
        <v>3701.552958534176</v>
      </c>
      <c r="T676">
        <v>3050.67555291191</v>
      </c>
      <c r="U676">
        <v>1</v>
      </c>
      <c r="V676">
        <v>3701.552958534176</v>
      </c>
      <c r="W676">
        <v>3050.67555291191</v>
      </c>
    </row>
    <row r="677" spans="1:23" x14ac:dyDescent="0.35">
      <c r="A677" t="s">
        <v>115</v>
      </c>
      <c r="B677" t="s">
        <v>44</v>
      </c>
      <c r="C677">
        <v>159139.29999999999</v>
      </c>
      <c r="D677">
        <v>-0.17033442207667249</v>
      </c>
      <c r="E677">
        <v>0.88902311546863932</v>
      </c>
      <c r="F677">
        <v>19711.91</v>
      </c>
      <c r="G677">
        <v>-36.739168690150109</v>
      </c>
      <c r="H677">
        <v>-36.739168690150109</v>
      </c>
      <c r="I677">
        <v>0.74881680478446944</v>
      </c>
      <c r="J677">
        <v>0.81722127218681206</v>
      </c>
      <c r="K677">
        <v>-2.484553210511983</v>
      </c>
      <c r="L677">
        <v>-30.02403017605037</v>
      </c>
      <c r="M677">
        <v>1</v>
      </c>
      <c r="N677">
        <v>-36.739168690150109</v>
      </c>
      <c r="O677">
        <v>0.81722127218681206</v>
      </c>
      <c r="P677">
        <v>-30.02403017605037</v>
      </c>
      <c r="Q677">
        <v>1</v>
      </c>
      <c r="R677">
        <v>0</v>
      </c>
      <c r="S677">
        <v>-36.739168690150109</v>
      </c>
      <c r="T677">
        <v>-30.02403017605037</v>
      </c>
      <c r="U677">
        <v>1</v>
      </c>
      <c r="V677">
        <v>-36.739168690150109</v>
      </c>
      <c r="W677">
        <v>-30.02403017605037</v>
      </c>
    </row>
    <row r="678" spans="1:23" x14ac:dyDescent="0.35">
      <c r="A678" t="s">
        <v>115</v>
      </c>
      <c r="B678" t="s">
        <v>45</v>
      </c>
      <c r="C678">
        <v>160601.20000000001</v>
      </c>
      <c r="D678">
        <v>1.676161237814404</v>
      </c>
      <c r="E678">
        <v>0.89737358558718794</v>
      </c>
      <c r="F678">
        <v>21449.03</v>
      </c>
      <c r="G678">
        <v>1198.9148978520791</v>
      </c>
      <c r="H678">
        <v>1198.9148978520791</v>
      </c>
      <c r="I678">
        <v>0.77523956431027008</v>
      </c>
      <c r="J678">
        <v>0.82498292212123647</v>
      </c>
      <c r="K678">
        <v>-0.17033442207667249</v>
      </c>
      <c r="L678">
        <v>989.08431580469176</v>
      </c>
      <c r="M678">
        <v>1</v>
      </c>
      <c r="N678">
        <v>1198.9148978520791</v>
      </c>
      <c r="O678">
        <v>0.82498292212123647</v>
      </c>
      <c r="P678">
        <v>989.08431580469176</v>
      </c>
      <c r="Q678">
        <v>1</v>
      </c>
      <c r="R678">
        <v>0</v>
      </c>
      <c r="S678">
        <v>1198.9148978520791</v>
      </c>
      <c r="T678">
        <v>989.08431580469176</v>
      </c>
      <c r="U678">
        <v>1</v>
      </c>
      <c r="V678">
        <v>1198.9148978520791</v>
      </c>
      <c r="W678">
        <v>989.08431580469176</v>
      </c>
    </row>
    <row r="679" spans="1:23" x14ac:dyDescent="0.35">
      <c r="A679" t="s">
        <v>115</v>
      </c>
      <c r="B679" t="s">
        <v>46</v>
      </c>
      <c r="C679">
        <v>160742.79999999999</v>
      </c>
      <c r="D679">
        <v>1.659617084177281</v>
      </c>
      <c r="E679">
        <v>0.88483325052651007</v>
      </c>
      <c r="F679">
        <v>19653.439999999999</v>
      </c>
      <c r="G679">
        <v>-2226.0035218636149</v>
      </c>
      <c r="H679">
        <v>-2226.0035218636149</v>
      </c>
      <c r="I679">
        <v>0.73555913279237972</v>
      </c>
      <c r="J679">
        <v>0.81322729739070354</v>
      </c>
      <c r="K679">
        <v>1.676161237814404</v>
      </c>
      <c r="L679">
        <v>-1810.2468280673349</v>
      </c>
      <c r="M679">
        <v>1</v>
      </c>
      <c r="N679">
        <v>-2226.0035218636149</v>
      </c>
      <c r="O679">
        <v>0.81322729739070354</v>
      </c>
      <c r="P679">
        <v>-1810.2468280673349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5">
      <c r="A680" t="s">
        <v>115</v>
      </c>
      <c r="B680" t="s">
        <v>47</v>
      </c>
      <c r="C680">
        <v>162131.79999999999</v>
      </c>
      <c r="D680">
        <v>1.8661713313759269</v>
      </c>
      <c r="E680">
        <v>0.70013253418730703</v>
      </c>
      <c r="F680">
        <v>14901.64</v>
      </c>
      <c r="G680">
        <v>-5163.8778878903649</v>
      </c>
      <c r="H680">
        <v>-5163.8778878903649</v>
      </c>
      <c r="I680">
        <v>0.15112465871008449</v>
      </c>
      <c r="J680">
        <v>0.57499228886235731</v>
      </c>
      <c r="K680">
        <v>1.659617084177281</v>
      </c>
      <c r="L680">
        <v>-2969.1899661637958</v>
      </c>
      <c r="M680">
        <v>1</v>
      </c>
      <c r="N680">
        <v>-5163.8778878903649</v>
      </c>
      <c r="O680">
        <v>0.57499228886235731</v>
      </c>
      <c r="P680">
        <v>-2969.1899661637958</v>
      </c>
      <c r="Q680">
        <v>1</v>
      </c>
      <c r="R680">
        <v>0</v>
      </c>
      <c r="S680">
        <v>-5163.8778878903649</v>
      </c>
      <c r="T680">
        <v>-2969.1899661637958</v>
      </c>
      <c r="U680">
        <v>1</v>
      </c>
      <c r="V680">
        <v>-5163.8778878903649</v>
      </c>
      <c r="W680">
        <v>-2969.1899661637958</v>
      </c>
    </row>
    <row r="681" spans="1:23" x14ac:dyDescent="0.35">
      <c r="A681" t="s">
        <v>115</v>
      </c>
      <c r="B681" t="s">
        <v>48</v>
      </c>
      <c r="C681">
        <v>163917.6</v>
      </c>
      <c r="D681">
        <v>2.9583943238016239</v>
      </c>
      <c r="E681">
        <v>0.90506717765962519</v>
      </c>
      <c r="F681">
        <v>13397.83</v>
      </c>
      <c r="G681">
        <v>-2196.1557660518852</v>
      </c>
      <c r="H681">
        <v>-2196.1557660518852</v>
      </c>
      <c r="I681">
        <v>0.79958381443435156</v>
      </c>
      <c r="J681">
        <v>0.83190201763542249</v>
      </c>
      <c r="K681">
        <v>1.8661713313759269</v>
      </c>
      <c r="L681">
        <v>-1826.98641282023</v>
      </c>
      <c r="M681">
        <v>1</v>
      </c>
      <c r="N681">
        <v>-2196.1557660518852</v>
      </c>
      <c r="O681">
        <v>0.83190201763542249</v>
      </c>
      <c r="P681">
        <v>-1826.98641282023</v>
      </c>
      <c r="Q681">
        <v>1</v>
      </c>
      <c r="R681">
        <v>0</v>
      </c>
      <c r="S681">
        <v>-2196.1557660518852</v>
      </c>
      <c r="T681">
        <v>-1826.98641282023</v>
      </c>
      <c r="U681">
        <v>1</v>
      </c>
      <c r="V681">
        <v>-2196.1557660518852</v>
      </c>
      <c r="W681">
        <v>-1826.98641282023</v>
      </c>
    </row>
    <row r="682" spans="1:23" x14ac:dyDescent="0.35">
      <c r="A682" t="s">
        <v>115</v>
      </c>
      <c r="B682" t="s">
        <v>49</v>
      </c>
      <c r="C682">
        <v>163821</v>
      </c>
      <c r="D682">
        <v>1.985009486477801</v>
      </c>
      <c r="E682">
        <v>0.94129525349289989</v>
      </c>
      <c r="F682">
        <v>14121</v>
      </c>
      <c r="G682">
        <v>-273.04318602130661</v>
      </c>
      <c r="H682">
        <v>-273.04318602130661</v>
      </c>
      <c r="I682">
        <v>0.91421756825125222</v>
      </c>
      <c r="J682">
        <v>0.86157520150452693</v>
      </c>
      <c r="K682">
        <v>2.9583943238016239</v>
      </c>
      <c r="L682">
        <v>-235.2472380157453</v>
      </c>
      <c r="M682">
        <v>1</v>
      </c>
      <c r="N682">
        <v>-273.04318602130661</v>
      </c>
      <c r="O682">
        <v>0.86157520150452693</v>
      </c>
      <c r="P682">
        <v>-235.2472380157453</v>
      </c>
      <c r="Q682">
        <v>1</v>
      </c>
      <c r="R682">
        <v>0</v>
      </c>
      <c r="S682">
        <v>-273.04318602130661</v>
      </c>
      <c r="T682">
        <v>-235.2472380157453</v>
      </c>
      <c r="U682">
        <v>1</v>
      </c>
      <c r="V682">
        <v>-273.04318602130661</v>
      </c>
      <c r="W682">
        <v>-235.2472380157453</v>
      </c>
    </row>
    <row r="683" spans="1:23" x14ac:dyDescent="0.35">
      <c r="A683" t="s">
        <v>115</v>
      </c>
      <c r="B683" t="s">
        <v>50</v>
      </c>
      <c r="C683">
        <v>163585.20000000001</v>
      </c>
      <c r="D683">
        <v>1.752838346083726</v>
      </c>
      <c r="E683">
        <v>0.95693754279520105</v>
      </c>
      <c r="F683">
        <v>20227.560000000001</v>
      </c>
      <c r="G683">
        <v>5061.6006823259177</v>
      </c>
      <c r="H683">
        <v>5061.6006823259177</v>
      </c>
      <c r="I683">
        <v>0.96371327840889121</v>
      </c>
      <c r="J683">
        <v>0.87296430494648458</v>
      </c>
      <c r="K683">
        <v>1.985009486477801</v>
      </c>
      <c r="L683">
        <v>4418.5967215632973</v>
      </c>
      <c r="M683">
        <v>1</v>
      </c>
      <c r="N683">
        <v>5061.6006823259177</v>
      </c>
      <c r="O683">
        <v>0.87296430494648458</v>
      </c>
      <c r="P683">
        <v>4418.5967215632973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5">
      <c r="A684" t="s">
        <v>115</v>
      </c>
      <c r="B684" t="s">
        <v>51</v>
      </c>
      <c r="C684">
        <v>162722.79999999999</v>
      </c>
      <c r="D684">
        <v>0.36385549228770542</v>
      </c>
      <c r="E684">
        <v>0.93005399539795863</v>
      </c>
      <c r="F684">
        <v>19436.98</v>
      </c>
      <c r="G684">
        <v>-1556.8530311641989</v>
      </c>
      <c r="H684">
        <v>-1556.8530311641989</v>
      </c>
      <c r="I684">
        <v>0.87864770748972199</v>
      </c>
      <c r="J684">
        <v>0.85287060634356238</v>
      </c>
      <c r="K684">
        <v>1.752838346083726</v>
      </c>
      <c r="L684">
        <v>-1327.7941886768231</v>
      </c>
      <c r="M684">
        <v>1</v>
      </c>
      <c r="N684">
        <v>-1556.8530311641989</v>
      </c>
      <c r="O684">
        <v>0.85287060634356238</v>
      </c>
      <c r="P684">
        <v>-1327.7941886768231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5">
      <c r="A685" t="s">
        <v>115</v>
      </c>
      <c r="B685" t="s">
        <v>52</v>
      </c>
      <c r="C685">
        <v>162577</v>
      </c>
      <c r="D685">
        <v>-0.82121268410250048</v>
      </c>
      <c r="E685">
        <v>0.88021782630792467</v>
      </c>
      <c r="F685">
        <v>18629.88</v>
      </c>
      <c r="G685">
        <v>-1290.561426222474</v>
      </c>
      <c r="H685">
        <v>-1290.561426222474</v>
      </c>
      <c r="I685">
        <v>0.7209548958445281</v>
      </c>
      <c r="J685">
        <v>0.80875021941664027</v>
      </c>
      <c r="K685">
        <v>0.36385549228770542</v>
      </c>
      <c r="L685">
        <v>-1043.7418366280781</v>
      </c>
      <c r="M685">
        <v>1</v>
      </c>
      <c r="N685">
        <v>-1290.561426222474</v>
      </c>
      <c r="O685">
        <v>0.80875021941664027</v>
      </c>
      <c r="P685">
        <v>-1043.7418366280781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35">
      <c r="A686" t="s">
        <v>115</v>
      </c>
      <c r="B686" t="s">
        <v>53</v>
      </c>
      <c r="C686">
        <v>162496.4</v>
      </c>
      <c r="D686">
        <v>-0.8118520651360811</v>
      </c>
      <c r="E686">
        <v>0.85025150573688402</v>
      </c>
      <c r="F686">
        <v>36827.879999999997</v>
      </c>
      <c r="G686">
        <v>17641.959197543922</v>
      </c>
      <c r="H686">
        <v>17641.959197543922</v>
      </c>
      <c r="I686">
        <v>0.62613473948436371</v>
      </c>
      <c r="J686">
        <v>0.77769247159961585</v>
      </c>
      <c r="K686">
        <v>-0.82121268410250048</v>
      </c>
      <c r="L686">
        <v>13720.018852197511</v>
      </c>
      <c r="M686">
        <v>1</v>
      </c>
      <c r="N686">
        <v>17641.959197543922</v>
      </c>
      <c r="O686">
        <v>0.77769247159961585</v>
      </c>
      <c r="P686">
        <v>13720.018852197511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35">
      <c r="A687" t="s">
        <v>115</v>
      </c>
      <c r="B687" t="s">
        <v>54</v>
      </c>
      <c r="C687">
        <v>161720.5</v>
      </c>
      <c r="D687">
        <v>-1.146441899747296</v>
      </c>
      <c r="E687">
        <v>0.81911645745682926</v>
      </c>
      <c r="F687">
        <v>25945.24</v>
      </c>
      <c r="G687">
        <v>-10760.52865517087</v>
      </c>
      <c r="H687">
        <v>-10760.52865517087</v>
      </c>
      <c r="I687">
        <v>0.52761646663877837</v>
      </c>
      <c r="J687">
        <v>0.74177849921953709</v>
      </c>
      <c r="K687">
        <v>-0.8118520651360811</v>
      </c>
      <c r="L687">
        <v>-7981.9287966414749</v>
      </c>
      <c r="M687">
        <v>1</v>
      </c>
      <c r="N687">
        <v>-10760.52865517087</v>
      </c>
      <c r="O687">
        <v>0.74177849921953709</v>
      </c>
      <c r="P687">
        <v>-7981.9287966414749</v>
      </c>
      <c r="Q687">
        <v>1</v>
      </c>
      <c r="R687">
        <v>0</v>
      </c>
      <c r="S687">
        <v>-10760.52865517087</v>
      </c>
      <c r="T687">
        <v>-7981.9287966414749</v>
      </c>
      <c r="U687">
        <v>1</v>
      </c>
      <c r="V687">
        <v>-10760.52865517087</v>
      </c>
      <c r="W687">
        <v>-7981.9287966414749</v>
      </c>
    </row>
    <row r="688" spans="1:23" x14ac:dyDescent="0.35">
      <c r="A688" t="s">
        <v>115</v>
      </c>
      <c r="B688" t="s">
        <v>55</v>
      </c>
      <c r="C688">
        <v>160825</v>
      </c>
      <c r="D688">
        <v>-1.173132232809847</v>
      </c>
      <c r="E688">
        <v>0.79098568979121842</v>
      </c>
      <c r="F688">
        <v>38752.269999999997</v>
      </c>
      <c r="G688">
        <v>13434.743327128041</v>
      </c>
      <c r="H688">
        <v>13434.743327128041</v>
      </c>
      <c r="I688">
        <v>0.43860441117934329</v>
      </c>
      <c r="J688">
        <v>0.70624348679563387</v>
      </c>
      <c r="K688">
        <v>-1.146441899747296</v>
      </c>
      <c r="L688">
        <v>9488.1999715552811</v>
      </c>
      <c r="M688">
        <v>1</v>
      </c>
      <c r="N688">
        <v>13434.743327128041</v>
      </c>
      <c r="O688">
        <v>0.70624348679563387</v>
      </c>
      <c r="P688">
        <v>9488.1999715552811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35">
      <c r="A689" t="s">
        <v>115</v>
      </c>
      <c r="B689" t="s">
        <v>56</v>
      </c>
      <c r="C689">
        <v>160758.1</v>
      </c>
      <c r="D689">
        <v>-1.1250985043257129</v>
      </c>
      <c r="E689">
        <v>0.75500040198183449</v>
      </c>
      <c r="F689">
        <v>31598.92</v>
      </c>
      <c r="G689">
        <v>-6578.8883624478913</v>
      </c>
      <c r="H689">
        <v>-6578.8883624478913</v>
      </c>
      <c r="I689">
        <v>0.32473889310006432</v>
      </c>
      <c r="J689">
        <v>0.65689277334012885</v>
      </c>
      <c r="K689">
        <v>-1.173132232809847</v>
      </c>
      <c r="L689">
        <v>-4321.6242219034939</v>
      </c>
      <c r="M689">
        <v>1</v>
      </c>
      <c r="N689">
        <v>-6578.8883624478913</v>
      </c>
      <c r="O689">
        <v>0.65689277334012885</v>
      </c>
      <c r="P689">
        <v>-4321.6242219034939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35">
      <c r="A690" t="s">
        <v>115</v>
      </c>
      <c r="B690" t="s">
        <v>57</v>
      </c>
      <c r="C690">
        <v>161446.6</v>
      </c>
      <c r="D690">
        <v>-0.64814098471410986</v>
      </c>
      <c r="E690">
        <v>0.72203246811237076</v>
      </c>
      <c r="F690">
        <v>14113.9</v>
      </c>
      <c r="G690">
        <v>-16534.748271214699</v>
      </c>
      <c r="H690">
        <v>-16534.748271214699</v>
      </c>
      <c r="I690">
        <v>0.22042095933961819</v>
      </c>
      <c r="J690">
        <v>0.60845962481941296</v>
      </c>
      <c r="K690">
        <v>-1.1250985043257129</v>
      </c>
      <c r="L690">
        <v>-10060.72672958673</v>
      </c>
      <c r="M690">
        <v>1</v>
      </c>
      <c r="N690">
        <v>-16534.748271214699</v>
      </c>
      <c r="O690">
        <v>0.60845962481941296</v>
      </c>
      <c r="P690">
        <v>-10060.72672958673</v>
      </c>
      <c r="Q690">
        <v>1</v>
      </c>
      <c r="R690">
        <v>0</v>
      </c>
      <c r="S690">
        <v>-16534.748271214699</v>
      </c>
      <c r="T690">
        <v>-10060.72672958673</v>
      </c>
      <c r="U690">
        <v>1</v>
      </c>
      <c r="V690">
        <v>-16534.748271214699</v>
      </c>
      <c r="W690">
        <v>-10060.72672958673</v>
      </c>
    </row>
    <row r="691" spans="1:23" x14ac:dyDescent="0.35">
      <c r="A691" t="s">
        <v>115</v>
      </c>
      <c r="B691" t="s">
        <v>58</v>
      </c>
      <c r="C691">
        <v>162258.1</v>
      </c>
      <c r="D691">
        <v>0.33187407651549178</v>
      </c>
      <c r="E691">
        <v>0.36963846072841983</v>
      </c>
      <c r="F691">
        <v>15802.53</v>
      </c>
      <c r="G691">
        <v>1579.518846364859</v>
      </c>
      <c r="H691">
        <v>1579.518846364859</v>
      </c>
      <c r="I691">
        <v>-0.89463268234178295</v>
      </c>
      <c r="J691">
        <v>0.14316281553358909</v>
      </c>
      <c r="K691">
        <v>-0.64814098471410986</v>
      </c>
      <c r="L691">
        <v>226.1283652339597</v>
      </c>
      <c r="M691">
        <v>1</v>
      </c>
      <c r="N691">
        <v>1579.518846364859</v>
      </c>
      <c r="O691">
        <v>0.14316281553358909</v>
      </c>
      <c r="P691">
        <v>226.1283652339597</v>
      </c>
      <c r="Q691">
        <v>1</v>
      </c>
      <c r="R691">
        <v>0</v>
      </c>
      <c r="S691">
        <v>1579.518846364859</v>
      </c>
      <c r="T691">
        <v>226.1283652339597</v>
      </c>
      <c r="U691">
        <v>1</v>
      </c>
      <c r="V691">
        <v>1579.518846364859</v>
      </c>
      <c r="W691">
        <v>226.1283652339597</v>
      </c>
    </row>
    <row r="692" spans="1:23" x14ac:dyDescent="0.35">
      <c r="A692" t="s">
        <v>115</v>
      </c>
      <c r="B692" t="s">
        <v>59</v>
      </c>
      <c r="C692">
        <v>163238.39999999999</v>
      </c>
      <c r="D692">
        <v>1.489489167327017</v>
      </c>
      <c r="E692">
        <v>0.40190159694305139</v>
      </c>
      <c r="F692">
        <v>18492.009999999998</v>
      </c>
      <c r="G692">
        <v>1747.8482793999319</v>
      </c>
      <c r="H692">
        <v>1747.8482793999319</v>
      </c>
      <c r="I692">
        <v>-0.79254488636802389</v>
      </c>
      <c r="J692">
        <v>0.17007585343316289</v>
      </c>
      <c r="K692">
        <v>0.33187407651549178</v>
      </c>
      <c r="L692">
        <v>297.26678779062883</v>
      </c>
      <c r="M692">
        <v>1</v>
      </c>
      <c r="N692">
        <v>1747.8482793999319</v>
      </c>
      <c r="O692">
        <v>0.17007585343316289</v>
      </c>
      <c r="P692">
        <v>297.26678779062883</v>
      </c>
      <c r="Q692">
        <v>1</v>
      </c>
      <c r="R692">
        <v>0</v>
      </c>
      <c r="S692">
        <v>1747.8482793999319</v>
      </c>
      <c r="T692">
        <v>297.26678779062883</v>
      </c>
      <c r="U692">
        <v>1</v>
      </c>
      <c r="V692">
        <v>1747.8482793999319</v>
      </c>
      <c r="W692">
        <v>297.26678779062883</v>
      </c>
    </row>
    <row r="693" spans="1:23" x14ac:dyDescent="0.35">
      <c r="A693" t="s">
        <v>115</v>
      </c>
      <c r="B693" t="s">
        <v>60</v>
      </c>
      <c r="C693">
        <v>163615.79999999999</v>
      </c>
      <c r="D693">
        <v>1.7620245871757561</v>
      </c>
      <c r="E693">
        <v>0.38521248872213798</v>
      </c>
      <c r="F693">
        <v>19536.86</v>
      </c>
      <c r="G693">
        <v>296.42782514671848</v>
      </c>
      <c r="H693">
        <v>296.42782514671848</v>
      </c>
      <c r="I693">
        <v>-0.84535296626782985</v>
      </c>
      <c r="J693">
        <v>0.1556830256858408</v>
      </c>
      <c r="K693">
        <v>1.489489167327017</v>
      </c>
      <c r="L693">
        <v>46.148780716314519</v>
      </c>
      <c r="M693">
        <v>1</v>
      </c>
      <c r="N693">
        <v>296.42782514671848</v>
      </c>
      <c r="O693">
        <v>0.1556830256858408</v>
      </c>
      <c r="P693">
        <v>46.148780716314519</v>
      </c>
      <c r="Q693">
        <v>1</v>
      </c>
      <c r="R693">
        <v>0</v>
      </c>
      <c r="S693">
        <v>296.42782514671848</v>
      </c>
      <c r="T693">
        <v>46.148780716314519</v>
      </c>
      <c r="U693">
        <v>1</v>
      </c>
      <c r="V693">
        <v>296.42782514671848</v>
      </c>
      <c r="W693">
        <v>46.148780716314519</v>
      </c>
    </row>
    <row r="694" spans="1:23" x14ac:dyDescent="0.35">
      <c r="A694" t="s">
        <v>115</v>
      </c>
      <c r="B694" t="s">
        <v>61</v>
      </c>
      <c r="C694">
        <v>164141.5</v>
      </c>
      <c r="D694">
        <v>1.655442286898275</v>
      </c>
      <c r="E694">
        <v>-0.47966989604981469</v>
      </c>
      <c r="F694">
        <v>20086.099999999999</v>
      </c>
      <c r="G694">
        <v>-19.53534989586478</v>
      </c>
      <c r="H694">
        <v>-19.53534989586478</v>
      </c>
      <c r="I694">
        <v>-3.5820347274741411</v>
      </c>
      <c r="J694">
        <v>7.7330033400076659E-4</v>
      </c>
      <c r="K694">
        <v>1.7620245871757561</v>
      </c>
      <c r="L694">
        <v>-1.5106692599294079E-2</v>
      </c>
      <c r="M694">
        <v>1</v>
      </c>
      <c r="N694">
        <v>-19.53534989586478</v>
      </c>
      <c r="O694">
        <v>7.7330033400076659E-4</v>
      </c>
      <c r="P694">
        <v>-1.5106692599294079E-2</v>
      </c>
      <c r="Q694">
        <v>1</v>
      </c>
      <c r="R694">
        <v>0</v>
      </c>
      <c r="S694">
        <v>-19.53534989586478</v>
      </c>
      <c r="T694">
        <v>-1.5106692599294079E-2</v>
      </c>
      <c r="U694">
        <v>1</v>
      </c>
      <c r="V694">
        <v>-19.53534989586478</v>
      </c>
      <c r="W694">
        <v>-1.5106692599294079E-2</v>
      </c>
    </row>
    <row r="695" spans="1:23" x14ac:dyDescent="0.35">
      <c r="A695" t="s">
        <v>115</v>
      </c>
      <c r="B695" t="s">
        <v>62</v>
      </c>
      <c r="C695">
        <v>164090.6</v>
      </c>
      <c r="D695">
        <v>1.1230437013839429</v>
      </c>
      <c r="E695">
        <v>-0.30718721041192071</v>
      </c>
      <c r="F695">
        <v>14211.19</v>
      </c>
      <c r="G695">
        <v>-6368.2256188433221</v>
      </c>
      <c r="H695">
        <v>-6368.2256188433221</v>
      </c>
      <c r="I695">
        <v>-3.0362608416600971</v>
      </c>
      <c r="J695">
        <v>2.3000500795243369E-3</v>
      </c>
      <c r="K695">
        <v>1.655442286898275</v>
      </c>
      <c r="L695">
        <v>-14.647237841049501</v>
      </c>
      <c r="M695">
        <v>1</v>
      </c>
      <c r="N695">
        <v>-6368.2256188433221</v>
      </c>
      <c r="O695">
        <v>2.3000500795243369E-3</v>
      </c>
      <c r="P695">
        <v>-14.647237841049501</v>
      </c>
      <c r="Q695">
        <v>1</v>
      </c>
      <c r="R695">
        <v>0</v>
      </c>
      <c r="S695">
        <v>-6368.2256188433221</v>
      </c>
      <c r="T695">
        <v>-14.647237841049501</v>
      </c>
      <c r="U695">
        <v>1</v>
      </c>
      <c r="V695">
        <v>-6368.2256188433221</v>
      </c>
      <c r="W695">
        <v>-14.647237841049501</v>
      </c>
    </row>
    <row r="696" spans="1:23" x14ac:dyDescent="0.35">
      <c r="A696" t="s">
        <v>115</v>
      </c>
      <c r="B696" t="s">
        <v>63</v>
      </c>
      <c r="C696">
        <v>166308.9</v>
      </c>
      <c r="D696">
        <v>1.863519353555056</v>
      </c>
      <c r="E696">
        <v>-0.16967875030259091</v>
      </c>
      <c r="F696">
        <v>17252.02</v>
      </c>
      <c r="G696">
        <v>2343.4323165346868</v>
      </c>
      <c r="H696">
        <v>2343.4323165346868</v>
      </c>
      <c r="I696">
        <v>-2.6011532462013292</v>
      </c>
      <c r="J696">
        <v>5.4737285601343406E-3</v>
      </c>
      <c r="K696">
        <v>1.1230437013839429</v>
      </c>
      <c r="L696">
        <v>12.8273123997577</v>
      </c>
      <c r="M696">
        <v>1</v>
      </c>
      <c r="N696">
        <v>2343.4323165346868</v>
      </c>
      <c r="O696">
        <v>5.4737285601343406E-3</v>
      </c>
      <c r="P696">
        <v>12.8273123997577</v>
      </c>
      <c r="Q696">
        <v>1</v>
      </c>
      <c r="R696">
        <v>0</v>
      </c>
      <c r="S696">
        <v>2343.4323165346868</v>
      </c>
      <c r="T696">
        <v>12.8273123997577</v>
      </c>
      <c r="U696">
        <v>1</v>
      </c>
      <c r="V696">
        <v>2343.4323165346868</v>
      </c>
      <c r="W696">
        <v>12.8273123997577</v>
      </c>
    </row>
    <row r="697" spans="1:23" x14ac:dyDescent="0.35">
      <c r="A697" t="s">
        <v>115</v>
      </c>
      <c r="B697" t="s">
        <v>64</v>
      </c>
      <c r="C697">
        <v>166961.9</v>
      </c>
      <c r="D697">
        <v>2.0244646152942818</v>
      </c>
      <c r="E697">
        <v>-0.48317030065580407</v>
      </c>
      <c r="F697">
        <v>29838.2</v>
      </c>
      <c r="G697">
        <v>11706.8741061117</v>
      </c>
      <c r="H697">
        <v>11706.8741061117</v>
      </c>
      <c r="I697">
        <v>-3.5931107923943202</v>
      </c>
      <c r="J697">
        <v>7.5637124142968238E-4</v>
      </c>
      <c r="K697">
        <v>1.863519353555056</v>
      </c>
      <c r="L697">
        <v>8.8547429009007121</v>
      </c>
      <c r="M697">
        <v>1</v>
      </c>
      <c r="N697">
        <v>11706.8741061117</v>
      </c>
      <c r="O697">
        <v>7.5637124142968238E-4</v>
      </c>
      <c r="P697">
        <v>8.8547429009007121</v>
      </c>
      <c r="Q697">
        <v>1</v>
      </c>
      <c r="R697">
        <v>0</v>
      </c>
      <c r="S697">
        <v>11706.8741061117</v>
      </c>
      <c r="T697">
        <v>8.8547429009007121</v>
      </c>
      <c r="U697">
        <v>1</v>
      </c>
      <c r="V697">
        <v>11706.8741061117</v>
      </c>
      <c r="W697">
        <v>8.8547429009007121</v>
      </c>
    </row>
    <row r="698" spans="1:23" x14ac:dyDescent="0.35">
      <c r="A698" t="s">
        <v>115</v>
      </c>
      <c r="B698" t="s">
        <v>65</v>
      </c>
      <c r="C698">
        <v>167670.79999999999</v>
      </c>
      <c r="D698">
        <v>2.1273672515166999</v>
      </c>
      <c r="E698">
        <v>3.7289954144141373E-2</v>
      </c>
      <c r="F698">
        <v>25360.74</v>
      </c>
      <c r="G698">
        <v>-4702.6314541169268</v>
      </c>
      <c r="H698">
        <v>-4702.6314541169268</v>
      </c>
      <c r="I698">
        <v>-1.946257865543046</v>
      </c>
      <c r="J698">
        <v>1.9986374062674572E-2</v>
      </c>
      <c r="K698">
        <v>2.0244646152942818</v>
      </c>
      <c r="L698">
        <v>-93.988551320880148</v>
      </c>
      <c r="M698">
        <v>1</v>
      </c>
      <c r="N698">
        <v>-4702.6314541169268</v>
      </c>
      <c r="O698">
        <v>1.9986374062674572E-2</v>
      </c>
      <c r="P698">
        <v>-93.988551320880148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35">
      <c r="A699" t="s">
        <v>115</v>
      </c>
      <c r="B699" t="s">
        <v>66</v>
      </c>
      <c r="C699">
        <v>168467.1</v>
      </c>
      <c r="D699">
        <v>2.6321764192372772</v>
      </c>
      <c r="E699">
        <v>0.58473989492247136</v>
      </c>
      <c r="F699">
        <v>21280.47</v>
      </c>
      <c r="G699">
        <v>-3835.168726222837</v>
      </c>
      <c r="H699">
        <v>-3835.168726222837</v>
      </c>
      <c r="I699">
        <v>-0.21400352150693011</v>
      </c>
      <c r="J699">
        <v>0.39460233157347158</v>
      </c>
      <c r="K699">
        <v>2.1273672515166999</v>
      </c>
      <c r="L699">
        <v>-1513.366521345192</v>
      </c>
      <c r="M699">
        <v>1</v>
      </c>
      <c r="N699">
        <v>-3835.168726222837</v>
      </c>
      <c r="O699">
        <v>0.39460233157347158</v>
      </c>
      <c r="P699">
        <v>-1513.366521345192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35">
      <c r="A700" t="s">
        <v>115</v>
      </c>
      <c r="B700" t="s">
        <v>67</v>
      </c>
      <c r="C700">
        <v>168863.1</v>
      </c>
      <c r="D700">
        <v>1.5241424970366899</v>
      </c>
      <c r="E700">
        <v>0.57713518063228886</v>
      </c>
      <c r="F700">
        <v>18517.900000000001</v>
      </c>
      <c r="G700">
        <v>-2909.1155667876369</v>
      </c>
      <c r="H700">
        <v>-2909.1155667876369</v>
      </c>
      <c r="I700">
        <v>-0.238066542402673</v>
      </c>
      <c r="J700">
        <v>0.38316565575523709</v>
      </c>
      <c r="K700">
        <v>2.6321764192372772</v>
      </c>
      <c r="L700">
        <v>-1114.673173815954</v>
      </c>
      <c r="M700">
        <v>1</v>
      </c>
      <c r="N700">
        <v>-2909.1155667876369</v>
      </c>
      <c r="O700">
        <v>0.38316565575523709</v>
      </c>
      <c r="P700">
        <v>-1114.673173815954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5">
      <c r="A701" t="s">
        <v>115</v>
      </c>
      <c r="B701" t="s">
        <v>68</v>
      </c>
      <c r="C701">
        <v>169959.5</v>
      </c>
      <c r="D701">
        <v>1.7794530698163999</v>
      </c>
      <c r="E701">
        <v>0.63012629722051494</v>
      </c>
      <c r="F701">
        <v>22826.080000000002</v>
      </c>
      <c r="G701">
        <v>3842.526243353896</v>
      </c>
      <c r="H701">
        <v>3842.526243353896</v>
      </c>
      <c r="I701">
        <v>-7.0390769573522957E-2</v>
      </c>
      <c r="J701">
        <v>0.46486262964119018</v>
      </c>
      <c r="K701">
        <v>1.5241424970366899</v>
      </c>
      <c r="L701">
        <v>1786.2468539507761</v>
      </c>
      <c r="M701">
        <v>1</v>
      </c>
      <c r="N701">
        <v>3842.526243353896</v>
      </c>
      <c r="O701">
        <v>0.46486262964119018</v>
      </c>
      <c r="P701">
        <v>1786.2468539507761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35">
      <c r="A702" t="s">
        <v>115</v>
      </c>
      <c r="B702" t="s">
        <v>69</v>
      </c>
      <c r="C702">
        <v>171272.2</v>
      </c>
      <c r="D702">
        <v>2.1251570561688928</v>
      </c>
      <c r="E702">
        <v>0.63902327505001955</v>
      </c>
      <c r="F702">
        <v>18513.21</v>
      </c>
      <c r="G702">
        <v>-4750.2373136210626</v>
      </c>
      <c r="H702">
        <v>-4750.2373136210626</v>
      </c>
      <c r="I702">
        <v>-4.2238737130080188E-2</v>
      </c>
      <c r="J702">
        <v>0.47889318224354238</v>
      </c>
      <c r="K702">
        <v>1.7794530698163999</v>
      </c>
      <c r="L702">
        <v>-2274.8562635320068</v>
      </c>
      <c r="M702">
        <v>1</v>
      </c>
      <c r="N702">
        <v>-4750.2373136210626</v>
      </c>
      <c r="O702">
        <v>0.47889318224354238</v>
      </c>
      <c r="P702">
        <v>-2274.8562635320068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35">
      <c r="A703" t="s">
        <v>115</v>
      </c>
      <c r="B703" t="s">
        <v>70</v>
      </c>
      <c r="C703">
        <v>172802</v>
      </c>
      <c r="D703">
        <v>2.5405951874350472</v>
      </c>
      <c r="E703">
        <v>0.56396404964640767</v>
      </c>
      <c r="F703">
        <v>30182.29</v>
      </c>
      <c r="G703">
        <v>11282.735474875861</v>
      </c>
      <c r="H703">
        <v>11282.735474875861</v>
      </c>
      <c r="I703">
        <v>-0.27974295364444501</v>
      </c>
      <c r="J703">
        <v>0.36366641919427928</v>
      </c>
      <c r="K703">
        <v>2.1251570561688928</v>
      </c>
      <c r="L703">
        <v>4103.1520088643701</v>
      </c>
      <c r="M703">
        <v>1</v>
      </c>
      <c r="N703">
        <v>11282.735474875861</v>
      </c>
      <c r="O703">
        <v>0.36366641919427928</v>
      </c>
      <c r="P703">
        <v>4103.1520088643701</v>
      </c>
      <c r="Q703">
        <v>1</v>
      </c>
      <c r="R703">
        <v>0</v>
      </c>
      <c r="S703">
        <v>11282.735474875861</v>
      </c>
      <c r="T703">
        <v>4103.1520088643701</v>
      </c>
      <c r="U703">
        <v>1</v>
      </c>
      <c r="V703">
        <v>11282.735474875861</v>
      </c>
      <c r="W703">
        <v>4103.1520088643701</v>
      </c>
    </row>
    <row r="704" spans="1:23" x14ac:dyDescent="0.35">
      <c r="A704" t="s">
        <v>115</v>
      </c>
      <c r="B704" t="s">
        <v>71</v>
      </c>
      <c r="C704">
        <v>174189.3</v>
      </c>
      <c r="D704">
        <v>3.1054311404665098</v>
      </c>
      <c r="E704">
        <v>0.59597618021378107</v>
      </c>
      <c r="F704">
        <v>32031.3</v>
      </c>
      <c r="G704">
        <v>1702.312279079182</v>
      </c>
      <c r="H704">
        <v>1702.312279079182</v>
      </c>
      <c r="I704">
        <v>-0.17844939581093039</v>
      </c>
      <c r="J704">
        <v>0.41171048779145181</v>
      </c>
      <c r="K704">
        <v>2.5405951874350472</v>
      </c>
      <c r="L704">
        <v>700.85981879306814</v>
      </c>
      <c r="M704">
        <v>1</v>
      </c>
      <c r="N704">
        <v>1702.312279079182</v>
      </c>
      <c r="O704">
        <v>0.41171048779145181</v>
      </c>
      <c r="P704">
        <v>700.85981879306814</v>
      </c>
      <c r="Q704">
        <v>1</v>
      </c>
      <c r="R704">
        <v>0</v>
      </c>
      <c r="S704">
        <v>1702.312279079182</v>
      </c>
      <c r="T704">
        <v>700.85981879306814</v>
      </c>
      <c r="U704">
        <v>1</v>
      </c>
      <c r="V704">
        <v>1702.312279079182</v>
      </c>
      <c r="W704">
        <v>700.85981879306814</v>
      </c>
    </row>
    <row r="705" spans="1:23" x14ac:dyDescent="0.35">
      <c r="A705" t="s">
        <v>115</v>
      </c>
      <c r="B705" t="s">
        <v>72</v>
      </c>
      <c r="C705">
        <v>175222.9</v>
      </c>
      <c r="D705">
        <v>3.0498704349724259</v>
      </c>
      <c r="E705">
        <v>0.8874714005094525</v>
      </c>
      <c r="F705">
        <v>29910.11</v>
      </c>
      <c r="G705">
        <v>-1594.595393211242</v>
      </c>
      <c r="H705">
        <v>-1594.595393211242</v>
      </c>
      <c r="I705">
        <v>0.7439068307785619</v>
      </c>
      <c r="J705">
        <v>0.81574988834865148</v>
      </c>
      <c r="K705">
        <v>3.1054311404665098</v>
      </c>
      <c r="L705">
        <v>-1300.7910139733449</v>
      </c>
      <c r="M705">
        <v>1</v>
      </c>
      <c r="N705">
        <v>-1594.595393211242</v>
      </c>
      <c r="O705">
        <v>0.81574988834865148</v>
      </c>
      <c r="P705">
        <v>-1300.7910139733449</v>
      </c>
      <c r="Q705">
        <v>1</v>
      </c>
      <c r="R705">
        <v>0</v>
      </c>
      <c r="S705">
        <v>-1594.595393211242</v>
      </c>
      <c r="T705">
        <v>-1300.7910139733449</v>
      </c>
      <c r="U705">
        <v>1</v>
      </c>
      <c r="V705">
        <v>-1594.595393211242</v>
      </c>
      <c r="W705">
        <v>-1300.7910139733449</v>
      </c>
    </row>
    <row r="706" spans="1:23" x14ac:dyDescent="0.35">
      <c r="A706" t="s">
        <v>115</v>
      </c>
      <c r="B706" t="s">
        <v>73</v>
      </c>
      <c r="C706">
        <v>176115.9</v>
      </c>
      <c r="D706">
        <v>2.788819725754049</v>
      </c>
      <c r="E706">
        <v>0.88011979914587446</v>
      </c>
      <c r="F706">
        <v>16514.349999999999</v>
      </c>
      <c r="G706">
        <v>-12857.951240235971</v>
      </c>
      <c r="H706">
        <v>-12857.951240235971</v>
      </c>
      <c r="I706">
        <v>0.72064471592734047</v>
      </c>
      <c r="J706">
        <v>0.80865424793368434</v>
      </c>
      <c r="K706">
        <v>3.0498704349724259</v>
      </c>
      <c r="L706">
        <v>-10397.636890141001</v>
      </c>
      <c r="M706">
        <v>1</v>
      </c>
      <c r="N706">
        <v>-12857.951240235971</v>
      </c>
      <c r="O706">
        <v>0.80865424793368434</v>
      </c>
      <c r="P706">
        <v>-10397.636890141001</v>
      </c>
      <c r="Q706">
        <v>1</v>
      </c>
      <c r="R706">
        <v>0</v>
      </c>
      <c r="S706">
        <v>-12857.951240235971</v>
      </c>
      <c r="T706">
        <v>-10397.636890141001</v>
      </c>
      <c r="U706">
        <v>1</v>
      </c>
      <c r="V706">
        <v>-12857.951240235971</v>
      </c>
      <c r="W706">
        <v>-10397.636890141001</v>
      </c>
    </row>
    <row r="707" spans="1:23" x14ac:dyDescent="0.35">
      <c r="A707" t="s">
        <v>115</v>
      </c>
      <c r="B707" t="s">
        <v>74</v>
      </c>
      <c r="C707">
        <v>177452.3</v>
      </c>
      <c r="D707">
        <v>2.6555410029033708</v>
      </c>
      <c r="E707">
        <v>0.70764492876218699</v>
      </c>
      <c r="F707">
        <v>16325.61</v>
      </c>
      <c r="G707">
        <v>-289.78211110166382</v>
      </c>
      <c r="H707">
        <v>-289.78211110166382</v>
      </c>
      <c r="I707">
        <v>0.17489555932968739</v>
      </c>
      <c r="J707">
        <v>0.58656692482006967</v>
      </c>
      <c r="K707">
        <v>2.788819725754049</v>
      </c>
      <c r="L707">
        <v>-169.97660177677071</v>
      </c>
      <c r="M707">
        <v>1</v>
      </c>
      <c r="N707">
        <v>-289.78211110166382</v>
      </c>
      <c r="O707">
        <v>0.58656692482006967</v>
      </c>
      <c r="P707">
        <v>-169.97660177677071</v>
      </c>
      <c r="Q707">
        <v>1</v>
      </c>
      <c r="R707">
        <v>0</v>
      </c>
      <c r="S707">
        <v>-289.78211110166382</v>
      </c>
      <c r="T707">
        <v>-169.97660177677071</v>
      </c>
      <c r="U707">
        <v>1</v>
      </c>
      <c r="V707">
        <v>-289.78211110166382</v>
      </c>
      <c r="W707">
        <v>-169.97660177677071</v>
      </c>
    </row>
    <row r="708" spans="1:23" x14ac:dyDescent="0.35">
      <c r="A708" t="s">
        <v>115</v>
      </c>
      <c r="B708" t="s">
        <v>75</v>
      </c>
      <c r="C708">
        <v>178572.5</v>
      </c>
      <c r="D708">
        <v>2.4852042342116851</v>
      </c>
      <c r="E708">
        <v>0.71840204373005101</v>
      </c>
      <c r="F708">
        <v>28396.560000000001</v>
      </c>
      <c r="G708">
        <v>11273.465479390619</v>
      </c>
      <c r="H708">
        <v>11273.465479390619</v>
      </c>
      <c r="I708">
        <v>0.20893348269832571</v>
      </c>
      <c r="J708">
        <v>0.60297272092139664</v>
      </c>
      <c r="K708">
        <v>2.6555410029033708</v>
      </c>
      <c r="L708">
        <v>6797.5921543215991</v>
      </c>
      <c r="M708">
        <v>1</v>
      </c>
      <c r="N708">
        <v>11273.465479390619</v>
      </c>
      <c r="O708">
        <v>0.60297272092139664</v>
      </c>
      <c r="P708">
        <v>6797.5921543215991</v>
      </c>
      <c r="Q708">
        <v>1</v>
      </c>
      <c r="R708">
        <v>0</v>
      </c>
      <c r="S708">
        <v>11273.465479390619</v>
      </c>
      <c r="T708">
        <v>6797.5921543215991</v>
      </c>
      <c r="U708">
        <v>1</v>
      </c>
      <c r="V708">
        <v>11273.465479390619</v>
      </c>
      <c r="W708">
        <v>6797.5921543215991</v>
      </c>
    </row>
    <row r="709" spans="1:23" x14ac:dyDescent="0.35">
      <c r="A709" t="s">
        <v>115</v>
      </c>
      <c r="B709" t="s">
        <v>76</v>
      </c>
      <c r="C709">
        <v>179852.9</v>
      </c>
      <c r="D709">
        <v>2.6080416836535592</v>
      </c>
      <c r="E709">
        <v>0.64808282028799347</v>
      </c>
      <c r="F709">
        <v>13622.16</v>
      </c>
      <c r="G709">
        <v>-15104.230619776299</v>
      </c>
      <c r="H709">
        <v>-15104.230619776299</v>
      </c>
      <c r="I709">
        <v>-1.3572304960665599E-2</v>
      </c>
      <c r="J709">
        <v>0.49321426417560837</v>
      </c>
      <c r="K709">
        <v>2.4852042342116851</v>
      </c>
      <c r="L709">
        <v>-7449.6219910716609</v>
      </c>
      <c r="M709">
        <v>1</v>
      </c>
      <c r="N709">
        <v>-15104.230619776299</v>
      </c>
      <c r="O709">
        <v>0.49321426417560837</v>
      </c>
      <c r="P709">
        <v>-7449.6219910716609</v>
      </c>
      <c r="Q709">
        <v>1</v>
      </c>
      <c r="R709">
        <v>0</v>
      </c>
      <c r="S709">
        <v>-15104.230619776299</v>
      </c>
      <c r="T709">
        <v>-7449.6219910716609</v>
      </c>
      <c r="U709">
        <v>1</v>
      </c>
      <c r="V709">
        <v>-15104.230619776299</v>
      </c>
      <c r="W709">
        <v>-7449.6219910716609</v>
      </c>
    </row>
    <row r="710" spans="1:23" x14ac:dyDescent="0.35">
      <c r="A710" t="s">
        <v>115</v>
      </c>
      <c r="B710" t="s">
        <v>77</v>
      </c>
      <c r="C710">
        <v>180673.8</v>
      </c>
      <c r="D710">
        <v>2.555089435244549</v>
      </c>
      <c r="E710">
        <v>0.39332036828426359</v>
      </c>
      <c r="F710">
        <v>25653.23</v>
      </c>
      <c r="G710">
        <v>11737.80673016071</v>
      </c>
      <c r="H710">
        <v>11737.80673016071</v>
      </c>
      <c r="I710">
        <v>-0.81969781764831307</v>
      </c>
      <c r="J710">
        <v>0.1625473153628087</v>
      </c>
      <c r="K710">
        <v>2.6080416836535592</v>
      </c>
      <c r="L710">
        <v>1907.9489722351309</v>
      </c>
      <c r="M710">
        <v>1</v>
      </c>
      <c r="N710">
        <v>11737.80673016071</v>
      </c>
      <c r="O710">
        <v>0.1625473153628087</v>
      </c>
      <c r="P710">
        <v>1907.9489722351309</v>
      </c>
      <c r="Q710">
        <v>1</v>
      </c>
      <c r="R710">
        <v>0</v>
      </c>
      <c r="S710">
        <v>11737.80673016071</v>
      </c>
      <c r="T710">
        <v>1907.9489722351309</v>
      </c>
      <c r="U710">
        <v>1</v>
      </c>
      <c r="V710">
        <v>11737.80673016071</v>
      </c>
      <c r="W710">
        <v>1907.9489722351309</v>
      </c>
    </row>
    <row r="711" spans="1:23" x14ac:dyDescent="0.35">
      <c r="A711" t="s">
        <v>115</v>
      </c>
      <c r="B711" t="s">
        <v>78</v>
      </c>
      <c r="C711">
        <v>181134.2</v>
      </c>
      <c r="D711">
        <v>2.0536352595602372</v>
      </c>
      <c r="E711">
        <v>0.50393456976118467</v>
      </c>
      <c r="F711">
        <v>28710.76</v>
      </c>
      <c r="G711">
        <v>2480.1654601144551</v>
      </c>
      <c r="H711">
        <v>2480.1654601144551</v>
      </c>
      <c r="I711">
        <v>-0.46968968585810628</v>
      </c>
      <c r="J711">
        <v>0.28102572365011108</v>
      </c>
      <c r="K711">
        <v>2.555089435244549</v>
      </c>
      <c r="L711">
        <v>696.9902932006753</v>
      </c>
      <c r="M711">
        <v>1</v>
      </c>
      <c r="N711">
        <v>2480.1654601144551</v>
      </c>
      <c r="O711">
        <v>0.28102572365011108</v>
      </c>
      <c r="P711">
        <v>696.9902932006753</v>
      </c>
      <c r="Q711">
        <v>1</v>
      </c>
      <c r="R711">
        <v>0</v>
      </c>
      <c r="S711">
        <v>2480.1654601144551</v>
      </c>
      <c r="T711">
        <v>696.9902932006753</v>
      </c>
      <c r="U711">
        <v>1</v>
      </c>
      <c r="V711">
        <v>2480.1654601144551</v>
      </c>
      <c r="W711">
        <v>696.9902932006753</v>
      </c>
    </row>
    <row r="712" spans="1:23" x14ac:dyDescent="0.35">
      <c r="A712" t="s">
        <v>115</v>
      </c>
      <c r="B712" t="s">
        <v>79</v>
      </c>
      <c r="C712">
        <v>181637.1</v>
      </c>
      <c r="D712">
        <v>1.701605923293118</v>
      </c>
      <c r="E712">
        <v>0.84847497706535457</v>
      </c>
      <c r="F712">
        <v>26443.05</v>
      </c>
      <c r="G712">
        <v>-2105.371652046339</v>
      </c>
      <c r="H712">
        <v>-2105.371652046339</v>
      </c>
      <c r="I712">
        <v>0.62051340449218828</v>
      </c>
      <c r="J712">
        <v>0.77574269466127543</v>
      </c>
      <c r="K712">
        <v>2.0536352595602372</v>
      </c>
      <c r="L712">
        <v>-1633.2266786218879</v>
      </c>
      <c r="M712">
        <v>1</v>
      </c>
      <c r="N712">
        <v>-2105.371652046339</v>
      </c>
      <c r="O712">
        <v>0.77574269466127543</v>
      </c>
      <c r="P712">
        <v>-1633.2266786218879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5">
      <c r="A713" t="s">
        <v>115</v>
      </c>
      <c r="B713" t="s">
        <v>80</v>
      </c>
      <c r="C713">
        <v>183908</v>
      </c>
      <c r="D713">
        <v>2.2296338007434948</v>
      </c>
      <c r="E713">
        <v>0.8869726631106476</v>
      </c>
      <c r="F713">
        <v>36588.019999999997</v>
      </c>
      <c r="G713">
        <v>10374.885475181431</v>
      </c>
      <c r="H713">
        <v>10374.885475181431</v>
      </c>
      <c r="I713">
        <v>0.74232871383807097</v>
      </c>
      <c r="J713">
        <v>0.81527502721546052</v>
      </c>
      <c r="K713">
        <v>1.701605923293118</v>
      </c>
      <c r="L713">
        <v>8458.3850381358279</v>
      </c>
      <c r="M713">
        <v>1</v>
      </c>
      <c r="N713">
        <v>10374.885475181431</v>
      </c>
      <c r="O713">
        <v>0.81527502721546052</v>
      </c>
      <c r="P713">
        <v>8458.3850381358279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5">
      <c r="A714" t="s">
        <v>115</v>
      </c>
      <c r="B714" t="s">
        <v>81</v>
      </c>
      <c r="C714">
        <v>184731.4</v>
      </c>
      <c r="D714">
        <v>2.2209682783174931</v>
      </c>
      <c r="E714">
        <v>0.88777309684358063</v>
      </c>
      <c r="F714">
        <v>40489.040000000001</v>
      </c>
      <c r="G714">
        <v>4415.4972307526914</v>
      </c>
      <c r="H714">
        <v>4415.4972307526914</v>
      </c>
      <c r="I714">
        <v>0.74486146561627908</v>
      </c>
      <c r="J714">
        <v>0.81603668243327887</v>
      </c>
      <c r="K714">
        <v>2.2296338007434948</v>
      </c>
      <c r="L714">
        <v>3603.2077114767558</v>
      </c>
      <c r="M714">
        <v>1</v>
      </c>
      <c r="N714">
        <v>4415.4972307526914</v>
      </c>
      <c r="O714">
        <v>0.81603668243327887</v>
      </c>
      <c r="P714">
        <v>3603.2077114767558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35">
      <c r="A715" t="s">
        <v>115</v>
      </c>
      <c r="B715" t="s">
        <v>82</v>
      </c>
      <c r="C715">
        <v>185576</v>
      </c>
      <c r="D715">
        <v>2.422630864428275</v>
      </c>
      <c r="E715">
        <v>0.88120348536134252</v>
      </c>
      <c r="F715">
        <v>32800.980000000003</v>
      </c>
      <c r="G715">
        <v>-6497.529962925415</v>
      </c>
      <c r="H715">
        <v>-6497.529962925415</v>
      </c>
      <c r="I715">
        <v>0.72407374206194497</v>
      </c>
      <c r="J715">
        <v>0.8097131662515743</v>
      </c>
      <c r="K715">
        <v>2.2209682783174931</v>
      </c>
      <c r="L715">
        <v>-5261.1355590948124</v>
      </c>
      <c r="M715">
        <v>1</v>
      </c>
      <c r="N715">
        <v>-6497.529962925415</v>
      </c>
      <c r="O715">
        <v>0.8097131662515743</v>
      </c>
      <c r="P715">
        <v>-5261.1355590948124</v>
      </c>
      <c r="Q715">
        <v>1</v>
      </c>
      <c r="R715">
        <v>0</v>
      </c>
      <c r="S715">
        <v>-6497.529962925415</v>
      </c>
      <c r="T715">
        <v>-5261.1355590948124</v>
      </c>
      <c r="U715">
        <v>1</v>
      </c>
      <c r="V715">
        <v>-6497.529962925415</v>
      </c>
      <c r="W715">
        <v>-5261.1355590948124</v>
      </c>
    </row>
    <row r="716" spans="1:23" x14ac:dyDescent="0.35">
      <c r="A716" t="s">
        <v>115</v>
      </c>
      <c r="B716" t="s">
        <v>83</v>
      </c>
      <c r="C716">
        <v>185680.3</v>
      </c>
      <c r="D716">
        <v>2.2015637191807009</v>
      </c>
      <c r="E716">
        <v>0.85543398745287791</v>
      </c>
      <c r="F716">
        <v>52716.26</v>
      </c>
      <c r="G716">
        <v>21002.415296564999</v>
      </c>
      <c r="H716">
        <v>21002.415296564999</v>
      </c>
      <c r="I716">
        <v>0.6425332734811976</v>
      </c>
      <c r="J716">
        <v>0.78331098054322645</v>
      </c>
      <c r="K716">
        <v>2.422630864428275</v>
      </c>
      <c r="L716">
        <v>16451.422519728389</v>
      </c>
      <c r="M716">
        <v>1</v>
      </c>
      <c r="N716">
        <v>21002.415296564999</v>
      </c>
      <c r="O716">
        <v>0.78331098054322645</v>
      </c>
      <c r="P716">
        <v>16451.422519728389</v>
      </c>
      <c r="Q716">
        <v>1</v>
      </c>
      <c r="R716">
        <v>0</v>
      </c>
      <c r="S716">
        <v>21002.415296564999</v>
      </c>
      <c r="T716">
        <v>16451.422519728389</v>
      </c>
      <c r="U716">
        <v>1</v>
      </c>
      <c r="V716">
        <v>21002.415296564999</v>
      </c>
      <c r="W716">
        <v>16451.422519728389</v>
      </c>
    </row>
    <row r="717" spans="1:23" x14ac:dyDescent="0.35">
      <c r="A717" t="s">
        <v>115</v>
      </c>
      <c r="B717" t="s">
        <v>84</v>
      </c>
      <c r="C717">
        <v>183729.1</v>
      </c>
      <c r="D717">
        <v>-9.732424400104249E-2</v>
      </c>
      <c r="E717">
        <v>0.91956876946936317</v>
      </c>
      <c r="F717">
        <v>55684.71</v>
      </c>
      <c r="G717">
        <v>4447.7439987703037</v>
      </c>
      <c r="H717">
        <v>4447.7439987703037</v>
      </c>
      <c r="I717">
        <v>0.84547010199544337</v>
      </c>
      <c r="J717">
        <v>0.84434776583407822</v>
      </c>
      <c r="K717">
        <v>2.2015637191807009</v>
      </c>
      <c r="L717">
        <v>3755.4427083636351</v>
      </c>
      <c r="M717">
        <v>1</v>
      </c>
      <c r="N717">
        <v>4447.7439987703037</v>
      </c>
      <c r="O717">
        <v>0.84434776583407822</v>
      </c>
      <c r="P717">
        <v>3755.4427083636351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35">
      <c r="A718" t="s">
        <v>115</v>
      </c>
      <c r="B718" t="s">
        <v>85</v>
      </c>
      <c r="C718">
        <v>168417</v>
      </c>
      <c r="D718">
        <v>-9.2459831338225715</v>
      </c>
      <c r="E718">
        <v>0.9652747387311339</v>
      </c>
      <c r="F718">
        <v>28914.37</v>
      </c>
      <c r="G718">
        <v>-24149.360667720372</v>
      </c>
      <c r="H718">
        <v>-24149.360667720372</v>
      </c>
      <c r="I718">
        <v>0.99009403544499019</v>
      </c>
      <c r="J718">
        <v>0.87870120914595218</v>
      </c>
      <c r="K718">
        <v>-9.732424400104249E-2</v>
      </c>
      <c r="L718">
        <v>-21220.072418827589</v>
      </c>
      <c r="M718">
        <v>1</v>
      </c>
      <c r="N718">
        <v>-24149.360667720372</v>
      </c>
      <c r="O718">
        <v>0.87870120914595218</v>
      </c>
      <c r="P718">
        <v>-21220.072418827589</v>
      </c>
      <c r="Q718">
        <v>1</v>
      </c>
      <c r="R718">
        <v>0</v>
      </c>
      <c r="S718">
        <v>-24149.360667720372</v>
      </c>
      <c r="T718">
        <v>-21220.072418827589</v>
      </c>
      <c r="U718">
        <v>1</v>
      </c>
      <c r="V718">
        <v>-24149.360667720372</v>
      </c>
      <c r="W718">
        <v>-21220.072418827589</v>
      </c>
    </row>
    <row r="719" spans="1:23" x14ac:dyDescent="0.35">
      <c r="A719" t="s">
        <v>115</v>
      </c>
      <c r="B719" t="s">
        <v>86</v>
      </c>
      <c r="C719">
        <v>179415.4</v>
      </c>
      <c r="D719">
        <v>-3.3760714010923571</v>
      </c>
      <c r="E719">
        <v>0.94534042086754366</v>
      </c>
      <c r="F719">
        <v>27497.73</v>
      </c>
      <c r="G719">
        <v>298.34674216415812</v>
      </c>
      <c r="H719">
        <v>298.34674216415812</v>
      </c>
      <c r="I719">
        <v>0.92701738470043726</v>
      </c>
      <c r="J719">
        <v>0.86460013552184545</v>
      </c>
      <c r="K719">
        <v>-9.2459831338225715</v>
      </c>
      <c r="L719">
        <v>257.95063370763222</v>
      </c>
      <c r="M719">
        <v>1</v>
      </c>
      <c r="N719">
        <v>298.34674216415812</v>
      </c>
      <c r="O719">
        <v>0.86460013552184545</v>
      </c>
      <c r="P719">
        <v>257.95063370763222</v>
      </c>
      <c r="Q719">
        <v>1</v>
      </c>
      <c r="R719">
        <v>0</v>
      </c>
      <c r="S719">
        <v>298.34674216415812</v>
      </c>
      <c r="T719">
        <v>257.95063370763222</v>
      </c>
      <c r="U719">
        <v>1</v>
      </c>
      <c r="V719">
        <v>298.34674216415812</v>
      </c>
      <c r="W719">
        <v>257.95063370763222</v>
      </c>
    </row>
    <row r="720" spans="1:23" x14ac:dyDescent="0.35">
      <c r="A720" t="s">
        <v>115</v>
      </c>
      <c r="B720" t="s">
        <v>87</v>
      </c>
      <c r="C720">
        <v>180005.6</v>
      </c>
      <c r="D720">
        <v>-3.1038416130390671</v>
      </c>
      <c r="E720">
        <v>0.95278787121667763</v>
      </c>
      <c r="F720">
        <v>22319.62</v>
      </c>
      <c r="G720">
        <v>-4896.0136572600422</v>
      </c>
      <c r="H720">
        <v>-4896.0136572600422</v>
      </c>
      <c r="I720">
        <v>0.95058278723009859</v>
      </c>
      <c r="J720">
        <v>0.87002338879069985</v>
      </c>
      <c r="K720">
        <v>-3.3760714010923571</v>
      </c>
      <c r="L720">
        <v>-4259.6463936549299</v>
      </c>
      <c r="M720">
        <v>1</v>
      </c>
      <c r="N720">
        <v>-4896.0136572600422</v>
      </c>
      <c r="O720">
        <v>0.87002338879069985</v>
      </c>
      <c r="P720">
        <v>-4259.6463936549299</v>
      </c>
      <c r="Q720">
        <v>1</v>
      </c>
      <c r="R720">
        <v>0</v>
      </c>
      <c r="S720">
        <v>-4896.0136572600422</v>
      </c>
      <c r="T720">
        <v>-4259.6463936549299</v>
      </c>
      <c r="U720">
        <v>1</v>
      </c>
      <c r="V720">
        <v>-4896.0136572600422</v>
      </c>
      <c r="W720">
        <v>-4259.6463936549299</v>
      </c>
    </row>
    <row r="721" spans="1:23" x14ac:dyDescent="0.35">
      <c r="A721" t="s">
        <v>115</v>
      </c>
      <c r="B721" t="s">
        <v>88</v>
      </c>
      <c r="C721">
        <v>181867.7</v>
      </c>
      <c r="D721">
        <v>-1.0182890464109799</v>
      </c>
      <c r="E721">
        <v>0.92189000686713862</v>
      </c>
      <c r="F721">
        <v>11888.73</v>
      </c>
      <c r="G721">
        <v>-10426.43013953445</v>
      </c>
      <c r="H721">
        <v>-10426.43013953445</v>
      </c>
      <c r="I721">
        <v>0.85281501751432875</v>
      </c>
      <c r="J721">
        <v>0.84626862022789384</v>
      </c>
      <c r="K721">
        <v>-3.1038416130390671</v>
      </c>
      <c r="L721">
        <v>-8823.560648086348</v>
      </c>
      <c r="M721">
        <v>1</v>
      </c>
      <c r="N721">
        <v>-10426.43013953445</v>
      </c>
      <c r="O721">
        <v>0.84626862022789384</v>
      </c>
      <c r="P721">
        <v>-8823.560648086348</v>
      </c>
      <c r="Q721">
        <v>1</v>
      </c>
      <c r="R721">
        <v>0</v>
      </c>
      <c r="S721">
        <v>-10426.43013953445</v>
      </c>
      <c r="T721">
        <v>-8823.560648086348</v>
      </c>
      <c r="U721">
        <v>1</v>
      </c>
      <c r="V721">
        <v>-10426.43013953445</v>
      </c>
      <c r="W721">
        <v>-8823.560648086348</v>
      </c>
    </row>
    <row r="722" spans="1:23" x14ac:dyDescent="0.35">
      <c r="A722" t="s">
        <v>115</v>
      </c>
      <c r="B722" t="s">
        <v>89</v>
      </c>
      <c r="C722">
        <v>188981.5</v>
      </c>
      <c r="D722">
        <v>11.52060798389758</v>
      </c>
      <c r="E722">
        <v>0.92166053839860596</v>
      </c>
      <c r="F722">
        <v>18072.810000000001</v>
      </c>
      <c r="G722">
        <v>5509.7133275447604</v>
      </c>
      <c r="H722">
        <v>5509.7133275447604</v>
      </c>
      <c r="I722">
        <v>0.85208892783593759</v>
      </c>
      <c r="J722">
        <v>0.84607959952126888</v>
      </c>
      <c r="K722">
        <v>-1.0182890464109799</v>
      </c>
      <c r="L722">
        <v>4661.6560456460666</v>
      </c>
      <c r="M722">
        <v>1</v>
      </c>
      <c r="N722">
        <v>5509.7133275447604</v>
      </c>
      <c r="O722">
        <v>0.84607959952126888</v>
      </c>
      <c r="P722">
        <v>4661.6560456460666</v>
      </c>
      <c r="Q722">
        <v>1</v>
      </c>
      <c r="R722">
        <v>0</v>
      </c>
      <c r="S722">
        <v>5509.7133275447604</v>
      </c>
      <c r="T722">
        <v>4661.6560456460666</v>
      </c>
      <c r="U722">
        <v>1</v>
      </c>
      <c r="V722">
        <v>5509.7133275447604</v>
      </c>
      <c r="W722">
        <v>4661.6560456460666</v>
      </c>
    </row>
    <row r="723" spans="1:23" x14ac:dyDescent="0.35">
      <c r="A723" t="s">
        <v>115</v>
      </c>
      <c r="B723" t="s">
        <v>90</v>
      </c>
      <c r="C723">
        <v>192381.9</v>
      </c>
      <c r="D723">
        <v>6.9778671327169954</v>
      </c>
      <c r="E723">
        <v>0.85416351122823841</v>
      </c>
      <c r="F723">
        <v>21508.560000000001</v>
      </c>
      <c r="G723">
        <v>2469.4532050039338</v>
      </c>
      <c r="H723">
        <v>2469.4532050039338</v>
      </c>
      <c r="I723">
        <v>0.63851320188159633</v>
      </c>
      <c r="J723">
        <v>0.78194317944310876</v>
      </c>
      <c r="K723">
        <v>11.52060798389758</v>
      </c>
      <c r="L723">
        <v>1930.972090606751</v>
      </c>
      <c r="M723">
        <v>1</v>
      </c>
      <c r="N723">
        <v>2469.4532050039338</v>
      </c>
      <c r="O723">
        <v>0.78194317944310876</v>
      </c>
      <c r="P723">
        <v>1930.972090606751</v>
      </c>
      <c r="Q723">
        <v>1</v>
      </c>
      <c r="R723">
        <v>0</v>
      </c>
      <c r="S723">
        <v>2469.4532050039338</v>
      </c>
      <c r="T723">
        <v>1930.972090606751</v>
      </c>
      <c r="U723">
        <v>1</v>
      </c>
      <c r="V723">
        <v>2469.4532050039338</v>
      </c>
      <c r="W723">
        <v>1930.972090606751</v>
      </c>
    </row>
    <row r="724" spans="1:23" x14ac:dyDescent="0.35">
      <c r="A724" t="s">
        <v>115</v>
      </c>
      <c r="B724" t="s">
        <v>91</v>
      </c>
      <c r="C724">
        <v>192486.2</v>
      </c>
      <c r="D724">
        <v>6.7036501329039861</v>
      </c>
      <c r="E724">
        <v>0.83958993849604324</v>
      </c>
      <c r="F724">
        <v>19802.650000000001</v>
      </c>
      <c r="G724">
        <v>-2218.2724663803642</v>
      </c>
      <c r="H724">
        <v>-2218.2724663803642</v>
      </c>
      <c r="I724">
        <v>0.59239915054462944</v>
      </c>
      <c r="J724">
        <v>0.76580945400066935</v>
      </c>
      <c r="K724">
        <v>6.9778671327169954</v>
      </c>
      <c r="L724">
        <v>-1698.774026303465</v>
      </c>
      <c r="M724">
        <v>1</v>
      </c>
      <c r="N724">
        <v>-2218.2724663803642</v>
      </c>
      <c r="O724">
        <v>0.76580945400066935</v>
      </c>
      <c r="P724">
        <v>-1698.774026303465</v>
      </c>
      <c r="Q724">
        <v>1</v>
      </c>
      <c r="R724">
        <v>0</v>
      </c>
      <c r="S724">
        <v>-2218.2724663803642</v>
      </c>
      <c r="T724">
        <v>-1698.774026303465</v>
      </c>
      <c r="U724">
        <v>1</v>
      </c>
      <c r="V724">
        <v>-2218.2724663803642</v>
      </c>
      <c r="W724">
        <v>-1698.774026303465</v>
      </c>
    </row>
    <row r="725" spans="1:23" x14ac:dyDescent="0.35">
      <c r="A725" t="s">
        <v>115</v>
      </c>
      <c r="B725" t="s">
        <v>92</v>
      </c>
      <c r="C725">
        <v>194964.8</v>
      </c>
      <c r="D725">
        <v>6.9539529785650727</v>
      </c>
      <c r="E725">
        <v>0.76347766085443414</v>
      </c>
      <c r="F725">
        <v>26455.02</v>
      </c>
      <c r="G725">
        <v>6249.2545952329347</v>
      </c>
      <c r="H725">
        <v>6249.2545952329347</v>
      </c>
      <c r="I725">
        <v>0.35156284066813148</v>
      </c>
      <c r="J725">
        <v>0.66888041127297715</v>
      </c>
      <c r="K725">
        <v>6.7036501329039861</v>
      </c>
      <c r="L725">
        <v>4180.0039838089479</v>
      </c>
      <c r="M725">
        <v>1</v>
      </c>
      <c r="N725">
        <v>6249.2545952329347</v>
      </c>
      <c r="O725">
        <v>0.66888041127297715</v>
      </c>
      <c r="P725">
        <v>4180.0039838089479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35">
      <c r="A726" t="s">
        <v>115</v>
      </c>
      <c r="B726" t="s">
        <v>93</v>
      </c>
      <c r="C726">
        <v>199547.3</v>
      </c>
      <c r="D726">
        <v>5.4402174288860916</v>
      </c>
      <c r="E726">
        <v>0.78718276911479534</v>
      </c>
      <c r="F726">
        <v>29343.64</v>
      </c>
      <c r="G726">
        <v>2660.8418006622051</v>
      </c>
      <c r="H726">
        <v>2660.8418006622051</v>
      </c>
      <c r="I726">
        <v>0.42657111759200139</v>
      </c>
      <c r="J726">
        <v>0.70122588231484595</v>
      </c>
      <c r="K726">
        <v>6.9539529785650727</v>
      </c>
      <c r="L726">
        <v>1865.851139369578</v>
      </c>
      <c r="M726">
        <v>1</v>
      </c>
      <c r="N726">
        <v>2660.8418006622051</v>
      </c>
      <c r="O726">
        <v>0.70122588231484595</v>
      </c>
      <c r="P726">
        <v>1865.851139369578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35">
      <c r="A727" t="s">
        <v>115</v>
      </c>
      <c r="B727" t="s">
        <v>94</v>
      </c>
      <c r="C727">
        <v>199709.3</v>
      </c>
      <c r="D727">
        <v>3.738035022999413</v>
      </c>
      <c r="E727">
        <v>0.86800847072198384</v>
      </c>
      <c r="F727">
        <v>24504.76</v>
      </c>
      <c r="G727">
        <v>-4610.2754712220849</v>
      </c>
      <c r="H727">
        <v>-4610.2754712220849</v>
      </c>
      <c r="I727">
        <v>0.68232175758615454</v>
      </c>
      <c r="J727">
        <v>0.79651335419773583</v>
      </c>
      <c r="K727">
        <v>5.4402174288860916</v>
      </c>
      <c r="L727">
        <v>-3672.14597935865</v>
      </c>
      <c r="M727">
        <v>1</v>
      </c>
      <c r="N727">
        <v>-4610.2754712220849</v>
      </c>
      <c r="O727">
        <v>0.79651335419773583</v>
      </c>
      <c r="P727">
        <v>-3672.14597935865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35">
      <c r="A728" t="s">
        <v>115</v>
      </c>
      <c r="B728" t="s">
        <v>95</v>
      </c>
      <c r="C728">
        <v>199363.3</v>
      </c>
      <c r="D728">
        <v>3.5104325585170981</v>
      </c>
      <c r="E728">
        <v>0.83657945448333715</v>
      </c>
      <c r="F728">
        <v>26500.43</v>
      </c>
      <c r="G728">
        <v>2181.4839460196272</v>
      </c>
      <c r="H728">
        <v>2181.4839460196272</v>
      </c>
      <c r="I728">
        <v>0.58287330421565342</v>
      </c>
      <c r="J728">
        <v>0.76237533489524667</v>
      </c>
      <c r="K728">
        <v>3.738035022999413</v>
      </c>
      <c r="L728">
        <v>1663.109553915318</v>
      </c>
      <c r="M728">
        <v>1</v>
      </c>
      <c r="N728">
        <v>2181.4839460196272</v>
      </c>
      <c r="O728">
        <v>0.76237533489524667</v>
      </c>
      <c r="P728">
        <v>1663.109553915318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5">
      <c r="A729" t="s">
        <v>115</v>
      </c>
      <c r="B729" t="s">
        <v>96</v>
      </c>
      <c r="C729">
        <v>198442.4</v>
      </c>
      <c r="D729">
        <v>1.7679852246697729</v>
      </c>
      <c r="E729">
        <v>0.86968145448314638</v>
      </c>
      <c r="F729">
        <v>26400.05</v>
      </c>
      <c r="G729">
        <v>-84.520772908697836</v>
      </c>
      <c r="H729">
        <v>-84.520772908697836</v>
      </c>
      <c r="I729">
        <v>0.6876154532684583</v>
      </c>
      <c r="J729">
        <v>0.79822397067626205</v>
      </c>
      <c r="K729">
        <v>3.5104325585170981</v>
      </c>
      <c r="L729">
        <v>-67.466506955807432</v>
      </c>
      <c r="M729">
        <v>1</v>
      </c>
      <c r="N729">
        <v>-84.520772908697836</v>
      </c>
      <c r="O729">
        <v>0.79822397067626205</v>
      </c>
      <c r="P729">
        <v>-67.466506955807432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5">
      <c r="A730" t="s">
        <v>115</v>
      </c>
      <c r="B730" t="s">
        <v>97</v>
      </c>
      <c r="C730">
        <v>197554.6</v>
      </c>
      <c r="D730">
        <v>-1.003629912916306</v>
      </c>
      <c r="E730">
        <v>0.85708525722754814</v>
      </c>
      <c r="F730">
        <v>30702.400000000001</v>
      </c>
      <c r="G730">
        <v>4416.8820192602216</v>
      </c>
      <c r="H730">
        <v>4416.8820192602216</v>
      </c>
      <c r="I730">
        <v>0.64775826124223612</v>
      </c>
      <c r="J730">
        <v>0.78507945414762736</v>
      </c>
      <c r="K730">
        <v>1.7679852246697729</v>
      </c>
      <c r="L730">
        <v>3467.603324715285</v>
      </c>
      <c r="M730">
        <v>1</v>
      </c>
      <c r="N730">
        <v>4416.8820192602216</v>
      </c>
      <c r="O730">
        <v>0.78507945414762736</v>
      </c>
      <c r="P730">
        <v>3467.603324715285</v>
      </c>
      <c r="Q730">
        <v>1</v>
      </c>
      <c r="R730">
        <v>0</v>
      </c>
      <c r="S730">
        <v>4416.8820192602216</v>
      </c>
      <c r="T730">
        <v>3467.603324715285</v>
      </c>
      <c r="U730">
        <v>1</v>
      </c>
      <c r="V730">
        <v>4416.8820192602216</v>
      </c>
      <c r="W730">
        <v>3467.603324715285</v>
      </c>
    </row>
    <row r="731" spans="1:23" x14ac:dyDescent="0.35">
      <c r="A731" t="s">
        <v>115</v>
      </c>
      <c r="B731" t="s">
        <v>98</v>
      </c>
      <c r="C731">
        <v>196238.5</v>
      </c>
      <c r="D731">
        <v>-1.753205297277892</v>
      </c>
      <c r="E731">
        <v>0.91298844963183057</v>
      </c>
      <c r="F731">
        <v>17905.28</v>
      </c>
      <c r="G731">
        <v>-12517.608803376361</v>
      </c>
      <c r="H731">
        <v>-12517.608803376361</v>
      </c>
      <c r="I731">
        <v>0.82464849480427849</v>
      </c>
      <c r="J731">
        <v>0.8387960139232985</v>
      </c>
      <c r="K731">
        <v>-1.003629912916306</v>
      </c>
      <c r="L731">
        <v>-10499.72036812328</v>
      </c>
      <c r="M731">
        <v>1</v>
      </c>
      <c r="N731">
        <v>-12517.608803376361</v>
      </c>
      <c r="O731">
        <v>0.8387960139232985</v>
      </c>
      <c r="P731">
        <v>-10499.72036812328</v>
      </c>
      <c r="Q731">
        <v>1</v>
      </c>
      <c r="R731">
        <v>0</v>
      </c>
      <c r="S731">
        <v>-12517.608803376361</v>
      </c>
      <c r="T731">
        <v>-10499.72036812328</v>
      </c>
      <c r="U731">
        <v>1</v>
      </c>
      <c r="V731">
        <v>-12517.608803376361</v>
      </c>
      <c r="W731">
        <v>-10499.72036812328</v>
      </c>
    </row>
    <row r="732" spans="1:23" x14ac:dyDescent="0.35">
      <c r="A732" t="s">
        <v>115</v>
      </c>
      <c r="B732" t="s">
        <v>99</v>
      </c>
      <c r="C732">
        <v>196722.7</v>
      </c>
      <c r="D732">
        <v>-1.333366552634222</v>
      </c>
      <c r="E732">
        <v>0.93552057379999853</v>
      </c>
      <c r="F732">
        <v>16655.52</v>
      </c>
      <c r="G732">
        <v>-1255.046474869388</v>
      </c>
      <c r="H732">
        <v>-1255.046474869388</v>
      </c>
      <c r="I732">
        <v>0.8959451870921209</v>
      </c>
      <c r="J732">
        <v>0.85715888557178532</v>
      </c>
      <c r="K732">
        <v>-1.753205297277892</v>
      </c>
      <c r="L732">
        <v>-1075.7742377398431</v>
      </c>
      <c r="M732">
        <v>1</v>
      </c>
      <c r="N732">
        <v>-1255.046474869388</v>
      </c>
      <c r="O732">
        <v>0.85715888557178532</v>
      </c>
      <c r="P732">
        <v>-1075.7742377398431</v>
      </c>
      <c r="Q732">
        <v>1</v>
      </c>
      <c r="R732">
        <v>0</v>
      </c>
      <c r="S732">
        <v>-1255.046474869388</v>
      </c>
      <c r="T732">
        <v>-1075.7742377398431</v>
      </c>
      <c r="U732">
        <v>1</v>
      </c>
      <c r="V732">
        <v>-1255.046474869388</v>
      </c>
      <c r="W732">
        <v>-1075.7742377398431</v>
      </c>
    </row>
    <row r="733" spans="1:23" x14ac:dyDescent="0.35">
      <c r="A733" t="s">
        <v>115</v>
      </c>
      <c r="B733" t="s">
        <v>100</v>
      </c>
      <c r="C733">
        <v>197334.9</v>
      </c>
      <c r="D733">
        <v>-0.55965963219616932</v>
      </c>
      <c r="E733">
        <v>0.92593654347977428</v>
      </c>
      <c r="F733">
        <v>16042.91</v>
      </c>
      <c r="G733">
        <v>-1325.5086914047929</v>
      </c>
      <c r="H733">
        <v>-1325.5086914047929</v>
      </c>
      <c r="I733">
        <v>0.86561916653948612</v>
      </c>
      <c r="J733">
        <v>0.84957074810085198</v>
      </c>
      <c r="K733">
        <v>-1.333366552634222</v>
      </c>
      <c r="L733">
        <v>-1126.1134105709521</v>
      </c>
      <c r="M733">
        <v>1</v>
      </c>
      <c r="N733">
        <v>-1325.5086914047929</v>
      </c>
      <c r="O733">
        <v>0.84957074810085198</v>
      </c>
      <c r="P733">
        <v>-1126.1134105709521</v>
      </c>
      <c r="Q733">
        <v>1</v>
      </c>
      <c r="R733">
        <v>0</v>
      </c>
      <c r="S733">
        <v>-1325.5086914047929</v>
      </c>
      <c r="T733">
        <v>-1126.1134105709521</v>
      </c>
      <c r="U733">
        <v>1</v>
      </c>
      <c r="V733">
        <v>-1325.5086914047929</v>
      </c>
      <c r="W733">
        <v>-1126.1134105709521</v>
      </c>
    </row>
    <row r="734" spans="1:23" x14ac:dyDescent="0.35">
      <c r="A734" t="s">
        <v>115</v>
      </c>
      <c r="B734" t="s">
        <v>101</v>
      </c>
      <c r="C734">
        <v>198974.9</v>
      </c>
      <c r="D734">
        <v>0.7163684285541686</v>
      </c>
      <c r="E734">
        <v>0.88736272980224051</v>
      </c>
      <c r="F734">
        <v>15096.69</v>
      </c>
      <c r="G734">
        <v>-1747.62351995877</v>
      </c>
      <c r="H734">
        <v>-1747.62351995877</v>
      </c>
      <c r="I734">
        <v>0.74356297229833301</v>
      </c>
      <c r="J734">
        <v>0.81564650066234856</v>
      </c>
      <c r="K734">
        <v>-0.55965963219616932</v>
      </c>
      <c r="L734">
        <v>-1425.4430085295869</v>
      </c>
      <c r="M734">
        <v>1</v>
      </c>
      <c r="N734">
        <v>-1747.62351995877</v>
      </c>
      <c r="O734">
        <v>0.81564650066234856</v>
      </c>
      <c r="P734">
        <v>-1425.4430085295869</v>
      </c>
      <c r="Q734">
        <v>1</v>
      </c>
      <c r="R734">
        <v>0</v>
      </c>
      <c r="S734">
        <v>-1747.62351995877</v>
      </c>
      <c r="T734">
        <v>-1425.4430085295869</v>
      </c>
      <c r="U734">
        <v>1</v>
      </c>
      <c r="V734">
        <v>-1747.62351995877</v>
      </c>
      <c r="W734">
        <v>-1425.4430085295869</v>
      </c>
    </row>
    <row r="735" spans="1:23" x14ac:dyDescent="0.35">
      <c r="A735" t="s">
        <v>115</v>
      </c>
      <c r="B735" t="s">
        <v>102</v>
      </c>
      <c r="C735">
        <v>200181.6</v>
      </c>
      <c r="D735">
        <v>1.9894198345974039</v>
      </c>
      <c r="E735">
        <v>0.88392471214761226</v>
      </c>
      <c r="F735">
        <v>19263.25</v>
      </c>
      <c r="G735">
        <v>3296.2288795207619</v>
      </c>
      <c r="H735">
        <v>3296.2288795207619</v>
      </c>
      <c r="I735">
        <v>0.73268431367863263</v>
      </c>
      <c r="J735">
        <v>0.81235241934798841</v>
      </c>
      <c r="K735">
        <v>0.7163684285541686</v>
      </c>
      <c r="L735">
        <v>2677.6995050034002</v>
      </c>
      <c r="M735">
        <v>1</v>
      </c>
      <c r="N735">
        <v>3296.2288795207619</v>
      </c>
      <c r="O735">
        <v>0.81235241934798841</v>
      </c>
      <c r="P735">
        <v>2677.6995050034002</v>
      </c>
      <c r="Q735">
        <v>1</v>
      </c>
      <c r="R735">
        <v>0</v>
      </c>
      <c r="S735">
        <v>3296.2288795207619</v>
      </c>
      <c r="T735">
        <v>2677.6995050034002</v>
      </c>
      <c r="U735">
        <v>1</v>
      </c>
      <c r="V735">
        <v>3296.2288795207619</v>
      </c>
      <c r="W735">
        <v>2677.6995050034002</v>
      </c>
    </row>
    <row r="736" spans="1:23" x14ac:dyDescent="0.35">
      <c r="A736" t="s">
        <v>115</v>
      </c>
      <c r="B736" t="s">
        <v>103</v>
      </c>
      <c r="C736">
        <v>200863.4</v>
      </c>
      <c r="D736">
        <v>2.0829952129663889</v>
      </c>
      <c r="E736">
        <v>0.92377024581484202</v>
      </c>
      <c r="F736">
        <v>26370.25</v>
      </c>
      <c r="G736">
        <v>6352.7743362205329</v>
      </c>
      <c r="H736">
        <v>6352.7743362205329</v>
      </c>
      <c r="I736">
        <v>0.85876451507086227</v>
      </c>
      <c r="J736">
        <v>0.84781028596559871</v>
      </c>
      <c r="K736">
        <v>1.9894198345974039</v>
      </c>
      <c r="L736">
        <v>5385.9474266660463</v>
      </c>
      <c r="M736">
        <v>1</v>
      </c>
      <c r="N736">
        <v>6352.7743362205329</v>
      </c>
      <c r="O736">
        <v>0.84781028596559871</v>
      </c>
      <c r="P736">
        <v>5385.9474266660463</v>
      </c>
      <c r="Q736">
        <v>1</v>
      </c>
      <c r="R736">
        <v>0</v>
      </c>
      <c r="S736">
        <v>6352.7743362205329</v>
      </c>
      <c r="T736">
        <v>5385.9474266660463</v>
      </c>
      <c r="U736">
        <v>1</v>
      </c>
      <c r="V736">
        <v>6352.7743362205329</v>
      </c>
      <c r="W736">
        <v>5385.9474266660463</v>
      </c>
    </row>
    <row r="737" spans="1:23" x14ac:dyDescent="0.35">
      <c r="A737" t="s">
        <v>115</v>
      </c>
      <c r="B737" t="s">
        <v>104</v>
      </c>
      <c r="C737">
        <v>201357.8</v>
      </c>
      <c r="D737">
        <v>2.0181139688599901</v>
      </c>
      <c r="E737">
        <v>0.73242178487711629</v>
      </c>
      <c r="F737">
        <v>48145.7</v>
      </c>
      <c r="G737">
        <v>21516.57673025272</v>
      </c>
      <c r="H737">
        <v>21516.57673025272</v>
      </c>
      <c r="I737">
        <v>0.25329508673784351</v>
      </c>
      <c r="J737">
        <v>0.62400679198758047</v>
      </c>
      <c r="K737">
        <v>2.0829952129663889</v>
      </c>
      <c r="L737">
        <v>13426.490019999619</v>
      </c>
      <c r="M737">
        <v>1</v>
      </c>
      <c r="N737">
        <v>21516.57673025272</v>
      </c>
      <c r="O737">
        <v>0.62400679198758047</v>
      </c>
      <c r="P737">
        <v>13426.490019999619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35">
      <c r="A738" t="s">
        <v>115</v>
      </c>
      <c r="B738" t="s">
        <v>105</v>
      </c>
      <c r="C738">
        <v>202021.7</v>
      </c>
      <c r="D738">
        <v>1.5196431257960941</v>
      </c>
      <c r="E738">
        <v>0.60862315862342653</v>
      </c>
      <c r="F738">
        <v>80038.14</v>
      </c>
      <c r="G738">
        <v>32860.236300339107</v>
      </c>
      <c r="H738">
        <v>32860.236300339107</v>
      </c>
      <c r="I738">
        <v>-0.13843152082880469</v>
      </c>
      <c r="J738">
        <v>0.43122301037940453</v>
      </c>
      <c r="K738">
        <v>2.0181139688599901</v>
      </c>
      <c r="L738">
        <v>14170.09001921082</v>
      </c>
      <c r="M738">
        <v>1</v>
      </c>
      <c r="N738">
        <v>32860.236300339107</v>
      </c>
      <c r="O738">
        <v>0.43122301037940453</v>
      </c>
      <c r="P738">
        <v>14170.09001921082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35">
      <c r="A739" t="s">
        <v>115</v>
      </c>
      <c r="B739" t="s">
        <v>106</v>
      </c>
      <c r="C739">
        <v>202833.3</v>
      </c>
      <c r="D739">
        <v>1.315950485551646</v>
      </c>
      <c r="E739">
        <v>0.53778112124844712</v>
      </c>
      <c r="F739">
        <v>106862.2</v>
      </c>
      <c r="G739">
        <v>30173.051455287681</v>
      </c>
      <c r="H739">
        <v>30173.051455287681</v>
      </c>
      <c r="I739">
        <v>-0.36259160897989018</v>
      </c>
      <c r="J739">
        <v>0.32625262578481512</v>
      </c>
      <c r="K739">
        <v>1.5196431257960941</v>
      </c>
      <c r="L739">
        <v>9844.037265227942</v>
      </c>
      <c r="M739">
        <v>1</v>
      </c>
      <c r="N739">
        <v>30173.051455287681</v>
      </c>
      <c r="O739">
        <v>0.32625262578481512</v>
      </c>
      <c r="P739">
        <v>9844.037265227942</v>
      </c>
      <c r="Q739">
        <v>1</v>
      </c>
      <c r="R739">
        <v>0</v>
      </c>
      <c r="S739">
        <v>30173.051455287681</v>
      </c>
      <c r="T739">
        <v>9844.037265227942</v>
      </c>
      <c r="U739">
        <v>1</v>
      </c>
      <c r="V739">
        <v>30173.051455287681</v>
      </c>
      <c r="W739">
        <v>9844.037265227942</v>
      </c>
    </row>
    <row r="740" spans="1:23" x14ac:dyDescent="0.35">
      <c r="A740" t="s">
        <v>115</v>
      </c>
      <c r="B740" t="s">
        <v>107</v>
      </c>
      <c r="C740">
        <v>203702.39999999999</v>
      </c>
      <c r="D740">
        <v>1.403503016083971</v>
      </c>
      <c r="E740">
        <v>0.44892078559985482</v>
      </c>
      <c r="F740">
        <v>94947.06</v>
      </c>
      <c r="G740">
        <v>-5865.0461574176588</v>
      </c>
      <c r="H740">
        <v>-5865.0461574176588</v>
      </c>
      <c r="I740">
        <v>-0.64376563234526896</v>
      </c>
      <c r="J740">
        <v>0.2162709630012517</v>
      </c>
      <c r="K740">
        <v>1.315950485551646</v>
      </c>
      <c r="L740">
        <v>-1268.4391805115081</v>
      </c>
      <c r="M740">
        <v>1</v>
      </c>
      <c r="N740">
        <v>-5865.0461574176588</v>
      </c>
      <c r="O740">
        <v>0.2162709630012517</v>
      </c>
      <c r="P740">
        <v>-1268.4391805115081</v>
      </c>
      <c r="Q740">
        <v>1</v>
      </c>
      <c r="R740">
        <v>0</v>
      </c>
      <c r="S740">
        <v>-5865.0461574176588</v>
      </c>
      <c r="T740">
        <v>-1268.4391805115081</v>
      </c>
      <c r="U740">
        <v>1</v>
      </c>
      <c r="V740">
        <v>-5865.0461574176588</v>
      </c>
      <c r="W740">
        <v>-1268.4391805115081</v>
      </c>
    </row>
    <row r="741" spans="1:23" x14ac:dyDescent="0.35">
      <c r="A741" t="s">
        <v>115</v>
      </c>
      <c r="B741" t="s">
        <v>108</v>
      </c>
      <c r="C741">
        <v>204227.4</v>
      </c>
      <c r="D741">
        <v>1.415065384111154</v>
      </c>
      <c r="E741">
        <v>0.39315697383503401</v>
      </c>
      <c r="F741">
        <v>81871.73</v>
      </c>
      <c r="G741">
        <v>-6116.8052336188266</v>
      </c>
      <c r="H741">
        <v>-6116.8052336188266</v>
      </c>
      <c r="I741">
        <v>-0.82021483431666276</v>
      </c>
      <c r="J741">
        <v>0.16240660597717921</v>
      </c>
      <c r="K741">
        <v>1.403503016083971</v>
      </c>
      <c r="L741">
        <v>-993.40957741548027</v>
      </c>
      <c r="M741">
        <v>1</v>
      </c>
      <c r="N741">
        <v>-6116.8052336188266</v>
      </c>
      <c r="O741">
        <v>0.16240660597717921</v>
      </c>
      <c r="P741">
        <v>-993.40957741548027</v>
      </c>
      <c r="Q741">
        <v>1</v>
      </c>
      <c r="R741">
        <v>0</v>
      </c>
      <c r="S741">
        <v>-6116.8052336188266</v>
      </c>
      <c r="T741">
        <v>-993.40957741548027</v>
      </c>
      <c r="U741">
        <v>1</v>
      </c>
      <c r="V741">
        <v>-6116.8052336188266</v>
      </c>
      <c r="W741">
        <v>-993.40957741548027</v>
      </c>
    </row>
    <row r="742" spans="1:23" x14ac:dyDescent="0.35">
      <c r="A742" t="s">
        <v>115</v>
      </c>
      <c r="B742" t="s">
        <v>109</v>
      </c>
      <c r="C742">
        <v>205054.1</v>
      </c>
      <c r="D742">
        <v>1.489872938726198</v>
      </c>
      <c r="E742">
        <v>0.81500632290628938</v>
      </c>
      <c r="F742">
        <v>77922.84</v>
      </c>
      <c r="G742">
        <v>1879.7276364797731</v>
      </c>
      <c r="H742">
        <v>1879.7276364797731</v>
      </c>
      <c r="I742">
        <v>0.51461107948023166</v>
      </c>
      <c r="J742">
        <v>0.73676506733595404</v>
      </c>
      <c r="K742">
        <v>1.415065384111154</v>
      </c>
      <c r="L742">
        <v>1384.9176586642729</v>
      </c>
      <c r="M742">
        <v>1</v>
      </c>
      <c r="N742">
        <v>1879.7276364797731</v>
      </c>
      <c r="O742">
        <v>0.73676506733595404</v>
      </c>
      <c r="P742">
        <v>1384.9176586642729</v>
      </c>
      <c r="Q742">
        <v>1</v>
      </c>
      <c r="R742">
        <v>0</v>
      </c>
      <c r="S742">
        <v>1879.7276364797731</v>
      </c>
      <c r="T742">
        <v>1384.9176586642729</v>
      </c>
      <c r="U742">
        <v>1</v>
      </c>
      <c r="V742">
        <v>1879.7276364797731</v>
      </c>
      <c r="W742">
        <v>1384.9176586642729</v>
      </c>
    </row>
    <row r="743" spans="1:23" x14ac:dyDescent="0.35">
      <c r="A743" t="s">
        <v>155</v>
      </c>
      <c r="B743" t="s">
        <v>4</v>
      </c>
      <c r="C743">
        <v>38828.800000000003</v>
      </c>
      <c r="F743">
        <v>5832.3329999999996</v>
      </c>
      <c r="G743">
        <v>-3714.5931994258599</v>
      </c>
      <c r="H743">
        <v>-3714.5931994258599</v>
      </c>
      <c r="M743">
        <v>0</v>
      </c>
      <c r="N743">
        <v>0</v>
      </c>
    </row>
    <row r="744" spans="1:23" x14ac:dyDescent="0.35">
      <c r="A744" t="s">
        <v>155</v>
      </c>
      <c r="B744" t="s">
        <v>5</v>
      </c>
      <c r="C744">
        <v>39129</v>
      </c>
      <c r="F744">
        <v>5569.9409999999998</v>
      </c>
      <c r="G744">
        <v>-1919.831103877337</v>
      </c>
      <c r="H744">
        <v>-1919.831103877337</v>
      </c>
      <c r="M744">
        <v>0</v>
      </c>
      <c r="N744">
        <v>0</v>
      </c>
    </row>
    <row r="745" spans="1:23" x14ac:dyDescent="0.35">
      <c r="A745" t="s">
        <v>155</v>
      </c>
      <c r="B745" t="s">
        <v>6</v>
      </c>
      <c r="C745">
        <v>39737.599999999999</v>
      </c>
      <c r="F745">
        <v>13816.67</v>
      </c>
      <c r="G745">
        <v>6474.4940275934759</v>
      </c>
      <c r="H745">
        <v>6474.4940275934759</v>
      </c>
      <c r="M745">
        <v>0</v>
      </c>
      <c r="N745">
        <v>0</v>
      </c>
    </row>
    <row r="746" spans="1:23" x14ac:dyDescent="0.35">
      <c r="A746" t="s">
        <v>155</v>
      </c>
      <c r="B746" t="s">
        <v>7</v>
      </c>
      <c r="C746">
        <v>40190.6</v>
      </c>
      <c r="F746">
        <v>11881.05</v>
      </c>
      <c r="G746">
        <v>-3395.2229350538159</v>
      </c>
      <c r="H746">
        <v>-3395.2229350538159</v>
      </c>
      <c r="M746">
        <v>0</v>
      </c>
      <c r="N746">
        <v>0</v>
      </c>
    </row>
    <row r="747" spans="1:23" x14ac:dyDescent="0.35">
      <c r="A747" t="s">
        <v>155</v>
      </c>
      <c r="B747" t="s">
        <v>8</v>
      </c>
      <c r="C747">
        <v>40387.199999999997</v>
      </c>
      <c r="D747">
        <v>3.935066375638733</v>
      </c>
      <c r="F747">
        <v>22324.51</v>
      </c>
      <c r="G747">
        <v>9331.4609908810216</v>
      </c>
      <c r="H747">
        <v>9331.4609908810216</v>
      </c>
      <c r="M747">
        <v>0</v>
      </c>
      <c r="N747">
        <v>0</v>
      </c>
      <c r="Q747">
        <v>-2.590290839132809</v>
      </c>
      <c r="R747">
        <v>-24171.197920404269</v>
      </c>
      <c r="T747">
        <v>0</v>
      </c>
      <c r="U747">
        <v>0</v>
      </c>
    </row>
    <row r="748" spans="1:23" x14ac:dyDescent="0.35">
      <c r="A748" t="s">
        <v>155</v>
      </c>
      <c r="B748" t="s">
        <v>9</v>
      </c>
      <c r="C748">
        <v>40416.699999999997</v>
      </c>
      <c r="D748">
        <v>3.2379185835155009</v>
      </c>
      <c r="F748">
        <v>13179.21</v>
      </c>
      <c r="G748">
        <v>-9943.8528374191192</v>
      </c>
      <c r="H748">
        <v>-9943.8528374191192</v>
      </c>
      <c r="K748">
        <v>3.935066375638733</v>
      </c>
      <c r="M748">
        <v>0</v>
      </c>
      <c r="N748">
        <v>0</v>
      </c>
      <c r="Q748">
        <v>-2.075645243771806</v>
      </c>
      <c r="R748">
        <v>20639.910846755782</v>
      </c>
      <c r="T748">
        <v>0</v>
      </c>
      <c r="U748">
        <v>0</v>
      </c>
    </row>
    <row r="749" spans="1:23" x14ac:dyDescent="0.35">
      <c r="A749" t="s">
        <v>155</v>
      </c>
      <c r="B749" t="s">
        <v>10</v>
      </c>
      <c r="C749">
        <v>40692.800000000003</v>
      </c>
      <c r="D749">
        <v>2.375332987387385</v>
      </c>
      <c r="F749">
        <v>25155.95</v>
      </c>
      <c r="G749">
        <v>11353.658528725049</v>
      </c>
      <c r="H749">
        <v>11353.658528725049</v>
      </c>
      <c r="K749">
        <v>3.2379185835155009</v>
      </c>
      <c r="M749">
        <v>0</v>
      </c>
      <c r="N749">
        <v>0</v>
      </c>
      <c r="Q749">
        <v>-2.739570299199483</v>
      </c>
      <c r="R749">
        <v>-31104.145692548042</v>
      </c>
      <c r="T749">
        <v>0</v>
      </c>
      <c r="U749">
        <v>0</v>
      </c>
    </row>
    <row r="750" spans="1:23" x14ac:dyDescent="0.35">
      <c r="A750" t="s">
        <v>155</v>
      </c>
      <c r="B750" t="s">
        <v>11</v>
      </c>
      <c r="C750">
        <v>40559.699999999997</v>
      </c>
      <c r="D750">
        <v>0.91418253693600815</v>
      </c>
      <c r="F750">
        <v>23448.18</v>
      </c>
      <c r="G750">
        <v>-2327.5821782993439</v>
      </c>
      <c r="H750">
        <v>-2327.5821782993439</v>
      </c>
      <c r="K750">
        <v>2.375332987387385</v>
      </c>
      <c r="M750">
        <v>0</v>
      </c>
      <c r="N750">
        <v>0</v>
      </c>
      <c r="Q750">
        <v>-0.56002049196982384</v>
      </c>
      <c r="R750">
        <v>1303.493716591393</v>
      </c>
      <c r="T750">
        <v>0</v>
      </c>
      <c r="U750">
        <v>0</v>
      </c>
    </row>
    <row r="751" spans="1:23" x14ac:dyDescent="0.35">
      <c r="A751" t="s">
        <v>155</v>
      </c>
      <c r="B751" t="s">
        <v>12</v>
      </c>
      <c r="C751">
        <v>40843</v>
      </c>
      <c r="D751">
        <v>1.122254491113915</v>
      </c>
      <c r="F751">
        <v>22597.360000000001</v>
      </c>
      <c r="G751">
        <v>-922.17355643885821</v>
      </c>
      <c r="H751">
        <v>-922.17355643885821</v>
      </c>
      <c r="K751">
        <v>0.91418253693600815</v>
      </c>
      <c r="M751">
        <v>0</v>
      </c>
      <c r="N751">
        <v>0</v>
      </c>
      <c r="Q751">
        <v>3.4861328467105401E-3</v>
      </c>
      <c r="R751">
        <v>-3.214819525469379</v>
      </c>
      <c r="T751">
        <v>0</v>
      </c>
      <c r="U751">
        <v>0</v>
      </c>
    </row>
    <row r="752" spans="1:23" x14ac:dyDescent="0.35">
      <c r="A752" t="s">
        <v>155</v>
      </c>
      <c r="B752" t="s">
        <v>13</v>
      </c>
      <c r="C752">
        <v>41213.800000000003</v>
      </c>
      <c r="D752">
        <v>1.953008583666495</v>
      </c>
      <c r="F752">
        <v>17938.45</v>
      </c>
      <c r="G752">
        <v>-4851.7453407365683</v>
      </c>
      <c r="H752">
        <v>-4851.7453407365683</v>
      </c>
      <c r="K752">
        <v>1.122254491113915</v>
      </c>
      <c r="M752">
        <v>0</v>
      </c>
      <c r="N752">
        <v>0</v>
      </c>
      <c r="Q752">
        <v>-1.6948107818676541</v>
      </c>
      <c r="R752">
        <v>8222.7903143564927</v>
      </c>
      <c r="T752">
        <v>0</v>
      </c>
      <c r="U752">
        <v>0</v>
      </c>
    </row>
    <row r="753" spans="1:21" x14ac:dyDescent="0.35">
      <c r="A753" t="s">
        <v>155</v>
      </c>
      <c r="B753" t="s">
        <v>14</v>
      </c>
      <c r="C753">
        <v>41125.300000000003</v>
      </c>
      <c r="D753">
        <v>1.0572331269500039</v>
      </c>
      <c r="F753">
        <v>14136.45</v>
      </c>
      <c r="G753">
        <v>-4222.8378093282299</v>
      </c>
      <c r="H753">
        <v>-4222.8378093282299</v>
      </c>
      <c r="K753">
        <v>1.953008583666495</v>
      </c>
      <c r="M753">
        <v>0</v>
      </c>
      <c r="N753">
        <v>0</v>
      </c>
      <c r="Q753">
        <v>-1.6159922969010061</v>
      </c>
      <c r="R753">
        <v>6824.0733709367387</v>
      </c>
      <c r="T753">
        <v>0</v>
      </c>
      <c r="U753">
        <v>0</v>
      </c>
    </row>
    <row r="754" spans="1:21" x14ac:dyDescent="0.35">
      <c r="A754" t="s">
        <v>155</v>
      </c>
      <c r="B754" t="s">
        <v>15</v>
      </c>
      <c r="C754">
        <v>41608.800000000003</v>
      </c>
      <c r="D754">
        <v>2.5536720551781009</v>
      </c>
      <c r="F754">
        <v>27832.880000000001</v>
      </c>
      <c r="G754">
        <v>12885.617455236321</v>
      </c>
      <c r="H754">
        <v>12885.617455236321</v>
      </c>
      <c r="K754">
        <v>1.0572331269500039</v>
      </c>
      <c r="M754">
        <v>0</v>
      </c>
      <c r="N754">
        <v>0</v>
      </c>
      <c r="Q754">
        <v>-2.0388303852480352</v>
      </c>
      <c r="R754">
        <v>-26271.588400418281</v>
      </c>
      <c r="T754">
        <v>0</v>
      </c>
      <c r="U754">
        <v>0</v>
      </c>
    </row>
    <row r="755" spans="1:21" x14ac:dyDescent="0.35">
      <c r="A755" t="s">
        <v>155</v>
      </c>
      <c r="B755" t="s">
        <v>16</v>
      </c>
      <c r="C755">
        <v>41299.599999999999</v>
      </c>
      <c r="D755">
        <v>1.1117366696747011</v>
      </c>
      <c r="F755">
        <v>25718.62</v>
      </c>
      <c r="G755">
        <v>-2578.9762101676129</v>
      </c>
      <c r="H755">
        <v>-2578.9762101676129</v>
      </c>
      <c r="K755">
        <v>2.5536720551781009</v>
      </c>
      <c r="M755">
        <v>0</v>
      </c>
      <c r="N755">
        <v>0</v>
      </c>
      <c r="Q755">
        <v>-2.3606807393133189</v>
      </c>
      <c r="R755">
        <v>6088.1394664899444</v>
      </c>
      <c r="T755">
        <v>0</v>
      </c>
      <c r="U755">
        <v>0</v>
      </c>
    </row>
    <row r="756" spans="1:21" x14ac:dyDescent="0.35">
      <c r="A756" t="s">
        <v>155</v>
      </c>
      <c r="B756" t="s">
        <v>17</v>
      </c>
      <c r="C756">
        <v>41904.6</v>
      </c>
      <c r="D756">
        <v>1.662245437692591</v>
      </c>
      <c r="F756">
        <v>34454.82</v>
      </c>
      <c r="G756">
        <v>8892.3153268391106</v>
      </c>
      <c r="H756">
        <v>8892.3153268391106</v>
      </c>
      <c r="K756">
        <v>1.1117366696747011</v>
      </c>
      <c r="M756">
        <v>0</v>
      </c>
      <c r="N756">
        <v>0</v>
      </c>
      <c r="Q756">
        <v>-0.48627190398152359</v>
      </c>
      <c r="R756">
        <v>-4324.0831047861384</v>
      </c>
      <c r="T756">
        <v>0</v>
      </c>
      <c r="U756">
        <v>0</v>
      </c>
    </row>
    <row r="757" spans="1:21" x14ac:dyDescent="0.35">
      <c r="A757" t="s">
        <v>155</v>
      </c>
      <c r="B757" t="s">
        <v>18</v>
      </c>
      <c r="C757">
        <v>42405</v>
      </c>
      <c r="D757">
        <v>3.0642775921907668</v>
      </c>
      <c r="F757">
        <v>23886.34</v>
      </c>
      <c r="G757">
        <v>-10175.62221530782</v>
      </c>
      <c r="H757">
        <v>-10175.62221530782</v>
      </c>
      <c r="K757">
        <v>1.662245437692591</v>
      </c>
      <c r="M757">
        <v>0</v>
      </c>
      <c r="N757">
        <v>0</v>
      </c>
      <c r="Q757">
        <v>1.44264720229458</v>
      </c>
      <c r="R757">
        <v>-14679.832920520401</v>
      </c>
      <c r="T757">
        <v>0</v>
      </c>
      <c r="U757">
        <v>0</v>
      </c>
    </row>
    <row r="758" spans="1:21" x14ac:dyDescent="0.35">
      <c r="A758" t="s">
        <v>155</v>
      </c>
      <c r="B758" t="s">
        <v>19</v>
      </c>
      <c r="C758">
        <v>42496.1</v>
      </c>
      <c r="D758">
        <v>2.1100623656199868</v>
      </c>
      <c r="F758">
        <v>12058.21</v>
      </c>
      <c r="G758">
        <v>-11403.891117199109</v>
      </c>
      <c r="H758">
        <v>-11403.891117199109</v>
      </c>
      <c r="K758">
        <v>3.0642775921907668</v>
      </c>
      <c r="M758">
        <v>0</v>
      </c>
      <c r="N758">
        <v>0</v>
      </c>
      <c r="Q758">
        <v>1.433647638399026</v>
      </c>
      <c r="R758">
        <v>-16349.161568732139</v>
      </c>
      <c r="T758">
        <v>0</v>
      </c>
      <c r="U758">
        <v>0</v>
      </c>
    </row>
    <row r="759" spans="1:21" x14ac:dyDescent="0.35">
      <c r="A759" t="s">
        <v>155</v>
      </c>
      <c r="B759" t="s">
        <v>20</v>
      </c>
      <c r="C759">
        <v>43032.3</v>
      </c>
      <c r="D759">
        <v>4.1098181812630923</v>
      </c>
      <c r="F759">
        <v>16122.31</v>
      </c>
      <c r="G759">
        <v>3477.0160780143342</v>
      </c>
      <c r="H759">
        <v>3477.0160780143342</v>
      </c>
      <c r="K759">
        <v>2.1100623656199868</v>
      </c>
      <c r="M759">
        <v>0</v>
      </c>
      <c r="N759">
        <v>0</v>
      </c>
      <c r="Q759">
        <v>1.23441237704857</v>
      </c>
      <c r="R759">
        <v>4292.0716818977698</v>
      </c>
      <c r="T759">
        <v>0</v>
      </c>
      <c r="U759">
        <v>0</v>
      </c>
    </row>
    <row r="760" spans="1:21" x14ac:dyDescent="0.35">
      <c r="A760" t="s">
        <v>155</v>
      </c>
      <c r="B760" t="s">
        <v>21</v>
      </c>
      <c r="C760">
        <v>43383.5</v>
      </c>
      <c r="D760">
        <v>3.4683578381174658</v>
      </c>
      <c r="F760">
        <v>9975.3389999999999</v>
      </c>
      <c r="G760">
        <v>-7181.6860400218247</v>
      </c>
      <c r="H760">
        <v>-7181.6860400218247</v>
      </c>
      <c r="K760">
        <v>4.1098181812630923</v>
      </c>
      <c r="M760">
        <v>0</v>
      </c>
      <c r="N760">
        <v>0</v>
      </c>
      <c r="Q760">
        <v>0.63826285806666228</v>
      </c>
      <c r="R760">
        <v>-4583.8034576417786</v>
      </c>
      <c r="T760">
        <v>0</v>
      </c>
      <c r="U760">
        <v>0</v>
      </c>
    </row>
    <row r="761" spans="1:21" x14ac:dyDescent="0.35">
      <c r="A761" t="s">
        <v>155</v>
      </c>
      <c r="B761" t="s">
        <v>22</v>
      </c>
      <c r="C761">
        <v>43875.9</v>
      </c>
      <c r="D761">
        <v>3.4098914582494411</v>
      </c>
      <c r="F761">
        <v>14397.81</v>
      </c>
      <c r="G761">
        <v>3353.6931959349681</v>
      </c>
      <c r="H761">
        <v>3353.6931959349681</v>
      </c>
      <c r="K761">
        <v>3.4683578381174658</v>
      </c>
      <c r="M761">
        <v>0</v>
      </c>
      <c r="N761">
        <v>0</v>
      </c>
      <c r="Q761">
        <v>-0.52805491017564332</v>
      </c>
      <c r="R761">
        <v>-1770.934159336105</v>
      </c>
      <c r="T761">
        <v>0</v>
      </c>
      <c r="U761">
        <v>0</v>
      </c>
    </row>
    <row r="762" spans="1:21" x14ac:dyDescent="0.35">
      <c r="A762" t="s">
        <v>155</v>
      </c>
      <c r="B762" t="s">
        <v>23</v>
      </c>
      <c r="C762">
        <v>44547.8</v>
      </c>
      <c r="D762">
        <v>4.7150462967552098</v>
      </c>
      <c r="F762">
        <v>13202.73</v>
      </c>
      <c r="G762">
        <v>-2405.1200373209231</v>
      </c>
      <c r="H762">
        <v>-2405.1200373209231</v>
      </c>
      <c r="K762">
        <v>3.4098914582494411</v>
      </c>
      <c r="M762">
        <v>0</v>
      </c>
      <c r="N762">
        <v>0</v>
      </c>
      <c r="Q762">
        <v>-0.74075419195348624</v>
      </c>
      <c r="R762">
        <v>1781.6027497967989</v>
      </c>
      <c r="T762">
        <v>0</v>
      </c>
      <c r="U762">
        <v>0</v>
      </c>
    </row>
    <row r="763" spans="1:21" x14ac:dyDescent="0.35">
      <c r="A763" t="s">
        <v>155</v>
      </c>
      <c r="B763" t="s">
        <v>24</v>
      </c>
      <c r="C763">
        <v>44986.6</v>
      </c>
      <c r="D763">
        <v>4.4413671145244491</v>
      </c>
      <c r="F763">
        <v>11537.9</v>
      </c>
      <c r="G763">
        <v>-2694.6719418449161</v>
      </c>
      <c r="H763">
        <v>-2694.6719418449161</v>
      </c>
      <c r="K763">
        <v>4.7150462967552098</v>
      </c>
      <c r="M763">
        <v>0</v>
      </c>
      <c r="N763">
        <v>0</v>
      </c>
      <c r="Q763">
        <v>-0.72927339817162729</v>
      </c>
      <c r="R763">
        <v>1965.152563986979</v>
      </c>
      <c r="T763">
        <v>0</v>
      </c>
      <c r="U763">
        <v>0</v>
      </c>
    </row>
    <row r="764" spans="1:21" x14ac:dyDescent="0.35">
      <c r="A764" t="s">
        <v>155</v>
      </c>
      <c r="B764" t="s">
        <v>25</v>
      </c>
      <c r="C764">
        <v>44428.1</v>
      </c>
      <c r="D764">
        <v>2.3792967648972159</v>
      </c>
      <c r="F764">
        <v>11866.98</v>
      </c>
      <c r="G764">
        <v>-828.06583405836682</v>
      </c>
      <c r="H764">
        <v>-828.06583405836682</v>
      </c>
      <c r="K764">
        <v>4.4413671145244491</v>
      </c>
      <c r="M764">
        <v>0</v>
      </c>
      <c r="N764">
        <v>0</v>
      </c>
      <c r="Q764">
        <v>-0.70173904647913121</v>
      </c>
      <c r="R764">
        <v>581.08612881406486</v>
      </c>
      <c r="T764">
        <v>0</v>
      </c>
      <c r="U764">
        <v>0</v>
      </c>
    </row>
    <row r="765" spans="1:21" x14ac:dyDescent="0.35">
      <c r="A765" t="s">
        <v>155</v>
      </c>
      <c r="B765" t="s">
        <v>26</v>
      </c>
      <c r="C765">
        <v>45072.4</v>
      </c>
      <c r="D765">
        <v>2.690489138786516</v>
      </c>
      <c r="F765">
        <v>20193.73</v>
      </c>
      <c r="G765">
        <v>7096.9915636258847</v>
      </c>
      <c r="H765">
        <v>7096.9915636258847</v>
      </c>
      <c r="K765">
        <v>2.3792967648972159</v>
      </c>
      <c r="M765">
        <v>0</v>
      </c>
      <c r="N765">
        <v>0</v>
      </c>
      <c r="Q765">
        <v>0.37871915235157239</v>
      </c>
      <c r="R765">
        <v>2687.766629222655</v>
      </c>
      <c r="T765">
        <v>0</v>
      </c>
      <c r="U765">
        <v>0</v>
      </c>
    </row>
    <row r="766" spans="1:21" x14ac:dyDescent="0.35">
      <c r="A766" t="s">
        <v>155</v>
      </c>
      <c r="B766" t="s">
        <v>27</v>
      </c>
      <c r="C766">
        <v>45207.3</v>
      </c>
      <c r="D766">
        <v>1.469580824112626</v>
      </c>
      <c r="F766">
        <v>12165.63</v>
      </c>
      <c r="G766">
        <v>-8911.6409368498116</v>
      </c>
      <c r="H766">
        <v>-8911.6409368498116</v>
      </c>
      <c r="K766">
        <v>2.690489138786516</v>
      </c>
      <c r="M766">
        <v>0</v>
      </c>
      <c r="N766">
        <v>0</v>
      </c>
      <c r="Q766">
        <v>4.3091865022193733E-2</v>
      </c>
      <c r="R766">
        <v>-384.01922837698822</v>
      </c>
      <c r="T766">
        <v>0</v>
      </c>
      <c r="U766">
        <v>0</v>
      </c>
    </row>
    <row r="767" spans="1:21" x14ac:dyDescent="0.35">
      <c r="A767" t="s">
        <v>155</v>
      </c>
      <c r="B767" t="s">
        <v>28</v>
      </c>
      <c r="C767">
        <v>46356.5</v>
      </c>
      <c r="D767">
        <v>2.9996851856297071</v>
      </c>
      <c r="F767">
        <v>11552.83</v>
      </c>
      <c r="G767">
        <v>-1385.556303605184</v>
      </c>
      <c r="H767">
        <v>-1385.556303605184</v>
      </c>
      <c r="K767">
        <v>1.469580824112626</v>
      </c>
      <c r="M767">
        <v>0</v>
      </c>
      <c r="N767">
        <v>0</v>
      </c>
      <c r="Q767">
        <v>0.2825054819359436</v>
      </c>
      <c r="R767">
        <v>-391.42725129936719</v>
      </c>
      <c r="T767">
        <v>0</v>
      </c>
      <c r="U767">
        <v>0</v>
      </c>
    </row>
    <row r="768" spans="1:21" x14ac:dyDescent="0.35">
      <c r="A768" t="s">
        <v>155</v>
      </c>
      <c r="B768" t="s">
        <v>29</v>
      </c>
      <c r="C768">
        <v>46427.1</v>
      </c>
      <c r="D768">
        <v>4.4011188329371471</v>
      </c>
      <c r="F768">
        <v>8235.1579999999994</v>
      </c>
      <c r="G768">
        <v>-4527.5681324086381</v>
      </c>
      <c r="H768">
        <v>-4527.5681324086381</v>
      </c>
      <c r="K768">
        <v>2.9996851856297071</v>
      </c>
      <c r="M768">
        <v>0</v>
      </c>
      <c r="N768">
        <v>0</v>
      </c>
      <c r="Q768">
        <v>-0.103221318165129</v>
      </c>
      <c r="R768">
        <v>467.34155070965068</v>
      </c>
      <c r="T768">
        <v>0</v>
      </c>
      <c r="U768">
        <v>0</v>
      </c>
    </row>
    <row r="769" spans="1:21" x14ac:dyDescent="0.35">
      <c r="A769" t="s">
        <v>155</v>
      </c>
      <c r="B769" t="s">
        <v>30</v>
      </c>
      <c r="C769">
        <v>46871.199999999997</v>
      </c>
      <c r="D769">
        <v>3.9133328553805451</v>
      </c>
      <c r="F769">
        <v>11854.69</v>
      </c>
      <c r="G769">
        <v>2246.9163671678002</v>
      </c>
      <c r="H769">
        <v>2246.9163671678002</v>
      </c>
      <c r="K769">
        <v>4.4011188329371471</v>
      </c>
      <c r="M769">
        <v>0</v>
      </c>
      <c r="N769">
        <v>0</v>
      </c>
      <c r="Q769">
        <v>-0.39502266949665338</v>
      </c>
      <c r="R769">
        <v>-887.58290149434697</v>
      </c>
      <c r="T769">
        <v>0</v>
      </c>
      <c r="U769">
        <v>0</v>
      </c>
    </row>
    <row r="770" spans="1:21" x14ac:dyDescent="0.35">
      <c r="A770" t="s">
        <v>155</v>
      </c>
      <c r="B770" t="s">
        <v>31</v>
      </c>
      <c r="C770">
        <v>47263.5</v>
      </c>
      <c r="D770">
        <v>4.4479749194383622</v>
      </c>
      <c r="F770">
        <v>9051.4310000000005</v>
      </c>
      <c r="G770">
        <v>-4203.3719888323176</v>
      </c>
      <c r="H770">
        <v>-4203.3719888323176</v>
      </c>
      <c r="K770">
        <v>3.9133328553805451</v>
      </c>
      <c r="M770">
        <v>0</v>
      </c>
      <c r="N770">
        <v>0</v>
      </c>
      <c r="Q770">
        <v>-0.3407402449516021</v>
      </c>
      <c r="R770">
        <v>1432.258001097427</v>
      </c>
      <c r="T770">
        <v>0</v>
      </c>
      <c r="U770">
        <v>0</v>
      </c>
    </row>
    <row r="771" spans="1:21" x14ac:dyDescent="0.35">
      <c r="A771" t="s">
        <v>155</v>
      </c>
      <c r="B771" t="s">
        <v>32</v>
      </c>
      <c r="C771">
        <v>48200</v>
      </c>
      <c r="D771">
        <v>3.899750155232149</v>
      </c>
      <c r="F771">
        <v>13357.51</v>
      </c>
      <c r="G771">
        <v>2981.2693730277952</v>
      </c>
      <c r="H771">
        <v>2981.2693730277952</v>
      </c>
      <c r="K771">
        <v>4.4479749194383622</v>
      </c>
      <c r="M771">
        <v>0</v>
      </c>
      <c r="N771">
        <v>0</v>
      </c>
      <c r="Q771">
        <v>-0.47413419366953979</v>
      </c>
      <c r="R771">
        <v>-1413.521750292228</v>
      </c>
      <c r="T771">
        <v>0</v>
      </c>
      <c r="U771">
        <v>0</v>
      </c>
    </row>
    <row r="772" spans="1:21" x14ac:dyDescent="0.35">
      <c r="A772" t="s">
        <v>155</v>
      </c>
      <c r="B772" t="s">
        <v>33</v>
      </c>
      <c r="C772">
        <v>49027.5</v>
      </c>
      <c r="D772">
        <v>5.4498024708337249</v>
      </c>
      <c r="F772">
        <v>18459.61</v>
      </c>
      <c r="G772">
        <v>3803.4009892178929</v>
      </c>
      <c r="H772">
        <v>3803.4009892178929</v>
      </c>
      <c r="K772">
        <v>3.899750155232149</v>
      </c>
      <c r="M772">
        <v>0</v>
      </c>
      <c r="N772">
        <v>0</v>
      </c>
      <c r="Q772">
        <v>0.118245901441943</v>
      </c>
      <c r="R772">
        <v>449.73657851524729</v>
      </c>
      <c r="T772">
        <v>0</v>
      </c>
      <c r="U772">
        <v>0</v>
      </c>
    </row>
    <row r="773" spans="1:21" x14ac:dyDescent="0.35">
      <c r="A773" t="s">
        <v>155</v>
      </c>
      <c r="B773" t="s">
        <v>34</v>
      </c>
      <c r="C773">
        <v>49490.400000000001</v>
      </c>
      <c r="D773">
        <v>5.4375297034200756</v>
      </c>
      <c r="F773">
        <v>21867.71</v>
      </c>
      <c r="G773">
        <v>2532.642848660435</v>
      </c>
      <c r="H773">
        <v>2532.642848660435</v>
      </c>
      <c r="K773">
        <v>5.4498024708337249</v>
      </c>
      <c r="M773">
        <v>0</v>
      </c>
      <c r="N773">
        <v>0</v>
      </c>
      <c r="Q773">
        <v>2.4680943106314451E-2</v>
      </c>
      <c r="R773">
        <v>62.508014056402338</v>
      </c>
      <c r="T773">
        <v>0</v>
      </c>
      <c r="U773">
        <v>0</v>
      </c>
    </row>
    <row r="774" spans="1:21" x14ac:dyDescent="0.35">
      <c r="A774" t="s">
        <v>155</v>
      </c>
      <c r="B774" t="s">
        <v>35</v>
      </c>
      <c r="C774">
        <v>50129.3</v>
      </c>
      <c r="D774">
        <v>5.8867340066611904</v>
      </c>
      <c r="F774">
        <v>13843.68</v>
      </c>
      <c r="G774">
        <v>-8502.2952960938928</v>
      </c>
      <c r="H774">
        <v>-8502.2952960938928</v>
      </c>
      <c r="K774">
        <v>5.4375297034200756</v>
      </c>
      <c r="M774">
        <v>0</v>
      </c>
      <c r="N774">
        <v>0</v>
      </c>
      <c r="Q774">
        <v>-0.66790203808455351</v>
      </c>
      <c r="R774">
        <v>5678.7003566578232</v>
      </c>
      <c r="T774">
        <v>0</v>
      </c>
      <c r="U774">
        <v>0</v>
      </c>
    </row>
    <row r="775" spans="1:21" x14ac:dyDescent="0.35">
      <c r="A775" t="s">
        <v>155</v>
      </c>
      <c r="B775" t="s">
        <v>36</v>
      </c>
      <c r="C775">
        <v>50074.8</v>
      </c>
      <c r="D775">
        <v>3.815886647836487</v>
      </c>
      <c r="F775">
        <v>13176.87</v>
      </c>
      <c r="G775">
        <v>-1287.1085488489391</v>
      </c>
      <c r="H775">
        <v>-1287.1085488489391</v>
      </c>
      <c r="K775">
        <v>5.8867340066611904</v>
      </c>
      <c r="M775">
        <v>0</v>
      </c>
      <c r="N775">
        <v>0</v>
      </c>
      <c r="Q775">
        <v>-1.1725840439872679</v>
      </c>
      <c r="R775">
        <v>1509.2429472598731</v>
      </c>
      <c r="T775">
        <v>0</v>
      </c>
      <c r="U775">
        <v>0</v>
      </c>
    </row>
    <row r="776" spans="1:21" x14ac:dyDescent="0.35">
      <c r="A776" t="s">
        <v>155</v>
      </c>
      <c r="B776" t="s">
        <v>37</v>
      </c>
      <c r="C776">
        <v>49689.599999999999</v>
      </c>
      <c r="D776">
        <v>1.3414290499532759</v>
      </c>
      <c r="F776">
        <v>18019.05</v>
      </c>
      <c r="G776">
        <v>3782.8150578267828</v>
      </c>
      <c r="H776">
        <v>3782.8150578267828</v>
      </c>
      <c r="K776">
        <v>3.815886647836487</v>
      </c>
      <c r="M776">
        <v>0</v>
      </c>
      <c r="N776">
        <v>0</v>
      </c>
      <c r="Q776">
        <v>-1.1893066179515219</v>
      </c>
      <c r="R776">
        <v>-4498.9269827600619</v>
      </c>
      <c r="T776">
        <v>0</v>
      </c>
      <c r="U776">
        <v>0</v>
      </c>
    </row>
    <row r="777" spans="1:21" x14ac:dyDescent="0.35">
      <c r="A777" t="s">
        <v>155</v>
      </c>
      <c r="B777" t="s">
        <v>38</v>
      </c>
      <c r="C777">
        <v>49856.7</v>
      </c>
      <c r="D777">
        <v>0.73741792141448681</v>
      </c>
      <c r="F777">
        <v>14048.15</v>
      </c>
      <c r="G777">
        <v>-4873.0704452221198</v>
      </c>
      <c r="H777">
        <v>-4873.0704452221198</v>
      </c>
      <c r="K777">
        <v>1.3414290499532759</v>
      </c>
      <c r="M777">
        <v>0</v>
      </c>
      <c r="N777">
        <v>0</v>
      </c>
      <c r="Q777">
        <v>-1.73069222310857</v>
      </c>
      <c r="R777">
        <v>8433.7851222061363</v>
      </c>
      <c r="T777">
        <v>0</v>
      </c>
      <c r="U777">
        <v>0</v>
      </c>
    </row>
    <row r="778" spans="1:21" x14ac:dyDescent="0.35">
      <c r="A778" t="s">
        <v>155</v>
      </c>
      <c r="B778" t="s">
        <v>39</v>
      </c>
      <c r="C778">
        <v>48771.9</v>
      </c>
      <c r="D778">
        <v>-2.7451340144369949</v>
      </c>
      <c r="F778">
        <v>13245.42</v>
      </c>
      <c r="G778">
        <v>-1612.889016524221</v>
      </c>
      <c r="H778">
        <v>-1612.889016524221</v>
      </c>
      <c r="K778">
        <v>0.73741792141448681</v>
      </c>
      <c r="M778">
        <v>0</v>
      </c>
      <c r="N778">
        <v>0</v>
      </c>
      <c r="Q778">
        <v>-2.2291561214535229</v>
      </c>
      <c r="R778">
        <v>3595.38142441012</v>
      </c>
      <c r="T778">
        <v>0</v>
      </c>
      <c r="U778">
        <v>0</v>
      </c>
    </row>
    <row r="779" spans="1:21" x14ac:dyDescent="0.35">
      <c r="A779" t="s">
        <v>155</v>
      </c>
      <c r="B779" t="s">
        <v>40</v>
      </c>
      <c r="C779">
        <v>45602.3</v>
      </c>
      <c r="D779">
        <v>-9.355973369007101</v>
      </c>
      <c r="F779">
        <v>21794.11</v>
      </c>
      <c r="G779">
        <v>7502.5523747752904</v>
      </c>
      <c r="H779">
        <v>7502.5523747752904</v>
      </c>
      <c r="K779">
        <v>-2.7451340144369949</v>
      </c>
      <c r="M779">
        <v>0</v>
      </c>
      <c r="N779">
        <v>0</v>
      </c>
      <c r="Q779">
        <v>-1.4603397129986451</v>
      </c>
      <c r="R779">
        <v>-10956.27518173665</v>
      </c>
      <c r="T779">
        <v>0</v>
      </c>
      <c r="U779">
        <v>0</v>
      </c>
    </row>
    <row r="780" spans="1:21" x14ac:dyDescent="0.35">
      <c r="A780" t="s">
        <v>155</v>
      </c>
      <c r="B780" t="s">
        <v>41</v>
      </c>
      <c r="C780">
        <v>45408.4</v>
      </c>
      <c r="D780">
        <v>-9.0098545713120011</v>
      </c>
      <c r="F780">
        <v>18972.07</v>
      </c>
      <c r="G780">
        <v>-3571.395125890052</v>
      </c>
      <c r="H780">
        <v>-3571.395125890052</v>
      </c>
      <c r="K780">
        <v>-9.355973369007101</v>
      </c>
      <c r="M780">
        <v>0</v>
      </c>
      <c r="N780">
        <v>0</v>
      </c>
      <c r="Q780">
        <v>-1.2720259950430071</v>
      </c>
      <c r="R780">
        <v>4542.9074387020382</v>
      </c>
      <c r="T780">
        <v>0</v>
      </c>
      <c r="U780">
        <v>0</v>
      </c>
    </row>
    <row r="781" spans="1:21" x14ac:dyDescent="0.35">
      <c r="A781" t="s">
        <v>155</v>
      </c>
      <c r="B781" t="s">
        <v>42</v>
      </c>
      <c r="C781">
        <v>45842.7</v>
      </c>
      <c r="D781">
        <v>-8.3936919390697522</v>
      </c>
      <c r="F781">
        <v>14507.25</v>
      </c>
      <c r="G781">
        <v>-4886.0951899900501</v>
      </c>
      <c r="H781">
        <v>-4886.0951899900501</v>
      </c>
      <c r="K781">
        <v>-9.0098545713120011</v>
      </c>
      <c r="M781">
        <v>0</v>
      </c>
      <c r="N781">
        <v>0</v>
      </c>
      <c r="Q781">
        <v>-8.2153277278216391E-2</v>
      </c>
      <c r="R781">
        <v>401.40873295101198</v>
      </c>
      <c r="T781">
        <v>0</v>
      </c>
      <c r="U781">
        <v>0</v>
      </c>
    </row>
    <row r="782" spans="1:21" x14ac:dyDescent="0.35">
      <c r="A782" t="s">
        <v>155</v>
      </c>
      <c r="B782" t="s">
        <v>43</v>
      </c>
      <c r="C782">
        <v>45518.3</v>
      </c>
      <c r="D782">
        <v>-6.9039884439907357</v>
      </c>
      <c r="F782">
        <v>18951.79</v>
      </c>
      <c r="G782">
        <v>3701.552958534176</v>
      </c>
      <c r="H782">
        <v>3701.552958534176</v>
      </c>
      <c r="K782">
        <v>-8.3936919390697522</v>
      </c>
      <c r="M782">
        <v>0</v>
      </c>
      <c r="N782">
        <v>0</v>
      </c>
      <c r="Q782">
        <v>1.3283620587279359</v>
      </c>
      <c r="R782">
        <v>4917.0025084889376</v>
      </c>
      <c r="T782">
        <v>0</v>
      </c>
      <c r="U782">
        <v>0</v>
      </c>
    </row>
    <row r="783" spans="1:21" x14ac:dyDescent="0.35">
      <c r="A783" t="s">
        <v>155</v>
      </c>
      <c r="B783" t="s">
        <v>44</v>
      </c>
      <c r="C783">
        <v>45914.2</v>
      </c>
      <c r="D783">
        <v>0.68162835689005641</v>
      </c>
      <c r="F783">
        <v>19711.91</v>
      </c>
      <c r="G783">
        <v>-36.739168690150109</v>
      </c>
      <c r="H783">
        <v>-36.739168690150109</v>
      </c>
      <c r="K783">
        <v>-6.9039884439907357</v>
      </c>
      <c r="M783">
        <v>0</v>
      </c>
      <c r="N783">
        <v>0</v>
      </c>
      <c r="Q783">
        <v>1.1288768521043611</v>
      </c>
      <c r="R783">
        <v>-41.473997099867738</v>
      </c>
      <c r="T783">
        <v>0</v>
      </c>
      <c r="U783">
        <v>0</v>
      </c>
    </row>
    <row r="784" spans="1:21" x14ac:dyDescent="0.35">
      <c r="A784" t="s">
        <v>155</v>
      </c>
      <c r="B784" t="s">
        <v>45</v>
      </c>
      <c r="C784">
        <v>47228.7</v>
      </c>
      <c r="D784">
        <v>3.930464869168405</v>
      </c>
      <c r="F784">
        <v>21449.03</v>
      </c>
      <c r="G784">
        <v>1198.9148978520791</v>
      </c>
      <c r="H784">
        <v>1198.9148978520791</v>
      </c>
      <c r="K784">
        <v>0.68162835689005641</v>
      </c>
      <c r="M784">
        <v>0</v>
      </c>
      <c r="N784">
        <v>0</v>
      </c>
      <c r="Q784">
        <v>0.44036245811646829</v>
      </c>
      <c r="R784">
        <v>527.95711149059593</v>
      </c>
      <c r="T784">
        <v>0</v>
      </c>
      <c r="U784">
        <v>0</v>
      </c>
    </row>
    <row r="785" spans="1:21" x14ac:dyDescent="0.35">
      <c r="A785" t="s">
        <v>155</v>
      </c>
      <c r="B785" t="s">
        <v>46</v>
      </c>
      <c r="C785">
        <v>46996.3</v>
      </c>
      <c r="D785">
        <v>2.4852904011476888</v>
      </c>
      <c r="F785">
        <v>19653.439999999999</v>
      </c>
      <c r="G785">
        <v>-2226.0035218636149</v>
      </c>
      <c r="H785">
        <v>-2226.0035218636149</v>
      </c>
      <c r="K785">
        <v>3.930464869168405</v>
      </c>
      <c r="M785">
        <v>0</v>
      </c>
      <c r="N785">
        <v>0</v>
      </c>
      <c r="Q785">
        <v>-5.2102394283772953E-2</v>
      </c>
      <c r="R785">
        <v>115.9801131732053</v>
      </c>
      <c r="T785">
        <v>0</v>
      </c>
      <c r="U785">
        <v>0</v>
      </c>
    </row>
    <row r="786" spans="1:21" x14ac:dyDescent="0.35">
      <c r="A786" t="s">
        <v>155</v>
      </c>
      <c r="B786" t="s">
        <v>47</v>
      </c>
      <c r="C786">
        <v>48007.9</v>
      </c>
      <c r="D786">
        <v>5.3251137799626456</v>
      </c>
      <c r="F786">
        <v>14901.64</v>
      </c>
      <c r="G786">
        <v>-5163.8778878903649</v>
      </c>
      <c r="H786">
        <v>-5163.8778878903649</v>
      </c>
      <c r="K786">
        <v>2.4852904011476888</v>
      </c>
      <c r="M786">
        <v>0</v>
      </c>
      <c r="N786">
        <v>0</v>
      </c>
      <c r="Q786">
        <v>0.14376859840774781</v>
      </c>
      <c r="R786">
        <v>-742.40348629075902</v>
      </c>
      <c r="T786">
        <v>0</v>
      </c>
      <c r="U786">
        <v>0</v>
      </c>
    </row>
    <row r="787" spans="1:21" x14ac:dyDescent="0.35">
      <c r="A787" t="s">
        <v>155</v>
      </c>
      <c r="B787" t="s">
        <v>48</v>
      </c>
      <c r="C787">
        <v>48209.8</v>
      </c>
      <c r="D787">
        <v>4.8787882478271749</v>
      </c>
      <c r="F787">
        <v>13397.83</v>
      </c>
      <c r="G787">
        <v>-2196.1557660518852</v>
      </c>
      <c r="H787">
        <v>-2196.1557660518852</v>
      </c>
      <c r="K787">
        <v>5.3251137799626456</v>
      </c>
      <c r="M787">
        <v>0</v>
      </c>
      <c r="N787">
        <v>0</v>
      </c>
      <c r="Q787">
        <v>0.26963303118807541</v>
      </c>
      <c r="R787">
        <v>-592.15613616173937</v>
      </c>
      <c r="T787">
        <v>0</v>
      </c>
      <c r="U787">
        <v>0</v>
      </c>
    </row>
    <row r="788" spans="1:21" x14ac:dyDescent="0.35">
      <c r="A788" t="s">
        <v>155</v>
      </c>
      <c r="B788" t="s">
        <v>49</v>
      </c>
      <c r="C788">
        <v>48090.1</v>
      </c>
      <c r="D788">
        <v>1.8074576070849171</v>
      </c>
      <c r="F788">
        <v>14121</v>
      </c>
      <c r="G788">
        <v>-273.04318602130661</v>
      </c>
      <c r="H788">
        <v>-273.04318602130661</v>
      </c>
      <c r="K788">
        <v>4.8787882478271749</v>
      </c>
      <c r="M788">
        <v>0</v>
      </c>
      <c r="N788">
        <v>0</v>
      </c>
      <c r="Q788">
        <v>0.37314514557310768</v>
      </c>
      <c r="R788">
        <v>-101.8847393956656</v>
      </c>
      <c r="T788">
        <v>0</v>
      </c>
      <c r="U788">
        <v>0</v>
      </c>
    </row>
    <row r="789" spans="1:21" x14ac:dyDescent="0.35">
      <c r="A789" t="s">
        <v>155</v>
      </c>
      <c r="B789" t="s">
        <v>50</v>
      </c>
      <c r="C789">
        <v>48149.1</v>
      </c>
      <c r="D789">
        <v>2.423357127370616</v>
      </c>
      <c r="F789">
        <v>20227.560000000001</v>
      </c>
      <c r="G789">
        <v>5061.6006823259177</v>
      </c>
      <c r="H789">
        <v>5061.6006823259177</v>
      </c>
      <c r="K789">
        <v>1.8074576070849171</v>
      </c>
      <c r="M789">
        <v>0</v>
      </c>
      <c r="N789">
        <v>0</v>
      </c>
      <c r="Q789">
        <v>-0.35272141613040142</v>
      </c>
      <c r="R789">
        <v>-1785.3349605566029</v>
      </c>
      <c r="T789">
        <v>0</v>
      </c>
      <c r="U789">
        <v>0</v>
      </c>
    </row>
    <row r="790" spans="1:21" x14ac:dyDescent="0.35">
      <c r="A790" t="s">
        <v>155</v>
      </c>
      <c r="B790" t="s">
        <v>51</v>
      </c>
      <c r="C790">
        <v>48196.4</v>
      </c>
      <c r="D790">
        <v>0.39187487716536901</v>
      </c>
      <c r="F790">
        <v>19436.98</v>
      </c>
      <c r="G790">
        <v>-1556.8530311641989</v>
      </c>
      <c r="H790">
        <v>-1556.8530311641989</v>
      </c>
      <c r="K790">
        <v>2.423357127370616</v>
      </c>
      <c r="M790">
        <v>0</v>
      </c>
      <c r="N790">
        <v>0</v>
      </c>
      <c r="Q790">
        <v>-0.62931600166596691</v>
      </c>
      <c r="R790">
        <v>979.75252475379466</v>
      </c>
      <c r="T790">
        <v>0</v>
      </c>
      <c r="U790">
        <v>0</v>
      </c>
    </row>
    <row r="791" spans="1:21" x14ac:dyDescent="0.35">
      <c r="A791" t="s">
        <v>155</v>
      </c>
      <c r="B791" t="s">
        <v>52</v>
      </c>
      <c r="C791">
        <v>47902.400000000001</v>
      </c>
      <c r="D791">
        <v>-0.63967123462002207</v>
      </c>
      <c r="F791">
        <v>18629.88</v>
      </c>
      <c r="G791">
        <v>-1290.561426222474</v>
      </c>
      <c r="H791">
        <v>-1290.561426222474</v>
      </c>
      <c r="K791">
        <v>0.39187487716536901</v>
      </c>
      <c r="M791">
        <v>0</v>
      </c>
      <c r="N791">
        <v>0</v>
      </c>
      <c r="Q791">
        <v>-0.25279687608602741</v>
      </c>
      <c r="R791">
        <v>326.24989694616937</v>
      </c>
      <c r="T791">
        <v>0</v>
      </c>
      <c r="U791">
        <v>0</v>
      </c>
    </row>
    <row r="792" spans="1:21" x14ac:dyDescent="0.35">
      <c r="A792" t="s">
        <v>155</v>
      </c>
      <c r="B792" t="s">
        <v>53</v>
      </c>
      <c r="C792">
        <v>47400.2</v>
      </c>
      <c r="D792">
        <v>-1.444988662039127</v>
      </c>
      <c r="F792">
        <v>36827.879999999997</v>
      </c>
      <c r="G792">
        <v>17641.959197543922</v>
      </c>
      <c r="H792">
        <v>17641.959197543922</v>
      </c>
      <c r="K792">
        <v>-0.63967123462002207</v>
      </c>
      <c r="M792">
        <v>0</v>
      </c>
      <c r="N792">
        <v>0</v>
      </c>
      <c r="Q792">
        <v>-0.44984784149564461</v>
      </c>
      <c r="R792">
        <v>-7936.1972647693647</v>
      </c>
      <c r="T792">
        <v>0</v>
      </c>
      <c r="U792">
        <v>0</v>
      </c>
    </row>
    <row r="793" spans="1:21" x14ac:dyDescent="0.35">
      <c r="A793" t="s">
        <v>155</v>
      </c>
      <c r="B793" t="s">
        <v>54</v>
      </c>
      <c r="C793">
        <v>47233.1</v>
      </c>
      <c r="D793">
        <v>-1.9207528478450719</v>
      </c>
      <c r="F793">
        <v>25945.24</v>
      </c>
      <c r="G793">
        <v>-10760.52865517087</v>
      </c>
      <c r="H793">
        <v>-10760.52865517087</v>
      </c>
      <c r="K793">
        <v>-1.444988662039127</v>
      </c>
      <c r="M793">
        <v>0</v>
      </c>
      <c r="N793">
        <v>0</v>
      </c>
      <c r="Q793">
        <v>0.1014246042452151</v>
      </c>
      <c r="R793">
        <v>-1091.382360320003</v>
      </c>
      <c r="T793">
        <v>0</v>
      </c>
      <c r="U793">
        <v>0</v>
      </c>
    </row>
    <row r="794" spans="1:21" x14ac:dyDescent="0.35">
      <c r="A794" t="s">
        <v>155</v>
      </c>
      <c r="B794" t="s">
        <v>55</v>
      </c>
      <c r="C794">
        <v>47175</v>
      </c>
      <c r="D794">
        <v>-2.1420238215913181</v>
      </c>
      <c r="F794">
        <v>38752.269999999997</v>
      </c>
      <c r="G794">
        <v>13434.743327128041</v>
      </c>
      <c r="H794">
        <v>13434.743327128041</v>
      </c>
      <c r="K794">
        <v>-1.9207528478450719</v>
      </c>
      <c r="M794">
        <v>0</v>
      </c>
      <c r="N794">
        <v>0</v>
      </c>
      <c r="Q794">
        <v>-0.1023715941074996</v>
      </c>
      <c r="R794">
        <v>-1375.3360908231909</v>
      </c>
      <c r="T794">
        <v>0</v>
      </c>
      <c r="U794">
        <v>0</v>
      </c>
    </row>
    <row r="795" spans="1:21" x14ac:dyDescent="0.35">
      <c r="A795" t="s">
        <v>155</v>
      </c>
      <c r="B795" t="s">
        <v>56</v>
      </c>
      <c r="C795">
        <v>46765.8</v>
      </c>
      <c r="D795">
        <v>-2.4013440994976909</v>
      </c>
      <c r="F795">
        <v>31598.92</v>
      </c>
      <c r="G795">
        <v>-6578.8883624478913</v>
      </c>
      <c r="H795">
        <v>-6578.8883624478913</v>
      </c>
      <c r="K795">
        <v>-2.1420238215913181</v>
      </c>
      <c r="M795">
        <v>0</v>
      </c>
      <c r="N795">
        <v>0</v>
      </c>
      <c r="Q795">
        <v>-0.2737456821685994</v>
      </c>
      <c r="R795">
        <v>1800.9422826893581</v>
      </c>
      <c r="T795">
        <v>0</v>
      </c>
      <c r="U795">
        <v>0</v>
      </c>
    </row>
    <row r="796" spans="1:21" x14ac:dyDescent="0.35">
      <c r="A796" t="s">
        <v>155</v>
      </c>
      <c r="B796" t="s">
        <v>57</v>
      </c>
      <c r="C796">
        <v>46974</v>
      </c>
      <c r="D796">
        <v>-0.90321909475796769</v>
      </c>
      <c r="F796">
        <v>14113.9</v>
      </c>
      <c r="G796">
        <v>-16534.748271214699</v>
      </c>
      <c r="H796">
        <v>-16534.748271214699</v>
      </c>
      <c r="K796">
        <v>-2.4013440994976909</v>
      </c>
      <c r="M796">
        <v>0</v>
      </c>
      <c r="N796">
        <v>0</v>
      </c>
      <c r="Q796">
        <v>0.32639341217151729</v>
      </c>
      <c r="R796">
        <v>-5396.8329076388618</v>
      </c>
      <c r="T796">
        <v>0</v>
      </c>
      <c r="U796">
        <v>0</v>
      </c>
    </row>
    <row r="797" spans="1:21" x14ac:dyDescent="0.35">
      <c r="A797" t="s">
        <v>155</v>
      </c>
      <c r="B797" t="s">
        <v>58</v>
      </c>
      <c r="C797">
        <v>47099.1</v>
      </c>
      <c r="D797">
        <v>-0.28410254426570902</v>
      </c>
      <c r="F797">
        <v>15802.53</v>
      </c>
      <c r="G797">
        <v>1579.518846364859</v>
      </c>
      <c r="H797">
        <v>1579.518846364859</v>
      </c>
      <c r="K797">
        <v>-0.90321909475796769</v>
      </c>
      <c r="M797">
        <v>0</v>
      </c>
      <c r="N797">
        <v>0</v>
      </c>
      <c r="Q797">
        <v>0.49193158393283892</v>
      </c>
      <c r="R797">
        <v>777.01520794403552</v>
      </c>
      <c r="T797">
        <v>0</v>
      </c>
      <c r="U797">
        <v>0</v>
      </c>
    </row>
    <row r="798" spans="1:21" x14ac:dyDescent="0.35">
      <c r="A798" t="s">
        <v>155</v>
      </c>
      <c r="B798" t="s">
        <v>59</v>
      </c>
      <c r="C798">
        <v>47016</v>
      </c>
      <c r="D798">
        <v>-0.33761219442645912</v>
      </c>
      <c r="F798">
        <v>18492.009999999998</v>
      </c>
      <c r="G798">
        <v>1747.8482793999319</v>
      </c>
      <c r="H798">
        <v>1747.8482793999319</v>
      </c>
      <c r="K798">
        <v>-0.28410254426570902</v>
      </c>
      <c r="M798">
        <v>0</v>
      </c>
      <c r="N798">
        <v>0</v>
      </c>
      <c r="Q798">
        <v>0.73583906799649779</v>
      </c>
      <c r="R798">
        <v>1286.1350489129279</v>
      </c>
      <c r="T798">
        <v>0</v>
      </c>
      <c r="U798">
        <v>0</v>
      </c>
    </row>
    <row r="799" spans="1:21" x14ac:dyDescent="0.35">
      <c r="A799" t="s">
        <v>155</v>
      </c>
      <c r="B799" t="s">
        <v>60</v>
      </c>
      <c r="C799">
        <v>46613.9</v>
      </c>
      <c r="D799">
        <v>-0.32533866350484941</v>
      </c>
      <c r="F799">
        <v>19536.86</v>
      </c>
      <c r="G799">
        <v>296.42782514671848</v>
      </c>
      <c r="H799">
        <v>296.42782514671848</v>
      </c>
      <c r="K799">
        <v>-0.33761219442645912</v>
      </c>
      <c r="M799">
        <v>0</v>
      </c>
      <c r="N799">
        <v>0</v>
      </c>
      <c r="Q799">
        <v>0.62723651975329642</v>
      </c>
      <c r="R799">
        <v>185.93035740306641</v>
      </c>
      <c r="T799">
        <v>0</v>
      </c>
      <c r="U799">
        <v>0</v>
      </c>
    </row>
    <row r="800" spans="1:21" x14ac:dyDescent="0.35">
      <c r="A800" t="s">
        <v>155</v>
      </c>
      <c r="B800" t="s">
        <v>61</v>
      </c>
      <c r="C800">
        <v>46705</v>
      </c>
      <c r="D800">
        <v>-0.57430318290200966</v>
      </c>
      <c r="F800">
        <v>20086.099999999999</v>
      </c>
      <c r="G800">
        <v>-19.53534989586478</v>
      </c>
      <c r="H800">
        <v>-19.53534989586478</v>
      </c>
      <c r="K800">
        <v>-0.32533866350484941</v>
      </c>
      <c r="M800">
        <v>0</v>
      </c>
      <c r="N800">
        <v>0</v>
      </c>
      <c r="Q800">
        <v>0.65814978727284401</v>
      </c>
      <c r="R800">
        <v>-12.857186378263981</v>
      </c>
      <c r="T800">
        <v>0</v>
      </c>
      <c r="U800">
        <v>0</v>
      </c>
    </row>
    <row r="801" spans="1:22" x14ac:dyDescent="0.35">
      <c r="A801" t="s">
        <v>155</v>
      </c>
      <c r="B801" t="s">
        <v>62</v>
      </c>
      <c r="C801">
        <v>46842.6</v>
      </c>
      <c r="D801">
        <v>-0.54608472578292744</v>
      </c>
      <c r="F801">
        <v>14211.19</v>
      </c>
      <c r="G801">
        <v>-6368.2256188433221</v>
      </c>
      <c r="H801">
        <v>-6368.2256188433221</v>
      </c>
      <c r="K801">
        <v>-0.57430318290200966</v>
      </c>
      <c r="M801">
        <v>0</v>
      </c>
      <c r="N801">
        <v>0</v>
      </c>
      <c r="Q801">
        <v>0.52965390098050946</v>
      </c>
      <c r="R801">
        <v>-3372.955541344385</v>
      </c>
      <c r="T801">
        <v>0</v>
      </c>
      <c r="U801">
        <v>0</v>
      </c>
    </row>
    <row r="802" spans="1:22" x14ac:dyDescent="0.35">
      <c r="A802" t="s">
        <v>155</v>
      </c>
      <c r="B802" t="s">
        <v>63</v>
      </c>
      <c r="C802">
        <v>46794.400000000001</v>
      </c>
      <c r="D802">
        <v>-0.47244316660102992</v>
      </c>
      <c r="F802">
        <v>17252.02</v>
      </c>
      <c r="G802">
        <v>2343.4323165346868</v>
      </c>
      <c r="H802">
        <v>2343.4323165346868</v>
      </c>
      <c r="K802">
        <v>-0.54608472578292744</v>
      </c>
      <c r="M802">
        <v>0</v>
      </c>
      <c r="N802">
        <v>0</v>
      </c>
      <c r="Q802">
        <v>0.4900293855552974</v>
      </c>
      <c r="R802">
        <v>1148.35069816192</v>
      </c>
      <c r="T802">
        <v>0</v>
      </c>
      <c r="U802">
        <v>0</v>
      </c>
    </row>
    <row r="803" spans="1:22" x14ac:dyDescent="0.35">
      <c r="A803" t="s">
        <v>155</v>
      </c>
      <c r="B803" t="s">
        <v>64</v>
      </c>
      <c r="C803">
        <v>46408.3</v>
      </c>
      <c r="D803">
        <v>-0.44204573702367839</v>
      </c>
      <c r="E803">
        <v>-0.39022586343569138</v>
      </c>
      <c r="F803">
        <v>29838.2</v>
      </c>
      <c r="G803">
        <v>11706.8741061117</v>
      </c>
      <c r="H803">
        <v>11706.8741061117</v>
      </c>
      <c r="I803">
        <v>-3.3205128918031281</v>
      </c>
      <c r="J803">
        <v>1.3039846081124189E-3</v>
      </c>
      <c r="K803">
        <v>-0.47244316660102992</v>
      </c>
      <c r="L803">
        <v>15.2655836434795</v>
      </c>
      <c r="M803">
        <v>0</v>
      </c>
      <c r="N803">
        <v>0</v>
      </c>
      <c r="O803">
        <v>0</v>
      </c>
      <c r="P803">
        <v>0</v>
      </c>
      <c r="Q803">
        <v>0.24993671887184041</v>
      </c>
      <c r="R803">
        <v>2925.9777023272682</v>
      </c>
      <c r="S803">
        <v>3.8154298875148989</v>
      </c>
      <c r="T803">
        <v>0</v>
      </c>
      <c r="U803">
        <v>0</v>
      </c>
      <c r="V803">
        <v>0</v>
      </c>
    </row>
    <row r="804" spans="1:22" x14ac:dyDescent="0.35">
      <c r="A804" t="s">
        <v>155</v>
      </c>
      <c r="B804" t="s">
        <v>65</v>
      </c>
      <c r="C804">
        <v>47078.5</v>
      </c>
      <c r="D804">
        <v>0.79651958970004078</v>
      </c>
      <c r="E804">
        <v>0.15027501356869619</v>
      </c>
      <c r="F804">
        <v>25360.74</v>
      </c>
      <c r="G804">
        <v>-4702.6314541169268</v>
      </c>
      <c r="H804">
        <v>-4702.6314541169268</v>
      </c>
      <c r="I804">
        <v>-1.5876177815786729</v>
      </c>
      <c r="J804">
        <v>4.0108361869037941E-2</v>
      </c>
      <c r="K804">
        <v>-0.44204573702367839</v>
      </c>
      <c r="L804">
        <v>-188.61484409844181</v>
      </c>
      <c r="M804">
        <v>0</v>
      </c>
      <c r="N804">
        <v>0</v>
      </c>
      <c r="O804">
        <v>0</v>
      </c>
      <c r="P804">
        <v>0</v>
      </c>
      <c r="Q804">
        <v>-5.7611074526499169E-2</v>
      </c>
      <c r="R804">
        <v>270.92365117378938</v>
      </c>
      <c r="S804">
        <v>10.86630384015935</v>
      </c>
      <c r="T804">
        <v>0</v>
      </c>
      <c r="U804">
        <v>0</v>
      </c>
      <c r="V804">
        <v>0</v>
      </c>
    </row>
    <row r="805" spans="1:22" x14ac:dyDescent="0.35">
      <c r="A805" t="s">
        <v>155</v>
      </c>
      <c r="B805" t="s">
        <v>66</v>
      </c>
      <c r="C805">
        <v>47035.6</v>
      </c>
      <c r="D805">
        <v>0.41117164987862659</v>
      </c>
      <c r="E805">
        <v>0.53157491995890427</v>
      </c>
      <c r="F805">
        <v>21280.47</v>
      </c>
      <c r="G805">
        <v>-3835.168726222837</v>
      </c>
      <c r="H805">
        <v>-3835.168726222837</v>
      </c>
      <c r="I805">
        <v>-0.3651355037057547</v>
      </c>
      <c r="J805">
        <v>0.32513525952422978</v>
      </c>
      <c r="K805">
        <v>0.79651958970004078</v>
      </c>
      <c r="L805">
        <v>-1246.9485791196721</v>
      </c>
      <c r="M805">
        <v>0</v>
      </c>
      <c r="N805">
        <v>0</v>
      </c>
      <c r="O805">
        <v>0</v>
      </c>
      <c r="P805">
        <v>0</v>
      </c>
      <c r="Q805">
        <v>-0.43494893144090141</v>
      </c>
      <c r="R805">
        <v>1668.102539366186</v>
      </c>
      <c r="S805">
        <v>542.35895204985172</v>
      </c>
      <c r="T805">
        <v>0</v>
      </c>
      <c r="U805">
        <v>0</v>
      </c>
      <c r="V805">
        <v>0</v>
      </c>
    </row>
    <row r="806" spans="1:22" x14ac:dyDescent="0.35">
      <c r="A806" t="s">
        <v>155</v>
      </c>
      <c r="B806" t="s">
        <v>67</v>
      </c>
      <c r="C806">
        <v>47305.5</v>
      </c>
      <c r="D806">
        <v>1.0863030163428711</v>
      </c>
      <c r="E806">
        <v>0.56936520652200251</v>
      </c>
      <c r="F806">
        <v>18517.900000000001</v>
      </c>
      <c r="G806">
        <v>-2909.1155667876369</v>
      </c>
      <c r="H806">
        <v>-2909.1155667876369</v>
      </c>
      <c r="I806">
        <v>-0.2439763981699421</v>
      </c>
      <c r="J806">
        <v>0.3803759549647977</v>
      </c>
      <c r="K806">
        <v>0.41117164987862659</v>
      </c>
      <c r="L806">
        <v>-1106.557611819806</v>
      </c>
      <c r="M806">
        <v>0</v>
      </c>
      <c r="N806">
        <v>0</v>
      </c>
      <c r="O806">
        <v>0</v>
      </c>
      <c r="P806">
        <v>0</v>
      </c>
      <c r="Q806">
        <v>-0.36582701323540417</v>
      </c>
      <c r="R806">
        <v>1064.2330589545411</v>
      </c>
      <c r="S806">
        <v>404.80866610494149</v>
      </c>
      <c r="T806">
        <v>0</v>
      </c>
      <c r="U806">
        <v>0</v>
      </c>
      <c r="V806">
        <v>0</v>
      </c>
    </row>
    <row r="807" spans="1:22" x14ac:dyDescent="0.35">
      <c r="A807" t="s">
        <v>155</v>
      </c>
      <c r="B807" t="s">
        <v>68</v>
      </c>
      <c r="C807">
        <v>47856.9</v>
      </c>
      <c r="D807">
        <v>3.0736985584453289</v>
      </c>
      <c r="E807">
        <v>0.6081697135823888</v>
      </c>
      <c r="F807">
        <v>22826.080000000002</v>
      </c>
      <c r="G807">
        <v>3842.526243353896</v>
      </c>
      <c r="H807">
        <v>3842.526243353896</v>
      </c>
      <c r="I807">
        <v>-0.1195656092137794</v>
      </c>
      <c r="J807">
        <v>0.44050045938825511</v>
      </c>
      <c r="K807">
        <v>1.0863030163428711</v>
      </c>
      <c r="L807">
        <v>1692.634575408817</v>
      </c>
      <c r="M807">
        <v>0</v>
      </c>
      <c r="N807">
        <v>0</v>
      </c>
      <c r="O807">
        <v>0</v>
      </c>
      <c r="P807">
        <v>0</v>
      </c>
      <c r="Q807">
        <v>-0.34310314744503762</v>
      </c>
      <c r="R807">
        <v>-1318.3828482348781</v>
      </c>
      <c r="S807">
        <v>-580.74825029706005</v>
      </c>
      <c r="T807">
        <v>0</v>
      </c>
      <c r="U807">
        <v>0</v>
      </c>
      <c r="V807">
        <v>0</v>
      </c>
    </row>
    <row r="808" spans="1:22" x14ac:dyDescent="0.35">
      <c r="A808" t="s">
        <v>155</v>
      </c>
      <c r="B808" t="s">
        <v>69</v>
      </c>
      <c r="C808">
        <v>47847</v>
      </c>
      <c r="D808">
        <v>1.619199878691421</v>
      </c>
      <c r="E808">
        <v>0.62813997339812444</v>
      </c>
      <c r="F808">
        <v>18513.21</v>
      </c>
      <c r="G808">
        <v>-4750.2373136210626</v>
      </c>
      <c r="H808">
        <v>-4750.2373136210626</v>
      </c>
      <c r="I808">
        <v>-5.553913477695939E-2</v>
      </c>
      <c r="J808">
        <v>0.47225895005358609</v>
      </c>
      <c r="K808">
        <v>3.0736985584453289</v>
      </c>
      <c r="L808">
        <v>-2243.3420862360508</v>
      </c>
      <c r="M808">
        <v>0</v>
      </c>
      <c r="N808">
        <v>0</v>
      </c>
      <c r="O808">
        <v>0</v>
      </c>
      <c r="P808">
        <v>0</v>
      </c>
      <c r="Q808">
        <v>-0.21278257019647859</v>
      </c>
      <c r="R808">
        <v>1010.767704635506</v>
      </c>
      <c r="S808">
        <v>477.34409493923721</v>
      </c>
      <c r="T808">
        <v>0</v>
      </c>
      <c r="U808">
        <v>0</v>
      </c>
      <c r="V808">
        <v>0</v>
      </c>
    </row>
    <row r="809" spans="1:22" x14ac:dyDescent="0.35">
      <c r="A809" t="s">
        <v>155</v>
      </c>
      <c r="B809" t="s">
        <v>70</v>
      </c>
      <c r="C809">
        <v>48368.9</v>
      </c>
      <c r="D809">
        <v>2.7952283407177552</v>
      </c>
      <c r="E809">
        <v>0.62921871406756302</v>
      </c>
      <c r="F809">
        <v>30182.29</v>
      </c>
      <c r="G809">
        <v>11282.735474875861</v>
      </c>
      <c r="H809">
        <v>11282.735474875861</v>
      </c>
      <c r="I809">
        <v>-5.2080593799873801E-2</v>
      </c>
      <c r="J809">
        <v>0.47398322138255811</v>
      </c>
      <c r="K809">
        <v>1.619199878691421</v>
      </c>
      <c r="L809">
        <v>5347.8273063889264</v>
      </c>
      <c r="M809">
        <v>0</v>
      </c>
      <c r="N809">
        <v>0</v>
      </c>
      <c r="O809">
        <v>0</v>
      </c>
      <c r="P809">
        <v>0</v>
      </c>
      <c r="Q809">
        <v>0.72126716019730064</v>
      </c>
      <c r="R809">
        <v>8137.8665752210527</v>
      </c>
      <c r="S809">
        <v>3857.2122145047201</v>
      </c>
      <c r="T809">
        <v>0</v>
      </c>
      <c r="U809">
        <v>0</v>
      </c>
      <c r="V809">
        <v>0</v>
      </c>
    </row>
    <row r="810" spans="1:22" x14ac:dyDescent="0.35">
      <c r="A810" t="s">
        <v>155</v>
      </c>
      <c r="B810" t="s">
        <v>71</v>
      </c>
      <c r="C810">
        <v>48586</v>
      </c>
      <c r="D810">
        <v>2.670885575612405</v>
      </c>
      <c r="E810">
        <v>0.64884289376424131</v>
      </c>
      <c r="F810">
        <v>32031.3</v>
      </c>
      <c r="G810">
        <v>1702.312279079182</v>
      </c>
      <c r="H810">
        <v>1702.312279079182</v>
      </c>
      <c r="I810">
        <v>1.0836316209624259E-2</v>
      </c>
      <c r="J810">
        <v>0.50541794603768175</v>
      </c>
      <c r="K810">
        <v>2.7952283407177552</v>
      </c>
      <c r="L810">
        <v>860.37917560692517</v>
      </c>
      <c r="M810">
        <v>0</v>
      </c>
      <c r="N810">
        <v>0</v>
      </c>
      <c r="O810">
        <v>0</v>
      </c>
      <c r="P810">
        <v>0</v>
      </c>
      <c r="Q810">
        <v>0.67727676323416341</v>
      </c>
      <c r="R810">
        <v>1152.9365503885199</v>
      </c>
      <c r="S810">
        <v>582.71482320913617</v>
      </c>
      <c r="T810">
        <v>0</v>
      </c>
      <c r="U810">
        <v>0</v>
      </c>
      <c r="V810">
        <v>0</v>
      </c>
    </row>
    <row r="811" spans="1:22" x14ac:dyDescent="0.35">
      <c r="A811" t="s">
        <v>155</v>
      </c>
      <c r="B811" t="s">
        <v>72</v>
      </c>
      <c r="C811">
        <v>49057.9</v>
      </c>
      <c r="D811">
        <v>2.4785925055279892</v>
      </c>
      <c r="E811">
        <v>0.85328541309769135</v>
      </c>
      <c r="F811">
        <v>29910.11</v>
      </c>
      <c r="G811">
        <v>-1594.595393211242</v>
      </c>
      <c r="H811">
        <v>-1594.595393211242</v>
      </c>
      <c r="I811">
        <v>0.66629768019188518</v>
      </c>
      <c r="J811">
        <v>0.79126961377572702</v>
      </c>
      <c r="K811">
        <v>2.670885575612405</v>
      </c>
      <c r="L811">
        <v>-1261.7548809148129</v>
      </c>
      <c r="M811">
        <v>0</v>
      </c>
      <c r="N811">
        <v>0</v>
      </c>
      <c r="O811">
        <v>0</v>
      </c>
      <c r="P811">
        <v>0</v>
      </c>
      <c r="Q811">
        <v>0.94661641718932787</v>
      </c>
      <c r="R811">
        <v>-1509.4701779882339</v>
      </c>
      <c r="S811">
        <v>-1194.3978847427279</v>
      </c>
      <c r="T811">
        <v>0</v>
      </c>
      <c r="U811">
        <v>0</v>
      </c>
      <c r="V811">
        <v>0</v>
      </c>
    </row>
    <row r="812" spans="1:22" x14ac:dyDescent="0.35">
      <c r="A812" t="s">
        <v>155</v>
      </c>
      <c r="B812" t="s">
        <v>73</v>
      </c>
      <c r="C812">
        <v>49703</v>
      </c>
      <c r="D812">
        <v>3.8056873445171799</v>
      </c>
      <c r="E812">
        <v>0.82101751844928228</v>
      </c>
      <c r="F812">
        <v>16514.349999999999</v>
      </c>
      <c r="G812">
        <v>-12857.951240235971</v>
      </c>
      <c r="H812">
        <v>-12857.951240235971</v>
      </c>
      <c r="I812">
        <v>0.56284386682645005</v>
      </c>
      <c r="J812">
        <v>0.75504220790436882</v>
      </c>
      <c r="K812">
        <v>2.4785925055279892</v>
      </c>
      <c r="L812">
        <v>-9708.295893554483</v>
      </c>
      <c r="M812">
        <v>0</v>
      </c>
      <c r="N812">
        <v>0</v>
      </c>
      <c r="O812">
        <v>0</v>
      </c>
      <c r="P812">
        <v>0</v>
      </c>
      <c r="Q812">
        <v>0.95076477714732432</v>
      </c>
      <c r="R812">
        <v>-12224.887145494111</v>
      </c>
      <c r="S812">
        <v>-9230.3057817156114</v>
      </c>
      <c r="T812">
        <v>0</v>
      </c>
      <c r="U812">
        <v>0</v>
      </c>
      <c r="V812">
        <v>0</v>
      </c>
    </row>
    <row r="813" spans="1:22" x14ac:dyDescent="0.35">
      <c r="A813" t="s">
        <v>155</v>
      </c>
      <c r="B813" t="s">
        <v>74</v>
      </c>
      <c r="C813">
        <v>49935.4</v>
      </c>
      <c r="D813">
        <v>3.1873124868866349</v>
      </c>
      <c r="E813">
        <v>0.55441269825006712</v>
      </c>
      <c r="F813">
        <v>16325.61</v>
      </c>
      <c r="G813">
        <v>-289.78211110166382</v>
      </c>
      <c r="H813">
        <v>-289.78211110166382</v>
      </c>
      <c r="I813">
        <v>-0.29191550349320178</v>
      </c>
      <c r="J813">
        <v>0.35805155622472351</v>
      </c>
      <c r="K813">
        <v>3.8056873445171799</v>
      </c>
      <c r="L813">
        <v>-103.7569358460364</v>
      </c>
      <c r="M813">
        <v>0</v>
      </c>
      <c r="N813">
        <v>0</v>
      </c>
      <c r="O813">
        <v>0</v>
      </c>
      <c r="P813">
        <v>0</v>
      </c>
      <c r="Q813">
        <v>0.75560868905501355</v>
      </c>
      <c r="R813">
        <v>-218.96188108112241</v>
      </c>
      <c r="S813">
        <v>-78.399642274988722</v>
      </c>
      <c r="T813">
        <v>0</v>
      </c>
      <c r="U813">
        <v>0</v>
      </c>
      <c r="V813">
        <v>0</v>
      </c>
    </row>
    <row r="814" spans="1:22" x14ac:dyDescent="0.35">
      <c r="A814" t="s">
        <v>155</v>
      </c>
      <c r="B814" t="s">
        <v>75</v>
      </c>
      <c r="C814">
        <v>50328.6</v>
      </c>
      <c r="D814">
        <v>3.5238080425810359</v>
      </c>
      <c r="E814">
        <v>0.64890371119837631</v>
      </c>
      <c r="F814">
        <v>28396.560000000001</v>
      </c>
      <c r="G814">
        <v>11273.465479390619</v>
      </c>
      <c r="H814">
        <v>11273.465479390619</v>
      </c>
      <c r="I814">
        <v>1.103130245055885E-2</v>
      </c>
      <c r="J814">
        <v>0.50551542750364342</v>
      </c>
      <c r="K814">
        <v>3.1873124868866349</v>
      </c>
      <c r="L814">
        <v>5698.9107212617146</v>
      </c>
      <c r="M814">
        <v>0</v>
      </c>
      <c r="N814">
        <v>0</v>
      </c>
      <c r="O814">
        <v>0</v>
      </c>
      <c r="P814">
        <v>0</v>
      </c>
      <c r="Q814">
        <v>0.71253404204064785</v>
      </c>
      <c r="R814">
        <v>8032.7279258359076</v>
      </c>
      <c r="S814">
        <v>4060.6678914493941</v>
      </c>
      <c r="T814">
        <v>0</v>
      </c>
      <c r="U814">
        <v>0</v>
      </c>
      <c r="V814">
        <v>0</v>
      </c>
    </row>
    <row r="815" spans="1:22" x14ac:dyDescent="0.35">
      <c r="A815" t="s">
        <v>155</v>
      </c>
      <c r="B815" t="s">
        <v>76</v>
      </c>
      <c r="C815">
        <v>50437.599999999999</v>
      </c>
      <c r="D815">
        <v>2.7735695494707491</v>
      </c>
      <c r="E815">
        <v>0.5621858675941005</v>
      </c>
      <c r="F815">
        <v>13622.16</v>
      </c>
      <c r="G815">
        <v>-15104.230619776299</v>
      </c>
      <c r="H815">
        <v>-15104.230619776299</v>
      </c>
      <c r="I815">
        <v>-0.26699401359317199</v>
      </c>
      <c r="J815">
        <v>0.36958722529984628</v>
      </c>
      <c r="K815">
        <v>3.5238080425810359</v>
      </c>
      <c r="L815">
        <v>-5582.3306850521003</v>
      </c>
      <c r="M815">
        <v>0</v>
      </c>
      <c r="N815">
        <v>0</v>
      </c>
      <c r="O815">
        <v>0</v>
      </c>
      <c r="P815">
        <v>0</v>
      </c>
      <c r="Q815">
        <v>0.55981077105693366</v>
      </c>
      <c r="R815">
        <v>-8455.5109894787165</v>
      </c>
      <c r="S815">
        <v>-3125.0488450937969</v>
      </c>
      <c r="T815">
        <v>0</v>
      </c>
      <c r="U815">
        <v>0</v>
      </c>
      <c r="V815">
        <v>0</v>
      </c>
    </row>
    <row r="816" spans="1:22" x14ac:dyDescent="0.35">
      <c r="A816" t="s">
        <v>155</v>
      </c>
      <c r="B816" t="s">
        <v>77</v>
      </c>
      <c r="C816">
        <v>50338.400000000001</v>
      </c>
      <c r="D816">
        <v>1.270291187846724</v>
      </c>
      <c r="E816">
        <v>0.34362344950477092</v>
      </c>
      <c r="F816">
        <v>25653.23</v>
      </c>
      <c r="G816">
        <v>11737.80673016071</v>
      </c>
      <c r="H816">
        <v>11737.80673016071</v>
      </c>
      <c r="I816">
        <v>-0.96772506084873011</v>
      </c>
      <c r="J816">
        <v>0.12614856025947929</v>
      </c>
      <c r="K816">
        <v>2.7735695494707491</v>
      </c>
      <c r="L816">
        <v>1480.707419613801</v>
      </c>
      <c r="M816">
        <v>0</v>
      </c>
      <c r="N816">
        <v>0</v>
      </c>
      <c r="O816">
        <v>0</v>
      </c>
      <c r="P816">
        <v>0</v>
      </c>
      <c r="Q816">
        <v>0.45606477353429858</v>
      </c>
      <c r="R816">
        <v>5353.2001681801103</v>
      </c>
      <c r="S816">
        <v>675.29849399672355</v>
      </c>
      <c r="T816">
        <v>0</v>
      </c>
      <c r="U816">
        <v>0</v>
      </c>
      <c r="V816">
        <v>0</v>
      </c>
    </row>
    <row r="817" spans="1:22" x14ac:dyDescent="0.35">
      <c r="A817" t="s">
        <v>155</v>
      </c>
      <c r="B817" t="s">
        <v>78</v>
      </c>
      <c r="C817">
        <v>50289.2</v>
      </c>
      <c r="D817">
        <v>0.70601722456553762</v>
      </c>
      <c r="E817">
        <v>-0.36124342683803412</v>
      </c>
      <c r="F817">
        <v>28710.76</v>
      </c>
      <c r="G817">
        <v>2480.1654601144551</v>
      </c>
      <c r="H817">
        <v>2480.1654601144551</v>
      </c>
      <c r="I817">
        <v>-3.22759255661177</v>
      </c>
      <c r="J817">
        <v>1.569879794492665E-3</v>
      </c>
      <c r="K817">
        <v>1.270291187846724</v>
      </c>
      <c r="L817">
        <v>3.893561642832287</v>
      </c>
      <c r="M817">
        <v>0</v>
      </c>
      <c r="N817">
        <v>0</v>
      </c>
      <c r="O817">
        <v>0</v>
      </c>
      <c r="P817">
        <v>0</v>
      </c>
      <c r="Q817">
        <v>0.2015523696393379</v>
      </c>
      <c r="R817">
        <v>499.88322558370709</v>
      </c>
      <c r="S817">
        <v>0.7847565754496808</v>
      </c>
      <c r="T817">
        <v>0</v>
      </c>
      <c r="U817">
        <v>0</v>
      </c>
      <c r="V817">
        <v>0</v>
      </c>
    </row>
    <row r="818" spans="1:22" x14ac:dyDescent="0.35">
      <c r="A818" t="s">
        <v>155</v>
      </c>
      <c r="B818" t="s">
        <v>79</v>
      </c>
      <c r="C818">
        <v>50333.9</v>
      </c>
      <c r="D818">
        <v>1.0530237188437709E-2</v>
      </c>
      <c r="E818">
        <v>0.77555247523006809</v>
      </c>
      <c r="F818">
        <v>26443.05</v>
      </c>
      <c r="G818">
        <v>-2105.371652046339</v>
      </c>
      <c r="H818">
        <v>-2105.371652046339</v>
      </c>
      <c r="I818">
        <v>0.41707879144419452</v>
      </c>
      <c r="J818">
        <v>0.69723331052127335</v>
      </c>
      <c r="K818">
        <v>0.70601722456553762</v>
      </c>
      <c r="L818">
        <v>-1467.9352468339109</v>
      </c>
      <c r="M818">
        <v>0</v>
      </c>
      <c r="N818">
        <v>0</v>
      </c>
      <c r="O818">
        <v>0</v>
      </c>
      <c r="P818">
        <v>0</v>
      </c>
      <c r="Q818">
        <v>-0.50628935069016423</v>
      </c>
      <c r="R818">
        <v>1065.927246676019</v>
      </c>
      <c r="S818">
        <v>743.19998297474683</v>
      </c>
      <c r="T818">
        <v>0</v>
      </c>
      <c r="U818">
        <v>0</v>
      </c>
      <c r="V818">
        <v>0</v>
      </c>
    </row>
    <row r="819" spans="1:22" x14ac:dyDescent="0.35">
      <c r="A819" t="s">
        <v>155</v>
      </c>
      <c r="B819" t="s">
        <v>80</v>
      </c>
      <c r="C819">
        <v>50770.9</v>
      </c>
      <c r="D819">
        <v>0.65864271263190133</v>
      </c>
      <c r="E819">
        <v>0.82277789387702627</v>
      </c>
      <c r="F819">
        <v>36588.019999999997</v>
      </c>
      <c r="G819">
        <v>10374.885475181431</v>
      </c>
      <c r="H819">
        <v>10374.885475181431</v>
      </c>
      <c r="I819">
        <v>0.56848779100989233</v>
      </c>
      <c r="J819">
        <v>0.75712391955646452</v>
      </c>
      <c r="K819">
        <v>1.0530237188437709E-2</v>
      </c>
      <c r="L819">
        <v>7855.0739559187987</v>
      </c>
      <c r="M819">
        <v>0</v>
      </c>
      <c r="N819">
        <v>0</v>
      </c>
      <c r="O819">
        <v>0</v>
      </c>
      <c r="P819">
        <v>0</v>
      </c>
      <c r="Q819">
        <v>-0.1144428864513011</v>
      </c>
      <c r="R819">
        <v>-1187.331840381441</v>
      </c>
      <c r="S819">
        <v>-898.95733680378737</v>
      </c>
      <c r="T819">
        <v>0</v>
      </c>
      <c r="U819">
        <v>0</v>
      </c>
      <c r="V819">
        <v>0</v>
      </c>
    </row>
    <row r="820" spans="1:22" x14ac:dyDescent="0.35">
      <c r="A820" t="s">
        <v>155</v>
      </c>
      <c r="B820" t="s">
        <v>81</v>
      </c>
      <c r="C820">
        <v>51129.2</v>
      </c>
      <c r="D820">
        <v>1.5587557245584931</v>
      </c>
      <c r="E820">
        <v>0.84316170743394436</v>
      </c>
      <c r="F820">
        <v>40489.040000000001</v>
      </c>
      <c r="G820">
        <v>4415.4972307526914</v>
      </c>
      <c r="H820">
        <v>4415.4972307526914</v>
      </c>
      <c r="I820">
        <v>0.63384015646076941</v>
      </c>
      <c r="J820">
        <v>0.7803453971464297</v>
      </c>
      <c r="K820">
        <v>0.65864271263190133</v>
      </c>
      <c r="L820">
        <v>3445.6129401306689</v>
      </c>
      <c r="M820">
        <v>0</v>
      </c>
      <c r="N820">
        <v>0</v>
      </c>
      <c r="O820">
        <v>0</v>
      </c>
      <c r="P820">
        <v>0</v>
      </c>
      <c r="Q820">
        <v>5.3942955525292248E-2</v>
      </c>
      <c r="R820">
        <v>238.18497074054349</v>
      </c>
      <c r="S820">
        <v>185.8665455868402</v>
      </c>
      <c r="T820">
        <v>0</v>
      </c>
      <c r="U820">
        <v>0</v>
      </c>
      <c r="V820">
        <v>0</v>
      </c>
    </row>
    <row r="821" spans="1:22" x14ac:dyDescent="0.35">
      <c r="A821" t="s">
        <v>155</v>
      </c>
      <c r="B821" t="s">
        <v>82</v>
      </c>
      <c r="C821">
        <v>51158.7</v>
      </c>
      <c r="D821">
        <v>1.7142223588647461</v>
      </c>
      <c r="E821">
        <v>0.87532164416890335</v>
      </c>
      <c r="F821">
        <v>32800.980000000003</v>
      </c>
      <c r="G821">
        <v>-6497.529962925415</v>
      </c>
      <c r="H821">
        <v>-6497.529962925415</v>
      </c>
      <c r="I821">
        <v>0.73694784690894943</v>
      </c>
      <c r="J821">
        <v>0.81364879028816495</v>
      </c>
      <c r="K821">
        <v>1.5587557245584931</v>
      </c>
      <c r="L821">
        <v>-5286.7073941953686</v>
      </c>
      <c r="M821">
        <v>0</v>
      </c>
      <c r="N821">
        <v>0</v>
      </c>
      <c r="O821">
        <v>0</v>
      </c>
      <c r="P821">
        <v>0</v>
      </c>
      <c r="Q821">
        <v>0.13391076058320239</v>
      </c>
      <c r="R821">
        <v>-870.08917924748937</v>
      </c>
      <c r="S821">
        <v>-707.94700813754207</v>
      </c>
      <c r="T821">
        <v>0</v>
      </c>
      <c r="U821">
        <v>0</v>
      </c>
      <c r="V821">
        <v>0</v>
      </c>
    </row>
    <row r="822" spans="1:22" x14ac:dyDescent="0.35">
      <c r="A822" t="s">
        <v>155</v>
      </c>
      <c r="B822" t="s">
        <v>83</v>
      </c>
      <c r="C822">
        <v>51058.6</v>
      </c>
      <c r="D822">
        <v>1.4295186352780269</v>
      </c>
      <c r="E822">
        <v>0.87194054741041294</v>
      </c>
      <c r="F822">
        <v>52716.26</v>
      </c>
      <c r="G822">
        <v>21002.415296564999</v>
      </c>
      <c r="H822">
        <v>21002.415296564999</v>
      </c>
      <c r="I822">
        <v>0.72610774231475061</v>
      </c>
      <c r="J822">
        <v>0.81033916506786574</v>
      </c>
      <c r="K822">
        <v>1.7142223588647461</v>
      </c>
      <c r="L822">
        <v>17019.079675827052</v>
      </c>
      <c r="M822">
        <v>0</v>
      </c>
      <c r="N822">
        <v>0</v>
      </c>
      <c r="O822">
        <v>0</v>
      </c>
      <c r="P822">
        <v>0</v>
      </c>
      <c r="Q822">
        <v>1.154664102199092</v>
      </c>
      <c r="R822">
        <v>24250.735002420701</v>
      </c>
      <c r="S822">
        <v>19651.32035414366</v>
      </c>
      <c r="T822">
        <v>0</v>
      </c>
      <c r="U822">
        <v>0</v>
      </c>
      <c r="V822">
        <v>0</v>
      </c>
    </row>
    <row r="823" spans="1:22" x14ac:dyDescent="0.35">
      <c r="A823" t="s">
        <v>155</v>
      </c>
      <c r="B823" t="s">
        <v>84</v>
      </c>
      <c r="C823">
        <v>50950.5</v>
      </c>
      <c r="D823">
        <v>0.35312173569524902</v>
      </c>
      <c r="E823">
        <v>0.92123441011730101</v>
      </c>
      <c r="F823">
        <v>55684.71</v>
      </c>
      <c r="G823">
        <v>4447.7439987703037</v>
      </c>
      <c r="H823">
        <v>4447.7439987703037</v>
      </c>
      <c r="I823">
        <v>0.88414836219731285</v>
      </c>
      <c r="J823">
        <v>0.85424572420915368</v>
      </c>
      <c r="K823">
        <v>1.4295186352780269</v>
      </c>
      <c r="L823">
        <v>3799.4662933264549</v>
      </c>
      <c r="M823">
        <v>0</v>
      </c>
      <c r="N823">
        <v>0</v>
      </c>
      <c r="O823">
        <v>0</v>
      </c>
      <c r="P823">
        <v>0</v>
      </c>
      <c r="Q823">
        <v>-2.3185750070025012E-2</v>
      </c>
      <c r="R823">
        <v>-103.1242807309419</v>
      </c>
      <c r="S823">
        <v>-88.093475876551537</v>
      </c>
      <c r="T823">
        <v>0</v>
      </c>
      <c r="U823">
        <v>0</v>
      </c>
      <c r="V823">
        <v>0</v>
      </c>
    </row>
    <row r="824" spans="1:22" x14ac:dyDescent="0.35">
      <c r="A824" t="s">
        <v>155</v>
      </c>
      <c r="B824" t="s">
        <v>85</v>
      </c>
      <c r="C824">
        <v>47628.1</v>
      </c>
      <c r="D824">
        <v>-7.0932839385952144</v>
      </c>
      <c r="E824">
        <v>0.97525918278650325</v>
      </c>
      <c r="F824">
        <v>28914.37</v>
      </c>
      <c r="G824">
        <v>-24149.360667720372</v>
      </c>
      <c r="H824">
        <v>-24149.360667720372</v>
      </c>
      <c r="I824">
        <v>1.057356710920655</v>
      </c>
      <c r="J824">
        <v>0.89232504196676909</v>
      </c>
      <c r="K824">
        <v>0.35312173569524902</v>
      </c>
      <c r="L824">
        <v>-21549.07927129422</v>
      </c>
      <c r="M824">
        <v>0</v>
      </c>
      <c r="N824">
        <v>0</v>
      </c>
      <c r="O824">
        <v>0</v>
      </c>
      <c r="P824">
        <v>0</v>
      </c>
      <c r="Q824">
        <v>0.68203794677905016</v>
      </c>
      <c r="R824">
        <v>-16470.780365838749</v>
      </c>
      <c r="S824">
        <v>-14697.2897811725</v>
      </c>
      <c r="T824">
        <v>0</v>
      </c>
      <c r="U824">
        <v>0</v>
      </c>
      <c r="V824">
        <v>0</v>
      </c>
    </row>
    <row r="825" spans="1:22" x14ac:dyDescent="0.35">
      <c r="A825" t="s">
        <v>155</v>
      </c>
      <c r="B825" t="s">
        <v>86</v>
      </c>
      <c r="C825">
        <v>49981.8</v>
      </c>
      <c r="D825">
        <v>-2.327362674678954</v>
      </c>
      <c r="E825">
        <v>0.98002621789385214</v>
      </c>
      <c r="F825">
        <v>27497.73</v>
      </c>
      <c r="G825">
        <v>298.34674216415812</v>
      </c>
      <c r="H825">
        <v>298.34674216415812</v>
      </c>
      <c r="I825">
        <v>1.072640260271355</v>
      </c>
      <c r="J825">
        <v>0.89522693511666029</v>
      </c>
      <c r="K825">
        <v>-7.0932839385952144</v>
      </c>
      <c r="L825">
        <v>267.08803958965967</v>
      </c>
      <c r="M825">
        <v>0</v>
      </c>
      <c r="N825">
        <v>0</v>
      </c>
      <c r="O825">
        <v>0</v>
      </c>
      <c r="P825">
        <v>0</v>
      </c>
      <c r="Q825">
        <v>0.83483817885048084</v>
      </c>
      <c r="R825">
        <v>249.07125089429971</v>
      </c>
      <c r="S825">
        <v>222.97529256377669</v>
      </c>
      <c r="T825">
        <v>0</v>
      </c>
      <c r="U825">
        <v>0</v>
      </c>
      <c r="V825">
        <v>0</v>
      </c>
    </row>
    <row r="826" spans="1:22" x14ac:dyDescent="0.35">
      <c r="A826" t="s">
        <v>155</v>
      </c>
      <c r="B826" t="s">
        <v>87</v>
      </c>
      <c r="C826">
        <v>50474.2</v>
      </c>
      <c r="D826">
        <v>-1.1511678071480249</v>
      </c>
      <c r="E826">
        <v>0.96395414456059292</v>
      </c>
      <c r="F826">
        <v>22319.62</v>
      </c>
      <c r="G826">
        <v>-4896.0136572600422</v>
      </c>
      <c r="H826">
        <v>-4896.0136572600422</v>
      </c>
      <c r="I826">
        <v>1.021111727247074</v>
      </c>
      <c r="J826">
        <v>0.88515948057054217</v>
      </c>
      <c r="K826">
        <v>-2.327362674678954</v>
      </c>
      <c r="L826">
        <v>-4333.7529057265792</v>
      </c>
      <c r="M826">
        <v>0</v>
      </c>
      <c r="N826">
        <v>0</v>
      </c>
      <c r="O826">
        <v>0</v>
      </c>
      <c r="P826">
        <v>0</v>
      </c>
      <c r="Q826">
        <v>0.98106132946657298</v>
      </c>
      <c r="R826">
        <v>-4803.2896676780356</v>
      </c>
      <c r="S826">
        <v>-4251.6773872717413</v>
      </c>
      <c r="T826">
        <v>0</v>
      </c>
      <c r="U826">
        <v>0</v>
      </c>
      <c r="V826">
        <v>0</v>
      </c>
    </row>
    <row r="827" spans="1:22" x14ac:dyDescent="0.35">
      <c r="A827" t="s">
        <v>155</v>
      </c>
      <c r="B827" t="s">
        <v>88</v>
      </c>
      <c r="C827">
        <v>50135.5</v>
      </c>
      <c r="D827">
        <v>-1.612523316440861</v>
      </c>
      <c r="E827">
        <v>0.9525453901426002</v>
      </c>
      <c r="F827">
        <v>11888.73</v>
      </c>
      <c r="G827">
        <v>-10426.43013953445</v>
      </c>
      <c r="H827">
        <v>-10426.43013953445</v>
      </c>
      <c r="I827">
        <v>0.984534220001825</v>
      </c>
      <c r="J827">
        <v>0.87751101925754071</v>
      </c>
      <c r="K827">
        <v>-1.1511678071480249</v>
      </c>
      <c r="L827">
        <v>-9149.3073389604197</v>
      </c>
      <c r="M827">
        <v>0</v>
      </c>
      <c r="N827">
        <v>0</v>
      </c>
      <c r="O827">
        <v>0</v>
      </c>
      <c r="P827">
        <v>0</v>
      </c>
      <c r="Q827">
        <v>1.925417628516634</v>
      </c>
      <c r="R827">
        <v>-20075.232393156781</v>
      </c>
      <c r="S827">
        <v>-17616.237639151012</v>
      </c>
      <c r="T827">
        <v>0</v>
      </c>
      <c r="U827">
        <v>0</v>
      </c>
      <c r="V827">
        <v>0</v>
      </c>
    </row>
    <row r="828" spans="1:22" x14ac:dyDescent="0.35">
      <c r="A828" t="s">
        <v>155</v>
      </c>
      <c r="B828" t="s">
        <v>89</v>
      </c>
      <c r="C828">
        <v>50908.5</v>
      </c>
      <c r="D828">
        <v>6.660698052860516</v>
      </c>
      <c r="E828">
        <v>0.92117933254764095</v>
      </c>
      <c r="F828">
        <v>18072.810000000001</v>
      </c>
      <c r="G828">
        <v>5509.7133275447604</v>
      </c>
      <c r="H828">
        <v>5509.7133275447604</v>
      </c>
      <c r="I828">
        <v>0.8839717784854122</v>
      </c>
      <c r="J828">
        <v>0.85420174584332276</v>
      </c>
      <c r="K828">
        <v>-1.612523316440861</v>
      </c>
      <c r="L828">
        <v>4706.4067434849567</v>
      </c>
      <c r="M828">
        <v>0</v>
      </c>
      <c r="N828">
        <v>0</v>
      </c>
      <c r="O828">
        <v>0</v>
      </c>
      <c r="P828">
        <v>0</v>
      </c>
      <c r="Q828">
        <v>1.2914392661180589</v>
      </c>
      <c r="R828">
        <v>7115.460136245295</v>
      </c>
      <c r="S828">
        <v>6078.0384708592983</v>
      </c>
      <c r="T828">
        <v>0</v>
      </c>
      <c r="U828">
        <v>0</v>
      </c>
      <c r="V828">
        <v>0</v>
      </c>
    </row>
    <row r="829" spans="1:22" x14ac:dyDescent="0.35">
      <c r="A829" t="s">
        <v>155</v>
      </c>
      <c r="B829" t="s">
        <v>90</v>
      </c>
      <c r="C829">
        <v>51469.7</v>
      </c>
      <c r="D829">
        <v>2.9334345845569412</v>
      </c>
      <c r="E829">
        <v>0.90476823675518758</v>
      </c>
      <c r="F829">
        <v>21508.560000000001</v>
      </c>
      <c r="G829">
        <v>2469.4532050039338</v>
      </c>
      <c r="H829">
        <v>2469.4532050039338</v>
      </c>
      <c r="I829">
        <v>0.83135630853505227</v>
      </c>
      <c r="J829">
        <v>0.84060180363379522</v>
      </c>
      <c r="K829">
        <v>6.660698052860516</v>
      </c>
      <c r="L829">
        <v>2075.826818115564</v>
      </c>
      <c r="M829">
        <v>0</v>
      </c>
      <c r="N829">
        <v>0</v>
      </c>
      <c r="O829">
        <v>0</v>
      </c>
      <c r="P829">
        <v>0</v>
      </c>
      <c r="Q829">
        <v>0.86010558565475326</v>
      </c>
      <c r="R829">
        <v>2123.9904951369158</v>
      </c>
      <c r="S829">
        <v>1785.43024111313</v>
      </c>
      <c r="T829">
        <v>0</v>
      </c>
      <c r="U829">
        <v>0</v>
      </c>
      <c r="V829">
        <v>0</v>
      </c>
    </row>
    <row r="830" spans="1:22" x14ac:dyDescent="0.35">
      <c r="A830" t="s">
        <v>155</v>
      </c>
      <c r="B830" t="s">
        <v>91</v>
      </c>
      <c r="C830">
        <v>51848.6</v>
      </c>
      <c r="D830">
        <v>2.6865618703797081</v>
      </c>
      <c r="E830">
        <v>0.89392691851617434</v>
      </c>
      <c r="F830">
        <v>19802.650000000001</v>
      </c>
      <c r="G830">
        <v>-2218.2724663803642</v>
      </c>
      <c r="H830">
        <v>-2218.2724663803642</v>
      </c>
      <c r="I830">
        <v>0.79659805343490242</v>
      </c>
      <c r="J830">
        <v>0.83106529786598582</v>
      </c>
      <c r="K830">
        <v>2.9334345845569412</v>
      </c>
      <c r="L830">
        <v>-1843.529268020312</v>
      </c>
      <c r="M830">
        <v>0</v>
      </c>
      <c r="N830">
        <v>0</v>
      </c>
      <c r="O830">
        <v>0</v>
      </c>
      <c r="P830">
        <v>0</v>
      </c>
      <c r="Q830">
        <v>0.77558407043190081</v>
      </c>
      <c r="R830">
        <v>-1720.4567888022941</v>
      </c>
      <c r="S830">
        <v>-1429.811933651536</v>
      </c>
      <c r="T830">
        <v>0</v>
      </c>
      <c r="U830">
        <v>0</v>
      </c>
      <c r="V830">
        <v>0</v>
      </c>
    </row>
    <row r="831" spans="1:22" x14ac:dyDescent="0.35">
      <c r="A831" t="s">
        <v>155</v>
      </c>
      <c r="B831" t="s">
        <v>92</v>
      </c>
      <c r="C831">
        <v>51520.6</v>
      </c>
      <c r="D831">
        <v>2.7252387692155708</v>
      </c>
      <c r="E831">
        <v>0.87139703337224794</v>
      </c>
      <c r="F831">
        <v>26455.02</v>
      </c>
      <c r="G831">
        <v>6249.2545952329347</v>
      </c>
      <c r="H831">
        <v>6249.2545952329347</v>
      </c>
      <c r="I831">
        <v>0.72436518673501782</v>
      </c>
      <c r="J831">
        <v>0.80980296032030663</v>
      </c>
      <c r="K831">
        <v>2.6865618703797081</v>
      </c>
      <c r="L831">
        <v>5060.6648710149102</v>
      </c>
      <c r="M831">
        <v>0</v>
      </c>
      <c r="N831">
        <v>0</v>
      </c>
      <c r="O831">
        <v>0</v>
      </c>
      <c r="P831">
        <v>0</v>
      </c>
      <c r="Q831">
        <v>1.7771362023397699E-2</v>
      </c>
      <c r="R831">
        <v>111.0577657882662</v>
      </c>
      <c r="S831">
        <v>89.934907501897214</v>
      </c>
      <c r="T831">
        <v>0</v>
      </c>
      <c r="U831">
        <v>0</v>
      </c>
      <c r="V831">
        <v>0</v>
      </c>
    </row>
    <row r="832" spans="1:22" x14ac:dyDescent="0.35">
      <c r="A832" t="s">
        <v>155</v>
      </c>
      <c r="B832" t="s">
        <v>93</v>
      </c>
      <c r="C832">
        <v>51671.6</v>
      </c>
      <c r="D832">
        <v>1.4878403843206249</v>
      </c>
      <c r="E832">
        <v>0.83562205778513454</v>
      </c>
      <c r="F832">
        <v>29343.64</v>
      </c>
      <c r="G832">
        <v>2660.8418006622051</v>
      </c>
      <c r="H832">
        <v>2660.8418006622051</v>
      </c>
      <c r="I832">
        <v>0.60966735200272593</v>
      </c>
      <c r="J832">
        <v>0.77194644849829219</v>
      </c>
      <c r="K832">
        <v>2.7252387692155708</v>
      </c>
      <c r="L832">
        <v>2054.0273780369898</v>
      </c>
      <c r="M832">
        <v>0</v>
      </c>
      <c r="N832">
        <v>0</v>
      </c>
      <c r="O832">
        <v>0</v>
      </c>
      <c r="P832">
        <v>0</v>
      </c>
      <c r="Q832">
        <v>-1.0709612891570111</v>
      </c>
      <c r="R832">
        <v>-2849.658565080058</v>
      </c>
      <c r="S832">
        <v>-2199.783808746291</v>
      </c>
      <c r="T832">
        <v>0</v>
      </c>
      <c r="U832">
        <v>0</v>
      </c>
      <c r="V832">
        <v>0</v>
      </c>
    </row>
    <row r="833" spans="1:22" x14ac:dyDescent="0.35">
      <c r="A833" t="s">
        <v>155</v>
      </c>
      <c r="B833" t="s">
        <v>94</v>
      </c>
      <c r="C833">
        <v>51616.2</v>
      </c>
      <c r="D833">
        <v>0.28422916931703651</v>
      </c>
      <c r="E833">
        <v>0.83518753506855625</v>
      </c>
      <c r="F833">
        <v>24504.76</v>
      </c>
      <c r="G833">
        <v>-4610.2754712220849</v>
      </c>
      <c r="H833">
        <v>-4610.2754712220849</v>
      </c>
      <c r="I833">
        <v>0.60827423254099033</v>
      </c>
      <c r="J833">
        <v>0.77145557308460999</v>
      </c>
      <c r="K833">
        <v>1.4878403843206249</v>
      </c>
      <c r="L833">
        <v>-3556.6227057295541</v>
      </c>
      <c r="M833">
        <v>0</v>
      </c>
      <c r="N833">
        <v>0</v>
      </c>
      <c r="O833">
        <v>0</v>
      </c>
      <c r="P833">
        <v>0</v>
      </c>
      <c r="Q833">
        <v>-1.300534321994697</v>
      </c>
      <c r="R833">
        <v>5995.8214841745967</v>
      </c>
      <c r="S833">
        <v>4625.5098991869299</v>
      </c>
      <c r="T833">
        <v>0</v>
      </c>
      <c r="U833">
        <v>0</v>
      </c>
      <c r="V833">
        <v>0</v>
      </c>
    </row>
    <row r="834" spans="1:22" x14ac:dyDescent="0.35">
      <c r="A834" t="s">
        <v>155</v>
      </c>
      <c r="B834" t="s">
        <v>95</v>
      </c>
      <c r="C834">
        <v>51113.1</v>
      </c>
      <c r="D834">
        <v>-1.428710891337686</v>
      </c>
      <c r="E834">
        <v>0.82347302684200141</v>
      </c>
      <c r="F834">
        <v>26500.43</v>
      </c>
      <c r="G834">
        <v>2181.4839460196272</v>
      </c>
      <c r="H834">
        <v>2181.4839460196272</v>
      </c>
      <c r="I834">
        <v>0.57071645069799026</v>
      </c>
      <c r="J834">
        <v>0.75794262427778647</v>
      </c>
      <c r="K834">
        <v>0.28422916931703651</v>
      </c>
      <c r="L834">
        <v>1653.439666865977</v>
      </c>
      <c r="M834">
        <v>0</v>
      </c>
      <c r="N834">
        <v>0</v>
      </c>
      <c r="O834">
        <v>0</v>
      </c>
      <c r="P834">
        <v>0</v>
      </c>
      <c r="Q834">
        <v>-1.5964895050952459</v>
      </c>
      <c r="R834">
        <v>-3482.7162253540978</v>
      </c>
      <c r="S834">
        <v>-2639.6990754597118</v>
      </c>
      <c r="T834">
        <v>0</v>
      </c>
      <c r="U834">
        <v>0</v>
      </c>
      <c r="V834">
        <v>0</v>
      </c>
    </row>
    <row r="835" spans="1:22" x14ac:dyDescent="0.35">
      <c r="A835" t="s">
        <v>155</v>
      </c>
      <c r="B835" t="s">
        <v>96</v>
      </c>
      <c r="C835">
        <v>51164.1</v>
      </c>
      <c r="D835">
        <v>-0.6943613456523402</v>
      </c>
      <c r="E835">
        <v>0.66023696776915897</v>
      </c>
      <c r="F835">
        <v>26400.05</v>
      </c>
      <c r="G835">
        <v>-84.520772908697836</v>
      </c>
      <c r="H835">
        <v>-84.520772908697836</v>
      </c>
      <c r="I835">
        <v>4.7366756711568328E-2</v>
      </c>
      <c r="J835">
        <v>0.52366568215162446</v>
      </c>
      <c r="K835">
        <v>-1.428710891337686</v>
      </c>
      <c r="L835">
        <v>-44.260628201215788</v>
      </c>
      <c r="M835">
        <v>0</v>
      </c>
      <c r="N835">
        <v>0</v>
      </c>
      <c r="O835">
        <v>0</v>
      </c>
      <c r="P835">
        <v>0</v>
      </c>
      <c r="Q835">
        <v>-0.44066309386486302</v>
      </c>
      <c r="R835">
        <v>37.245185285796289</v>
      </c>
      <c r="S835">
        <v>19.504025359550159</v>
      </c>
      <c r="T835">
        <v>0</v>
      </c>
      <c r="U835">
        <v>0</v>
      </c>
      <c r="V835">
        <v>0</v>
      </c>
    </row>
    <row r="836" spans="1:22" x14ac:dyDescent="0.35">
      <c r="A836" t="s">
        <v>155</v>
      </c>
      <c r="B836" t="s">
        <v>97</v>
      </c>
      <c r="C836">
        <v>51205.2</v>
      </c>
      <c r="D836">
        <v>-0.90672181754695214</v>
      </c>
      <c r="E836">
        <v>0.54115951049742483</v>
      </c>
      <c r="F836">
        <v>30702.400000000001</v>
      </c>
      <c r="G836">
        <v>4416.8820192602216</v>
      </c>
      <c r="H836">
        <v>4416.8820192602216</v>
      </c>
      <c r="I836">
        <v>-0.33440643223827021</v>
      </c>
      <c r="J836">
        <v>0.33876271124410379</v>
      </c>
      <c r="K836">
        <v>-0.6943613456523402</v>
      </c>
      <c r="L836">
        <v>1496.274928089925</v>
      </c>
      <c r="M836">
        <v>0</v>
      </c>
      <c r="N836">
        <v>0</v>
      </c>
      <c r="O836">
        <v>0</v>
      </c>
      <c r="P836">
        <v>0</v>
      </c>
      <c r="Q836">
        <v>0.82898485994772031</v>
      </c>
      <c r="R836">
        <v>3661.5283221420391</v>
      </c>
      <c r="S836">
        <v>1240.3892617059121</v>
      </c>
      <c r="T836">
        <v>0</v>
      </c>
      <c r="U836">
        <v>0</v>
      </c>
      <c r="V836">
        <v>0</v>
      </c>
    </row>
    <row r="837" spans="1:22" x14ac:dyDescent="0.35">
      <c r="A837" t="s">
        <v>155</v>
      </c>
      <c r="B837" t="s">
        <v>98</v>
      </c>
      <c r="C837">
        <v>50473.3</v>
      </c>
      <c r="D837">
        <v>-2.2391093110712972</v>
      </c>
      <c r="E837">
        <v>0.55946186841103696</v>
      </c>
      <c r="F837">
        <v>17905.28</v>
      </c>
      <c r="G837">
        <v>-12517.608803376361</v>
      </c>
      <c r="H837">
        <v>-12517.608803376361</v>
      </c>
      <c r="I837">
        <v>-0.27572740342733493</v>
      </c>
      <c r="J837">
        <v>0.36552694859150631</v>
      </c>
      <c r="K837">
        <v>-0.90672181754695214</v>
      </c>
      <c r="L837">
        <v>-4575.5233495603388</v>
      </c>
      <c r="M837">
        <v>0</v>
      </c>
      <c r="N837">
        <v>0</v>
      </c>
      <c r="O837">
        <v>0</v>
      </c>
      <c r="P837">
        <v>0</v>
      </c>
      <c r="Q837">
        <v>0.93581637930232919</v>
      </c>
      <c r="R837">
        <v>-11714.18334789863</v>
      </c>
      <c r="S837">
        <v>-4281.8496943988221</v>
      </c>
      <c r="T837">
        <v>0</v>
      </c>
      <c r="U837">
        <v>0</v>
      </c>
      <c r="V837">
        <v>0</v>
      </c>
    </row>
    <row r="838" spans="1:22" x14ac:dyDescent="0.35">
      <c r="A838" t="s">
        <v>155</v>
      </c>
      <c r="B838" t="s">
        <v>99</v>
      </c>
      <c r="C838">
        <v>50423.3</v>
      </c>
      <c r="D838">
        <v>-1.35874545971376</v>
      </c>
      <c r="E838">
        <v>0.57328215951564387</v>
      </c>
      <c r="F838">
        <v>16655.52</v>
      </c>
      <c r="G838">
        <v>-1255.046474869388</v>
      </c>
      <c r="H838">
        <v>-1255.046474869388</v>
      </c>
      <c r="I838">
        <v>-0.23141828961093411</v>
      </c>
      <c r="J838">
        <v>0.38631312452445121</v>
      </c>
      <c r="K838">
        <v>-2.2391093110712972</v>
      </c>
      <c r="L838">
        <v>-484.84092513019158</v>
      </c>
      <c r="M838">
        <v>0</v>
      </c>
      <c r="N838">
        <v>0</v>
      </c>
      <c r="O838">
        <v>0</v>
      </c>
      <c r="P838">
        <v>0</v>
      </c>
      <c r="Q838">
        <v>1.243241761423685</v>
      </c>
      <c r="R838">
        <v>-1560.3261900852051</v>
      </c>
      <c r="S838">
        <v>-602.77448576914821</v>
      </c>
      <c r="T838">
        <v>0</v>
      </c>
      <c r="U838">
        <v>0</v>
      </c>
      <c r="V838">
        <v>0</v>
      </c>
    </row>
    <row r="839" spans="1:22" x14ac:dyDescent="0.35">
      <c r="A839" t="s">
        <v>155</v>
      </c>
      <c r="B839" t="s">
        <v>100</v>
      </c>
      <c r="C839">
        <v>50978.2</v>
      </c>
      <c r="D839">
        <v>-0.36400238737728652</v>
      </c>
      <c r="E839">
        <v>0.45675746128502892</v>
      </c>
      <c r="F839">
        <v>16042.91</v>
      </c>
      <c r="G839">
        <v>-1325.5086914047929</v>
      </c>
      <c r="H839">
        <v>-1325.5086914047929</v>
      </c>
      <c r="I839">
        <v>-0.60500710024032689</v>
      </c>
      <c r="J839">
        <v>0.2296985383516067</v>
      </c>
      <c r="K839">
        <v>-1.35874545971376</v>
      </c>
      <c r="L839">
        <v>-304.46740898803188</v>
      </c>
      <c r="M839">
        <v>0</v>
      </c>
      <c r="N839">
        <v>0</v>
      </c>
      <c r="O839">
        <v>0</v>
      </c>
      <c r="P839">
        <v>0</v>
      </c>
      <c r="Q839">
        <v>0.9946564719867147</v>
      </c>
      <c r="R839">
        <v>-1318.425798580419</v>
      </c>
      <c r="S839">
        <v>-302.84047885897201</v>
      </c>
      <c r="T839">
        <v>0</v>
      </c>
      <c r="U839">
        <v>0</v>
      </c>
      <c r="V839">
        <v>0</v>
      </c>
    </row>
    <row r="840" spans="1:22" x14ac:dyDescent="0.35">
      <c r="A840" t="s">
        <v>155</v>
      </c>
      <c r="B840" t="s">
        <v>101</v>
      </c>
      <c r="C840">
        <v>51113.1</v>
      </c>
      <c r="D840">
        <v>-0.1800264955033839</v>
      </c>
      <c r="E840">
        <v>0.2208649046275051</v>
      </c>
      <c r="F840">
        <v>15096.69</v>
      </c>
      <c r="G840">
        <v>-1747.62351995877</v>
      </c>
      <c r="H840">
        <v>-1747.62351995877</v>
      </c>
      <c r="I840">
        <v>-1.361300152410249</v>
      </c>
      <c r="J840">
        <v>6.1652862404211001E-2</v>
      </c>
      <c r="K840">
        <v>-0.36400238737728652</v>
      </c>
      <c r="L840">
        <v>-107.74599241038089</v>
      </c>
      <c r="M840">
        <v>0</v>
      </c>
      <c r="N840">
        <v>0</v>
      </c>
      <c r="O840">
        <v>0</v>
      </c>
      <c r="P840">
        <v>0</v>
      </c>
      <c r="Q840">
        <v>0.93784485872957635</v>
      </c>
      <c r="R840">
        <v>-1638.999733188218</v>
      </c>
      <c r="S840">
        <v>-101.0490250307917</v>
      </c>
      <c r="T840">
        <v>0</v>
      </c>
      <c r="U840">
        <v>0</v>
      </c>
      <c r="V840">
        <v>0</v>
      </c>
    </row>
    <row r="841" spans="1:22" x14ac:dyDescent="0.35">
      <c r="A841" t="s">
        <v>155</v>
      </c>
      <c r="B841" t="s">
        <v>102</v>
      </c>
      <c r="C841">
        <v>51499.199999999997</v>
      </c>
      <c r="D841">
        <v>2.0121789976361888</v>
      </c>
      <c r="E841">
        <v>-6.7366504499545413E-2</v>
      </c>
      <c r="F841">
        <v>19263.25</v>
      </c>
      <c r="G841">
        <v>3296.2288795207619</v>
      </c>
      <c r="H841">
        <v>3296.2288795207619</v>
      </c>
      <c r="I841">
        <v>-2.2853963393722472</v>
      </c>
      <c r="J841">
        <v>1.0243732342636541E-2</v>
      </c>
      <c r="K841">
        <v>-0.1800264955033839</v>
      </c>
      <c r="L841">
        <v>33.765686381879448</v>
      </c>
      <c r="M841">
        <v>0</v>
      </c>
      <c r="N841">
        <v>0</v>
      </c>
      <c r="O841">
        <v>0</v>
      </c>
      <c r="P841">
        <v>0</v>
      </c>
      <c r="Q841">
        <v>0.97090246708117733</v>
      </c>
      <c r="R841">
        <v>3200.3167511909328</v>
      </c>
      <c r="S841">
        <v>32.783188210856068</v>
      </c>
      <c r="T841">
        <v>0</v>
      </c>
      <c r="U841">
        <v>0</v>
      </c>
      <c r="V841">
        <v>0</v>
      </c>
    </row>
    <row r="842" spans="1:22" x14ac:dyDescent="0.35">
      <c r="A842" t="s">
        <v>155</v>
      </c>
      <c r="B842" t="s">
        <v>103</v>
      </c>
      <c r="C842">
        <v>51475</v>
      </c>
      <c r="D842">
        <v>2.0642883077683938</v>
      </c>
      <c r="E842">
        <v>0.18514787159562199</v>
      </c>
      <c r="F842">
        <v>26370.25</v>
      </c>
      <c r="G842">
        <v>6352.7743362205329</v>
      </c>
      <c r="H842">
        <v>6352.7743362205329</v>
      </c>
      <c r="I842">
        <v>-1.475812218025589</v>
      </c>
      <c r="J842">
        <v>4.9659792308205233E-2</v>
      </c>
      <c r="K842">
        <v>2.0121789976361888</v>
      </c>
      <c r="L842">
        <v>315.47745411760798</v>
      </c>
      <c r="M842">
        <v>0</v>
      </c>
      <c r="N842">
        <v>0</v>
      </c>
      <c r="O842">
        <v>0</v>
      </c>
      <c r="P842">
        <v>0</v>
      </c>
      <c r="Q842">
        <v>0.26849518317054971</v>
      </c>
      <c r="R842">
        <v>1705.689309044699</v>
      </c>
      <c r="S842">
        <v>84.704176829485846</v>
      </c>
      <c r="T842">
        <v>0</v>
      </c>
      <c r="U842">
        <v>0</v>
      </c>
      <c r="V842">
        <v>0</v>
      </c>
    </row>
    <row r="843" spans="1:22" x14ac:dyDescent="0.35">
      <c r="A843" t="s">
        <v>155</v>
      </c>
      <c r="B843" t="s">
        <v>104</v>
      </c>
      <c r="C843">
        <v>51614.400000000001</v>
      </c>
      <c r="D843">
        <v>1.2402612961513431</v>
      </c>
      <c r="E843">
        <v>-5.1907923992241978E-2</v>
      </c>
      <c r="F843">
        <v>48145.7</v>
      </c>
      <c r="G843">
        <v>21516.57673025272</v>
      </c>
      <c r="H843">
        <v>21516.57673025272</v>
      </c>
      <c r="I843">
        <v>-2.2358347203040512</v>
      </c>
      <c r="J843">
        <v>1.1299092649783489E-2</v>
      </c>
      <c r="K843">
        <v>2.0642883077683938</v>
      </c>
      <c r="L843">
        <v>243.11779398130079</v>
      </c>
      <c r="M843">
        <v>0</v>
      </c>
      <c r="N843">
        <v>0</v>
      </c>
      <c r="O843">
        <v>0</v>
      </c>
      <c r="P843">
        <v>0</v>
      </c>
      <c r="Q843">
        <v>-0.67853340145909358</v>
      </c>
      <c r="R843">
        <v>-14599.71599653396</v>
      </c>
      <c r="S843">
        <v>-164.96354370536321</v>
      </c>
      <c r="T843">
        <v>0</v>
      </c>
      <c r="U843">
        <v>0</v>
      </c>
      <c r="V843">
        <v>0</v>
      </c>
    </row>
    <row r="844" spans="1:22" x14ac:dyDescent="0.35">
      <c r="A844" t="s">
        <v>155</v>
      </c>
      <c r="B844" t="s">
        <v>105</v>
      </c>
      <c r="C844">
        <v>51645.7</v>
      </c>
      <c r="D844">
        <v>1.0366115004496459</v>
      </c>
      <c r="E844">
        <v>0.28582713314200409</v>
      </c>
      <c r="F844">
        <v>80038.14</v>
      </c>
      <c r="G844">
        <v>32860.236300339107</v>
      </c>
      <c r="H844">
        <v>32860.236300339107</v>
      </c>
      <c r="I844">
        <v>-1.153025322652397</v>
      </c>
      <c r="J844">
        <v>9.0623087388066223E-2</v>
      </c>
      <c r="K844">
        <v>1.2402612961513431</v>
      </c>
      <c r="L844">
        <v>2977.896065838137</v>
      </c>
      <c r="M844">
        <v>0</v>
      </c>
      <c r="N844">
        <v>0</v>
      </c>
      <c r="O844">
        <v>0</v>
      </c>
      <c r="P844">
        <v>0</v>
      </c>
      <c r="Q844">
        <v>-0.22102528661348839</v>
      </c>
      <c r="R844">
        <v>-7262.9431464694071</v>
      </c>
      <c r="S844">
        <v>-658.19033145705373</v>
      </c>
      <c r="T844">
        <v>0</v>
      </c>
      <c r="U844">
        <v>0</v>
      </c>
      <c r="V844">
        <v>0</v>
      </c>
    </row>
    <row r="845" spans="1:22" x14ac:dyDescent="0.35">
      <c r="A845" t="s">
        <v>155</v>
      </c>
      <c r="B845" t="s">
        <v>106</v>
      </c>
      <c r="C845">
        <v>51630.5</v>
      </c>
      <c r="D845">
        <v>0.25463095682891512</v>
      </c>
      <c r="E845">
        <v>0.2319319891223412</v>
      </c>
      <c r="F845">
        <v>106862.2</v>
      </c>
      <c r="G845">
        <v>30173.051455287681</v>
      </c>
      <c r="H845">
        <v>30173.051455287681</v>
      </c>
      <c r="I845">
        <v>-1.325818070102015</v>
      </c>
      <c r="J845">
        <v>6.5888238453345904E-2</v>
      </c>
      <c r="K845">
        <v>1.0366115004496459</v>
      </c>
      <c r="L845">
        <v>1988.049209151071</v>
      </c>
      <c r="M845">
        <v>0</v>
      </c>
      <c r="N845">
        <v>0</v>
      </c>
      <c r="O845">
        <v>0</v>
      </c>
      <c r="P845">
        <v>0</v>
      </c>
      <c r="Q845">
        <v>0.36452384546001992</v>
      </c>
      <c r="R845">
        <v>10998.796745744519</v>
      </c>
      <c r="S845">
        <v>724.69134268349967</v>
      </c>
      <c r="T845">
        <v>0</v>
      </c>
      <c r="U845">
        <v>0</v>
      </c>
      <c r="V845">
        <v>0</v>
      </c>
    </row>
    <row r="846" spans="1:22" x14ac:dyDescent="0.35">
      <c r="A846" t="s">
        <v>155</v>
      </c>
      <c r="B846" t="s">
        <v>107</v>
      </c>
      <c r="C846">
        <v>51821.8</v>
      </c>
      <c r="D846">
        <v>0.67146572401544224</v>
      </c>
      <c r="E846">
        <v>0.1956674455616231</v>
      </c>
      <c r="F846">
        <v>94947.06</v>
      </c>
      <c r="G846">
        <v>-5865.0461574176588</v>
      </c>
      <c r="H846">
        <v>-5865.0461574176588</v>
      </c>
      <c r="I846">
        <v>-1.4420855044106919</v>
      </c>
      <c r="J846">
        <v>5.2941616628721183E-2</v>
      </c>
      <c r="K846">
        <v>0.25463095682891512</v>
      </c>
      <c r="L846">
        <v>-310.50502517576001</v>
      </c>
      <c r="M846">
        <v>0</v>
      </c>
      <c r="N846">
        <v>0</v>
      </c>
      <c r="O846">
        <v>0</v>
      </c>
      <c r="P846">
        <v>0</v>
      </c>
      <c r="Q846">
        <v>0.79834583167292728</v>
      </c>
      <c r="R846">
        <v>-4682.3351523437068</v>
      </c>
      <c r="S846">
        <v>-247.89039256256541</v>
      </c>
      <c r="T846">
        <v>0</v>
      </c>
      <c r="U846">
        <v>0</v>
      </c>
      <c r="V846">
        <v>0</v>
      </c>
    </row>
    <row r="847" spans="1:22" x14ac:dyDescent="0.35">
      <c r="A847" t="s">
        <v>155</v>
      </c>
      <c r="B847" t="s">
        <v>108</v>
      </c>
      <c r="C847">
        <v>52255.199999999997</v>
      </c>
      <c r="D847">
        <v>1.233870410184734</v>
      </c>
      <c r="E847">
        <v>0.32504962792480557</v>
      </c>
      <c r="F847">
        <v>81871.73</v>
      </c>
      <c r="G847">
        <v>-6116.8052336188266</v>
      </c>
      <c r="H847">
        <v>-6116.8052336188266</v>
      </c>
      <c r="I847">
        <v>-1.0272744269339249</v>
      </c>
      <c r="J847">
        <v>0.1135935512301452</v>
      </c>
      <c r="K847">
        <v>0.67146572401544224</v>
      </c>
      <c r="L847">
        <v>-694.82962866990067</v>
      </c>
      <c r="M847">
        <v>0</v>
      </c>
      <c r="N847">
        <v>0</v>
      </c>
      <c r="O847">
        <v>0</v>
      </c>
      <c r="P847">
        <v>0</v>
      </c>
      <c r="Q847">
        <v>1.468003029688445</v>
      </c>
      <c r="R847">
        <v>-8979.4886149665726</v>
      </c>
      <c r="S847">
        <v>-1020.012000004711</v>
      </c>
      <c r="T847">
        <v>0</v>
      </c>
      <c r="U847">
        <v>0</v>
      </c>
      <c r="V847">
        <v>0</v>
      </c>
    </row>
    <row r="848" spans="1:22" x14ac:dyDescent="0.35">
      <c r="A848" t="s">
        <v>155</v>
      </c>
      <c r="B848" t="s">
        <v>109</v>
      </c>
      <c r="C848">
        <v>52451.8</v>
      </c>
      <c r="D848">
        <v>1.5487713214115031</v>
      </c>
      <c r="E848">
        <v>0.2561569161513928</v>
      </c>
      <c r="F848">
        <v>77922.84</v>
      </c>
      <c r="G848">
        <v>1879.7276364797731</v>
      </c>
      <c r="H848">
        <v>1879.7276364797731</v>
      </c>
      <c r="I848">
        <v>-1.2481507445153319</v>
      </c>
      <c r="J848">
        <v>7.6117866458197389E-2</v>
      </c>
      <c r="K848">
        <v>1.233870410184734</v>
      </c>
      <c r="L848">
        <v>143.08085721135029</v>
      </c>
      <c r="M848">
        <v>0</v>
      </c>
      <c r="N848">
        <v>0</v>
      </c>
      <c r="O848">
        <v>0</v>
      </c>
      <c r="P848">
        <v>0</v>
      </c>
      <c r="Q848">
        <v>2.4609860974146982</v>
      </c>
      <c r="R848">
        <v>4625.98358030291</v>
      </c>
      <c r="S848">
        <v>352.12000040331083</v>
      </c>
      <c r="T848">
        <v>0</v>
      </c>
      <c r="U848">
        <v>0</v>
      </c>
      <c r="V848">
        <v>0</v>
      </c>
    </row>
    <row r="849" spans="1:4" x14ac:dyDescent="0.35">
      <c r="A849" t="s">
        <v>155</v>
      </c>
      <c r="B849" t="s">
        <v>4</v>
      </c>
      <c r="C849">
        <v>38828.800000000003</v>
      </c>
    </row>
    <row r="850" spans="1:4" x14ac:dyDescent="0.35">
      <c r="A850" t="s">
        <v>155</v>
      </c>
      <c r="B850" t="s">
        <v>5</v>
      </c>
      <c r="C850">
        <v>39129</v>
      </c>
    </row>
    <row r="851" spans="1:4" x14ac:dyDescent="0.35">
      <c r="A851" t="s">
        <v>155</v>
      </c>
      <c r="B851" t="s">
        <v>6</v>
      </c>
      <c r="C851">
        <v>39737.599999999999</v>
      </c>
    </row>
    <row r="852" spans="1:4" x14ac:dyDescent="0.35">
      <c r="A852" t="s">
        <v>155</v>
      </c>
      <c r="B852" t="s">
        <v>7</v>
      </c>
      <c r="C852">
        <v>40190.6</v>
      </c>
    </row>
    <row r="853" spans="1:4" x14ac:dyDescent="0.35">
      <c r="A853" t="s">
        <v>155</v>
      </c>
      <c r="B853" t="s">
        <v>8</v>
      </c>
      <c r="C853">
        <v>40387.199999999997</v>
      </c>
      <c r="D853">
        <v>3.935066375638733</v>
      </c>
    </row>
    <row r="854" spans="1:4" x14ac:dyDescent="0.35">
      <c r="A854" t="s">
        <v>155</v>
      </c>
      <c r="B854" t="s">
        <v>9</v>
      </c>
      <c r="C854">
        <v>40416.699999999997</v>
      </c>
      <c r="D854">
        <v>3.2379185835155009</v>
      </c>
    </row>
    <row r="855" spans="1:4" x14ac:dyDescent="0.35">
      <c r="A855" t="s">
        <v>155</v>
      </c>
      <c r="B855" t="s">
        <v>10</v>
      </c>
      <c r="C855">
        <v>40692.800000000003</v>
      </c>
      <c r="D855">
        <v>2.375332987387385</v>
      </c>
    </row>
    <row r="856" spans="1:4" x14ac:dyDescent="0.35">
      <c r="A856" t="s">
        <v>155</v>
      </c>
      <c r="B856" t="s">
        <v>11</v>
      </c>
      <c r="C856">
        <v>40559.699999999997</v>
      </c>
      <c r="D856">
        <v>0.91418253693600815</v>
      </c>
    </row>
    <row r="857" spans="1:4" x14ac:dyDescent="0.35">
      <c r="A857" t="s">
        <v>155</v>
      </c>
      <c r="B857" t="s">
        <v>12</v>
      </c>
      <c r="C857">
        <v>40843</v>
      </c>
      <c r="D857">
        <v>1.122254491113915</v>
      </c>
    </row>
    <row r="858" spans="1:4" x14ac:dyDescent="0.35">
      <c r="A858" t="s">
        <v>155</v>
      </c>
      <c r="B858" t="s">
        <v>13</v>
      </c>
      <c r="C858">
        <v>41213.800000000003</v>
      </c>
      <c r="D858">
        <v>1.953008583666495</v>
      </c>
    </row>
    <row r="859" spans="1:4" x14ac:dyDescent="0.35">
      <c r="A859" t="s">
        <v>155</v>
      </c>
      <c r="B859" t="s">
        <v>14</v>
      </c>
      <c r="C859">
        <v>41125.300000000003</v>
      </c>
      <c r="D859">
        <v>1.0572331269500039</v>
      </c>
    </row>
    <row r="860" spans="1:4" x14ac:dyDescent="0.35">
      <c r="A860" t="s">
        <v>155</v>
      </c>
      <c r="B860" t="s">
        <v>15</v>
      </c>
      <c r="C860">
        <v>41608.800000000003</v>
      </c>
      <c r="D860">
        <v>2.5536720551781009</v>
      </c>
    </row>
    <row r="861" spans="1:4" x14ac:dyDescent="0.35">
      <c r="A861" t="s">
        <v>155</v>
      </c>
      <c r="B861" t="s">
        <v>16</v>
      </c>
      <c r="C861">
        <v>41299.599999999999</v>
      </c>
      <c r="D861">
        <v>1.1117366696747011</v>
      </c>
    </row>
    <row r="862" spans="1:4" x14ac:dyDescent="0.35">
      <c r="A862" t="s">
        <v>155</v>
      </c>
      <c r="B862" t="s">
        <v>17</v>
      </c>
      <c r="C862">
        <v>41904.6</v>
      </c>
      <c r="D862">
        <v>1.662245437692591</v>
      </c>
    </row>
    <row r="863" spans="1:4" x14ac:dyDescent="0.35">
      <c r="A863" t="s">
        <v>155</v>
      </c>
      <c r="B863" t="s">
        <v>18</v>
      </c>
      <c r="C863">
        <v>42405</v>
      </c>
      <c r="D863">
        <v>3.0642775921907668</v>
      </c>
    </row>
    <row r="864" spans="1:4" x14ac:dyDescent="0.35">
      <c r="A864" t="s">
        <v>155</v>
      </c>
      <c r="B864" t="s">
        <v>19</v>
      </c>
      <c r="C864">
        <v>42496.1</v>
      </c>
      <c r="D864">
        <v>2.1100623656199868</v>
      </c>
    </row>
    <row r="865" spans="1:4" x14ac:dyDescent="0.35">
      <c r="A865" t="s">
        <v>155</v>
      </c>
      <c r="B865" t="s">
        <v>20</v>
      </c>
      <c r="C865">
        <v>43032.3</v>
      </c>
      <c r="D865">
        <v>4.1098181812630923</v>
      </c>
    </row>
    <row r="866" spans="1:4" x14ac:dyDescent="0.35">
      <c r="A866" t="s">
        <v>155</v>
      </c>
      <c r="B866" t="s">
        <v>21</v>
      </c>
      <c r="C866">
        <v>43383.5</v>
      </c>
      <c r="D866">
        <v>3.4683578381174658</v>
      </c>
    </row>
    <row r="867" spans="1:4" x14ac:dyDescent="0.35">
      <c r="A867" t="s">
        <v>155</v>
      </c>
      <c r="B867" t="s">
        <v>22</v>
      </c>
      <c r="C867">
        <v>43875.9</v>
      </c>
      <c r="D867">
        <v>3.4098914582494411</v>
      </c>
    </row>
    <row r="868" spans="1:4" x14ac:dyDescent="0.35">
      <c r="A868" t="s">
        <v>155</v>
      </c>
      <c r="B868" t="s">
        <v>23</v>
      </c>
      <c r="C868">
        <v>44547.8</v>
      </c>
      <c r="D868">
        <v>4.7150462967552098</v>
      </c>
    </row>
    <row r="869" spans="1:4" x14ac:dyDescent="0.35">
      <c r="A869" t="s">
        <v>155</v>
      </c>
      <c r="B869" t="s">
        <v>24</v>
      </c>
      <c r="C869">
        <v>44986.6</v>
      </c>
      <c r="D869">
        <v>4.4413671145244491</v>
      </c>
    </row>
    <row r="870" spans="1:4" x14ac:dyDescent="0.35">
      <c r="A870" t="s">
        <v>155</v>
      </c>
      <c r="B870" t="s">
        <v>25</v>
      </c>
      <c r="C870">
        <v>44428.1</v>
      </c>
      <c r="D870">
        <v>2.3792967648972159</v>
      </c>
    </row>
    <row r="871" spans="1:4" x14ac:dyDescent="0.35">
      <c r="A871" t="s">
        <v>155</v>
      </c>
      <c r="B871" t="s">
        <v>26</v>
      </c>
      <c r="C871">
        <v>45072.4</v>
      </c>
      <c r="D871">
        <v>2.690489138786516</v>
      </c>
    </row>
    <row r="872" spans="1:4" x14ac:dyDescent="0.35">
      <c r="A872" t="s">
        <v>155</v>
      </c>
      <c r="B872" t="s">
        <v>27</v>
      </c>
      <c r="C872">
        <v>45207.3</v>
      </c>
      <c r="D872">
        <v>1.469580824112626</v>
      </c>
    </row>
    <row r="873" spans="1:4" x14ac:dyDescent="0.35">
      <c r="A873" t="s">
        <v>155</v>
      </c>
      <c r="B873" t="s">
        <v>28</v>
      </c>
      <c r="C873">
        <v>46356.5</v>
      </c>
      <c r="D873">
        <v>2.9996851856297071</v>
      </c>
    </row>
    <row r="874" spans="1:4" x14ac:dyDescent="0.35">
      <c r="A874" t="s">
        <v>155</v>
      </c>
      <c r="B874" t="s">
        <v>29</v>
      </c>
      <c r="C874">
        <v>46427.1</v>
      </c>
      <c r="D874">
        <v>4.4011188329371471</v>
      </c>
    </row>
    <row r="875" spans="1:4" x14ac:dyDescent="0.35">
      <c r="A875" t="s">
        <v>155</v>
      </c>
      <c r="B875" t="s">
        <v>30</v>
      </c>
      <c r="C875">
        <v>46871.199999999997</v>
      </c>
      <c r="D875">
        <v>3.9133328553805451</v>
      </c>
    </row>
    <row r="876" spans="1:4" x14ac:dyDescent="0.35">
      <c r="A876" t="s">
        <v>155</v>
      </c>
      <c r="B876" t="s">
        <v>31</v>
      </c>
      <c r="C876">
        <v>47263.5</v>
      </c>
      <c r="D876">
        <v>4.4479749194383622</v>
      </c>
    </row>
    <row r="877" spans="1:4" x14ac:dyDescent="0.35">
      <c r="A877" t="s">
        <v>155</v>
      </c>
      <c r="B877" t="s">
        <v>32</v>
      </c>
      <c r="C877">
        <v>48200</v>
      </c>
      <c r="D877">
        <v>3.899750155232149</v>
      </c>
    </row>
    <row r="878" spans="1:4" x14ac:dyDescent="0.35">
      <c r="A878" t="s">
        <v>155</v>
      </c>
      <c r="B878" t="s">
        <v>33</v>
      </c>
      <c r="C878">
        <v>49027.5</v>
      </c>
      <c r="D878">
        <v>5.4498024708337249</v>
      </c>
    </row>
    <row r="879" spans="1:4" x14ac:dyDescent="0.35">
      <c r="A879" t="s">
        <v>155</v>
      </c>
      <c r="B879" t="s">
        <v>34</v>
      </c>
      <c r="C879">
        <v>49490.400000000001</v>
      </c>
      <c r="D879">
        <v>5.4375297034200756</v>
      </c>
    </row>
    <row r="880" spans="1:4" x14ac:dyDescent="0.35">
      <c r="A880" t="s">
        <v>155</v>
      </c>
      <c r="B880" t="s">
        <v>35</v>
      </c>
      <c r="C880">
        <v>50129.3</v>
      </c>
      <c r="D880">
        <v>5.8867340066611904</v>
      </c>
    </row>
    <row r="881" spans="1:4" x14ac:dyDescent="0.35">
      <c r="A881" t="s">
        <v>155</v>
      </c>
      <c r="B881" t="s">
        <v>36</v>
      </c>
      <c r="C881">
        <v>50074.8</v>
      </c>
      <c r="D881">
        <v>3.815886647836487</v>
      </c>
    </row>
    <row r="882" spans="1:4" x14ac:dyDescent="0.35">
      <c r="A882" t="s">
        <v>155</v>
      </c>
      <c r="B882" t="s">
        <v>37</v>
      </c>
      <c r="C882">
        <v>49689.599999999999</v>
      </c>
      <c r="D882">
        <v>1.3414290499532759</v>
      </c>
    </row>
    <row r="883" spans="1:4" x14ac:dyDescent="0.35">
      <c r="A883" t="s">
        <v>155</v>
      </c>
      <c r="B883" t="s">
        <v>38</v>
      </c>
      <c r="C883">
        <v>49856.7</v>
      </c>
      <c r="D883">
        <v>0.73741792141448681</v>
      </c>
    </row>
    <row r="884" spans="1:4" x14ac:dyDescent="0.35">
      <c r="A884" t="s">
        <v>155</v>
      </c>
      <c r="B884" t="s">
        <v>39</v>
      </c>
      <c r="C884">
        <v>48771.9</v>
      </c>
      <c r="D884">
        <v>-2.7451340144369949</v>
      </c>
    </row>
    <row r="885" spans="1:4" x14ac:dyDescent="0.35">
      <c r="A885" t="s">
        <v>155</v>
      </c>
      <c r="B885" t="s">
        <v>40</v>
      </c>
      <c r="C885">
        <v>45602.3</v>
      </c>
      <c r="D885">
        <v>-9.355973369007101</v>
      </c>
    </row>
    <row r="886" spans="1:4" x14ac:dyDescent="0.35">
      <c r="A886" t="s">
        <v>155</v>
      </c>
      <c r="B886" t="s">
        <v>41</v>
      </c>
      <c r="C886">
        <v>45408.4</v>
      </c>
      <c r="D886">
        <v>-9.0098545713120011</v>
      </c>
    </row>
    <row r="887" spans="1:4" x14ac:dyDescent="0.35">
      <c r="A887" t="s">
        <v>155</v>
      </c>
      <c r="B887" t="s">
        <v>42</v>
      </c>
      <c r="C887">
        <v>45842.7</v>
      </c>
      <c r="D887">
        <v>-8.3936919390697522</v>
      </c>
    </row>
    <row r="888" spans="1:4" x14ac:dyDescent="0.35">
      <c r="A888" t="s">
        <v>155</v>
      </c>
      <c r="B888" t="s">
        <v>43</v>
      </c>
      <c r="C888">
        <v>45518.3</v>
      </c>
      <c r="D888">
        <v>-6.9039884439907357</v>
      </c>
    </row>
    <row r="889" spans="1:4" x14ac:dyDescent="0.35">
      <c r="A889" t="s">
        <v>155</v>
      </c>
      <c r="B889" t="s">
        <v>44</v>
      </c>
      <c r="C889">
        <v>45914.2</v>
      </c>
      <c r="D889">
        <v>0.68162835689005641</v>
      </c>
    </row>
    <row r="890" spans="1:4" x14ac:dyDescent="0.35">
      <c r="A890" t="s">
        <v>155</v>
      </c>
      <c r="B890" t="s">
        <v>45</v>
      </c>
      <c r="C890">
        <v>47228.7</v>
      </c>
      <c r="D890">
        <v>3.930464869168405</v>
      </c>
    </row>
    <row r="891" spans="1:4" x14ac:dyDescent="0.35">
      <c r="A891" t="s">
        <v>155</v>
      </c>
      <c r="B891" t="s">
        <v>46</v>
      </c>
      <c r="C891">
        <v>46996.3</v>
      </c>
      <c r="D891">
        <v>2.4852904011476888</v>
      </c>
    </row>
    <row r="892" spans="1:4" x14ac:dyDescent="0.35">
      <c r="A892" t="s">
        <v>155</v>
      </c>
      <c r="B892" t="s">
        <v>47</v>
      </c>
      <c r="C892">
        <v>48007.9</v>
      </c>
      <c r="D892">
        <v>5.3251137799626456</v>
      </c>
    </row>
    <row r="893" spans="1:4" x14ac:dyDescent="0.35">
      <c r="A893" t="s">
        <v>155</v>
      </c>
      <c r="B893" t="s">
        <v>48</v>
      </c>
      <c r="C893">
        <v>48209.8</v>
      </c>
      <c r="D893">
        <v>4.8787882478271749</v>
      </c>
    </row>
    <row r="894" spans="1:4" x14ac:dyDescent="0.35">
      <c r="A894" t="s">
        <v>155</v>
      </c>
      <c r="B894" t="s">
        <v>49</v>
      </c>
      <c r="C894">
        <v>48090.1</v>
      </c>
      <c r="D894">
        <v>1.8074576070849171</v>
      </c>
    </row>
    <row r="895" spans="1:4" x14ac:dyDescent="0.35">
      <c r="A895" t="s">
        <v>155</v>
      </c>
      <c r="B895" t="s">
        <v>50</v>
      </c>
      <c r="C895">
        <v>48149.1</v>
      </c>
      <c r="D895">
        <v>2.423357127370616</v>
      </c>
    </row>
    <row r="896" spans="1:4" x14ac:dyDescent="0.35">
      <c r="A896" t="s">
        <v>155</v>
      </c>
      <c r="B896" t="s">
        <v>51</v>
      </c>
      <c r="C896">
        <v>48196.4</v>
      </c>
      <c r="D896">
        <v>0.39187487716536901</v>
      </c>
    </row>
    <row r="897" spans="1:5" x14ac:dyDescent="0.35">
      <c r="A897" t="s">
        <v>155</v>
      </c>
      <c r="B897" t="s">
        <v>52</v>
      </c>
      <c r="C897">
        <v>47902.400000000001</v>
      </c>
      <c r="D897">
        <v>-0.63967123462002207</v>
      </c>
    </row>
    <row r="898" spans="1:5" x14ac:dyDescent="0.35">
      <c r="A898" t="s">
        <v>155</v>
      </c>
      <c r="B898" t="s">
        <v>53</v>
      </c>
      <c r="C898">
        <v>47400.2</v>
      </c>
      <c r="D898">
        <v>-1.444988662039127</v>
      </c>
    </row>
    <row r="899" spans="1:5" x14ac:dyDescent="0.35">
      <c r="A899" t="s">
        <v>155</v>
      </c>
      <c r="B899" t="s">
        <v>54</v>
      </c>
      <c r="C899">
        <v>47233.1</v>
      </c>
      <c r="D899">
        <v>-1.9207528478450719</v>
      </c>
    </row>
    <row r="900" spans="1:5" x14ac:dyDescent="0.35">
      <c r="A900" t="s">
        <v>155</v>
      </c>
      <c r="B900" t="s">
        <v>55</v>
      </c>
      <c r="C900">
        <v>47175</v>
      </c>
      <c r="D900">
        <v>-2.1420238215913181</v>
      </c>
    </row>
    <row r="901" spans="1:5" x14ac:dyDescent="0.35">
      <c r="A901" t="s">
        <v>155</v>
      </c>
      <c r="B901" t="s">
        <v>56</v>
      </c>
      <c r="C901">
        <v>46765.8</v>
      </c>
      <c r="D901">
        <v>-2.4013440994976909</v>
      </c>
    </row>
    <row r="902" spans="1:5" x14ac:dyDescent="0.35">
      <c r="A902" t="s">
        <v>155</v>
      </c>
      <c r="B902" t="s">
        <v>57</v>
      </c>
      <c r="C902">
        <v>46974</v>
      </c>
      <c r="D902">
        <v>-0.90321909475796769</v>
      </c>
    </row>
    <row r="903" spans="1:5" x14ac:dyDescent="0.35">
      <c r="A903" t="s">
        <v>155</v>
      </c>
      <c r="B903" t="s">
        <v>58</v>
      </c>
      <c r="C903">
        <v>47099.1</v>
      </c>
      <c r="D903">
        <v>-0.28410254426570902</v>
      </c>
    </row>
    <row r="904" spans="1:5" x14ac:dyDescent="0.35">
      <c r="A904" t="s">
        <v>155</v>
      </c>
      <c r="B904" t="s">
        <v>59</v>
      </c>
      <c r="C904">
        <v>47016</v>
      </c>
      <c r="D904">
        <v>-0.33761219442645912</v>
      </c>
    </row>
    <row r="905" spans="1:5" x14ac:dyDescent="0.35">
      <c r="A905" t="s">
        <v>155</v>
      </c>
      <c r="B905" t="s">
        <v>60</v>
      </c>
      <c r="C905">
        <v>46613.9</v>
      </c>
      <c r="D905">
        <v>-0.32533866350484941</v>
      </c>
    </row>
    <row r="906" spans="1:5" x14ac:dyDescent="0.35">
      <c r="A906" t="s">
        <v>155</v>
      </c>
      <c r="B906" t="s">
        <v>61</v>
      </c>
      <c r="C906">
        <v>46705</v>
      </c>
      <c r="D906">
        <v>-0.57430318290200966</v>
      </c>
    </row>
    <row r="907" spans="1:5" x14ac:dyDescent="0.35">
      <c r="A907" t="s">
        <v>155</v>
      </c>
      <c r="B907" t="s">
        <v>62</v>
      </c>
      <c r="C907">
        <v>46842.6</v>
      </c>
      <c r="D907">
        <v>-0.54608472578292744</v>
      </c>
    </row>
    <row r="908" spans="1:5" x14ac:dyDescent="0.35">
      <c r="A908" t="s">
        <v>155</v>
      </c>
      <c r="B908" t="s">
        <v>63</v>
      </c>
      <c r="C908">
        <v>46794.400000000001</v>
      </c>
      <c r="D908">
        <v>-0.47244316660102992</v>
      </c>
    </row>
    <row r="909" spans="1:5" x14ac:dyDescent="0.35">
      <c r="A909" t="s">
        <v>155</v>
      </c>
      <c r="B909" t="s">
        <v>64</v>
      </c>
      <c r="C909">
        <v>46408.3</v>
      </c>
      <c r="D909">
        <v>-0.44204573702367839</v>
      </c>
      <c r="E909">
        <v>-0.39022586343569138</v>
      </c>
    </row>
    <row r="910" spans="1:5" x14ac:dyDescent="0.35">
      <c r="A910" t="s">
        <v>155</v>
      </c>
      <c r="B910" t="s">
        <v>65</v>
      </c>
      <c r="C910">
        <v>47078.5</v>
      </c>
      <c r="D910">
        <v>0.79651958970004078</v>
      </c>
      <c r="E910">
        <v>0.15027501356869619</v>
      </c>
    </row>
    <row r="911" spans="1:5" x14ac:dyDescent="0.35">
      <c r="A911" t="s">
        <v>155</v>
      </c>
      <c r="B911" t="s">
        <v>66</v>
      </c>
      <c r="C911">
        <v>47035.6</v>
      </c>
      <c r="D911">
        <v>0.41117164987862659</v>
      </c>
      <c r="E911">
        <v>0.53157491995890427</v>
      </c>
    </row>
    <row r="912" spans="1:5" x14ac:dyDescent="0.35">
      <c r="A912" t="s">
        <v>155</v>
      </c>
      <c r="B912" t="s">
        <v>67</v>
      </c>
      <c r="C912">
        <v>47305.5</v>
      </c>
      <c r="D912">
        <v>1.0863030163428711</v>
      </c>
      <c r="E912">
        <v>0.56936520652200251</v>
      </c>
    </row>
    <row r="913" spans="1:5" x14ac:dyDescent="0.35">
      <c r="A913" t="s">
        <v>155</v>
      </c>
      <c r="B913" t="s">
        <v>68</v>
      </c>
      <c r="C913">
        <v>47856.9</v>
      </c>
      <c r="D913">
        <v>3.0736985584453289</v>
      </c>
      <c r="E913">
        <v>0.6081697135823888</v>
      </c>
    </row>
    <row r="914" spans="1:5" x14ac:dyDescent="0.35">
      <c r="A914" t="s">
        <v>155</v>
      </c>
      <c r="B914" t="s">
        <v>69</v>
      </c>
      <c r="C914">
        <v>47847</v>
      </c>
      <c r="D914">
        <v>1.619199878691421</v>
      </c>
      <c r="E914">
        <v>0.62813997339812444</v>
      </c>
    </row>
    <row r="915" spans="1:5" x14ac:dyDescent="0.35">
      <c r="A915" t="s">
        <v>155</v>
      </c>
      <c r="B915" t="s">
        <v>70</v>
      </c>
      <c r="C915">
        <v>48368.9</v>
      </c>
      <c r="D915">
        <v>2.7952283407177552</v>
      </c>
      <c r="E915">
        <v>0.62921871406756302</v>
      </c>
    </row>
    <row r="916" spans="1:5" x14ac:dyDescent="0.35">
      <c r="A916" t="s">
        <v>155</v>
      </c>
      <c r="B916" t="s">
        <v>71</v>
      </c>
      <c r="C916">
        <v>48586</v>
      </c>
      <c r="D916">
        <v>2.670885575612405</v>
      </c>
      <c r="E916">
        <v>0.64884289376424131</v>
      </c>
    </row>
    <row r="917" spans="1:5" x14ac:dyDescent="0.35">
      <c r="A917" t="s">
        <v>155</v>
      </c>
      <c r="B917" t="s">
        <v>72</v>
      </c>
      <c r="C917">
        <v>49057.9</v>
      </c>
      <c r="D917">
        <v>2.4785925055279892</v>
      </c>
      <c r="E917">
        <v>0.85328541309769135</v>
      </c>
    </row>
    <row r="918" spans="1:5" x14ac:dyDescent="0.35">
      <c r="A918" t="s">
        <v>155</v>
      </c>
      <c r="B918" t="s">
        <v>73</v>
      </c>
      <c r="C918">
        <v>49703</v>
      </c>
      <c r="D918">
        <v>3.8056873445171799</v>
      </c>
      <c r="E918">
        <v>0.82101751844928228</v>
      </c>
    </row>
    <row r="919" spans="1:5" x14ac:dyDescent="0.35">
      <c r="A919" t="s">
        <v>155</v>
      </c>
      <c r="B919" t="s">
        <v>74</v>
      </c>
      <c r="C919">
        <v>49935.4</v>
      </c>
      <c r="D919">
        <v>3.1873124868866349</v>
      </c>
      <c r="E919">
        <v>0.55441269825006712</v>
      </c>
    </row>
    <row r="920" spans="1:5" x14ac:dyDescent="0.35">
      <c r="A920" t="s">
        <v>155</v>
      </c>
      <c r="B920" t="s">
        <v>75</v>
      </c>
      <c r="C920">
        <v>50328.6</v>
      </c>
      <c r="D920">
        <v>3.5238080425810359</v>
      </c>
      <c r="E920">
        <v>0.64890371119837631</v>
      </c>
    </row>
    <row r="921" spans="1:5" x14ac:dyDescent="0.35">
      <c r="A921" t="s">
        <v>155</v>
      </c>
      <c r="B921" t="s">
        <v>76</v>
      </c>
      <c r="C921">
        <v>50437.599999999999</v>
      </c>
      <c r="D921">
        <v>2.7735695494707491</v>
      </c>
      <c r="E921">
        <v>0.5621858675941005</v>
      </c>
    </row>
    <row r="922" spans="1:5" x14ac:dyDescent="0.35">
      <c r="A922" t="s">
        <v>155</v>
      </c>
      <c r="B922" t="s">
        <v>77</v>
      </c>
      <c r="C922">
        <v>50338.400000000001</v>
      </c>
      <c r="D922">
        <v>1.270291187846724</v>
      </c>
      <c r="E922">
        <v>0.34362344950477092</v>
      </c>
    </row>
    <row r="923" spans="1:5" x14ac:dyDescent="0.35">
      <c r="A923" t="s">
        <v>155</v>
      </c>
      <c r="B923" t="s">
        <v>78</v>
      </c>
      <c r="C923">
        <v>50289.2</v>
      </c>
      <c r="D923">
        <v>0.70601722456553762</v>
      </c>
      <c r="E923">
        <v>-0.36124342683803412</v>
      </c>
    </row>
    <row r="924" spans="1:5" x14ac:dyDescent="0.35">
      <c r="A924" t="s">
        <v>155</v>
      </c>
      <c r="B924" t="s">
        <v>79</v>
      </c>
      <c r="C924">
        <v>50333.9</v>
      </c>
      <c r="D924">
        <v>1.0530237188437709E-2</v>
      </c>
      <c r="E924">
        <v>0.77555247523006809</v>
      </c>
    </row>
    <row r="925" spans="1:5" x14ac:dyDescent="0.35">
      <c r="A925" t="s">
        <v>155</v>
      </c>
      <c r="B925" t="s">
        <v>80</v>
      </c>
      <c r="C925">
        <v>50770.9</v>
      </c>
      <c r="D925">
        <v>0.65864271263190133</v>
      </c>
      <c r="E925">
        <v>0.82277789387702627</v>
      </c>
    </row>
    <row r="926" spans="1:5" x14ac:dyDescent="0.35">
      <c r="A926" t="s">
        <v>155</v>
      </c>
      <c r="B926" t="s">
        <v>81</v>
      </c>
      <c r="C926">
        <v>51129.2</v>
      </c>
      <c r="D926">
        <v>1.5587557245584931</v>
      </c>
      <c r="E926">
        <v>0.84316170743394436</v>
      </c>
    </row>
    <row r="927" spans="1:5" x14ac:dyDescent="0.35">
      <c r="A927" t="s">
        <v>155</v>
      </c>
      <c r="B927" t="s">
        <v>82</v>
      </c>
      <c r="C927">
        <v>51158.7</v>
      </c>
      <c r="D927">
        <v>1.7142223588647461</v>
      </c>
      <c r="E927">
        <v>0.87532164416890335</v>
      </c>
    </row>
    <row r="928" spans="1:5" x14ac:dyDescent="0.35">
      <c r="A928" t="s">
        <v>155</v>
      </c>
      <c r="B928" t="s">
        <v>83</v>
      </c>
      <c r="C928">
        <v>51058.6</v>
      </c>
      <c r="D928">
        <v>1.4295186352780269</v>
      </c>
      <c r="E928">
        <v>0.87194054741041294</v>
      </c>
    </row>
    <row r="929" spans="1:5" x14ac:dyDescent="0.35">
      <c r="A929" t="s">
        <v>155</v>
      </c>
      <c r="B929" t="s">
        <v>84</v>
      </c>
      <c r="C929">
        <v>50950.5</v>
      </c>
      <c r="D929">
        <v>0.35312173569524902</v>
      </c>
      <c r="E929">
        <v>0.92123441011730101</v>
      </c>
    </row>
    <row r="930" spans="1:5" x14ac:dyDescent="0.35">
      <c r="A930" t="s">
        <v>155</v>
      </c>
      <c r="B930" t="s">
        <v>85</v>
      </c>
      <c r="C930">
        <v>47628.1</v>
      </c>
      <c r="D930">
        <v>-7.0932839385952144</v>
      </c>
      <c r="E930">
        <v>0.97525918278650325</v>
      </c>
    </row>
    <row r="931" spans="1:5" x14ac:dyDescent="0.35">
      <c r="A931" t="s">
        <v>155</v>
      </c>
      <c r="B931" t="s">
        <v>86</v>
      </c>
      <c r="C931">
        <v>49981.8</v>
      </c>
      <c r="D931">
        <v>-2.327362674678954</v>
      </c>
      <c r="E931">
        <v>0.98002621789385214</v>
      </c>
    </row>
    <row r="932" spans="1:5" x14ac:dyDescent="0.35">
      <c r="A932" t="s">
        <v>155</v>
      </c>
      <c r="B932" t="s">
        <v>87</v>
      </c>
      <c r="C932">
        <v>50474.2</v>
      </c>
      <c r="D932">
        <v>-1.1511678071480249</v>
      </c>
      <c r="E932">
        <v>0.96395414456059292</v>
      </c>
    </row>
    <row r="933" spans="1:5" x14ac:dyDescent="0.35">
      <c r="A933" t="s">
        <v>155</v>
      </c>
      <c r="B933" t="s">
        <v>88</v>
      </c>
      <c r="C933">
        <v>50135.5</v>
      </c>
      <c r="D933">
        <v>-1.612523316440861</v>
      </c>
      <c r="E933">
        <v>0.9525453901426002</v>
      </c>
    </row>
    <row r="934" spans="1:5" x14ac:dyDescent="0.35">
      <c r="A934" t="s">
        <v>155</v>
      </c>
      <c r="B934" t="s">
        <v>89</v>
      </c>
      <c r="C934">
        <v>50908.5</v>
      </c>
      <c r="D934">
        <v>6.660698052860516</v>
      </c>
      <c r="E934">
        <v>0.92117933254764095</v>
      </c>
    </row>
    <row r="935" spans="1:5" x14ac:dyDescent="0.35">
      <c r="A935" t="s">
        <v>155</v>
      </c>
      <c r="B935" t="s">
        <v>90</v>
      </c>
      <c r="C935">
        <v>51469.7</v>
      </c>
      <c r="D935">
        <v>2.9334345845569412</v>
      </c>
      <c r="E935">
        <v>0.90476823675518758</v>
      </c>
    </row>
    <row r="936" spans="1:5" x14ac:dyDescent="0.35">
      <c r="A936" t="s">
        <v>155</v>
      </c>
      <c r="B936" t="s">
        <v>91</v>
      </c>
      <c r="C936">
        <v>51848.6</v>
      </c>
      <c r="D936">
        <v>2.6865618703797081</v>
      </c>
      <c r="E936">
        <v>0.89392691851617434</v>
      </c>
    </row>
    <row r="937" spans="1:5" x14ac:dyDescent="0.35">
      <c r="A937" t="s">
        <v>155</v>
      </c>
      <c r="B937" t="s">
        <v>92</v>
      </c>
      <c r="C937">
        <v>51520.6</v>
      </c>
      <c r="D937">
        <v>2.7252387692155708</v>
      </c>
      <c r="E937">
        <v>0.87139703337224794</v>
      </c>
    </row>
    <row r="938" spans="1:5" x14ac:dyDescent="0.35">
      <c r="A938" t="s">
        <v>155</v>
      </c>
      <c r="B938" t="s">
        <v>93</v>
      </c>
      <c r="C938">
        <v>51671.6</v>
      </c>
      <c r="D938">
        <v>1.4878403843206249</v>
      </c>
      <c r="E938">
        <v>0.83562205778513454</v>
      </c>
    </row>
    <row r="939" spans="1:5" x14ac:dyDescent="0.35">
      <c r="A939" t="s">
        <v>155</v>
      </c>
      <c r="B939" t="s">
        <v>94</v>
      </c>
      <c r="C939">
        <v>51616.2</v>
      </c>
      <c r="D939">
        <v>0.28422916931703651</v>
      </c>
      <c r="E939">
        <v>0.83518753506855625</v>
      </c>
    </row>
    <row r="940" spans="1:5" x14ac:dyDescent="0.35">
      <c r="A940" t="s">
        <v>155</v>
      </c>
      <c r="B940" t="s">
        <v>95</v>
      </c>
      <c r="C940">
        <v>51113.1</v>
      </c>
      <c r="D940">
        <v>-1.428710891337686</v>
      </c>
      <c r="E940">
        <v>0.82347302684200141</v>
      </c>
    </row>
    <row r="941" spans="1:5" x14ac:dyDescent="0.35">
      <c r="A941" t="s">
        <v>155</v>
      </c>
      <c r="B941" t="s">
        <v>96</v>
      </c>
      <c r="C941">
        <v>51164.1</v>
      </c>
      <c r="D941">
        <v>-0.6943613456523402</v>
      </c>
      <c r="E941">
        <v>0.66023696776915897</v>
      </c>
    </row>
    <row r="942" spans="1:5" x14ac:dyDescent="0.35">
      <c r="A942" t="s">
        <v>155</v>
      </c>
      <c r="B942" t="s">
        <v>97</v>
      </c>
      <c r="C942">
        <v>51205.2</v>
      </c>
      <c r="D942">
        <v>-0.90672181754695214</v>
      </c>
      <c r="E942">
        <v>0.54115951049742483</v>
      </c>
    </row>
    <row r="943" spans="1:5" x14ac:dyDescent="0.35">
      <c r="A943" t="s">
        <v>155</v>
      </c>
      <c r="B943" t="s">
        <v>98</v>
      </c>
      <c r="C943">
        <v>50473.3</v>
      </c>
      <c r="D943">
        <v>-2.2391093110712972</v>
      </c>
      <c r="E943">
        <v>0.55946186841103696</v>
      </c>
    </row>
    <row r="944" spans="1:5" x14ac:dyDescent="0.35">
      <c r="A944" t="s">
        <v>155</v>
      </c>
      <c r="B944" t="s">
        <v>99</v>
      </c>
      <c r="C944">
        <v>50423.3</v>
      </c>
      <c r="D944">
        <v>-1.35874545971376</v>
      </c>
      <c r="E944">
        <v>0.57328215951564387</v>
      </c>
    </row>
    <row r="945" spans="1:5" x14ac:dyDescent="0.35">
      <c r="A945" t="s">
        <v>155</v>
      </c>
      <c r="B945" t="s">
        <v>100</v>
      </c>
      <c r="C945">
        <v>50978.2</v>
      </c>
      <c r="D945">
        <v>-0.36400238737728652</v>
      </c>
      <c r="E945">
        <v>0.45675746128502892</v>
      </c>
    </row>
    <row r="946" spans="1:5" x14ac:dyDescent="0.35">
      <c r="A946" t="s">
        <v>155</v>
      </c>
      <c r="B946" t="s">
        <v>101</v>
      </c>
      <c r="C946">
        <v>51113.1</v>
      </c>
      <c r="D946">
        <v>-0.1800264955033839</v>
      </c>
      <c r="E946">
        <v>0.2208649046275051</v>
      </c>
    </row>
    <row r="947" spans="1:5" x14ac:dyDescent="0.35">
      <c r="A947" t="s">
        <v>155</v>
      </c>
      <c r="B947" t="s">
        <v>102</v>
      </c>
      <c r="C947">
        <v>51499.199999999997</v>
      </c>
      <c r="D947">
        <v>2.0121789976361888</v>
      </c>
      <c r="E947">
        <v>-6.7366504499545413E-2</v>
      </c>
    </row>
    <row r="948" spans="1:5" x14ac:dyDescent="0.35">
      <c r="A948" t="s">
        <v>155</v>
      </c>
      <c r="B948" t="s">
        <v>103</v>
      </c>
      <c r="C948">
        <v>51475</v>
      </c>
      <c r="D948">
        <v>2.0642883077683938</v>
      </c>
      <c r="E948">
        <v>0.18514787159562199</v>
      </c>
    </row>
    <row r="949" spans="1:5" x14ac:dyDescent="0.35">
      <c r="A949" t="s">
        <v>155</v>
      </c>
      <c r="B949" t="s">
        <v>104</v>
      </c>
      <c r="C949">
        <v>51614.400000000001</v>
      </c>
      <c r="D949">
        <v>1.2402612961513431</v>
      </c>
      <c r="E949">
        <v>-5.1907923992241978E-2</v>
      </c>
    </row>
    <row r="950" spans="1:5" x14ac:dyDescent="0.35">
      <c r="A950" t="s">
        <v>155</v>
      </c>
      <c r="B950" t="s">
        <v>105</v>
      </c>
      <c r="C950">
        <v>51645.7</v>
      </c>
      <c r="D950">
        <v>1.0366115004496459</v>
      </c>
      <c r="E950">
        <v>0.28582713314200409</v>
      </c>
    </row>
    <row r="951" spans="1:5" x14ac:dyDescent="0.35">
      <c r="A951" t="s">
        <v>155</v>
      </c>
      <c r="B951" t="s">
        <v>106</v>
      </c>
      <c r="C951">
        <v>51630.5</v>
      </c>
      <c r="D951">
        <v>0.25463095682891512</v>
      </c>
      <c r="E951">
        <v>0.2319319891223412</v>
      </c>
    </row>
    <row r="952" spans="1:5" x14ac:dyDescent="0.35">
      <c r="A952" t="s">
        <v>155</v>
      </c>
      <c r="B952" t="s">
        <v>107</v>
      </c>
      <c r="C952">
        <v>51821.8</v>
      </c>
      <c r="D952">
        <v>0.67146572401544224</v>
      </c>
      <c r="E952">
        <v>0.1956674455616231</v>
      </c>
    </row>
    <row r="953" spans="1:5" x14ac:dyDescent="0.35">
      <c r="A953" t="s">
        <v>155</v>
      </c>
      <c r="B953" t="s">
        <v>108</v>
      </c>
      <c r="C953">
        <v>52255.199999999997</v>
      </c>
      <c r="D953">
        <v>1.233870410184734</v>
      </c>
      <c r="E953">
        <v>0.32504962792480557</v>
      </c>
    </row>
    <row r="954" spans="1:5" x14ac:dyDescent="0.35">
      <c r="A954" t="s">
        <v>155</v>
      </c>
      <c r="B954" t="s">
        <v>109</v>
      </c>
      <c r="C954">
        <v>52451.8</v>
      </c>
      <c r="D954">
        <v>1.5487713214115031</v>
      </c>
      <c r="E954">
        <v>0.2561569161513928</v>
      </c>
    </row>
    <row r="955" spans="1:5" x14ac:dyDescent="0.35">
      <c r="A955" t="s">
        <v>156</v>
      </c>
      <c r="B955" t="s">
        <v>4</v>
      </c>
      <c r="C955">
        <v>30195.5</v>
      </c>
    </row>
    <row r="956" spans="1:5" x14ac:dyDescent="0.35">
      <c r="A956" t="s">
        <v>156</v>
      </c>
      <c r="B956" t="s">
        <v>5</v>
      </c>
      <c r="C956">
        <v>31302</v>
      </c>
    </row>
    <row r="957" spans="1:5" x14ac:dyDescent="0.35">
      <c r="A957" t="s">
        <v>156</v>
      </c>
      <c r="B957" t="s">
        <v>6</v>
      </c>
      <c r="C957">
        <v>31478.1</v>
      </c>
    </row>
    <row r="958" spans="1:5" x14ac:dyDescent="0.35">
      <c r="A958" t="s">
        <v>156</v>
      </c>
      <c r="B958" t="s">
        <v>7</v>
      </c>
      <c r="C958">
        <v>32313.4</v>
      </c>
    </row>
    <row r="959" spans="1:5" x14ac:dyDescent="0.35">
      <c r="A959" t="s">
        <v>156</v>
      </c>
      <c r="B959" t="s">
        <v>8</v>
      </c>
      <c r="C959">
        <v>32740.6</v>
      </c>
      <c r="D959">
        <v>8.0922991325823528</v>
      </c>
    </row>
    <row r="960" spans="1:5" x14ac:dyDescent="0.35">
      <c r="A960" t="s">
        <v>156</v>
      </c>
      <c r="B960" t="s">
        <v>9</v>
      </c>
      <c r="C960">
        <v>33391</v>
      </c>
      <c r="D960">
        <v>6.4604409325340413</v>
      </c>
    </row>
    <row r="961" spans="1:5" x14ac:dyDescent="0.35">
      <c r="A961" t="s">
        <v>156</v>
      </c>
      <c r="B961" t="s">
        <v>10</v>
      </c>
      <c r="C961">
        <v>32506.6</v>
      </c>
      <c r="D961">
        <v>3.2151079695171219</v>
      </c>
    </row>
    <row r="962" spans="1:5" x14ac:dyDescent="0.35">
      <c r="A962" t="s">
        <v>156</v>
      </c>
      <c r="B962" t="s">
        <v>11</v>
      </c>
      <c r="C962">
        <v>33556</v>
      </c>
      <c r="D962">
        <v>3.773368010522193</v>
      </c>
    </row>
    <row r="963" spans="1:5" x14ac:dyDescent="0.35">
      <c r="A963" t="s">
        <v>156</v>
      </c>
      <c r="B963" t="s">
        <v>12</v>
      </c>
      <c r="C963">
        <v>34824</v>
      </c>
      <c r="D963">
        <v>6.169090626845521</v>
      </c>
      <c r="E963">
        <v>0.44850364423961608</v>
      </c>
    </row>
    <row r="964" spans="1:5" x14ac:dyDescent="0.35">
      <c r="A964" t="s">
        <v>156</v>
      </c>
      <c r="B964" t="s">
        <v>13</v>
      </c>
      <c r="C964">
        <v>34882</v>
      </c>
      <c r="D964">
        <v>4.3684534252825769</v>
      </c>
      <c r="E964">
        <v>0.54561067208238057</v>
      </c>
    </row>
    <row r="965" spans="1:5" x14ac:dyDescent="0.35">
      <c r="A965" t="s">
        <v>156</v>
      </c>
      <c r="B965" t="s">
        <v>14</v>
      </c>
      <c r="C965">
        <v>34833.199999999997</v>
      </c>
      <c r="D965">
        <v>6.9127809336792394</v>
      </c>
      <c r="E965">
        <v>0.77551966134726114</v>
      </c>
    </row>
    <row r="966" spans="1:5" x14ac:dyDescent="0.35">
      <c r="A966" t="s">
        <v>156</v>
      </c>
      <c r="B966" t="s">
        <v>15</v>
      </c>
      <c r="C966">
        <v>35811.4</v>
      </c>
      <c r="D966">
        <v>6.5050593486892296</v>
      </c>
      <c r="E966">
        <v>0.86133341794178087</v>
      </c>
    </row>
    <row r="967" spans="1:5" x14ac:dyDescent="0.35">
      <c r="A967" t="s">
        <v>156</v>
      </c>
      <c r="B967" t="s">
        <v>16</v>
      </c>
      <c r="C967">
        <v>35297.699999999997</v>
      </c>
      <c r="D967">
        <v>1.3511001759157291</v>
      </c>
      <c r="E967">
        <v>0.86144997275881341</v>
      </c>
    </row>
    <row r="968" spans="1:5" x14ac:dyDescent="0.35">
      <c r="A968" t="s">
        <v>156</v>
      </c>
      <c r="B968" t="s">
        <v>17</v>
      </c>
      <c r="C968">
        <v>36109.599999999999</v>
      </c>
      <c r="D968">
        <v>3.458782111762043</v>
      </c>
      <c r="E968">
        <v>0.897293616566057</v>
      </c>
    </row>
    <row r="969" spans="1:5" x14ac:dyDescent="0.35">
      <c r="A969" t="s">
        <v>156</v>
      </c>
      <c r="B969" t="s">
        <v>18</v>
      </c>
      <c r="C969">
        <v>35400.699999999997</v>
      </c>
      <c r="D969">
        <v>1.6160638977291111</v>
      </c>
      <c r="E969">
        <v>0.8632328761172483</v>
      </c>
    </row>
    <row r="970" spans="1:5" x14ac:dyDescent="0.35">
      <c r="A970" t="s">
        <v>156</v>
      </c>
      <c r="B970" t="s">
        <v>19</v>
      </c>
      <c r="C970">
        <v>38094.699999999997</v>
      </c>
      <c r="D970">
        <v>6.1808886373804981</v>
      </c>
      <c r="E970">
        <v>0.83970399844787036</v>
      </c>
    </row>
    <row r="971" spans="1:5" x14ac:dyDescent="0.35">
      <c r="A971" t="s">
        <v>156</v>
      </c>
      <c r="B971" t="s">
        <v>20</v>
      </c>
      <c r="C971">
        <v>37853.1</v>
      </c>
      <c r="D971">
        <v>6.9895072766205004</v>
      </c>
      <c r="E971">
        <v>0.92061908608765153</v>
      </c>
    </row>
    <row r="972" spans="1:5" x14ac:dyDescent="0.35">
      <c r="A972" t="s">
        <v>156</v>
      </c>
      <c r="B972" t="s">
        <v>21</v>
      </c>
      <c r="C972">
        <v>39251.4</v>
      </c>
      <c r="D972">
        <v>8.3428354418013146</v>
      </c>
      <c r="E972">
        <v>0.92095871266624685</v>
      </c>
    </row>
    <row r="973" spans="1:5" x14ac:dyDescent="0.35">
      <c r="A973" t="s">
        <v>156</v>
      </c>
      <c r="B973" t="s">
        <v>22</v>
      </c>
      <c r="C973">
        <v>38016.5</v>
      </c>
      <c r="D973">
        <v>7.1288682055065626</v>
      </c>
      <c r="E973">
        <v>0.48623533893580317</v>
      </c>
    </row>
    <row r="974" spans="1:5" x14ac:dyDescent="0.35">
      <c r="A974" t="s">
        <v>156</v>
      </c>
      <c r="B974" t="s">
        <v>23</v>
      </c>
      <c r="C974">
        <v>39640.9</v>
      </c>
      <c r="D974">
        <v>3.9786248698353579</v>
      </c>
      <c r="E974">
        <v>0.57227206847345147</v>
      </c>
    </row>
    <row r="975" spans="1:5" x14ac:dyDescent="0.35">
      <c r="A975" t="s">
        <v>156</v>
      </c>
      <c r="B975" t="s">
        <v>24</v>
      </c>
      <c r="C975">
        <v>40278</v>
      </c>
      <c r="D975">
        <v>6.2092535409310781</v>
      </c>
      <c r="E975">
        <v>0.62576450964260077</v>
      </c>
    </row>
    <row r="976" spans="1:5" x14ac:dyDescent="0.35">
      <c r="A976" t="s">
        <v>156</v>
      </c>
      <c r="B976" t="s">
        <v>25</v>
      </c>
      <c r="C976">
        <v>41312.400000000001</v>
      </c>
      <c r="D976">
        <v>5.1175584651978756</v>
      </c>
      <c r="E976">
        <v>0.52965692458555313</v>
      </c>
    </row>
    <row r="977" spans="1:5" x14ac:dyDescent="0.35">
      <c r="A977" t="s">
        <v>156</v>
      </c>
      <c r="B977" t="s">
        <v>26</v>
      </c>
      <c r="C977">
        <v>40040.9</v>
      </c>
      <c r="D977">
        <v>5.1881155706291002</v>
      </c>
      <c r="E977">
        <v>0.54032470806190425</v>
      </c>
    </row>
    <row r="978" spans="1:5" x14ac:dyDescent="0.35">
      <c r="A978" t="s">
        <v>156</v>
      </c>
      <c r="B978" t="s">
        <v>27</v>
      </c>
      <c r="C978">
        <v>42087.9</v>
      </c>
      <c r="D978">
        <v>5.9898874908435049</v>
      </c>
      <c r="E978">
        <v>0.44043545450830668</v>
      </c>
    </row>
    <row r="979" spans="1:5" x14ac:dyDescent="0.35">
      <c r="A979" t="s">
        <v>156</v>
      </c>
      <c r="B979" t="s">
        <v>28</v>
      </c>
      <c r="C979">
        <v>42491.5</v>
      </c>
      <c r="D979">
        <v>5.349864174303459</v>
      </c>
      <c r="E979">
        <v>0.46095139460564089</v>
      </c>
    </row>
    <row r="980" spans="1:5" x14ac:dyDescent="0.35">
      <c r="A980" t="s">
        <v>156</v>
      </c>
      <c r="B980" t="s">
        <v>29</v>
      </c>
      <c r="C980">
        <v>43043</v>
      </c>
      <c r="D980">
        <v>4.1036918992557032</v>
      </c>
      <c r="E980">
        <v>0.56615648575146038</v>
      </c>
    </row>
    <row r="981" spans="1:5" x14ac:dyDescent="0.35">
      <c r="A981" t="s">
        <v>156</v>
      </c>
      <c r="B981" t="s">
        <v>30</v>
      </c>
      <c r="C981">
        <v>42744.6</v>
      </c>
      <c r="D981">
        <v>6.5341439897902669</v>
      </c>
      <c r="E981">
        <v>0.73213845465533511</v>
      </c>
    </row>
    <row r="982" spans="1:5" x14ac:dyDescent="0.35">
      <c r="A982" t="s">
        <v>156</v>
      </c>
      <c r="B982" t="s">
        <v>31</v>
      </c>
      <c r="C982">
        <v>43475.5</v>
      </c>
      <c r="D982">
        <v>3.2437272585242818</v>
      </c>
      <c r="E982">
        <v>0.65659654681216717</v>
      </c>
    </row>
    <row r="983" spans="1:5" x14ac:dyDescent="0.35">
      <c r="A983" t="s">
        <v>156</v>
      </c>
      <c r="B983" t="s">
        <v>32</v>
      </c>
      <c r="C983">
        <v>45780.7</v>
      </c>
      <c r="D983">
        <v>7.4558548999695402</v>
      </c>
      <c r="E983">
        <v>0.61454672700377189</v>
      </c>
    </row>
    <row r="984" spans="1:5" x14ac:dyDescent="0.35">
      <c r="A984" t="s">
        <v>156</v>
      </c>
      <c r="B984" t="s">
        <v>33</v>
      </c>
      <c r="C984">
        <v>45582.6</v>
      </c>
      <c r="D984">
        <v>5.7326448726554498</v>
      </c>
      <c r="E984">
        <v>0.49171122778649651</v>
      </c>
    </row>
    <row r="985" spans="1:5" x14ac:dyDescent="0.35">
      <c r="A985" t="s">
        <v>156</v>
      </c>
      <c r="B985" t="s">
        <v>34</v>
      </c>
      <c r="C985">
        <v>43555.7</v>
      </c>
      <c r="D985">
        <v>1.8797707160490511</v>
      </c>
      <c r="E985">
        <v>0.44803914442369352</v>
      </c>
    </row>
    <row r="986" spans="1:5" x14ac:dyDescent="0.35">
      <c r="A986" t="s">
        <v>156</v>
      </c>
      <c r="B986" t="s">
        <v>35</v>
      </c>
      <c r="C986">
        <v>45667</v>
      </c>
      <c r="D986">
        <v>4.9178375366671689</v>
      </c>
      <c r="E986">
        <v>0.60427143591863386</v>
      </c>
    </row>
    <row r="987" spans="1:5" x14ac:dyDescent="0.35">
      <c r="A987" t="s">
        <v>156</v>
      </c>
      <c r="B987" t="s">
        <v>36</v>
      </c>
      <c r="C987">
        <v>44821.9</v>
      </c>
      <c r="D987">
        <v>-2.1165745663745219</v>
      </c>
      <c r="E987">
        <v>0.62121943241917621</v>
      </c>
    </row>
    <row r="988" spans="1:5" x14ac:dyDescent="0.35">
      <c r="A988" t="s">
        <v>156</v>
      </c>
      <c r="B988" t="s">
        <v>37</v>
      </c>
      <c r="C988">
        <v>43778.8</v>
      </c>
      <c r="D988">
        <v>-4.0376382810291824</v>
      </c>
      <c r="E988">
        <v>0.36932791324927972</v>
      </c>
    </row>
    <row r="989" spans="1:5" x14ac:dyDescent="0.35">
      <c r="A989" t="s">
        <v>156</v>
      </c>
      <c r="B989" t="s">
        <v>38</v>
      </c>
      <c r="C989">
        <v>43206.1</v>
      </c>
      <c r="D989">
        <v>-0.80588897898110112</v>
      </c>
      <c r="E989">
        <v>0.53096653146952033</v>
      </c>
    </row>
    <row r="990" spans="1:5" x14ac:dyDescent="0.35">
      <c r="A990" t="s">
        <v>156</v>
      </c>
      <c r="B990" t="s">
        <v>39</v>
      </c>
      <c r="C990">
        <v>41269.800000000003</v>
      </c>
      <c r="D990">
        <v>-10.124493878590791</v>
      </c>
      <c r="E990">
        <v>0.71379199418372596</v>
      </c>
    </row>
    <row r="991" spans="1:5" x14ac:dyDescent="0.35">
      <c r="A991" t="s">
        <v>156</v>
      </c>
      <c r="B991" t="s">
        <v>40</v>
      </c>
      <c r="C991">
        <v>41698.400000000001</v>
      </c>
      <c r="D991">
        <v>-7.2234100499575389</v>
      </c>
      <c r="E991">
        <v>0.73387188360464362</v>
      </c>
    </row>
    <row r="992" spans="1:5" x14ac:dyDescent="0.35">
      <c r="A992" t="s">
        <v>156</v>
      </c>
      <c r="B992" t="s">
        <v>41</v>
      </c>
      <c r="C992">
        <v>41816.400000000001</v>
      </c>
      <c r="D992">
        <v>-4.5861074861566893</v>
      </c>
      <c r="E992">
        <v>0.75331441833984025</v>
      </c>
    </row>
    <row r="993" spans="1:5" x14ac:dyDescent="0.35">
      <c r="A993" t="s">
        <v>156</v>
      </c>
      <c r="B993" t="s">
        <v>42</v>
      </c>
      <c r="C993">
        <v>41018.9</v>
      </c>
      <c r="D993">
        <v>-5.1948752888015282</v>
      </c>
      <c r="E993">
        <v>0.83732701009222077</v>
      </c>
    </row>
    <row r="994" spans="1:5" x14ac:dyDescent="0.35">
      <c r="A994" t="s">
        <v>156</v>
      </c>
      <c r="B994" t="s">
        <v>43</v>
      </c>
      <c r="C994">
        <v>40151.300000000003</v>
      </c>
      <c r="D994">
        <v>-2.7476179168621209</v>
      </c>
      <c r="E994">
        <v>0.83709155850214101</v>
      </c>
    </row>
    <row r="995" spans="1:5" x14ac:dyDescent="0.35">
      <c r="A995" t="s">
        <v>156</v>
      </c>
      <c r="B995" t="s">
        <v>44</v>
      </c>
      <c r="C995">
        <v>41591.599999999999</v>
      </c>
      <c r="D995">
        <v>-0.25645349629936393</v>
      </c>
      <c r="E995">
        <v>0.85330328512685472</v>
      </c>
    </row>
    <row r="996" spans="1:5" x14ac:dyDescent="0.35">
      <c r="A996" t="s">
        <v>156</v>
      </c>
      <c r="B996" t="s">
        <v>45</v>
      </c>
      <c r="C996">
        <v>42050.1</v>
      </c>
      <c r="D996">
        <v>0.55731574560716624</v>
      </c>
      <c r="E996">
        <v>0.88109451896080127</v>
      </c>
    </row>
    <row r="997" spans="1:5" x14ac:dyDescent="0.35">
      <c r="A997" t="s">
        <v>156</v>
      </c>
      <c r="B997" t="s">
        <v>46</v>
      </c>
      <c r="C997">
        <v>42051.6</v>
      </c>
      <c r="D997">
        <v>2.4864499538175</v>
      </c>
      <c r="E997">
        <v>0.86205390994284492</v>
      </c>
    </row>
    <row r="998" spans="1:5" x14ac:dyDescent="0.35">
      <c r="A998" t="s">
        <v>156</v>
      </c>
      <c r="B998" t="s">
        <v>47</v>
      </c>
      <c r="C998">
        <v>41602.5</v>
      </c>
      <c r="D998">
        <v>3.5505443166442521</v>
      </c>
      <c r="E998">
        <v>0.63997350464192237</v>
      </c>
    </row>
    <row r="999" spans="1:5" x14ac:dyDescent="0.35">
      <c r="A999" t="s">
        <v>156</v>
      </c>
      <c r="B999" t="s">
        <v>48</v>
      </c>
      <c r="C999">
        <v>42649.8</v>
      </c>
      <c r="D999">
        <v>2.5124360793837832</v>
      </c>
      <c r="E999">
        <v>0.67062852714467425</v>
      </c>
    </row>
    <row r="1000" spans="1:5" x14ac:dyDescent="0.35">
      <c r="A1000" t="s">
        <v>156</v>
      </c>
      <c r="B1000" t="s">
        <v>49</v>
      </c>
      <c r="C1000">
        <v>43114.1</v>
      </c>
      <c r="D1000">
        <v>2.49883252433415</v>
      </c>
      <c r="E1000">
        <v>0.57409995007877246</v>
      </c>
    </row>
    <row r="1001" spans="1:5" x14ac:dyDescent="0.35">
      <c r="A1001" t="s">
        <v>156</v>
      </c>
      <c r="B1001" t="s">
        <v>50</v>
      </c>
      <c r="C1001">
        <v>42315.6</v>
      </c>
      <c r="D1001">
        <v>0.62583767549377589</v>
      </c>
      <c r="E1001">
        <v>0.53684879121177043</v>
      </c>
    </row>
    <row r="1002" spans="1:5" x14ac:dyDescent="0.35">
      <c r="A1002" t="s">
        <v>156</v>
      </c>
      <c r="B1002" t="s">
        <v>51</v>
      </c>
      <c r="C1002">
        <v>41890.699999999997</v>
      </c>
      <c r="D1002">
        <v>0.690358363604749</v>
      </c>
      <c r="E1002">
        <v>0.73628339163722267</v>
      </c>
    </row>
    <row r="1003" spans="1:5" x14ac:dyDescent="0.35">
      <c r="A1003" t="s">
        <v>156</v>
      </c>
      <c r="B1003" t="s">
        <v>52</v>
      </c>
      <c r="C1003">
        <v>41940.300000000003</v>
      </c>
      <c r="D1003">
        <v>-1.677540607090954</v>
      </c>
      <c r="E1003">
        <v>0.79744104350140388</v>
      </c>
    </row>
    <row r="1004" spans="1:5" x14ac:dyDescent="0.35">
      <c r="A1004" t="s">
        <v>156</v>
      </c>
      <c r="B1004" t="s">
        <v>53</v>
      </c>
      <c r="C1004">
        <v>43323.3</v>
      </c>
      <c r="D1004">
        <v>0.48405067360113557</v>
      </c>
      <c r="E1004">
        <v>0.75209648393952222</v>
      </c>
    </row>
    <row r="1005" spans="1:5" x14ac:dyDescent="0.35">
      <c r="A1005" t="s">
        <v>156</v>
      </c>
      <c r="B1005" t="s">
        <v>54</v>
      </c>
      <c r="C1005">
        <v>42029.9</v>
      </c>
      <c r="D1005">
        <v>-0.67745426292807476</v>
      </c>
      <c r="E1005">
        <v>0.82638087787686743</v>
      </c>
    </row>
    <row r="1006" spans="1:5" x14ac:dyDescent="0.35">
      <c r="A1006" t="s">
        <v>156</v>
      </c>
      <c r="B1006" t="s">
        <v>55</v>
      </c>
      <c r="C1006">
        <v>41764.699999999997</v>
      </c>
      <c r="D1006">
        <v>-0.30123601173451547</v>
      </c>
      <c r="E1006">
        <v>0.84229239506432119</v>
      </c>
    </row>
    <row r="1007" spans="1:5" x14ac:dyDescent="0.35">
      <c r="A1007" t="s">
        <v>156</v>
      </c>
      <c r="B1007" t="s">
        <v>56</v>
      </c>
      <c r="C1007">
        <v>42262.9</v>
      </c>
      <c r="D1007">
        <v>0.76624541206288621</v>
      </c>
      <c r="E1007">
        <v>0.91312896570589019</v>
      </c>
    </row>
    <row r="1008" spans="1:5" x14ac:dyDescent="0.35">
      <c r="A1008" t="s">
        <v>156</v>
      </c>
      <c r="B1008" t="s">
        <v>57</v>
      </c>
      <c r="C1008">
        <v>43045.8</v>
      </c>
      <c r="D1008">
        <v>-0.64259313780179028</v>
      </c>
      <c r="E1008">
        <v>0.87812585067533944</v>
      </c>
    </row>
    <row r="1009" spans="1:5" x14ac:dyDescent="0.35">
      <c r="A1009" t="s">
        <v>156</v>
      </c>
      <c r="B1009" t="s">
        <v>58</v>
      </c>
      <c r="C1009">
        <v>44364.2</v>
      </c>
      <c r="D1009">
        <v>5.4051568130822156</v>
      </c>
      <c r="E1009">
        <v>0.76893983063955618</v>
      </c>
    </row>
    <row r="1010" spans="1:5" x14ac:dyDescent="0.35">
      <c r="A1010" t="s">
        <v>156</v>
      </c>
      <c r="B1010" t="s">
        <v>59</v>
      </c>
      <c r="C1010">
        <v>43252.4</v>
      </c>
      <c r="D1010">
        <v>3.500123803371662</v>
      </c>
      <c r="E1010">
        <v>0.82306194950589939</v>
      </c>
    </row>
    <row r="1011" spans="1:5" x14ac:dyDescent="0.35">
      <c r="A1011" t="s">
        <v>156</v>
      </c>
      <c r="B1011" t="s">
        <v>60</v>
      </c>
      <c r="C1011">
        <v>46350.3</v>
      </c>
      <c r="D1011">
        <v>9.2318131838184847</v>
      </c>
      <c r="E1011">
        <v>0.80910189364001661</v>
      </c>
    </row>
    <row r="1012" spans="1:5" x14ac:dyDescent="0.35">
      <c r="A1012" t="s">
        <v>156</v>
      </c>
      <c r="B1012" t="s">
        <v>61</v>
      </c>
      <c r="C1012">
        <v>47503.8</v>
      </c>
      <c r="D1012">
        <v>9.8545042702017742</v>
      </c>
      <c r="E1012">
        <v>0.36518938315702348</v>
      </c>
    </row>
    <row r="1013" spans="1:5" x14ac:dyDescent="0.35">
      <c r="A1013" t="s">
        <v>156</v>
      </c>
      <c r="B1013" t="s">
        <v>62</v>
      </c>
      <c r="C1013">
        <v>47846.3</v>
      </c>
      <c r="D1013">
        <v>7.5560952043254064</v>
      </c>
      <c r="E1013">
        <v>0.39223474952992488</v>
      </c>
    </row>
    <row r="1014" spans="1:5" x14ac:dyDescent="0.35">
      <c r="A1014" t="s">
        <v>156</v>
      </c>
      <c r="B1014" t="s">
        <v>63</v>
      </c>
      <c r="C1014">
        <v>47602.5</v>
      </c>
      <c r="D1014">
        <v>9.5832557698816458</v>
      </c>
      <c r="E1014">
        <v>0.41104052874365782</v>
      </c>
    </row>
    <row r="1015" spans="1:5" x14ac:dyDescent="0.35">
      <c r="A1015" t="s">
        <v>156</v>
      </c>
      <c r="B1015" t="s">
        <v>64</v>
      </c>
      <c r="C1015">
        <v>59351</v>
      </c>
      <c r="D1015">
        <v>24.72412056305668</v>
      </c>
      <c r="E1015">
        <v>-0.3003944825370824</v>
      </c>
    </row>
    <row r="1016" spans="1:5" x14ac:dyDescent="0.35">
      <c r="A1016" t="s">
        <v>156</v>
      </c>
      <c r="B1016" t="s">
        <v>65</v>
      </c>
      <c r="C1016">
        <v>57819.1</v>
      </c>
      <c r="D1016">
        <v>19.650946307803601</v>
      </c>
      <c r="E1016">
        <v>-6.6761276269978104E-2</v>
      </c>
    </row>
    <row r="1017" spans="1:5" x14ac:dyDescent="0.35">
      <c r="A1017" t="s">
        <v>156</v>
      </c>
      <c r="B1017" t="s">
        <v>66</v>
      </c>
      <c r="C1017">
        <v>59258.9</v>
      </c>
      <c r="D1017">
        <v>21.392218976980971</v>
      </c>
      <c r="E1017">
        <v>0.20790171390719139</v>
      </c>
    </row>
    <row r="1018" spans="1:5" x14ac:dyDescent="0.35">
      <c r="A1018" t="s">
        <v>156</v>
      </c>
      <c r="B1018" t="s">
        <v>67</v>
      </c>
      <c r="C1018">
        <v>59337.3</v>
      </c>
      <c r="D1018">
        <v>22.035283245533751</v>
      </c>
      <c r="E1018">
        <v>0.26136311122391009</v>
      </c>
    </row>
    <row r="1019" spans="1:5" x14ac:dyDescent="0.35">
      <c r="A1019" t="s">
        <v>156</v>
      </c>
      <c r="B1019" t="s">
        <v>68</v>
      </c>
      <c r="C1019">
        <v>58393.599999999999</v>
      </c>
      <c r="D1019">
        <v>-1.626267532562617</v>
      </c>
      <c r="E1019">
        <v>0.14094645490045801</v>
      </c>
    </row>
    <row r="1020" spans="1:5" x14ac:dyDescent="0.35">
      <c r="A1020" t="s">
        <v>156</v>
      </c>
      <c r="B1020" t="s">
        <v>69</v>
      </c>
      <c r="C1020">
        <v>57906.7</v>
      </c>
      <c r="D1020">
        <v>0.15139237185026361</v>
      </c>
      <c r="E1020">
        <v>0.25546704500768902</v>
      </c>
    </row>
    <row r="1021" spans="1:5" x14ac:dyDescent="0.35">
      <c r="A1021" t="s">
        <v>156</v>
      </c>
      <c r="B1021" t="s">
        <v>70</v>
      </c>
      <c r="C1021">
        <v>58005.7</v>
      </c>
      <c r="D1021">
        <v>-2.1374698125434488</v>
      </c>
      <c r="E1021">
        <v>0.31557732511980963</v>
      </c>
    </row>
    <row r="1022" spans="1:5" x14ac:dyDescent="0.35">
      <c r="A1022" t="s">
        <v>156</v>
      </c>
      <c r="B1022" t="s">
        <v>71</v>
      </c>
      <c r="C1022">
        <v>64242.5</v>
      </c>
      <c r="D1022">
        <v>7.9426872122230403</v>
      </c>
      <c r="E1022">
        <v>0.32441574459073952</v>
      </c>
    </row>
    <row r="1023" spans="1:5" x14ac:dyDescent="0.35">
      <c r="A1023" t="s">
        <v>156</v>
      </c>
      <c r="B1023" t="s">
        <v>72</v>
      </c>
      <c r="C1023">
        <v>62873.4</v>
      </c>
      <c r="D1023">
        <v>7.3916885992243726</v>
      </c>
      <c r="E1023">
        <v>0.44403622086293898</v>
      </c>
    </row>
    <row r="1024" spans="1:5" x14ac:dyDescent="0.35">
      <c r="A1024" t="s">
        <v>156</v>
      </c>
      <c r="B1024" t="s">
        <v>73</v>
      </c>
      <c r="C1024">
        <v>63356.3</v>
      </c>
      <c r="D1024">
        <v>8.9941254699079227</v>
      </c>
      <c r="E1024">
        <v>0.47048486030081488</v>
      </c>
    </row>
    <row r="1025" spans="1:5" x14ac:dyDescent="0.35">
      <c r="A1025" t="s">
        <v>156</v>
      </c>
      <c r="B1025" t="s">
        <v>74</v>
      </c>
      <c r="C1025">
        <v>67131.899999999994</v>
      </c>
      <c r="D1025">
        <v>14.611805926251719</v>
      </c>
      <c r="E1025">
        <v>0.62501405247600528</v>
      </c>
    </row>
    <row r="1026" spans="1:5" x14ac:dyDescent="0.35">
      <c r="A1026" t="s">
        <v>156</v>
      </c>
      <c r="B1026" t="s">
        <v>75</v>
      </c>
      <c r="C1026">
        <v>69281</v>
      </c>
      <c r="D1026">
        <v>7.5505712885980856</v>
      </c>
      <c r="E1026">
        <v>0.64495234836398785</v>
      </c>
    </row>
    <row r="1027" spans="1:5" x14ac:dyDescent="0.35">
      <c r="A1027" t="s">
        <v>156</v>
      </c>
      <c r="B1027" t="s">
        <v>76</v>
      </c>
      <c r="C1027">
        <v>70023.199999999997</v>
      </c>
      <c r="D1027">
        <v>10.770343493045919</v>
      </c>
      <c r="E1027">
        <v>0.57702715588375908</v>
      </c>
    </row>
    <row r="1028" spans="1:5" x14ac:dyDescent="0.35">
      <c r="A1028" t="s">
        <v>156</v>
      </c>
      <c r="B1028" t="s">
        <v>77</v>
      </c>
      <c r="C1028">
        <v>70197.3</v>
      </c>
      <c r="D1028">
        <v>10.25354994172559</v>
      </c>
      <c r="E1028">
        <v>0.14428647010514739</v>
      </c>
    </row>
    <row r="1029" spans="1:5" x14ac:dyDescent="0.35">
      <c r="A1029" t="s">
        <v>156</v>
      </c>
      <c r="B1029" t="s">
        <v>78</v>
      </c>
      <c r="C1029">
        <v>71212.7</v>
      </c>
      <c r="D1029">
        <v>5.9011832456020414</v>
      </c>
      <c r="E1029">
        <v>-1.8226870054693339E-2</v>
      </c>
    </row>
    <row r="1030" spans="1:5" x14ac:dyDescent="0.35">
      <c r="A1030" t="s">
        <v>156</v>
      </c>
      <c r="B1030" t="s">
        <v>79</v>
      </c>
      <c r="C1030">
        <v>71507.199999999997</v>
      </c>
      <c r="D1030">
        <v>3.1627445600680408</v>
      </c>
      <c r="E1030">
        <v>0.67350579449626324</v>
      </c>
    </row>
    <row r="1031" spans="1:5" x14ac:dyDescent="0.35">
      <c r="A1031" t="s">
        <v>156</v>
      </c>
      <c r="B1031" t="s">
        <v>80</v>
      </c>
      <c r="C1031">
        <v>72370.399999999994</v>
      </c>
      <c r="D1031">
        <v>3.297076030442561</v>
      </c>
      <c r="E1031">
        <v>0.76289249385301761</v>
      </c>
    </row>
    <row r="1032" spans="1:5" x14ac:dyDescent="0.35">
      <c r="A1032" t="s">
        <v>156</v>
      </c>
      <c r="B1032" t="s">
        <v>81</v>
      </c>
      <c r="C1032">
        <v>73317.8</v>
      </c>
      <c r="D1032">
        <v>4.3493568312154176</v>
      </c>
      <c r="E1032">
        <v>0.78377270278628119</v>
      </c>
    </row>
    <row r="1033" spans="1:5" x14ac:dyDescent="0.35">
      <c r="A1033" t="s">
        <v>156</v>
      </c>
      <c r="B1033" t="s">
        <v>82</v>
      </c>
      <c r="C1033">
        <v>75286.600000000006</v>
      </c>
      <c r="D1033">
        <v>5.5630990824458282</v>
      </c>
      <c r="E1033">
        <v>0.80069432836927634</v>
      </c>
    </row>
    <row r="1034" spans="1:5" x14ac:dyDescent="0.35">
      <c r="A1034" t="s">
        <v>156</v>
      </c>
      <c r="B1034" t="s">
        <v>83</v>
      </c>
      <c r="C1034">
        <v>75953.399999999994</v>
      </c>
      <c r="D1034">
        <v>6.0321850402588311</v>
      </c>
      <c r="E1034">
        <v>0.84141580260146442</v>
      </c>
    </row>
    <row r="1035" spans="1:5" x14ac:dyDescent="0.35">
      <c r="A1035" t="s">
        <v>156</v>
      </c>
      <c r="B1035" t="s">
        <v>84</v>
      </c>
      <c r="C1035">
        <v>79101.600000000006</v>
      </c>
      <c r="D1035">
        <v>8.8935726114188132</v>
      </c>
      <c r="E1035">
        <v>0.9200929399046488</v>
      </c>
    </row>
    <row r="1036" spans="1:5" x14ac:dyDescent="0.35">
      <c r="A1036" t="s">
        <v>156</v>
      </c>
      <c r="B1036" t="s">
        <v>85</v>
      </c>
      <c r="C1036">
        <v>74686.100000000006</v>
      </c>
      <c r="D1036">
        <v>1.849058011447575</v>
      </c>
      <c r="E1036">
        <v>0.96083910077883494</v>
      </c>
    </row>
    <row r="1037" spans="1:5" x14ac:dyDescent="0.35">
      <c r="A1037" t="s">
        <v>156</v>
      </c>
      <c r="B1037" t="s">
        <v>86</v>
      </c>
      <c r="C1037">
        <v>84235.8</v>
      </c>
      <c r="D1037">
        <v>11.231784491020569</v>
      </c>
      <c r="E1037">
        <v>0.96458199140247103</v>
      </c>
    </row>
    <row r="1038" spans="1:5" x14ac:dyDescent="0.35">
      <c r="A1038" t="s">
        <v>156</v>
      </c>
      <c r="B1038" t="s">
        <v>87</v>
      </c>
      <c r="C1038">
        <v>80398.8</v>
      </c>
      <c r="D1038">
        <v>5.6879256366986439</v>
      </c>
      <c r="E1038">
        <v>0.97191847431389577</v>
      </c>
    </row>
    <row r="1039" spans="1:5" x14ac:dyDescent="0.35">
      <c r="A1039" t="s">
        <v>156</v>
      </c>
      <c r="B1039" t="s">
        <v>88</v>
      </c>
      <c r="C1039">
        <v>89481.8</v>
      </c>
      <c r="D1039">
        <v>12.330215051760559</v>
      </c>
      <c r="E1039">
        <v>0.9644727623687166</v>
      </c>
    </row>
    <row r="1040" spans="1:5" x14ac:dyDescent="0.35">
      <c r="A1040" t="s">
        <v>156</v>
      </c>
      <c r="B1040" t="s">
        <v>89</v>
      </c>
      <c r="C1040">
        <v>91789</v>
      </c>
      <c r="D1040">
        <v>20.619846755844002</v>
      </c>
      <c r="E1040">
        <v>0.96631503452225187</v>
      </c>
    </row>
    <row r="1041" spans="1:5" x14ac:dyDescent="0.35">
      <c r="A1041" t="s">
        <v>156</v>
      </c>
      <c r="B1041" t="s">
        <v>90</v>
      </c>
      <c r="C1041">
        <v>96103.9</v>
      </c>
      <c r="D1041">
        <v>13.180988884618341</v>
      </c>
      <c r="E1041">
        <v>0.92506134766095871</v>
      </c>
    </row>
    <row r="1042" spans="1:5" x14ac:dyDescent="0.35">
      <c r="A1042" t="s">
        <v>156</v>
      </c>
      <c r="B1042" t="s">
        <v>91</v>
      </c>
      <c r="C1042">
        <v>93024.9</v>
      </c>
      <c r="D1042">
        <v>14.586794855186231</v>
      </c>
      <c r="E1042">
        <v>0.88025899912144778</v>
      </c>
    </row>
    <row r="1043" spans="1:5" x14ac:dyDescent="0.35">
      <c r="A1043" t="s">
        <v>156</v>
      </c>
      <c r="B1043" t="s">
        <v>92</v>
      </c>
      <c r="C1043">
        <v>96250.3</v>
      </c>
      <c r="D1043">
        <v>7.2916837399462944</v>
      </c>
      <c r="E1043">
        <v>0.85268821980533593</v>
      </c>
    </row>
    <row r="1044" spans="1:5" x14ac:dyDescent="0.35">
      <c r="A1044" t="s">
        <v>156</v>
      </c>
      <c r="B1044" t="s">
        <v>93</v>
      </c>
      <c r="C1044">
        <v>99337.8</v>
      </c>
      <c r="D1044">
        <v>7.9033698530577539</v>
      </c>
      <c r="E1044">
        <v>0.85828435994569907</v>
      </c>
    </row>
    <row r="1045" spans="1:5" x14ac:dyDescent="0.35">
      <c r="A1045" t="s">
        <v>156</v>
      </c>
      <c r="B1045" t="s">
        <v>94</v>
      </c>
      <c r="C1045">
        <v>103702.8</v>
      </c>
      <c r="D1045">
        <v>7.6099217956165397</v>
      </c>
      <c r="E1045">
        <v>0.81993873662332084</v>
      </c>
    </row>
    <row r="1046" spans="1:5" x14ac:dyDescent="0.35">
      <c r="A1046" t="s">
        <v>156</v>
      </c>
      <c r="B1046" t="s">
        <v>95</v>
      </c>
      <c r="C1046">
        <v>101871.4</v>
      </c>
      <c r="D1046">
        <v>9.0844034261068245</v>
      </c>
      <c r="E1046">
        <v>0.76117047622836864</v>
      </c>
    </row>
    <row r="1047" spans="1:5" x14ac:dyDescent="0.35">
      <c r="A1047" t="s">
        <v>156</v>
      </c>
      <c r="B1047" t="s">
        <v>96</v>
      </c>
      <c r="C1047">
        <v>97070.5</v>
      </c>
      <c r="D1047">
        <v>0.8485428586730922</v>
      </c>
      <c r="E1047">
        <v>0.81296221016844505</v>
      </c>
    </row>
    <row r="1048" spans="1:5" x14ac:dyDescent="0.35">
      <c r="A1048" t="s">
        <v>156</v>
      </c>
      <c r="B1048" t="s">
        <v>97</v>
      </c>
      <c r="C1048">
        <v>97626</v>
      </c>
      <c r="D1048">
        <v>-1.738231188405073</v>
      </c>
      <c r="E1048">
        <v>0.8177682597550352</v>
      </c>
    </row>
    <row r="1049" spans="1:5" x14ac:dyDescent="0.35">
      <c r="A1049" t="s">
        <v>156</v>
      </c>
      <c r="B1049" t="s">
        <v>98</v>
      </c>
      <c r="C1049">
        <v>98745.7</v>
      </c>
      <c r="D1049">
        <v>-4.898125730592934</v>
      </c>
      <c r="E1049">
        <v>0.83179751755170839</v>
      </c>
    </row>
    <row r="1050" spans="1:5" x14ac:dyDescent="0.35">
      <c r="A1050" t="s">
        <v>156</v>
      </c>
      <c r="B1050" t="s">
        <v>99</v>
      </c>
      <c r="C1050">
        <v>93875.7</v>
      </c>
      <c r="D1050">
        <v>-8.1739666732467349</v>
      </c>
      <c r="E1050">
        <v>0.86772977288491915</v>
      </c>
    </row>
    <row r="1051" spans="1:5" x14ac:dyDescent="0.35">
      <c r="A1051" t="s">
        <v>156</v>
      </c>
      <c r="B1051" t="s">
        <v>100</v>
      </c>
      <c r="C1051">
        <v>96349.8</v>
      </c>
      <c r="D1051">
        <v>-0.74521995401014562</v>
      </c>
      <c r="E1051">
        <v>0.89479502378614739</v>
      </c>
    </row>
    <row r="1052" spans="1:5" x14ac:dyDescent="0.35">
      <c r="A1052" t="s">
        <v>156</v>
      </c>
      <c r="B1052" t="s">
        <v>101</v>
      </c>
      <c r="C1052">
        <v>96303.8</v>
      </c>
      <c r="D1052">
        <v>-1.363607333891474</v>
      </c>
      <c r="E1052">
        <v>0.59924661258743417</v>
      </c>
    </row>
    <row r="1053" spans="1:5" x14ac:dyDescent="0.35">
      <c r="A1053" t="s">
        <v>156</v>
      </c>
      <c r="B1053" t="s">
        <v>102</v>
      </c>
      <c r="C1053">
        <v>103618.8</v>
      </c>
      <c r="D1053">
        <v>4.8170922014319526</v>
      </c>
      <c r="E1053">
        <v>0.49655997951690339</v>
      </c>
    </row>
    <row r="1054" spans="1:5" x14ac:dyDescent="0.35">
      <c r="A1054" t="s">
        <v>156</v>
      </c>
      <c r="B1054" t="s">
        <v>103</v>
      </c>
      <c r="C1054">
        <v>105226.7</v>
      </c>
      <c r="D1054">
        <v>11.414550360176269</v>
      </c>
      <c r="E1054">
        <v>0.58187606058535168</v>
      </c>
    </row>
    <row r="1055" spans="1:5" x14ac:dyDescent="0.35">
      <c r="A1055" t="s">
        <v>156</v>
      </c>
      <c r="B1055" t="s">
        <v>104</v>
      </c>
      <c r="C1055">
        <v>112509.3</v>
      </c>
      <c r="D1055">
        <v>15.505056580165849</v>
      </c>
      <c r="E1055">
        <v>0.2330510306274948</v>
      </c>
    </row>
    <row r="1056" spans="1:5" x14ac:dyDescent="0.35">
      <c r="A1056" t="s">
        <v>156</v>
      </c>
      <c r="B1056" t="s">
        <v>105</v>
      </c>
      <c r="C1056">
        <v>107611.3</v>
      </c>
      <c r="D1056">
        <v>11.101788275465671</v>
      </c>
      <c r="E1056">
        <v>0.41711171734520108</v>
      </c>
    </row>
    <row r="1057" spans="1:5" x14ac:dyDescent="0.35">
      <c r="A1057" t="s">
        <v>156</v>
      </c>
      <c r="B1057" t="s">
        <v>106</v>
      </c>
      <c r="C1057">
        <v>108962.2</v>
      </c>
      <c r="D1057">
        <v>5.028225254943786</v>
      </c>
      <c r="E1057">
        <v>0.29787635456823658</v>
      </c>
    </row>
    <row r="1058" spans="1:5" x14ac:dyDescent="0.35">
      <c r="A1058" t="s">
        <v>156</v>
      </c>
      <c r="B1058" t="s">
        <v>107</v>
      </c>
      <c r="C1058">
        <v>105049</v>
      </c>
      <c r="D1058">
        <v>-0.16901624134620441</v>
      </c>
      <c r="E1058">
        <v>0.33564770774046421</v>
      </c>
    </row>
    <row r="1059" spans="1:5" x14ac:dyDescent="0.35">
      <c r="A1059" t="s">
        <v>156</v>
      </c>
      <c r="B1059" t="s">
        <v>108</v>
      </c>
      <c r="C1059">
        <v>97708.9</v>
      </c>
      <c r="D1059">
        <v>-14.10432348052635</v>
      </c>
      <c r="E1059">
        <v>0.17438067330629639</v>
      </c>
    </row>
    <row r="1060" spans="1:5" x14ac:dyDescent="0.35">
      <c r="A1060" t="s">
        <v>156</v>
      </c>
      <c r="B1060" t="s">
        <v>109</v>
      </c>
      <c r="C1060">
        <v>101539.8</v>
      </c>
      <c r="D1060">
        <v>-5.8074820950796608</v>
      </c>
      <c r="E1060">
        <v>0.53353438934632613</v>
      </c>
    </row>
    <row r="1061" spans="1:5" x14ac:dyDescent="0.35">
      <c r="A1061" t="s">
        <v>157</v>
      </c>
      <c r="B1061" t="s">
        <v>4</v>
      </c>
      <c r="C1061">
        <v>41631.699999999997</v>
      </c>
    </row>
    <row r="1062" spans="1:5" x14ac:dyDescent="0.35">
      <c r="A1062" t="s">
        <v>157</v>
      </c>
      <c r="B1062" t="s">
        <v>5</v>
      </c>
      <c r="C1062">
        <v>41355.599999999999</v>
      </c>
    </row>
    <row r="1063" spans="1:5" x14ac:dyDescent="0.35">
      <c r="A1063" t="s">
        <v>157</v>
      </c>
      <c r="B1063" t="s">
        <v>6</v>
      </c>
      <c r="C1063">
        <v>42014.3</v>
      </c>
    </row>
    <row r="1064" spans="1:5" x14ac:dyDescent="0.35">
      <c r="A1064" t="s">
        <v>157</v>
      </c>
      <c r="B1064" t="s">
        <v>7</v>
      </c>
      <c r="C1064">
        <v>42251.8</v>
      </c>
    </row>
    <row r="1065" spans="1:5" x14ac:dyDescent="0.35">
      <c r="A1065" t="s">
        <v>157</v>
      </c>
      <c r="B1065" t="s">
        <v>8</v>
      </c>
      <c r="C1065">
        <v>42100.4</v>
      </c>
      <c r="D1065">
        <v>1.11953455221049</v>
      </c>
    </row>
    <row r="1066" spans="1:5" x14ac:dyDescent="0.35">
      <c r="A1066" t="s">
        <v>157</v>
      </c>
      <c r="B1066" t="s">
        <v>9</v>
      </c>
      <c r="C1066">
        <v>42544.7</v>
      </c>
      <c r="D1066">
        <v>2.8347446356893471</v>
      </c>
    </row>
    <row r="1067" spans="1:5" x14ac:dyDescent="0.35">
      <c r="A1067" t="s">
        <v>157</v>
      </c>
      <c r="B1067" t="s">
        <v>10</v>
      </c>
      <c r="C1067">
        <v>42630.1</v>
      </c>
      <c r="D1067">
        <v>1.455054001528074</v>
      </c>
    </row>
    <row r="1068" spans="1:5" x14ac:dyDescent="0.35">
      <c r="A1068" t="s">
        <v>157</v>
      </c>
      <c r="B1068" t="s">
        <v>11</v>
      </c>
      <c r="C1068">
        <v>43228.9</v>
      </c>
      <c r="D1068">
        <v>2.286229661720927</v>
      </c>
    </row>
    <row r="1069" spans="1:5" x14ac:dyDescent="0.35">
      <c r="A1069" t="s">
        <v>157</v>
      </c>
      <c r="B1069" t="s">
        <v>12</v>
      </c>
      <c r="C1069">
        <v>43328.1</v>
      </c>
      <c r="D1069">
        <v>2.8744143432664382</v>
      </c>
    </row>
    <row r="1070" spans="1:5" x14ac:dyDescent="0.35">
      <c r="A1070" t="s">
        <v>157</v>
      </c>
      <c r="B1070" t="s">
        <v>13</v>
      </c>
      <c r="C1070">
        <v>43087.199999999997</v>
      </c>
      <c r="D1070">
        <v>1.2670681323318369</v>
      </c>
    </row>
    <row r="1071" spans="1:5" x14ac:dyDescent="0.35">
      <c r="A1071" t="s">
        <v>157</v>
      </c>
      <c r="B1071" t="s">
        <v>14</v>
      </c>
      <c r="C1071">
        <v>42859.6</v>
      </c>
      <c r="D1071">
        <v>0.53690807504681004</v>
      </c>
    </row>
    <row r="1072" spans="1:5" x14ac:dyDescent="0.35">
      <c r="A1072" t="s">
        <v>157</v>
      </c>
      <c r="B1072" t="s">
        <v>15</v>
      </c>
      <c r="C1072">
        <v>42543.8</v>
      </c>
      <c r="D1072">
        <v>-1.597511958898771</v>
      </c>
    </row>
    <row r="1073" spans="1:4" x14ac:dyDescent="0.35">
      <c r="A1073" t="s">
        <v>157</v>
      </c>
      <c r="B1073" t="s">
        <v>16</v>
      </c>
      <c r="C1073">
        <v>42614.7</v>
      </c>
      <c r="D1073">
        <v>-1.6602121088758319</v>
      </c>
    </row>
    <row r="1074" spans="1:4" x14ac:dyDescent="0.35">
      <c r="A1074" t="s">
        <v>157</v>
      </c>
      <c r="B1074" t="s">
        <v>17</v>
      </c>
      <c r="C1074">
        <v>42256.3</v>
      </c>
      <c r="D1074">
        <v>-1.9472514129526051</v>
      </c>
    </row>
    <row r="1075" spans="1:4" x14ac:dyDescent="0.35">
      <c r="A1075" t="s">
        <v>157</v>
      </c>
      <c r="B1075" t="s">
        <v>18</v>
      </c>
      <c r="C1075">
        <v>42614.5</v>
      </c>
      <c r="D1075">
        <v>-0.57350863431777221</v>
      </c>
    </row>
    <row r="1076" spans="1:4" x14ac:dyDescent="0.35">
      <c r="A1076" t="s">
        <v>157</v>
      </c>
      <c r="B1076" t="s">
        <v>19</v>
      </c>
      <c r="C1076">
        <v>42734.3</v>
      </c>
      <c r="D1076">
        <v>0.44677429932524731</v>
      </c>
    </row>
    <row r="1077" spans="1:4" x14ac:dyDescent="0.35">
      <c r="A1077" t="s">
        <v>157</v>
      </c>
      <c r="B1077" t="s">
        <v>20</v>
      </c>
      <c r="C1077">
        <v>43156.9</v>
      </c>
      <c r="D1077">
        <v>1.264304787098897</v>
      </c>
    </row>
    <row r="1078" spans="1:4" x14ac:dyDescent="0.35">
      <c r="A1078" t="s">
        <v>157</v>
      </c>
      <c r="B1078" t="s">
        <v>21</v>
      </c>
      <c r="C1078">
        <v>43424.6</v>
      </c>
      <c r="D1078">
        <v>2.7272645687856159</v>
      </c>
    </row>
    <row r="1079" spans="1:4" x14ac:dyDescent="0.35">
      <c r="A1079" t="s">
        <v>157</v>
      </c>
      <c r="B1079" t="s">
        <v>22</v>
      </c>
      <c r="C1079">
        <v>43446.9</v>
      </c>
      <c r="D1079">
        <v>1.9344931843432891</v>
      </c>
    </row>
    <row r="1080" spans="1:4" x14ac:dyDescent="0.35">
      <c r="A1080" t="s">
        <v>157</v>
      </c>
      <c r="B1080" t="s">
        <v>23</v>
      </c>
      <c r="C1080">
        <v>43236.2</v>
      </c>
      <c r="D1080">
        <v>1.167623085062738</v>
      </c>
    </row>
    <row r="1081" spans="1:4" x14ac:dyDescent="0.35">
      <c r="A1081" t="s">
        <v>157</v>
      </c>
      <c r="B1081" t="s">
        <v>24</v>
      </c>
      <c r="C1081">
        <v>43632.1</v>
      </c>
      <c r="D1081">
        <v>1.0950805950719289</v>
      </c>
    </row>
    <row r="1082" spans="1:4" x14ac:dyDescent="0.35">
      <c r="A1082" t="s">
        <v>157</v>
      </c>
      <c r="B1082" t="s">
        <v>25</v>
      </c>
      <c r="C1082">
        <v>43751.3</v>
      </c>
      <c r="D1082">
        <v>0.74952258469553057</v>
      </c>
    </row>
    <row r="1083" spans="1:4" x14ac:dyDescent="0.35">
      <c r="A1083" t="s">
        <v>157</v>
      </c>
      <c r="B1083" t="s">
        <v>26</v>
      </c>
      <c r="C1083">
        <v>43585.5</v>
      </c>
      <c r="D1083">
        <v>0.31850234433958602</v>
      </c>
    </row>
    <row r="1084" spans="1:4" x14ac:dyDescent="0.35">
      <c r="A1084" t="s">
        <v>157</v>
      </c>
      <c r="B1084" t="s">
        <v>27</v>
      </c>
      <c r="C1084">
        <v>43650.400000000001</v>
      </c>
      <c r="D1084">
        <v>0.95343387285271719</v>
      </c>
    </row>
    <row r="1085" spans="1:4" x14ac:dyDescent="0.35">
      <c r="A1085" t="s">
        <v>157</v>
      </c>
      <c r="B1085" t="s">
        <v>28</v>
      </c>
      <c r="C1085">
        <v>44024.1</v>
      </c>
      <c r="D1085">
        <v>0.89440932466943923</v>
      </c>
    </row>
    <row r="1086" spans="1:4" x14ac:dyDescent="0.35">
      <c r="A1086" t="s">
        <v>157</v>
      </c>
      <c r="B1086" t="s">
        <v>29</v>
      </c>
      <c r="C1086">
        <v>44419.9</v>
      </c>
      <c r="D1086">
        <v>1.5166240577689221</v>
      </c>
    </row>
    <row r="1087" spans="1:4" x14ac:dyDescent="0.35">
      <c r="A1087" t="s">
        <v>157</v>
      </c>
      <c r="B1087" t="s">
        <v>30</v>
      </c>
      <c r="C1087">
        <v>44361.7</v>
      </c>
      <c r="D1087">
        <v>1.765195832683192</v>
      </c>
    </row>
    <row r="1088" spans="1:4" x14ac:dyDescent="0.35">
      <c r="A1088" t="s">
        <v>157</v>
      </c>
      <c r="B1088" t="s">
        <v>31</v>
      </c>
      <c r="C1088">
        <v>44651.3</v>
      </c>
      <c r="D1088">
        <v>2.267097619360797</v>
      </c>
    </row>
    <row r="1089" spans="1:4" x14ac:dyDescent="0.35">
      <c r="A1089" t="s">
        <v>157</v>
      </c>
      <c r="B1089" t="s">
        <v>32</v>
      </c>
      <c r="C1089">
        <v>45180.9</v>
      </c>
      <c r="D1089">
        <v>2.5937219917018588</v>
      </c>
    </row>
    <row r="1090" spans="1:4" x14ac:dyDescent="0.35">
      <c r="A1090" t="s">
        <v>157</v>
      </c>
      <c r="B1090" t="s">
        <v>33</v>
      </c>
      <c r="C1090">
        <v>45309.4</v>
      </c>
      <c r="D1090">
        <v>1.982694925589352</v>
      </c>
    </row>
    <row r="1091" spans="1:4" x14ac:dyDescent="0.35">
      <c r="A1091" t="s">
        <v>157</v>
      </c>
      <c r="B1091" t="s">
        <v>34</v>
      </c>
      <c r="C1091">
        <v>45437.2</v>
      </c>
      <c r="D1091">
        <v>2.395466823480179</v>
      </c>
    </row>
    <row r="1092" spans="1:4" x14ac:dyDescent="0.35">
      <c r="A1092" t="s">
        <v>157</v>
      </c>
      <c r="B1092" t="s">
        <v>35</v>
      </c>
      <c r="C1092">
        <v>45977.5</v>
      </c>
      <c r="D1092">
        <v>2.9268724150788978</v>
      </c>
    </row>
    <row r="1093" spans="1:4" x14ac:dyDescent="0.35">
      <c r="A1093" t="s">
        <v>157</v>
      </c>
      <c r="B1093" t="s">
        <v>36</v>
      </c>
      <c r="C1093">
        <v>45967.3</v>
      </c>
      <c r="D1093">
        <v>1.725584297612649</v>
      </c>
    </row>
    <row r="1094" spans="1:4" x14ac:dyDescent="0.35">
      <c r="A1094" t="s">
        <v>157</v>
      </c>
      <c r="B1094" t="s">
        <v>37</v>
      </c>
      <c r="C1094">
        <v>45737</v>
      </c>
      <c r="D1094">
        <v>0.93930818554914386</v>
      </c>
    </row>
    <row r="1095" spans="1:4" x14ac:dyDescent="0.35">
      <c r="A1095" t="s">
        <v>157</v>
      </c>
      <c r="B1095" t="s">
        <v>38</v>
      </c>
      <c r="C1095">
        <v>45674.400000000001</v>
      </c>
      <c r="D1095">
        <v>0.52068130927771183</v>
      </c>
    </row>
    <row r="1096" spans="1:4" x14ac:dyDescent="0.35">
      <c r="A1096" t="s">
        <v>157</v>
      </c>
      <c r="B1096" t="s">
        <v>39</v>
      </c>
      <c r="C1096">
        <v>45107.1</v>
      </c>
      <c r="D1096">
        <v>-1.9112484334928139</v>
      </c>
    </row>
    <row r="1097" spans="1:4" x14ac:dyDescent="0.35">
      <c r="A1097" t="s">
        <v>157</v>
      </c>
      <c r="B1097" t="s">
        <v>40</v>
      </c>
      <c r="C1097">
        <v>43965.4</v>
      </c>
      <c r="D1097">
        <v>-4.4527313200471594</v>
      </c>
    </row>
    <row r="1098" spans="1:4" x14ac:dyDescent="0.35">
      <c r="A1098" t="s">
        <v>157</v>
      </c>
      <c r="B1098" t="s">
        <v>41</v>
      </c>
      <c r="C1098">
        <v>44012.6</v>
      </c>
      <c r="D1098">
        <v>-3.8431641776566519</v>
      </c>
    </row>
    <row r="1099" spans="1:4" x14ac:dyDescent="0.35">
      <c r="A1099" t="s">
        <v>157</v>
      </c>
      <c r="B1099" t="s">
        <v>42</v>
      </c>
      <c r="C1099">
        <v>44388.800000000003</v>
      </c>
      <c r="D1099">
        <v>-2.8550780523814199</v>
      </c>
    </row>
    <row r="1100" spans="1:4" x14ac:dyDescent="0.35">
      <c r="A1100" t="s">
        <v>157</v>
      </c>
      <c r="B1100" t="s">
        <v>43</v>
      </c>
      <c r="C1100">
        <v>44421.599999999999</v>
      </c>
      <c r="D1100">
        <v>-1.531382442759142</v>
      </c>
    </row>
    <row r="1101" spans="1:4" x14ac:dyDescent="0.35">
      <c r="A1101" t="s">
        <v>157</v>
      </c>
      <c r="B1101" t="s">
        <v>44</v>
      </c>
      <c r="C1101">
        <v>44817.1</v>
      </c>
      <c r="D1101">
        <v>1.9186802086130139</v>
      </c>
    </row>
    <row r="1102" spans="1:4" x14ac:dyDescent="0.35">
      <c r="A1102" t="s">
        <v>157</v>
      </c>
      <c r="B1102" t="s">
        <v>45</v>
      </c>
      <c r="C1102">
        <v>44972.4</v>
      </c>
      <c r="D1102">
        <v>2.1573011710770071</v>
      </c>
    </row>
    <row r="1103" spans="1:4" x14ac:dyDescent="0.35">
      <c r="A1103" t="s">
        <v>157</v>
      </c>
      <c r="B1103" t="s">
        <v>46</v>
      </c>
      <c r="C1103">
        <v>45137.599999999999</v>
      </c>
      <c r="D1103">
        <v>1.672841668892908</v>
      </c>
    </row>
    <row r="1104" spans="1:4" x14ac:dyDescent="0.35">
      <c r="A1104" t="s">
        <v>157</v>
      </c>
      <c r="B1104" t="s">
        <v>47</v>
      </c>
      <c r="C1104">
        <v>44933.2</v>
      </c>
      <c r="D1104">
        <v>1.145110481816441</v>
      </c>
    </row>
    <row r="1105" spans="1:4" x14ac:dyDescent="0.35">
      <c r="A1105" t="s">
        <v>157</v>
      </c>
      <c r="B1105" t="s">
        <v>48</v>
      </c>
      <c r="C1105">
        <v>44731.5</v>
      </c>
      <c r="D1105">
        <v>-0.19118115988971021</v>
      </c>
    </row>
    <row r="1106" spans="1:4" x14ac:dyDescent="0.35">
      <c r="A1106" t="s">
        <v>157</v>
      </c>
      <c r="B1106" t="s">
        <v>49</v>
      </c>
      <c r="C1106">
        <v>44417.5</v>
      </c>
      <c r="D1106">
        <v>-1.2415432343230679</v>
      </c>
    </row>
    <row r="1107" spans="1:4" x14ac:dyDescent="0.35">
      <c r="A1107" t="s">
        <v>157</v>
      </c>
      <c r="B1107" t="s">
        <v>50</v>
      </c>
      <c r="C1107">
        <v>44109.4</v>
      </c>
      <c r="D1107">
        <v>-2.304269038731166</v>
      </c>
    </row>
    <row r="1108" spans="1:4" x14ac:dyDescent="0.35">
      <c r="A1108" t="s">
        <v>157</v>
      </c>
      <c r="B1108" t="s">
        <v>51</v>
      </c>
      <c r="C1108">
        <v>43520</v>
      </c>
      <c r="D1108">
        <v>-3.1956339898956672</v>
      </c>
    </row>
    <row r="1109" spans="1:4" x14ac:dyDescent="0.35">
      <c r="A1109" t="s">
        <v>157</v>
      </c>
      <c r="B1109" t="s">
        <v>52</v>
      </c>
      <c r="C1109">
        <v>43288.3</v>
      </c>
      <c r="D1109">
        <v>-3.2795560779532331</v>
      </c>
    </row>
    <row r="1110" spans="1:4" x14ac:dyDescent="0.35">
      <c r="A1110" t="s">
        <v>157</v>
      </c>
      <c r="B1110" t="s">
        <v>53</v>
      </c>
      <c r="C1110">
        <v>42634.1</v>
      </c>
      <c r="D1110">
        <v>-4.0979133373863643</v>
      </c>
    </row>
    <row r="1111" spans="1:4" x14ac:dyDescent="0.35">
      <c r="A1111" t="s">
        <v>157</v>
      </c>
      <c r="B1111" t="s">
        <v>54</v>
      </c>
      <c r="C1111">
        <v>42194.3</v>
      </c>
      <c r="D1111">
        <v>-4.4387770837595886</v>
      </c>
    </row>
    <row r="1112" spans="1:4" x14ac:dyDescent="0.35">
      <c r="A1112" t="s">
        <v>157</v>
      </c>
      <c r="B1112" t="s">
        <v>55</v>
      </c>
      <c r="C1112">
        <v>41500.6</v>
      </c>
      <c r="D1112">
        <v>-4.751271758422269</v>
      </c>
    </row>
    <row r="1113" spans="1:4" x14ac:dyDescent="0.35">
      <c r="A1113" t="s">
        <v>157</v>
      </c>
      <c r="B1113" t="s">
        <v>56</v>
      </c>
      <c r="C1113">
        <v>41648.699999999997</v>
      </c>
      <c r="D1113">
        <v>-3.861223500279312</v>
      </c>
    </row>
    <row r="1114" spans="1:4" x14ac:dyDescent="0.35">
      <c r="A1114" t="s">
        <v>157</v>
      </c>
      <c r="B1114" t="s">
        <v>57</v>
      </c>
      <c r="C1114">
        <v>42005.2</v>
      </c>
      <c r="D1114">
        <v>-1.4860982410649191</v>
      </c>
    </row>
    <row r="1115" spans="1:4" x14ac:dyDescent="0.35">
      <c r="A1115" t="s">
        <v>157</v>
      </c>
      <c r="B1115" t="s">
        <v>58</v>
      </c>
      <c r="C1115">
        <v>41886.9</v>
      </c>
      <c r="D1115">
        <v>-0.73120119505229153</v>
      </c>
    </row>
    <row r="1116" spans="1:4" x14ac:dyDescent="0.35">
      <c r="A1116" t="s">
        <v>157</v>
      </c>
      <c r="B1116" t="s">
        <v>59</v>
      </c>
      <c r="C1116">
        <v>42407.3</v>
      </c>
      <c r="D1116">
        <v>2.161263226624738</v>
      </c>
    </row>
    <row r="1117" spans="1:4" x14ac:dyDescent="0.35">
      <c r="A1117" t="s">
        <v>157</v>
      </c>
      <c r="B1117" t="s">
        <v>60</v>
      </c>
      <c r="C1117">
        <v>42103.1</v>
      </c>
      <c r="D1117">
        <v>1.0851216541008459</v>
      </c>
    </row>
    <row r="1118" spans="1:4" x14ac:dyDescent="0.35">
      <c r="A1118" t="s">
        <v>157</v>
      </c>
      <c r="B1118" t="s">
        <v>61</v>
      </c>
      <c r="C1118">
        <v>42219.6</v>
      </c>
      <c r="D1118">
        <v>0.50911480490312166</v>
      </c>
    </row>
    <row r="1119" spans="1:4" x14ac:dyDescent="0.35">
      <c r="A1119" t="s">
        <v>157</v>
      </c>
      <c r="B1119" t="s">
        <v>62</v>
      </c>
      <c r="C1119">
        <v>42264.2</v>
      </c>
      <c r="D1119">
        <v>0.8967263132101031</v>
      </c>
    </row>
    <row r="1120" spans="1:4" x14ac:dyDescent="0.35">
      <c r="A1120" t="s">
        <v>157</v>
      </c>
      <c r="B1120" t="s">
        <v>63</v>
      </c>
      <c r="C1120">
        <v>42606.3</v>
      </c>
      <c r="D1120">
        <v>0.46816124353041938</v>
      </c>
    </row>
    <row r="1121" spans="1:5" x14ac:dyDescent="0.35">
      <c r="A1121" t="s">
        <v>157</v>
      </c>
      <c r="B1121" t="s">
        <v>64</v>
      </c>
      <c r="C1121">
        <v>42861.7</v>
      </c>
      <c r="D1121">
        <v>1.7857281099486659</v>
      </c>
    </row>
    <row r="1122" spans="1:5" x14ac:dyDescent="0.35">
      <c r="A1122" t="s">
        <v>157</v>
      </c>
      <c r="B1122" t="s">
        <v>65</v>
      </c>
      <c r="C1122">
        <v>42891.9</v>
      </c>
      <c r="D1122">
        <v>1.5798428725641289</v>
      </c>
      <c r="E1122">
        <v>0.14736964474342021</v>
      </c>
    </row>
    <row r="1123" spans="1:5" x14ac:dyDescent="0.35">
      <c r="A1123" t="s">
        <v>157</v>
      </c>
      <c r="B1123" t="s">
        <v>66</v>
      </c>
      <c r="C1123">
        <v>42962.9</v>
      </c>
      <c r="D1123">
        <v>1.639656056719033</v>
      </c>
      <c r="E1123">
        <v>0.24615589107035921</v>
      </c>
    </row>
    <row r="1124" spans="1:5" x14ac:dyDescent="0.35">
      <c r="A1124" t="s">
        <v>157</v>
      </c>
      <c r="B1124" t="s">
        <v>67</v>
      </c>
      <c r="C1124">
        <v>43166.5</v>
      </c>
      <c r="D1124">
        <v>1.3062601795151769</v>
      </c>
      <c r="E1124">
        <v>0.2233473082416737</v>
      </c>
    </row>
    <row r="1125" spans="1:5" x14ac:dyDescent="0.35">
      <c r="A1125" t="s">
        <v>157</v>
      </c>
      <c r="B1125" t="s">
        <v>68</v>
      </c>
      <c r="C1125">
        <v>43315.5</v>
      </c>
      <c r="D1125">
        <v>1.0531885339508329</v>
      </c>
      <c r="E1125">
        <v>6.7265876163183427E-2</v>
      </c>
    </row>
    <row r="1126" spans="1:5" x14ac:dyDescent="0.35">
      <c r="A1126" t="s">
        <v>157</v>
      </c>
      <c r="B1126" t="s">
        <v>69</v>
      </c>
      <c r="C1126">
        <v>43517.4</v>
      </c>
      <c r="D1126">
        <v>1.4477861197881841</v>
      </c>
      <c r="E1126">
        <v>0.12900548015873969</v>
      </c>
    </row>
    <row r="1127" spans="1:5" x14ac:dyDescent="0.35">
      <c r="A1127" t="s">
        <v>157</v>
      </c>
      <c r="B1127" t="s">
        <v>70</v>
      </c>
      <c r="C1127">
        <v>43998.7</v>
      </c>
      <c r="D1127">
        <v>2.382313544947412</v>
      </c>
      <c r="E1127">
        <v>0.22042637506553131</v>
      </c>
    </row>
    <row r="1128" spans="1:5" x14ac:dyDescent="0.35">
      <c r="A1128" t="s">
        <v>157</v>
      </c>
      <c r="B1128" t="s">
        <v>71</v>
      </c>
      <c r="C1128">
        <v>44496.3</v>
      </c>
      <c r="D1128">
        <v>3.0341308187784932</v>
      </c>
      <c r="E1128">
        <v>0.36447554943969018</v>
      </c>
    </row>
    <row r="1129" spans="1:5" x14ac:dyDescent="0.35">
      <c r="A1129" t="s">
        <v>157</v>
      </c>
      <c r="B1129" t="s">
        <v>72</v>
      </c>
      <c r="C1129">
        <v>44927.3</v>
      </c>
      <c r="D1129">
        <v>3.6535089176897411</v>
      </c>
      <c r="E1129">
        <v>0.78513100314212148</v>
      </c>
    </row>
    <row r="1130" spans="1:5" x14ac:dyDescent="0.35">
      <c r="A1130" t="s">
        <v>157</v>
      </c>
      <c r="B1130" t="s">
        <v>73</v>
      </c>
      <c r="C1130">
        <v>45056.2</v>
      </c>
      <c r="D1130">
        <v>3.4749741330214432</v>
      </c>
      <c r="E1130">
        <v>0.71317982668404856</v>
      </c>
    </row>
    <row r="1131" spans="1:5" x14ac:dyDescent="0.35">
      <c r="A1131" t="s">
        <v>157</v>
      </c>
      <c r="B1131" t="s">
        <v>74</v>
      </c>
      <c r="C1131">
        <v>45364.2</v>
      </c>
      <c r="D1131">
        <v>3.0563159698419602</v>
      </c>
      <c r="E1131">
        <v>0.63307720576626225</v>
      </c>
    </row>
    <row r="1132" spans="1:5" x14ac:dyDescent="0.35">
      <c r="A1132" t="s">
        <v>157</v>
      </c>
      <c r="B1132" t="s">
        <v>75</v>
      </c>
      <c r="C1132">
        <v>45791.7</v>
      </c>
      <c r="D1132">
        <v>2.86968123419437</v>
      </c>
      <c r="E1132">
        <v>0.63585449820021189</v>
      </c>
    </row>
    <row r="1133" spans="1:5" x14ac:dyDescent="0.35">
      <c r="A1133" t="s">
        <v>157</v>
      </c>
      <c r="B1133" t="s">
        <v>76</v>
      </c>
      <c r="C1133">
        <v>46060</v>
      </c>
      <c r="D1133">
        <v>2.4899266594900662</v>
      </c>
      <c r="E1133">
        <v>0.56763582858212847</v>
      </c>
    </row>
    <row r="1134" spans="1:5" x14ac:dyDescent="0.35">
      <c r="A1134" t="s">
        <v>157</v>
      </c>
      <c r="B1134" t="s">
        <v>77</v>
      </c>
      <c r="C1134">
        <v>46500.3</v>
      </c>
      <c r="D1134">
        <v>3.1548164739222559</v>
      </c>
      <c r="E1134">
        <v>0.3850210131760215</v>
      </c>
    </row>
    <row r="1135" spans="1:5" x14ac:dyDescent="0.35">
      <c r="A1135" t="s">
        <v>157</v>
      </c>
      <c r="B1135" t="s">
        <v>78</v>
      </c>
      <c r="C1135">
        <v>46812.3</v>
      </c>
      <c r="D1135">
        <v>3.1422741179501159</v>
      </c>
      <c r="E1135">
        <v>0.4736508875865531</v>
      </c>
    </row>
    <row r="1136" spans="1:5" x14ac:dyDescent="0.35">
      <c r="A1136" t="s">
        <v>157</v>
      </c>
      <c r="B1136" t="s">
        <v>79</v>
      </c>
      <c r="C1136">
        <v>47103.7</v>
      </c>
      <c r="D1136">
        <v>2.8248702210363241</v>
      </c>
      <c r="E1136">
        <v>0.870944635964919</v>
      </c>
    </row>
    <row r="1137" spans="1:5" x14ac:dyDescent="0.35">
      <c r="A1137" t="s">
        <v>157</v>
      </c>
      <c r="B1137" t="s">
        <v>80</v>
      </c>
      <c r="C1137">
        <v>47491.7</v>
      </c>
      <c r="D1137">
        <v>3.061006453769044</v>
      </c>
      <c r="E1137">
        <v>0.90093756931342406</v>
      </c>
    </row>
    <row r="1138" spans="1:5" x14ac:dyDescent="0.35">
      <c r="A1138" t="s">
        <v>157</v>
      </c>
      <c r="B1138" t="s">
        <v>81</v>
      </c>
      <c r="C1138">
        <v>47755.1</v>
      </c>
      <c r="D1138">
        <v>2.6627103320674399</v>
      </c>
      <c r="E1138">
        <v>0.91945935367667186</v>
      </c>
    </row>
    <row r="1139" spans="1:5" x14ac:dyDescent="0.35">
      <c r="A1139" t="s">
        <v>157</v>
      </c>
      <c r="B1139" t="s">
        <v>82</v>
      </c>
      <c r="C1139">
        <v>47952.2</v>
      </c>
      <c r="D1139">
        <v>2.4058692497952761</v>
      </c>
      <c r="E1139">
        <v>0.87676519279036569</v>
      </c>
    </row>
    <row r="1140" spans="1:5" x14ac:dyDescent="0.35">
      <c r="A1140" t="s">
        <v>157</v>
      </c>
      <c r="B1140" t="s">
        <v>83</v>
      </c>
      <c r="C1140">
        <v>48397.4</v>
      </c>
      <c r="D1140">
        <v>2.7094539071144021</v>
      </c>
      <c r="E1140">
        <v>0.8881101035437472</v>
      </c>
    </row>
    <row r="1141" spans="1:5" x14ac:dyDescent="0.35">
      <c r="A1141" t="s">
        <v>157</v>
      </c>
      <c r="B1141" t="s">
        <v>84</v>
      </c>
      <c r="C1141">
        <v>46338.2</v>
      </c>
      <c r="D1141">
        <v>-2.458828401231596</v>
      </c>
      <c r="E1141">
        <v>0.91603014238305014</v>
      </c>
    </row>
    <row r="1142" spans="1:5" x14ac:dyDescent="0.35">
      <c r="A1142" t="s">
        <v>157</v>
      </c>
      <c r="B1142" t="s">
        <v>85</v>
      </c>
      <c r="C1142">
        <v>39366.6</v>
      </c>
      <c r="D1142">
        <v>-19.31681264524055</v>
      </c>
      <c r="E1142">
        <v>0.94969578294875368</v>
      </c>
    </row>
    <row r="1143" spans="1:5" x14ac:dyDescent="0.35">
      <c r="A1143" t="s">
        <v>157</v>
      </c>
      <c r="B1143" t="s">
        <v>86</v>
      </c>
      <c r="C1143">
        <v>45008.9</v>
      </c>
      <c r="D1143">
        <v>-6.3344433410462369</v>
      </c>
      <c r="E1143">
        <v>0.9119204443882285</v>
      </c>
    </row>
    <row r="1144" spans="1:5" x14ac:dyDescent="0.35">
      <c r="A1144" t="s">
        <v>157</v>
      </c>
      <c r="B1144" t="s">
        <v>87</v>
      </c>
      <c r="C1144">
        <v>45162.8</v>
      </c>
      <c r="D1144">
        <v>-6.9172354140493857</v>
      </c>
      <c r="E1144">
        <v>0.90212654258353853</v>
      </c>
    </row>
    <row r="1145" spans="1:5" x14ac:dyDescent="0.35">
      <c r="A1145" t="s">
        <v>157</v>
      </c>
      <c r="B1145" t="s">
        <v>88</v>
      </c>
      <c r="C1145">
        <v>43846.3</v>
      </c>
      <c r="D1145">
        <v>-5.5276338223076644</v>
      </c>
      <c r="E1145">
        <v>0.89827635883464096</v>
      </c>
    </row>
    <row r="1146" spans="1:5" x14ac:dyDescent="0.35">
      <c r="A1146" t="s">
        <v>157</v>
      </c>
      <c r="B1146" t="s">
        <v>89</v>
      </c>
      <c r="C1146">
        <v>45872.4</v>
      </c>
      <c r="D1146">
        <v>15.294588796561319</v>
      </c>
      <c r="E1146">
        <v>0.89169433537923315</v>
      </c>
    </row>
    <row r="1147" spans="1:5" x14ac:dyDescent="0.35">
      <c r="A1147" t="s">
        <v>157</v>
      </c>
      <c r="B1147" t="s">
        <v>90</v>
      </c>
      <c r="C1147">
        <v>47501.7</v>
      </c>
      <c r="D1147">
        <v>5.3905251881200549</v>
      </c>
      <c r="E1147">
        <v>0.75505673789974215</v>
      </c>
    </row>
    <row r="1148" spans="1:5" x14ac:dyDescent="0.35">
      <c r="A1148" t="s">
        <v>157</v>
      </c>
      <c r="B1148" t="s">
        <v>91</v>
      </c>
      <c r="C1148">
        <v>48432.800000000003</v>
      </c>
      <c r="D1148">
        <v>6.9903531016657157</v>
      </c>
      <c r="E1148">
        <v>0.73673314290301684</v>
      </c>
    </row>
    <row r="1149" spans="1:5" x14ac:dyDescent="0.35">
      <c r="A1149" t="s">
        <v>157</v>
      </c>
      <c r="B1149" t="s">
        <v>92</v>
      </c>
      <c r="C1149">
        <v>49143.199999999997</v>
      </c>
      <c r="D1149">
        <v>11.40481483430967</v>
      </c>
      <c r="E1149">
        <v>7.0367161826732499E-2</v>
      </c>
    </row>
    <row r="1150" spans="1:5" x14ac:dyDescent="0.35">
      <c r="A1150" t="s">
        <v>157</v>
      </c>
      <c r="B1150" t="s">
        <v>93</v>
      </c>
      <c r="C1150">
        <v>49334.400000000001</v>
      </c>
      <c r="D1150">
        <v>7.2757977464598476</v>
      </c>
      <c r="E1150">
        <v>0.14936791268739669</v>
      </c>
    </row>
    <row r="1151" spans="1:5" x14ac:dyDescent="0.35">
      <c r="A1151" t="s">
        <v>157</v>
      </c>
      <c r="B1151" t="s">
        <v>94</v>
      </c>
      <c r="C1151">
        <v>49894</v>
      </c>
      <c r="D1151">
        <v>4.9135255173193171</v>
      </c>
      <c r="E1151">
        <v>0.40727058401958582</v>
      </c>
    </row>
    <row r="1152" spans="1:5" x14ac:dyDescent="0.35">
      <c r="A1152" t="s">
        <v>157</v>
      </c>
      <c r="B1152" t="s">
        <v>95</v>
      </c>
      <c r="C1152">
        <v>50251</v>
      </c>
      <c r="D1152">
        <v>3.6853177091118039</v>
      </c>
      <c r="E1152">
        <v>0.1878871301569674</v>
      </c>
    </row>
    <row r="1153" spans="1:5" x14ac:dyDescent="0.35">
      <c r="A1153" t="s">
        <v>157</v>
      </c>
      <c r="B1153" t="s">
        <v>96</v>
      </c>
      <c r="C1153">
        <v>50889.4</v>
      </c>
      <c r="D1153">
        <v>3.491616535771692</v>
      </c>
      <c r="E1153">
        <v>0.27522159174134248</v>
      </c>
    </row>
    <row r="1154" spans="1:5" x14ac:dyDescent="0.35">
      <c r="A1154" t="s">
        <v>157</v>
      </c>
      <c r="B1154" t="s">
        <v>97</v>
      </c>
      <c r="C1154">
        <v>51136.5</v>
      </c>
      <c r="D1154">
        <v>3.5876921459432691</v>
      </c>
      <c r="E1154">
        <v>0.2060280638582612</v>
      </c>
    </row>
    <row r="1155" spans="1:5" x14ac:dyDescent="0.35">
      <c r="A1155" t="s">
        <v>157</v>
      </c>
      <c r="B1155" t="s">
        <v>98</v>
      </c>
      <c r="C1155">
        <v>51188.800000000003</v>
      </c>
      <c r="D1155">
        <v>2.56200030691463</v>
      </c>
      <c r="E1155">
        <v>0.23213095448025059</v>
      </c>
    </row>
    <row r="1156" spans="1:5" x14ac:dyDescent="0.35">
      <c r="A1156" t="s">
        <v>157</v>
      </c>
      <c r="B1156" t="s">
        <v>99</v>
      </c>
      <c r="C1156">
        <v>51565.2</v>
      </c>
      <c r="D1156">
        <v>2.5816579121650691</v>
      </c>
      <c r="E1156">
        <v>0.28882928893140408</v>
      </c>
    </row>
    <row r="1157" spans="1:5" x14ac:dyDescent="0.35">
      <c r="A1157" t="s">
        <v>157</v>
      </c>
      <c r="B1157" t="s">
        <v>100</v>
      </c>
      <c r="C1157">
        <v>51933.599999999999</v>
      </c>
      <c r="D1157">
        <v>2.0311329147894521</v>
      </c>
      <c r="E1157">
        <v>0.40434559781894541</v>
      </c>
    </row>
    <row r="1158" spans="1:5" x14ac:dyDescent="0.35">
      <c r="A1158" t="s">
        <v>157</v>
      </c>
      <c r="B1158" t="s">
        <v>101</v>
      </c>
      <c r="C1158">
        <v>52204.4</v>
      </c>
      <c r="D1158">
        <v>2.066825458071416</v>
      </c>
      <c r="E1158">
        <v>0.58408173402993835</v>
      </c>
    </row>
    <row r="1159" spans="1:5" x14ac:dyDescent="0.35">
      <c r="A1159" t="s">
        <v>157</v>
      </c>
      <c r="B1159" t="s">
        <v>102</v>
      </c>
      <c r="C1159">
        <v>52279.9</v>
      </c>
      <c r="D1159">
        <v>2.1091217860648008</v>
      </c>
      <c r="E1159">
        <v>-6.563561309087719E-2</v>
      </c>
    </row>
    <row r="1160" spans="1:5" x14ac:dyDescent="0.35">
      <c r="A1160" t="s">
        <v>157</v>
      </c>
      <c r="B1160" t="s">
        <v>103</v>
      </c>
      <c r="C1160">
        <v>52897</v>
      </c>
      <c r="D1160">
        <v>2.5499600120753692</v>
      </c>
      <c r="E1160">
        <v>0.25794255991986548</v>
      </c>
    </row>
    <row r="1161" spans="1:5" x14ac:dyDescent="0.35">
      <c r="A1161" t="s">
        <v>157</v>
      </c>
      <c r="B1161" t="s">
        <v>104</v>
      </c>
      <c r="C1161">
        <v>52747.6</v>
      </c>
      <c r="D1161">
        <v>1.5552294147250401</v>
      </c>
      <c r="E1161">
        <v>-0.25733010113359489</v>
      </c>
    </row>
    <row r="1162" spans="1:5" x14ac:dyDescent="0.35">
      <c r="A1162" t="s">
        <v>157</v>
      </c>
      <c r="B1162" t="s">
        <v>105</v>
      </c>
      <c r="C1162">
        <v>53109</v>
      </c>
      <c r="D1162">
        <v>1.7179622887221071</v>
      </c>
      <c r="E1162">
        <v>0.1240281359458844</v>
      </c>
    </row>
    <row r="1163" spans="1:5" x14ac:dyDescent="0.35">
      <c r="A1163" t="s">
        <v>157</v>
      </c>
      <c r="B1163" t="s">
        <v>106</v>
      </c>
      <c r="C1163">
        <v>53427.5</v>
      </c>
      <c r="D1163">
        <v>2.1713618705369981</v>
      </c>
      <c r="E1163">
        <v>0.16740057513777151</v>
      </c>
    </row>
    <row r="1164" spans="1:5" x14ac:dyDescent="0.35">
      <c r="A1164" t="s">
        <v>157</v>
      </c>
      <c r="B1164" t="s">
        <v>107</v>
      </c>
      <c r="C1164">
        <v>53926.8</v>
      </c>
      <c r="D1164">
        <v>1.9280944931060311</v>
      </c>
      <c r="E1164">
        <v>0.1384657851179398</v>
      </c>
    </row>
    <row r="1165" spans="1:5" x14ac:dyDescent="0.35">
      <c r="A1165" t="s">
        <v>157</v>
      </c>
      <c r="B1165" t="s">
        <v>108</v>
      </c>
      <c r="C1165">
        <v>53993.2</v>
      </c>
      <c r="D1165">
        <v>2.3339839018217701</v>
      </c>
      <c r="E1165">
        <v>0.28080595551184018</v>
      </c>
    </row>
    <row r="1166" spans="1:5" x14ac:dyDescent="0.35">
      <c r="A1166" t="s">
        <v>157</v>
      </c>
      <c r="B1166" t="s">
        <v>109</v>
      </c>
      <c r="C1166">
        <v>54437.599999999999</v>
      </c>
      <c r="D1166">
        <v>2.4708686168784308</v>
      </c>
      <c r="E1166">
        <v>-9.4792375807177323E-2</v>
      </c>
    </row>
  </sheetData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B14D-129E-42CF-A5A1-565C60BE37F6}">
  <dimension ref="A1:BF129"/>
  <sheetViews>
    <sheetView workbookViewId="0">
      <pane xSplit="2" ySplit="1" topLeftCell="AV104" activePane="bottomRight" state="frozen"/>
      <selection pane="topRight" activeCell="C1" sqref="C1"/>
      <selection pane="bottomLeft" activeCell="A2" sqref="A2"/>
      <selection pane="bottomRight" activeCell="BE104" sqref="BE104"/>
    </sheetView>
  </sheetViews>
  <sheetFormatPr defaultRowHeight="14.5" x14ac:dyDescent="0.35"/>
  <sheetData>
    <row r="1" spans="1:42" x14ac:dyDescent="0.35">
      <c r="A1" t="s">
        <v>182</v>
      </c>
      <c r="B1" t="s">
        <v>1</v>
      </c>
      <c r="C1" t="s">
        <v>183</v>
      </c>
      <c r="D1" t="s">
        <v>184</v>
      </c>
      <c r="E1" t="s">
        <v>185</v>
      </c>
      <c r="F1" t="s">
        <v>186</v>
      </c>
      <c r="G1" t="s">
        <v>184</v>
      </c>
      <c r="H1" t="s">
        <v>185</v>
      </c>
      <c r="I1" t="s">
        <v>187</v>
      </c>
      <c r="M1" t="s">
        <v>210</v>
      </c>
      <c r="N1" t="s">
        <v>184</v>
      </c>
      <c r="O1" t="s">
        <v>185</v>
      </c>
      <c r="P1" s="10" t="s">
        <v>211</v>
      </c>
      <c r="Q1" t="s">
        <v>188</v>
      </c>
      <c r="S1" t="s">
        <v>187</v>
      </c>
      <c r="Y1" t="s">
        <v>189</v>
      </c>
      <c r="AB1" t="s">
        <v>187</v>
      </c>
      <c r="AF1" t="s">
        <v>190</v>
      </c>
      <c r="AI1" t="s">
        <v>187</v>
      </c>
      <c r="AL1" t="s">
        <v>209</v>
      </c>
      <c r="AO1" t="s">
        <v>187</v>
      </c>
    </row>
    <row r="2" spans="1:42" x14ac:dyDescent="0.35">
      <c r="A2" t="s">
        <v>191</v>
      </c>
      <c r="B2" t="s">
        <v>4</v>
      </c>
      <c r="C2">
        <v>1181.318359375</v>
      </c>
      <c r="E2">
        <f t="shared" ref="E2:E65" si="0">C2/C$42*100</f>
        <v>322.41861269368195</v>
      </c>
      <c r="F2">
        <v>26.96</v>
      </c>
      <c r="H2">
        <f t="shared" ref="H2:H5" si="1">F2/F$42*100</f>
        <v>35.278722847422138</v>
      </c>
      <c r="I2" t="s">
        <v>192</v>
      </c>
      <c r="J2" s="6">
        <f>CORREL(D3:D107,G3:G107)</f>
        <v>8.320684172337503E-2</v>
      </c>
      <c r="L2" t="s">
        <v>4</v>
      </c>
      <c r="M2">
        <v>451.64349013863261</v>
      </c>
      <c r="O2">
        <f t="shared" ref="O2:O33" si="2">M2/M$42*100</f>
        <v>171.35617770919725</v>
      </c>
      <c r="P2">
        <f t="shared" ref="P2:P33" si="3">(E2/O2)*100</f>
        <v>188.15698214326864</v>
      </c>
      <c r="Q2">
        <f>LN([1]gpr!B402)-LN([1]gpr!B398)</f>
        <v>-0.14406939639392213</v>
      </c>
      <c r="S2" t="s">
        <v>192</v>
      </c>
      <c r="T2" s="6">
        <f>CORREL(D3:D107,Q3:Q107)</f>
        <v>-0.15444431057194513</v>
      </c>
      <c r="Y2">
        <f>LN([1]epu!B14)-LN([1]epu!B10)</f>
        <v>-0.23520494782101675</v>
      </c>
      <c r="AB2" t="s">
        <v>192</v>
      </c>
      <c r="AC2" s="6">
        <f>CORREL(D3:D107,Y3:Y107)</f>
        <v>-0.5278158893278464</v>
      </c>
      <c r="AF2">
        <f>LN([1]wui!B42)-LN([1]wui!B38)</f>
        <v>-0.64126600058709471</v>
      </c>
      <c r="AI2" t="s">
        <v>192</v>
      </c>
      <c r="AJ2" s="6">
        <f>CORREL(D3:D107,AF3:AF107)</f>
        <v>-0.29512859231373689</v>
      </c>
      <c r="AL2" s="7">
        <v>-1.07975422123945</v>
      </c>
      <c r="AO2" t="s">
        <v>192</v>
      </c>
      <c r="AP2" s="6">
        <f>CORREL(D3:D107,AL3:AL107)</f>
        <v>-0.11146972340527513</v>
      </c>
    </row>
    <row r="3" spans="1:42" x14ac:dyDescent="0.35">
      <c r="A3" t="s">
        <v>191</v>
      </c>
      <c r="B3" t="s">
        <v>5</v>
      </c>
      <c r="C3">
        <v>1139.978393554688</v>
      </c>
      <c r="E3">
        <f t="shared" si="0"/>
        <v>311.13564707919591</v>
      </c>
      <c r="F3">
        <v>27.01</v>
      </c>
      <c r="H3">
        <f t="shared" si="1"/>
        <v>35.344150745878046</v>
      </c>
      <c r="I3" t="s">
        <v>149</v>
      </c>
      <c r="J3" s="6">
        <f>CORREL(D82:D108,G82:G108)</f>
        <v>2.7690482809710995E-2</v>
      </c>
      <c r="L3" t="s">
        <v>5</v>
      </c>
      <c r="M3">
        <v>409.97126959086631</v>
      </c>
      <c r="O3">
        <f t="shared" si="2"/>
        <v>155.54549387197861</v>
      </c>
      <c r="P3">
        <f t="shared" si="3"/>
        <v>200.02871142977335</v>
      </c>
      <c r="Q3">
        <f>LN([1]gpr!B403)-LN([1]gpr!B399)</f>
        <v>-0.34021610407469627</v>
      </c>
      <c r="S3" t="s">
        <v>149</v>
      </c>
      <c r="T3" s="6">
        <f>CORREL(D82:D108,P82:P108)</f>
        <v>0.53765267760066393</v>
      </c>
      <c r="Y3">
        <f>LN([1]epu!B15)-LN([1]epu!B11)</f>
        <v>0.15948207032849027</v>
      </c>
      <c r="AB3" t="s">
        <v>149</v>
      </c>
      <c r="AC3" s="6">
        <f>CORREL(D82:D108,Y82:Y108)</f>
        <v>-0.55206946998925488</v>
      </c>
      <c r="AF3">
        <f>LN([1]wui!B43)-LN([1]wui!B39)</f>
        <v>-0.84896775772114097</v>
      </c>
      <c r="AI3" t="s">
        <v>149</v>
      </c>
      <c r="AJ3" s="6">
        <f>CORREL(D82:D108,AF82:AF108)</f>
        <v>-0.46310750000793427</v>
      </c>
      <c r="AL3" s="7">
        <v>-0.80867752228388801</v>
      </c>
      <c r="AO3" t="s">
        <v>149</v>
      </c>
      <c r="AP3" s="6">
        <f>CORREL(D82:D108,AL82:AL108)</f>
        <v>-0.22492126163566584</v>
      </c>
    </row>
    <row r="4" spans="1:42" x14ac:dyDescent="0.35">
      <c r="A4" t="s">
        <v>191</v>
      </c>
      <c r="B4" t="s">
        <v>6</v>
      </c>
      <c r="C4">
        <v>851.15814208984375</v>
      </c>
      <c r="E4">
        <f t="shared" si="0"/>
        <v>232.30759530456422</v>
      </c>
      <c r="F4">
        <v>30.66</v>
      </c>
      <c r="H4">
        <f t="shared" si="1"/>
        <v>40.12038733315886</v>
      </c>
      <c r="L4" t="s">
        <v>6</v>
      </c>
      <c r="M4">
        <v>404.02277562682309</v>
      </c>
      <c r="O4">
        <f t="shared" si="2"/>
        <v>153.28860052343992</v>
      </c>
      <c r="P4">
        <f t="shared" si="3"/>
        <v>151.54916576398728</v>
      </c>
      <c r="Q4">
        <f>LN([1]gpr!B404)-LN([1]gpr!B400)</f>
        <v>-0.25300790086475411</v>
      </c>
      <c r="Y4">
        <f>LN([1]epu!B16)-LN([1]epu!B12)</f>
        <v>-0.12740880948647604</v>
      </c>
      <c r="AF4">
        <f>LN([1]wui!B44)-LN([1]wui!B40)</f>
        <v>0.87185821215440384</v>
      </c>
      <c r="AL4" s="7">
        <v>-1.42133218185937</v>
      </c>
    </row>
    <row r="5" spans="1:42" x14ac:dyDescent="0.35">
      <c r="A5" t="s">
        <v>191</v>
      </c>
      <c r="B5" t="s">
        <v>7</v>
      </c>
      <c r="C5">
        <v>576.33111572265625</v>
      </c>
      <c r="E5">
        <f t="shared" si="0"/>
        <v>157.2987309549751</v>
      </c>
      <c r="F5">
        <v>29.92</v>
      </c>
      <c r="H5">
        <f t="shared" si="1"/>
        <v>39.152054436011518</v>
      </c>
      <c r="I5" t="s">
        <v>193</v>
      </c>
      <c r="L5" t="s">
        <v>7</v>
      </c>
      <c r="M5">
        <v>382.35936839232869</v>
      </c>
      <c r="O5">
        <f t="shared" si="2"/>
        <v>145.06937730664723</v>
      </c>
      <c r="P5">
        <f t="shared" si="3"/>
        <v>108.43000354408187</v>
      </c>
      <c r="Q5">
        <f>LN([1]gpr!B405)-LN([1]gpr!B401)</f>
        <v>-0.25967126810792074</v>
      </c>
      <c r="Y5">
        <f>LN([1]epu!B17)-LN([1]epu!B13)</f>
        <v>0.33432988685066078</v>
      </c>
      <c r="AF5">
        <f>LN([1]wui!B45)-LN([1]wui!B41)</f>
        <v>0.41283383974565346</v>
      </c>
      <c r="AL5" s="7">
        <v>-0.77470796025871402</v>
      </c>
    </row>
    <row r="6" spans="1:42" x14ac:dyDescent="0.35">
      <c r="A6" t="s">
        <v>191</v>
      </c>
      <c r="B6" t="s">
        <v>8</v>
      </c>
      <c r="C6">
        <v>544.7763671875</v>
      </c>
      <c r="D6">
        <f>LN(C6)-LN(C2)</f>
        <v>-0.77401097248705497</v>
      </c>
      <c r="E6">
        <f t="shared" si="0"/>
        <v>148.68645623168567</v>
      </c>
      <c r="F6">
        <v>25.82</v>
      </c>
      <c r="G6">
        <f>LN(F6)-LN(F2)</f>
        <v>-4.3204900625609888E-2</v>
      </c>
      <c r="H6">
        <f>F6/F$42*100</f>
        <v>33.786966762627586</v>
      </c>
      <c r="I6" t="s">
        <v>192</v>
      </c>
      <c r="J6" s="6">
        <f>CORREL(E3:E107,H3:H107)</f>
        <v>0.17830917587434797</v>
      </c>
      <c r="L6" t="s">
        <v>8</v>
      </c>
      <c r="M6">
        <v>346.4829422064962</v>
      </c>
      <c r="N6">
        <f>LN(M6)-LN(M2)</f>
        <v>-0.26505954140601773</v>
      </c>
      <c r="O6">
        <f t="shared" si="2"/>
        <v>131.45765169717725</v>
      </c>
      <c r="P6">
        <f t="shared" si="3"/>
        <v>113.10597314958606</v>
      </c>
      <c r="Q6">
        <f>LN([1]gpr!B406)-LN([1]gpr!B402)</f>
        <v>-8.4341310872942277E-2</v>
      </c>
      <c r="Y6">
        <f>LN([1]epu!B18)-LN([1]epu!B14)</f>
        <v>0.47677130269294032</v>
      </c>
      <c r="AF6">
        <f>LN([1]wui!B46)-LN([1]wui!B42)</f>
        <v>1.3422680861917318</v>
      </c>
      <c r="AL6" s="7">
        <v>-0.72974319473421401</v>
      </c>
    </row>
    <row r="7" spans="1:42" x14ac:dyDescent="0.35">
      <c r="A7" t="s">
        <v>191</v>
      </c>
      <c r="B7" t="s">
        <v>9</v>
      </c>
      <c r="C7">
        <v>623.7882080078125</v>
      </c>
      <c r="D7">
        <f t="shared" ref="D7:D70" si="4">LN(C7)-LN(C3)</f>
        <v>-0.60295368767388258</v>
      </c>
      <c r="E7">
        <f t="shared" si="0"/>
        <v>170.25125110809574</v>
      </c>
      <c r="F7">
        <v>27.29</v>
      </c>
      <c r="G7">
        <f t="shared" ref="G7:G70" si="5">LN(F7)-LN(F3)</f>
        <v>1.0313166915722594E-2</v>
      </c>
      <c r="H7">
        <f t="shared" ref="H7:H70" si="6">F7/F$42*100</f>
        <v>35.71054697723109</v>
      </c>
      <c r="I7" t="s">
        <v>149</v>
      </c>
      <c r="J7" s="6">
        <f>CORREL(E82:E108,H82:H108)</f>
        <v>0.30848230880507205</v>
      </c>
      <c r="L7" t="s">
        <v>9</v>
      </c>
      <c r="M7">
        <v>360.05887125576112</v>
      </c>
      <c r="N7">
        <f t="shared" ref="N7:N70" si="7">LN(M7)-LN(M3)</f>
        <v>-0.12981953372804611</v>
      </c>
      <c r="O7">
        <f t="shared" si="2"/>
        <v>136.60843846046978</v>
      </c>
      <c r="P7">
        <f t="shared" si="3"/>
        <v>124.62718484067963</v>
      </c>
      <c r="Q7">
        <f>LN([1]gpr!B407)-LN([1]gpr!B403)</f>
        <v>-5.2545605361838277E-2</v>
      </c>
      <c r="Y7">
        <f>LN([1]epu!B19)-LN([1]epu!B15)</f>
        <v>8.437398554259179E-2</v>
      </c>
      <c r="AF7">
        <f>LN([1]wui!B47)-LN([1]wui!B43)</f>
        <v>0.86125612655247075</v>
      </c>
      <c r="AL7" s="7">
        <v>-0.85701244334530402</v>
      </c>
    </row>
    <row r="8" spans="1:42" x14ac:dyDescent="0.35">
      <c r="A8" t="s">
        <v>191</v>
      </c>
      <c r="B8" t="s">
        <v>10</v>
      </c>
      <c r="C8">
        <v>373.519287109375</v>
      </c>
      <c r="D8">
        <f t="shared" si="4"/>
        <v>-0.82362830011514898</v>
      </c>
      <c r="E8">
        <f t="shared" si="0"/>
        <v>101.94505944007628</v>
      </c>
      <c r="F8">
        <v>25.3</v>
      </c>
      <c r="G8">
        <f t="shared" si="5"/>
        <v>-0.19215447771019356</v>
      </c>
      <c r="H8">
        <f t="shared" si="6"/>
        <v>33.106516618686207</v>
      </c>
      <c r="L8" t="s">
        <v>10</v>
      </c>
      <c r="M8">
        <v>256.04000096448152</v>
      </c>
      <c r="N8">
        <f t="shared" si="7"/>
        <v>-0.45613756564532082</v>
      </c>
      <c r="O8">
        <f t="shared" si="2"/>
        <v>97.143071612668507</v>
      </c>
      <c r="P8">
        <f t="shared" si="3"/>
        <v>104.94321184999625</v>
      </c>
      <c r="Q8">
        <f>LN([1]gpr!B408)-LN([1]gpr!B404)</f>
        <v>1.418024548387137</v>
      </c>
      <c r="Y8">
        <f>LN([1]epu!B20)-LN([1]epu!B16)</f>
        <v>0.66739604847956269</v>
      </c>
      <c r="AF8">
        <f>LN([1]wui!B48)-LN([1]wui!B44)</f>
        <v>0.59921861491420181</v>
      </c>
      <c r="AL8" s="7">
        <v>1.17513762774819</v>
      </c>
    </row>
    <row r="9" spans="1:42" x14ac:dyDescent="0.35">
      <c r="A9" t="s">
        <v>191</v>
      </c>
      <c r="B9" t="s">
        <v>11</v>
      </c>
      <c r="C9">
        <v>521.90740966796875</v>
      </c>
      <c r="D9">
        <f t="shared" si="4"/>
        <v>-9.9192153181340004E-2</v>
      </c>
      <c r="E9">
        <f t="shared" si="0"/>
        <v>142.44480469153771</v>
      </c>
      <c r="F9">
        <v>19.399999999999999</v>
      </c>
      <c r="G9">
        <f t="shared" si="5"/>
        <v>-0.43325408703699431</v>
      </c>
      <c r="H9">
        <f t="shared" si="6"/>
        <v>25.386024600889819</v>
      </c>
      <c r="L9" t="s">
        <v>11</v>
      </c>
      <c r="M9">
        <v>306.67271657886448</v>
      </c>
      <c r="N9">
        <f t="shared" si="7"/>
        <v>-0.22057981217276623</v>
      </c>
      <c r="O9">
        <f t="shared" si="2"/>
        <v>116.35341960651266</v>
      </c>
      <c r="P9">
        <f t="shared" si="3"/>
        <v>122.42425291260166</v>
      </c>
      <c r="Q9">
        <f>LN([1]gpr!B409)-LN([1]gpr!B405)</f>
        <v>1.8442218114586169</v>
      </c>
      <c r="Y9">
        <f>LN([1]epu!B21)-LN([1]epu!B17)</f>
        <v>0.37729229421858523</v>
      </c>
      <c r="AF9">
        <f>LN([1]wui!B49)-LN([1]wui!B45)</f>
        <v>0.67984818607276587</v>
      </c>
      <c r="AL9" s="7">
        <v>3.1185596392384101</v>
      </c>
    </row>
    <row r="10" spans="1:42" x14ac:dyDescent="0.35">
      <c r="A10" t="s">
        <v>191</v>
      </c>
      <c r="B10" t="s">
        <v>12</v>
      </c>
      <c r="C10">
        <v>594.95208740234375</v>
      </c>
      <c r="D10">
        <f t="shared" si="4"/>
        <v>8.8105501912233208E-2</v>
      </c>
      <c r="E10">
        <f t="shared" si="0"/>
        <v>162.38097471113716</v>
      </c>
      <c r="F10">
        <v>21.12</v>
      </c>
      <c r="G10">
        <f t="shared" si="5"/>
        <v>-0.20092892658043571</v>
      </c>
      <c r="H10">
        <f t="shared" si="6"/>
        <v>27.636744307772837</v>
      </c>
      <c r="L10" t="s">
        <v>12</v>
      </c>
      <c r="M10">
        <v>320.76928104459552</v>
      </c>
      <c r="N10">
        <f t="shared" si="7"/>
        <v>-7.7111474511848854E-2</v>
      </c>
      <c r="O10">
        <f t="shared" si="2"/>
        <v>121.70173848726861</v>
      </c>
      <c r="P10">
        <f t="shared" si="3"/>
        <v>133.42535343332344</v>
      </c>
      <c r="Q10">
        <f>LN([1]gpr!B410)-LN([1]gpr!B406)</f>
        <v>1.0560795499328921</v>
      </c>
      <c r="Y10">
        <f>LN([1]epu!B22)-LN([1]epu!B18)</f>
        <v>-0.13390445288839548</v>
      </c>
      <c r="AF10">
        <f>LN([1]wui!B50)-LN([1]wui!B46)</f>
        <v>1.2147907262194835E-2</v>
      </c>
      <c r="AL10" s="7">
        <v>0.15381409847017399</v>
      </c>
    </row>
    <row r="11" spans="1:42" x14ac:dyDescent="0.35">
      <c r="A11" t="s">
        <v>191</v>
      </c>
      <c r="B11" t="s">
        <v>13</v>
      </c>
      <c r="C11">
        <v>387.39254760742188</v>
      </c>
      <c r="D11">
        <f t="shared" si="4"/>
        <v>-0.47637238667020032</v>
      </c>
      <c r="E11">
        <f t="shared" si="0"/>
        <v>105.7315047854994</v>
      </c>
      <c r="F11">
        <v>25.11</v>
      </c>
      <c r="G11">
        <f t="shared" si="5"/>
        <v>-8.3254161550753381E-2</v>
      </c>
      <c r="H11">
        <f t="shared" si="6"/>
        <v>32.857890604553781</v>
      </c>
      <c r="L11" t="s">
        <v>13</v>
      </c>
      <c r="M11">
        <v>260.46231144807268</v>
      </c>
      <c r="N11">
        <f t="shared" si="7"/>
        <v>-0.32380937636231533</v>
      </c>
      <c r="O11">
        <f t="shared" si="2"/>
        <v>98.820922035972274</v>
      </c>
      <c r="P11">
        <f t="shared" si="3"/>
        <v>106.9930360971653</v>
      </c>
      <c r="Q11">
        <f>LN([1]gpr!B411)-LN([1]gpr!B407)</f>
        <v>0.94350983332449978</v>
      </c>
      <c r="Y11">
        <f>LN([1]epu!B23)-LN([1]epu!B19)</f>
        <v>-3.5504998051282932E-2</v>
      </c>
      <c r="AF11">
        <f>LN([1]wui!B51)-LN([1]wui!B47)</f>
        <v>0.30830586581393682</v>
      </c>
      <c r="AL11" s="7">
        <v>0.13365810079434401</v>
      </c>
    </row>
    <row r="12" spans="1:42" x14ac:dyDescent="0.35">
      <c r="A12" t="s">
        <v>191</v>
      </c>
      <c r="B12" t="s">
        <v>14</v>
      </c>
      <c r="C12">
        <v>238.1247863769531</v>
      </c>
      <c r="D12">
        <f t="shared" si="4"/>
        <v>-0.45017479331078292</v>
      </c>
      <c r="E12">
        <f t="shared" si="0"/>
        <v>64.991678714158311</v>
      </c>
      <c r="F12">
        <v>26.89</v>
      </c>
      <c r="G12">
        <f t="shared" si="5"/>
        <v>6.095007454729906E-2</v>
      </c>
      <c r="H12">
        <f t="shared" si="6"/>
        <v>35.187123789583879</v>
      </c>
      <c r="L12" t="s">
        <v>14</v>
      </c>
      <c r="M12">
        <v>164.56773033504351</v>
      </c>
      <c r="N12">
        <f t="shared" si="7"/>
        <v>-0.44201146601517216</v>
      </c>
      <c r="O12">
        <f t="shared" si="2"/>
        <v>62.437957947395702</v>
      </c>
      <c r="P12">
        <f t="shared" si="3"/>
        <v>104.09001327191727</v>
      </c>
      <c r="Q12">
        <f>LN([1]gpr!B412)-LN([1]gpr!B408)</f>
        <v>-0.38438379551341662</v>
      </c>
      <c r="Y12">
        <f>LN([1]epu!B24)-LN([1]epu!B20)</f>
        <v>-8.1179717620075031E-2</v>
      </c>
      <c r="AF12">
        <f>LN([1]wui!B52)-LN([1]wui!B48)</f>
        <v>-0.57633788095487404</v>
      </c>
      <c r="AL12" s="7">
        <v>0.84603085014735202</v>
      </c>
    </row>
    <row r="13" spans="1:42" x14ac:dyDescent="0.35">
      <c r="A13" t="s">
        <v>191</v>
      </c>
      <c r="B13" t="s">
        <v>15</v>
      </c>
      <c r="C13">
        <v>289.10009765625</v>
      </c>
      <c r="D13">
        <f t="shared" si="4"/>
        <v>-0.5907172092183739</v>
      </c>
      <c r="E13">
        <f t="shared" si="0"/>
        <v>78.90443052561325</v>
      </c>
      <c r="F13">
        <v>26.74</v>
      </c>
      <c r="G13">
        <f t="shared" si="5"/>
        <v>0.32088750560451462</v>
      </c>
      <c r="H13">
        <f t="shared" si="6"/>
        <v>34.990840094216168</v>
      </c>
      <c r="L13" t="s">
        <v>15</v>
      </c>
      <c r="M13">
        <v>171.9134604815581</v>
      </c>
      <c r="N13">
        <f t="shared" si="7"/>
        <v>-0.57878989569237405</v>
      </c>
      <c r="O13">
        <f t="shared" si="2"/>
        <v>65.224970863276738</v>
      </c>
      <c r="P13">
        <f t="shared" si="3"/>
        <v>120.97273403312225</v>
      </c>
      <c r="Q13">
        <f>LN([1]gpr!B413)-LN([1]gpr!B409)</f>
        <v>-0.73323540352618277</v>
      </c>
      <c r="Y13">
        <f>LN([1]epu!B25)-LN([1]epu!B21)</f>
        <v>-0.11543228096832525</v>
      </c>
      <c r="AF13">
        <f>LN([1]wui!B53)-LN([1]wui!B49)</f>
        <v>0.17142517569088156</v>
      </c>
      <c r="AL13" s="7">
        <v>1.0106811892451499</v>
      </c>
    </row>
    <row r="14" spans="1:42" x14ac:dyDescent="0.35">
      <c r="A14" t="s">
        <v>191</v>
      </c>
      <c r="B14" t="s">
        <v>16</v>
      </c>
      <c r="C14">
        <v>296.126708984375</v>
      </c>
      <c r="D14">
        <f t="shared" si="4"/>
        <v>-0.69769344330806238</v>
      </c>
      <c r="E14">
        <f t="shared" si="0"/>
        <v>80.822211840338923</v>
      </c>
      <c r="F14">
        <v>31.5</v>
      </c>
      <c r="G14">
        <f t="shared" si="5"/>
        <v>0.39976708699352637</v>
      </c>
      <c r="H14">
        <f t="shared" si="6"/>
        <v>41.219576027218004</v>
      </c>
      <c r="L14" t="s">
        <v>16</v>
      </c>
      <c r="M14">
        <v>144.05434379264241</v>
      </c>
      <c r="N14">
        <f t="shared" si="7"/>
        <v>-0.80053149823287484</v>
      </c>
      <c r="O14">
        <f t="shared" si="2"/>
        <v>54.655059297183392</v>
      </c>
      <c r="P14">
        <f t="shared" si="3"/>
        <v>147.87690815752904</v>
      </c>
      <c r="Q14">
        <f>LN([1]gpr!B414)-LN([1]gpr!B410)</f>
        <v>0.53644806748849039</v>
      </c>
      <c r="Y14">
        <f>LN([1]epu!B26)-LN([1]epu!B22)</f>
        <v>0.49890507659052741</v>
      </c>
      <c r="AF14">
        <f>LN([1]wui!B54)-LN([1]wui!B50)</f>
        <v>0.12938215789091778</v>
      </c>
      <c r="AL14" s="7">
        <v>2.33949614887845</v>
      </c>
    </row>
    <row r="15" spans="1:42" x14ac:dyDescent="0.35">
      <c r="A15" t="s">
        <v>191</v>
      </c>
      <c r="B15" t="s">
        <v>17</v>
      </c>
      <c r="C15">
        <v>359.51605224609381</v>
      </c>
      <c r="D15">
        <f t="shared" si="4"/>
        <v>-7.4679686089816677E-2</v>
      </c>
      <c r="E15">
        <f t="shared" si="0"/>
        <v>98.123140037899532</v>
      </c>
      <c r="F15">
        <v>26.17</v>
      </c>
      <c r="G15">
        <f t="shared" si="5"/>
        <v>4.1347543372560747E-2</v>
      </c>
      <c r="H15">
        <f t="shared" si="6"/>
        <v>34.244962051818895</v>
      </c>
      <c r="L15" t="s">
        <v>17</v>
      </c>
      <c r="M15">
        <v>191.40404698098169</v>
      </c>
      <c r="N15">
        <f t="shared" si="7"/>
        <v>-0.30807155008748044</v>
      </c>
      <c r="O15">
        <f t="shared" si="2"/>
        <v>72.619813204138438</v>
      </c>
      <c r="P15">
        <f t="shared" si="3"/>
        <v>135.11896507096458</v>
      </c>
      <c r="Q15">
        <f>LN([1]gpr!B415)-LN([1]gpr!B411)</f>
        <v>0.18141297194514472</v>
      </c>
      <c r="Y15">
        <f>LN([1]epu!B27)-LN([1]epu!B23)</f>
        <v>0.26414141070483321</v>
      </c>
      <c r="AF15">
        <f>LN([1]wui!B55)-LN([1]wui!B51)</f>
        <v>0.652702446800145</v>
      </c>
      <c r="AL15" s="7">
        <v>0.67255052990706499</v>
      </c>
    </row>
    <row r="16" spans="1:42" x14ac:dyDescent="0.35">
      <c r="A16" t="s">
        <v>191</v>
      </c>
      <c r="B16" t="s">
        <v>18</v>
      </c>
      <c r="C16">
        <v>419.57696533203119</v>
      </c>
      <c r="D16">
        <f t="shared" si="4"/>
        <v>0.5664521295092122</v>
      </c>
      <c r="E16">
        <f t="shared" si="0"/>
        <v>114.51563586309695</v>
      </c>
      <c r="F16">
        <v>28.43</v>
      </c>
      <c r="G16">
        <f t="shared" si="5"/>
        <v>5.5690455382134907E-2</v>
      </c>
      <c r="H16">
        <f t="shared" si="6"/>
        <v>37.202303062025649</v>
      </c>
      <c r="L16" t="s">
        <v>18</v>
      </c>
      <c r="M16">
        <v>193.55546597592399</v>
      </c>
      <c r="N16">
        <f t="shared" si="7"/>
        <v>0.16224189723961846</v>
      </c>
      <c r="O16">
        <f t="shared" si="2"/>
        <v>73.436074134880769</v>
      </c>
      <c r="P16">
        <f t="shared" si="3"/>
        <v>155.93921272638423</v>
      </c>
      <c r="Q16">
        <f>LN([1]gpr!B416)-LN([1]gpr!B412)</f>
        <v>-8.1950522503086987E-2</v>
      </c>
      <c r="Y16">
        <f>LN([1]epu!B28)-LN([1]epu!B24)</f>
        <v>-0.35497113374156353</v>
      </c>
      <c r="AF16">
        <f>LN([1]wui!B56)-LN([1]wui!B52)</f>
        <v>0.52455017929740677</v>
      </c>
      <c r="AL16" s="7">
        <v>-0.35647503191762597</v>
      </c>
    </row>
    <row r="17" spans="1:38" x14ac:dyDescent="0.35">
      <c r="A17" t="s">
        <v>191</v>
      </c>
      <c r="B17" t="s">
        <v>19</v>
      </c>
      <c r="C17">
        <v>507.87423706054688</v>
      </c>
      <c r="D17">
        <f t="shared" si="4"/>
        <v>0.56346086527154604</v>
      </c>
      <c r="E17">
        <f t="shared" si="0"/>
        <v>138.61471434555364</v>
      </c>
      <c r="F17">
        <v>29.41</v>
      </c>
      <c r="G17">
        <f t="shared" si="5"/>
        <v>9.5174180892106719E-2</v>
      </c>
      <c r="H17">
        <f t="shared" si="6"/>
        <v>38.484689871761319</v>
      </c>
      <c r="L17" t="s">
        <v>19</v>
      </c>
      <c r="M17">
        <v>235.65557622971519</v>
      </c>
      <c r="N17">
        <f t="shared" si="7"/>
        <v>0.3153801028129255</v>
      </c>
      <c r="O17">
        <f t="shared" si="2"/>
        <v>89.409101825396263</v>
      </c>
      <c r="P17">
        <f t="shared" si="3"/>
        <v>155.03423199155853</v>
      </c>
      <c r="Q17">
        <f>LN([1]gpr!B417)-LN([1]gpr!B413)</f>
        <v>-0.35389116838492729</v>
      </c>
      <c r="Y17">
        <f>LN([1]epu!B29)-LN([1]epu!B25)</f>
        <v>-0.47385575022325632</v>
      </c>
      <c r="AF17">
        <f>LN([1]wui!B57)-LN([1]wui!B53)</f>
        <v>-0.83647229989182925</v>
      </c>
      <c r="AL17" s="7">
        <v>-0.61035025738607795</v>
      </c>
    </row>
    <row r="18" spans="1:38" x14ac:dyDescent="0.35">
      <c r="A18" t="s">
        <v>191</v>
      </c>
      <c r="B18" t="s">
        <v>20</v>
      </c>
      <c r="C18">
        <v>486.8843994140625</v>
      </c>
      <c r="D18">
        <f t="shared" si="4"/>
        <v>0.4972392884177772</v>
      </c>
      <c r="E18">
        <f t="shared" si="0"/>
        <v>132.88593320799001</v>
      </c>
      <c r="F18">
        <v>31.99</v>
      </c>
      <c r="G18">
        <f t="shared" si="5"/>
        <v>1.5435808129839579E-2</v>
      </c>
      <c r="H18">
        <f t="shared" si="6"/>
        <v>41.860769432085839</v>
      </c>
      <c r="L18" t="s">
        <v>20</v>
      </c>
      <c r="M18">
        <v>229.20963327681619</v>
      </c>
      <c r="N18">
        <f t="shared" si="7"/>
        <v>0.46444639812873501</v>
      </c>
      <c r="O18">
        <f t="shared" si="2"/>
        <v>86.963473425435794</v>
      </c>
      <c r="P18">
        <f t="shared" si="3"/>
        <v>152.80660715780752</v>
      </c>
      <c r="Q18">
        <f>LN([1]gpr!B418)-LN([1]gpr!B414)</f>
        <v>-0.78497208852830713</v>
      </c>
      <c r="Y18">
        <f>LN([1]epu!B30)-LN([1]epu!B26)</f>
        <v>-0.68638128169321799</v>
      </c>
      <c r="AF18">
        <f>LN([1]wui!B58)-LN([1]wui!B54)</f>
        <v>-0.46701121612643881</v>
      </c>
      <c r="AL18" s="7">
        <v>-0.61583866225088302</v>
      </c>
    </row>
    <row r="19" spans="1:38" x14ac:dyDescent="0.35">
      <c r="A19" t="s">
        <v>191</v>
      </c>
      <c r="B19" t="s">
        <v>21</v>
      </c>
      <c r="C19">
        <v>484.85537719726563</v>
      </c>
      <c r="D19">
        <f t="shared" si="4"/>
        <v>0.29909182737093243</v>
      </c>
      <c r="E19">
        <f t="shared" si="0"/>
        <v>132.33214978197907</v>
      </c>
      <c r="F19">
        <v>35.409999999999997</v>
      </c>
      <c r="G19">
        <f t="shared" si="5"/>
        <v>0.30238054958175775</v>
      </c>
      <c r="H19">
        <f t="shared" si="6"/>
        <v>46.336037686469503</v>
      </c>
      <c r="L19" t="s">
        <v>21</v>
      </c>
      <c r="M19">
        <v>240.86000061035159</v>
      </c>
      <c r="N19">
        <f t="shared" si="7"/>
        <v>0.22982923146980205</v>
      </c>
      <c r="O19">
        <f t="shared" si="2"/>
        <v>91.3836908287021</v>
      </c>
      <c r="P19">
        <f t="shared" si="3"/>
        <v>144.80937307515242</v>
      </c>
      <c r="Q19">
        <f>LN([1]gpr!B419)-LN([1]gpr!B415)</f>
        <v>-0.32330271455721959</v>
      </c>
      <c r="Y19">
        <f>LN([1]epu!B31)-LN([1]epu!B27)</f>
        <v>-0.30706439755703308</v>
      </c>
      <c r="AF19">
        <f>LN([1]wui!B59)-LN([1]wui!B55)</f>
        <v>-1.2395329534291815</v>
      </c>
      <c r="AL19" s="7">
        <v>-0.42779811988941702</v>
      </c>
    </row>
    <row r="20" spans="1:38" x14ac:dyDescent="0.35">
      <c r="A20" t="s">
        <v>191</v>
      </c>
      <c r="B20" t="s">
        <v>22</v>
      </c>
      <c r="C20">
        <v>384.01419067382813</v>
      </c>
      <c r="D20">
        <f t="shared" si="4"/>
        <v>-8.8567471500443418E-2</v>
      </c>
      <c r="E20">
        <f t="shared" si="0"/>
        <v>104.80944584425882</v>
      </c>
      <c r="F20">
        <v>41.39</v>
      </c>
      <c r="G20">
        <f t="shared" si="5"/>
        <v>0.37559438009773283</v>
      </c>
      <c r="H20">
        <f t="shared" si="6"/>
        <v>54.161214341795336</v>
      </c>
      <c r="L20" t="s">
        <v>22</v>
      </c>
      <c r="M20">
        <v>237.74000549316409</v>
      </c>
      <c r="N20">
        <f t="shared" si="7"/>
        <v>0.20561354539307519</v>
      </c>
      <c r="O20">
        <f t="shared" si="2"/>
        <v>90.199946460796994</v>
      </c>
      <c r="P20">
        <f t="shared" si="3"/>
        <v>116.19679385265651</v>
      </c>
      <c r="Q20">
        <f>LN([1]gpr!B420)-LN([1]gpr!B416)</f>
        <v>8.3153107759917688E-2</v>
      </c>
      <c r="Y20">
        <f>LN([1]epu!B32)-LN([1]epu!B28)</f>
        <v>-5.2578421299800837E-2</v>
      </c>
      <c r="AF20">
        <f>LN([1]wui!B60)-LN([1]wui!B56)</f>
        <v>-0.50623063574164462</v>
      </c>
      <c r="AL20" s="7">
        <v>-0.45404325815291102</v>
      </c>
    </row>
    <row r="21" spans="1:38" x14ac:dyDescent="0.35">
      <c r="A21" t="s">
        <v>191</v>
      </c>
      <c r="B21" t="s">
        <v>23</v>
      </c>
      <c r="C21">
        <v>433.10043334960938</v>
      </c>
      <c r="D21">
        <f t="shared" si="4"/>
        <v>-0.1592642032913929</v>
      </c>
      <c r="E21">
        <f t="shared" si="0"/>
        <v>118.20661193439224</v>
      </c>
      <c r="F21">
        <v>44.01</v>
      </c>
      <c r="G21">
        <f t="shared" si="5"/>
        <v>0.40308212825709644</v>
      </c>
      <c r="H21">
        <f t="shared" si="6"/>
        <v>57.589636220884579</v>
      </c>
      <c r="L21" t="s">
        <v>23</v>
      </c>
      <c r="M21">
        <v>251.02000427246091</v>
      </c>
      <c r="N21">
        <f t="shared" si="7"/>
        <v>6.3161317977208142E-2</v>
      </c>
      <c r="O21">
        <f t="shared" si="2"/>
        <v>95.238455551461868</v>
      </c>
      <c r="P21">
        <f t="shared" si="3"/>
        <v>124.11647296245746</v>
      </c>
      <c r="Q21">
        <f>LN([1]gpr!B421)-LN([1]gpr!B417)</f>
        <v>-9.6106171755065972E-3</v>
      </c>
      <c r="Y21">
        <f>LN([1]epu!B33)-LN([1]epu!B29)</f>
        <v>6.260977522654354E-2</v>
      </c>
      <c r="AF21">
        <f>LN([1]wui!B61)-LN([1]wui!B57)</f>
        <v>9.0677870651132864E-2</v>
      </c>
      <c r="AL21" s="7">
        <v>-0.79830485778252802</v>
      </c>
    </row>
    <row r="22" spans="1:38" x14ac:dyDescent="0.35">
      <c r="A22" t="s">
        <v>191</v>
      </c>
      <c r="B22" t="s">
        <v>24</v>
      </c>
      <c r="C22">
        <v>416.788330078125</v>
      </c>
      <c r="D22">
        <f t="shared" si="4"/>
        <v>-0.15544823084447579</v>
      </c>
      <c r="E22">
        <f t="shared" si="0"/>
        <v>113.75453035522283</v>
      </c>
      <c r="F22">
        <v>47.87</v>
      </c>
      <c r="G22">
        <f t="shared" si="5"/>
        <v>0.40306564944299073</v>
      </c>
      <c r="H22">
        <f t="shared" si="6"/>
        <v>62.640669981680183</v>
      </c>
      <c r="L22" t="s">
        <v>24</v>
      </c>
      <c r="M22">
        <v>262.19000244140619</v>
      </c>
      <c r="N22">
        <f t="shared" si="7"/>
        <v>0.13443242712765446</v>
      </c>
      <c r="O22">
        <f t="shared" si="2"/>
        <v>99.476418088377159</v>
      </c>
      <c r="P22">
        <f t="shared" si="3"/>
        <v>114.35326335751319</v>
      </c>
      <c r="Q22">
        <f>LN([1]gpr!B422)-LN([1]gpr!B418)</f>
        <v>-0.20086574240693533</v>
      </c>
      <c r="Y22">
        <f>LN([1]epu!B34)-LN([1]epu!B30)</f>
        <v>-0.29410004965626069</v>
      </c>
      <c r="AF22">
        <f>LN([1]wui!B62)-LN([1]wui!B58)</f>
        <v>-0.3345667582763312</v>
      </c>
      <c r="AL22" s="7">
        <v>-1.2149552280412299</v>
      </c>
    </row>
    <row r="23" spans="1:38" x14ac:dyDescent="0.35">
      <c r="A23" t="s">
        <v>191</v>
      </c>
      <c r="B23" t="s">
        <v>25</v>
      </c>
      <c r="C23">
        <v>418.86734008789063</v>
      </c>
      <c r="D23">
        <f t="shared" si="4"/>
        <v>-0.14629639610215062</v>
      </c>
      <c r="E23">
        <f t="shared" si="0"/>
        <v>114.32195700850836</v>
      </c>
      <c r="F23">
        <v>51.62</v>
      </c>
      <c r="G23">
        <f t="shared" si="5"/>
        <v>0.37691492816665573</v>
      </c>
      <c r="H23">
        <f t="shared" si="6"/>
        <v>67.547762365872799</v>
      </c>
      <c r="L23" t="s">
        <v>25</v>
      </c>
      <c r="M23">
        <v>275.92001342773438</v>
      </c>
      <c r="N23">
        <f t="shared" si="7"/>
        <v>0.13589516292751647</v>
      </c>
      <c r="O23">
        <f t="shared" si="2"/>
        <v>104.68566443841381</v>
      </c>
      <c r="P23">
        <f t="shared" si="3"/>
        <v>109.204978180908</v>
      </c>
      <c r="Q23">
        <f>LN([1]gpr!B423)-LN([1]gpr!B419)</f>
        <v>-0.4263026848136402</v>
      </c>
      <c r="Y23">
        <f>LN([1]epu!B35)-LN([1]epu!B31)</f>
        <v>-0.14922019826768018</v>
      </c>
      <c r="AF23">
        <f>LN([1]wui!B63)-LN([1]wui!B59)</f>
        <v>0.17364380617480712</v>
      </c>
      <c r="AL23" s="7">
        <v>-1.2163288490355599</v>
      </c>
    </row>
    <row r="24" spans="1:38" x14ac:dyDescent="0.35">
      <c r="A24" t="s">
        <v>191</v>
      </c>
      <c r="B24" t="s">
        <v>26</v>
      </c>
      <c r="C24">
        <v>475.09011840820313</v>
      </c>
      <c r="D24">
        <f t="shared" si="4"/>
        <v>0.21282500221948109</v>
      </c>
      <c r="E24">
        <f t="shared" si="0"/>
        <v>129.66690618665385</v>
      </c>
      <c r="F24">
        <v>61.57</v>
      </c>
      <c r="G24">
        <f t="shared" si="5"/>
        <v>0.39713543316247746</v>
      </c>
      <c r="H24">
        <f t="shared" si="6"/>
        <v>80.567914158597219</v>
      </c>
      <c r="L24" t="s">
        <v>26</v>
      </c>
      <c r="M24">
        <v>297.39999389648438</v>
      </c>
      <c r="N24">
        <f t="shared" si="7"/>
        <v>0.22390035084489579</v>
      </c>
      <c r="O24">
        <f t="shared" si="2"/>
        <v>112.83529446909</v>
      </c>
      <c r="P24">
        <f t="shared" si="3"/>
        <v>114.91697415844888</v>
      </c>
      <c r="Q24">
        <f>LN([1]gpr!B424)-LN([1]gpr!B420)</f>
        <v>-9.7019615561413808E-2</v>
      </c>
      <c r="Y24">
        <f>LN([1]epu!B36)-LN([1]epu!B32)</f>
        <v>-1.0019941451195891E-2</v>
      </c>
      <c r="AF24">
        <f>LN([1]wui!B64)-LN([1]wui!B60)</f>
        <v>0.33829604850195594</v>
      </c>
      <c r="AL24" s="7">
        <v>-0.78951848319025897</v>
      </c>
    </row>
    <row r="25" spans="1:38" x14ac:dyDescent="0.35">
      <c r="A25" t="s">
        <v>191</v>
      </c>
      <c r="B25" t="s">
        <v>27</v>
      </c>
      <c r="C25">
        <v>479.25808715820313</v>
      </c>
      <c r="D25">
        <f t="shared" si="4"/>
        <v>0.1012696075998063</v>
      </c>
      <c r="E25">
        <f t="shared" si="0"/>
        <v>130.80447481196208</v>
      </c>
      <c r="F25">
        <v>56.85</v>
      </c>
      <c r="G25">
        <f t="shared" si="5"/>
        <v>0.25599933937354491</v>
      </c>
      <c r="H25">
        <f t="shared" si="6"/>
        <v>74.391520544360105</v>
      </c>
      <c r="L25" t="s">
        <v>27</v>
      </c>
      <c r="M25">
        <v>310.02999877929688</v>
      </c>
      <c r="N25">
        <f t="shared" si="7"/>
        <v>0.21113642880034877</v>
      </c>
      <c r="O25">
        <f t="shared" si="2"/>
        <v>117.62719207953256</v>
      </c>
      <c r="P25">
        <f t="shared" si="3"/>
        <v>111.20258207262128</v>
      </c>
      <c r="Q25">
        <f>LN([1]gpr!B425)-LN([1]gpr!B421)</f>
        <v>-0.2818616202036841</v>
      </c>
      <c r="Y25">
        <f>LN([1]epu!B37)-LN([1]epu!B33)</f>
        <v>-0.21219653430526542</v>
      </c>
      <c r="AF25">
        <f>LN([1]wui!B65)-LN([1]wui!B61)</f>
        <v>-8.1808863579521329E-2</v>
      </c>
      <c r="AL25" s="7">
        <v>-1.29182589963227</v>
      </c>
    </row>
    <row r="26" spans="1:38" x14ac:dyDescent="0.35">
      <c r="A26" t="s">
        <v>191</v>
      </c>
      <c r="B26" t="s">
        <v>28</v>
      </c>
      <c r="C26">
        <v>499.40835571289063</v>
      </c>
      <c r="D26">
        <f t="shared" si="4"/>
        <v>0.18084561801497401</v>
      </c>
      <c r="E26">
        <f t="shared" si="0"/>
        <v>136.30411136738206</v>
      </c>
      <c r="F26">
        <v>61.79</v>
      </c>
      <c r="G26">
        <f t="shared" si="5"/>
        <v>0.25525253566847095</v>
      </c>
      <c r="H26">
        <f t="shared" si="6"/>
        <v>80.855796911803196</v>
      </c>
      <c r="L26" t="s">
        <v>28</v>
      </c>
      <c r="M26">
        <v>334.44000244140619</v>
      </c>
      <c r="N26">
        <f t="shared" si="7"/>
        <v>0.2433880574932763</v>
      </c>
      <c r="O26">
        <f t="shared" si="2"/>
        <v>126.88849002079733</v>
      </c>
      <c r="P26">
        <f t="shared" si="3"/>
        <v>107.42039041133005</v>
      </c>
      <c r="Q26">
        <f>LN([1]gpr!B426)-LN([1]gpr!B422)</f>
        <v>-5.8669475349478972E-2</v>
      </c>
      <c r="Y26">
        <f>LN([1]epu!B38)-LN([1]epu!B34)</f>
        <v>0.11627047216568709</v>
      </c>
      <c r="AF26">
        <f>LN([1]wui!B66)-LN([1]wui!B62)</f>
        <v>1.2931598161323166E-3</v>
      </c>
      <c r="AL26" s="7">
        <v>-1.2730023111868001</v>
      </c>
    </row>
    <row r="27" spans="1:38" x14ac:dyDescent="0.35">
      <c r="A27" t="s">
        <v>191</v>
      </c>
      <c r="B27" t="s">
        <v>29</v>
      </c>
      <c r="C27">
        <v>441.50637817382813</v>
      </c>
      <c r="D27">
        <f t="shared" si="4"/>
        <v>5.2638207517891722E-2</v>
      </c>
      <c r="E27">
        <f t="shared" si="0"/>
        <v>120.50085636655203</v>
      </c>
      <c r="F27">
        <v>69.489999999999995</v>
      </c>
      <c r="G27">
        <f t="shared" si="5"/>
        <v>0.29727366303576819</v>
      </c>
      <c r="H27">
        <f t="shared" si="6"/>
        <v>90.931693274012019</v>
      </c>
      <c r="L27" t="s">
        <v>29</v>
      </c>
      <c r="M27">
        <v>320.66000366210938</v>
      </c>
      <c r="N27">
        <f t="shared" si="7"/>
        <v>0.15027036588732656</v>
      </c>
      <c r="O27">
        <f t="shared" si="2"/>
        <v>121.66027801018492</v>
      </c>
      <c r="P27">
        <f t="shared" si="3"/>
        <v>99.04700066233957</v>
      </c>
      <c r="Q27">
        <f>LN([1]gpr!B427)-LN([1]gpr!B423)</f>
        <v>3.8427783476659094E-2</v>
      </c>
      <c r="Y27">
        <f>LN([1]epu!B39)-LN([1]epu!B35)</f>
        <v>-1.2953145971812852E-2</v>
      </c>
      <c r="AF27">
        <f>LN([1]wui!B67)-LN([1]wui!B63)</f>
        <v>-0.36534720349060379</v>
      </c>
      <c r="AL27" s="7">
        <v>-1.11912166077922</v>
      </c>
    </row>
    <row r="28" spans="1:38" x14ac:dyDescent="0.35">
      <c r="A28" t="s">
        <v>191</v>
      </c>
      <c r="B28" t="s">
        <v>30</v>
      </c>
      <c r="C28">
        <v>454.4801025390625</v>
      </c>
      <c r="D28">
        <f t="shared" si="4"/>
        <v>-4.4350375136881226E-2</v>
      </c>
      <c r="E28">
        <f t="shared" si="0"/>
        <v>124.04179025462111</v>
      </c>
      <c r="F28">
        <v>69.73</v>
      </c>
      <c r="G28">
        <f t="shared" si="5"/>
        <v>0.12445590230980041</v>
      </c>
      <c r="H28">
        <f t="shared" si="6"/>
        <v>91.245747186600369</v>
      </c>
      <c r="L28" t="s">
        <v>30</v>
      </c>
      <c r="M28">
        <v>341.42999267578119</v>
      </c>
      <c r="N28">
        <f t="shared" si="7"/>
        <v>0.13806464500717386</v>
      </c>
      <c r="O28">
        <f t="shared" si="2"/>
        <v>129.54053313652884</v>
      </c>
      <c r="P28">
        <f t="shared" si="3"/>
        <v>95.755195112473132</v>
      </c>
      <c r="Q28">
        <f>LN([1]gpr!B428)-LN([1]gpr!B424)</f>
        <v>2.5588424656975306E-2</v>
      </c>
      <c r="Y28">
        <f>LN([1]epu!B40)-LN([1]epu!B36)</f>
        <v>-0.14982309160954621</v>
      </c>
      <c r="AF28">
        <f>LN([1]wui!B68)-LN([1]wui!B64)</f>
        <v>-0.53264859031335554</v>
      </c>
      <c r="AL28" s="7">
        <v>-0.74574596611213695</v>
      </c>
    </row>
    <row r="29" spans="1:38" x14ac:dyDescent="0.35">
      <c r="A29" t="s">
        <v>191</v>
      </c>
      <c r="B29" t="s">
        <v>31</v>
      </c>
      <c r="C29">
        <v>466.81414794921881</v>
      </c>
      <c r="D29">
        <f t="shared" si="4"/>
        <v>-2.6308048068601764E-2</v>
      </c>
      <c r="E29">
        <f t="shared" si="0"/>
        <v>127.40813581124772</v>
      </c>
      <c r="F29">
        <v>59.55</v>
      </c>
      <c r="G29">
        <f t="shared" si="5"/>
        <v>4.6400075604764446E-2</v>
      </c>
      <c r="H29">
        <f t="shared" si="6"/>
        <v>77.924627060978793</v>
      </c>
      <c r="L29" t="s">
        <v>31</v>
      </c>
      <c r="M29">
        <v>365.260009765625</v>
      </c>
      <c r="N29">
        <f t="shared" si="7"/>
        <v>0.16394039244693825</v>
      </c>
      <c r="O29">
        <f t="shared" si="2"/>
        <v>138.58178078521536</v>
      </c>
      <c r="P29">
        <f t="shared" si="3"/>
        <v>91.937147213250626</v>
      </c>
      <c r="Q29">
        <f>LN([1]gpr!B429)-LN([1]gpr!B425)</f>
        <v>9.5444850507240275E-2</v>
      </c>
      <c r="Y29">
        <f>LN([1]epu!B41)-LN([1]epu!B37)</f>
        <v>-0.10403260343028542</v>
      </c>
      <c r="AF29">
        <f>LN([1]wui!B69)-LN([1]wui!B65)</f>
        <v>-0.29569189605178892</v>
      </c>
      <c r="AL29" s="7">
        <v>-1.3187621398081699</v>
      </c>
    </row>
    <row r="30" spans="1:38" x14ac:dyDescent="0.35">
      <c r="A30" t="s">
        <v>191</v>
      </c>
      <c r="B30" t="s">
        <v>32</v>
      </c>
      <c r="C30">
        <v>465.3448486328125</v>
      </c>
      <c r="D30">
        <f t="shared" si="4"/>
        <v>-7.0645368515680929E-2</v>
      </c>
      <c r="E30">
        <f t="shared" si="0"/>
        <v>127.00711821639874</v>
      </c>
      <c r="F30">
        <v>57.84</v>
      </c>
      <c r="G30">
        <f t="shared" si="5"/>
        <v>-6.6060961222379255E-2</v>
      </c>
      <c r="H30">
        <f t="shared" si="6"/>
        <v>75.686992933786968</v>
      </c>
      <c r="L30" t="s">
        <v>32</v>
      </c>
      <c r="M30">
        <v>374.22000122070313</v>
      </c>
      <c r="N30">
        <f t="shared" si="7"/>
        <v>0.11238636444623928</v>
      </c>
      <c r="O30">
        <f t="shared" si="2"/>
        <v>141.9812538686821</v>
      </c>
      <c r="P30">
        <f t="shared" si="3"/>
        <v>89.453441743701674</v>
      </c>
      <c r="Q30">
        <f>LN([1]gpr!B430)-LN([1]gpr!B426)</f>
        <v>-6.1635146139549235E-3</v>
      </c>
      <c r="Y30">
        <f>LN([1]epu!B42)-LN([1]epu!B38)</f>
        <v>-3.0352118311110843E-2</v>
      </c>
      <c r="AF30">
        <f>LN([1]wui!B70)-LN([1]wui!B66)</f>
        <v>0.14514834489266981</v>
      </c>
      <c r="AL30" s="7">
        <v>-1.2687289727626301</v>
      </c>
    </row>
    <row r="31" spans="1:38" x14ac:dyDescent="0.35">
      <c r="A31" t="s">
        <v>191</v>
      </c>
      <c r="B31" t="s">
        <v>33</v>
      </c>
      <c r="C31">
        <v>500.91763305664063</v>
      </c>
      <c r="D31">
        <f t="shared" si="4"/>
        <v>0.12624921595280281</v>
      </c>
      <c r="E31">
        <f t="shared" si="0"/>
        <v>136.71604021237124</v>
      </c>
      <c r="F31">
        <v>68.59</v>
      </c>
      <c r="G31">
        <f t="shared" si="5"/>
        <v>-1.3036105815006138E-2</v>
      </c>
      <c r="H31">
        <f t="shared" si="6"/>
        <v>89.753991101805809</v>
      </c>
      <c r="L31" t="s">
        <v>33</v>
      </c>
      <c r="M31">
        <v>393.70999145507813</v>
      </c>
      <c r="N31">
        <f t="shared" si="7"/>
        <v>0.20523319279309327</v>
      </c>
      <c r="O31">
        <f t="shared" si="2"/>
        <v>149.37586998310223</v>
      </c>
      <c r="P31">
        <f t="shared" si="3"/>
        <v>91.524849514072713</v>
      </c>
      <c r="Q31">
        <f>LN([1]gpr!B431)-LN([1]gpr!B427)</f>
        <v>-3.5343293104938667E-2</v>
      </c>
      <c r="Y31">
        <f>LN([1]epu!B43)-LN([1]epu!B39)</f>
        <v>-0.17183596236485243</v>
      </c>
      <c r="AF31">
        <f>LN([1]wui!B71)-LN([1]wui!B67)</f>
        <v>0.807172552245909</v>
      </c>
      <c r="AL31" s="7">
        <v>-1.27456082316618</v>
      </c>
    </row>
    <row r="32" spans="1:38" x14ac:dyDescent="0.35">
      <c r="A32" t="s">
        <v>191</v>
      </c>
      <c r="B32" t="s">
        <v>34</v>
      </c>
      <c r="C32">
        <v>499.84814453125</v>
      </c>
      <c r="D32">
        <f t="shared" si="4"/>
        <v>9.5150207487911587E-2</v>
      </c>
      <c r="E32">
        <f t="shared" si="0"/>
        <v>136.42414344812329</v>
      </c>
      <c r="F32">
        <v>74.75</v>
      </c>
      <c r="G32">
        <f t="shared" si="5"/>
        <v>6.9518571037876953E-2</v>
      </c>
      <c r="H32">
        <f t="shared" si="6"/>
        <v>97.81470819157289</v>
      </c>
      <c r="L32" t="s">
        <v>34</v>
      </c>
      <c r="M32">
        <v>377.8599853515625</v>
      </c>
      <c r="N32">
        <f t="shared" si="7"/>
        <v>0.10138105936802244</v>
      </c>
      <c r="O32">
        <f t="shared" si="2"/>
        <v>143.36228510505561</v>
      </c>
      <c r="P32">
        <f t="shared" si="3"/>
        <v>95.160413597029319</v>
      </c>
      <c r="Q32">
        <f>LN([1]gpr!B432)-LN([1]gpr!B428)</f>
        <v>-0.31135356690810134</v>
      </c>
      <c r="Y32">
        <f>LN([1]epu!B44)-LN([1]epu!B40)</f>
        <v>0.18005496943101296</v>
      </c>
      <c r="AF32">
        <f>LN([1]wui!B72)-LN([1]wui!B68)</f>
        <v>0.61228754968693977</v>
      </c>
      <c r="AL32" s="7">
        <v>-0.64849900759021295</v>
      </c>
    </row>
    <row r="33" spans="1:38" x14ac:dyDescent="0.35">
      <c r="A33" t="s">
        <v>191</v>
      </c>
      <c r="B33" t="s">
        <v>35</v>
      </c>
      <c r="C33">
        <v>407.84268188476563</v>
      </c>
      <c r="D33">
        <f t="shared" si="4"/>
        <v>-0.13504969189570204</v>
      </c>
      <c r="E33">
        <f t="shared" si="0"/>
        <v>111.31298404616973</v>
      </c>
      <c r="F33">
        <v>88.29</v>
      </c>
      <c r="G33">
        <f t="shared" si="5"/>
        <v>0.39381055511218133</v>
      </c>
      <c r="H33">
        <f t="shared" si="6"/>
        <v>115.53258309343104</v>
      </c>
      <c r="L33" t="s">
        <v>35</v>
      </c>
      <c r="M33">
        <v>364.6400146484375</v>
      </c>
      <c r="N33">
        <f t="shared" si="7"/>
        <v>-1.698849830286342E-3</v>
      </c>
      <c r="O33">
        <f t="shared" si="2"/>
        <v>138.34655101704797</v>
      </c>
      <c r="P33">
        <f t="shared" si="3"/>
        <v>80.459529513282206</v>
      </c>
      <c r="Q33">
        <f>LN([1]gpr!B433)-LN([1]gpr!B429)</f>
        <v>-2.171922966637041E-2</v>
      </c>
      <c r="Y33">
        <f>LN([1]epu!B45)-LN([1]epu!B41)</f>
        <v>0.38962906682348475</v>
      </c>
      <c r="AF33">
        <f>LN([1]wui!B73)-LN([1]wui!B69)</f>
        <v>0.42490594404031512</v>
      </c>
      <c r="AL33" s="8">
        <v>-0.56488450648826205</v>
      </c>
    </row>
    <row r="34" spans="1:38" x14ac:dyDescent="0.35">
      <c r="A34" t="s">
        <v>191</v>
      </c>
      <c r="B34" t="s">
        <v>36</v>
      </c>
      <c r="C34">
        <v>343.77365112304688</v>
      </c>
      <c r="D34">
        <f t="shared" si="4"/>
        <v>-0.30279529081261725</v>
      </c>
      <c r="E34">
        <f t="shared" si="0"/>
        <v>93.826547937827868</v>
      </c>
      <c r="F34">
        <v>96.86</v>
      </c>
      <c r="G34">
        <f t="shared" si="5"/>
        <v>0.51558605912457356</v>
      </c>
      <c r="H34">
        <f t="shared" si="6"/>
        <v>126.74692488877257</v>
      </c>
      <c r="L34" t="s">
        <v>36</v>
      </c>
      <c r="M34">
        <v>305.95999145507813</v>
      </c>
      <c r="N34">
        <f t="shared" si="7"/>
        <v>-0.20138951650264669</v>
      </c>
      <c r="O34">
        <f t="shared" ref="O34:O65" si="8">M34/M$42*100</f>
        <v>116.08300753230819</v>
      </c>
      <c r="P34">
        <f t="shared" ref="P34:P65" si="9">(E34/O34)*100</f>
        <v>80.827116674862239</v>
      </c>
      <c r="Q34">
        <f>LN([1]gpr!B434)-LN([1]gpr!B430)</f>
        <v>-0.1596994275578254</v>
      </c>
      <c r="Y34">
        <f>LN([1]epu!B46)-LN([1]epu!B42)</f>
        <v>0.65262963127706275</v>
      </c>
      <c r="AF34">
        <f>LN([1]wui!B74)-LN([1]wui!B70)</f>
        <v>-1.3615753653184015E-2</v>
      </c>
      <c r="AL34" s="8">
        <v>-0.31160186069143297</v>
      </c>
    </row>
    <row r="35" spans="1:38" x14ac:dyDescent="0.35">
      <c r="A35" t="s">
        <v>191</v>
      </c>
      <c r="B35" t="s">
        <v>37</v>
      </c>
      <c r="C35">
        <v>368.00192260742188</v>
      </c>
      <c r="D35">
        <f t="shared" si="4"/>
        <v>-0.30835351986033022</v>
      </c>
      <c r="E35">
        <f t="shared" si="0"/>
        <v>100.43919864114123</v>
      </c>
      <c r="F35">
        <v>121.2</v>
      </c>
      <c r="G35">
        <f t="shared" si="5"/>
        <v>0.56929532212398382</v>
      </c>
      <c r="H35">
        <f t="shared" si="6"/>
        <v>158.59722585710549</v>
      </c>
      <c r="L35" t="s">
        <v>37</v>
      </c>
      <c r="M35">
        <v>289.3900146484375</v>
      </c>
      <c r="N35">
        <f t="shared" si="7"/>
        <v>-0.30783926600579736</v>
      </c>
      <c r="O35">
        <f t="shared" si="8"/>
        <v>109.79626156494253</v>
      </c>
      <c r="P35">
        <f t="shared" si="9"/>
        <v>91.477794607545221</v>
      </c>
      <c r="Q35">
        <f>LN([1]gpr!B435)-LN([1]gpr!B431)</f>
        <v>-0.14108847217652798</v>
      </c>
      <c r="Y35">
        <f>LN([1]epu!B47)-LN([1]epu!B43)</f>
        <v>0.37859094329732379</v>
      </c>
      <c r="AF35">
        <f>LN([1]wui!B75)-LN([1]wui!B71)</f>
        <v>-2.4155570501372736E-2</v>
      </c>
      <c r="AL35" s="8">
        <v>-0.85427463774559598</v>
      </c>
    </row>
    <row r="36" spans="1:38" x14ac:dyDescent="0.35">
      <c r="A36" t="s">
        <v>191</v>
      </c>
      <c r="B36" t="s">
        <v>38</v>
      </c>
      <c r="C36">
        <v>306.74160766601563</v>
      </c>
      <c r="D36">
        <f t="shared" si="4"/>
        <v>-0.4882986170104191</v>
      </c>
      <c r="E36">
        <f t="shared" si="0"/>
        <v>83.719348653339338</v>
      </c>
      <c r="F36">
        <v>114.69</v>
      </c>
      <c r="G36">
        <f t="shared" si="5"/>
        <v>0.42808362410563472</v>
      </c>
      <c r="H36">
        <f t="shared" si="6"/>
        <v>150.07851347814707</v>
      </c>
      <c r="L36" t="s">
        <v>38</v>
      </c>
      <c r="M36">
        <v>256.04998779296881</v>
      </c>
      <c r="N36">
        <f t="shared" si="7"/>
        <v>-0.38915102764417941</v>
      </c>
      <c r="O36">
        <f t="shared" si="8"/>
        <v>97.146860673718621</v>
      </c>
      <c r="P36">
        <f t="shared" si="9"/>
        <v>86.178130793667677</v>
      </c>
      <c r="Q36">
        <f>LN([1]gpr!B436)-LN([1]gpr!B432)</f>
        <v>-8.3274506540168325E-2</v>
      </c>
      <c r="Y36">
        <f>LN([1]epu!B48)-LN([1]epu!B44)</f>
        <v>0.43399515272189504</v>
      </c>
      <c r="AF36">
        <f>LN([1]wui!B76)-LN([1]wui!B72)</f>
        <v>-0.44252040504602519</v>
      </c>
      <c r="AL36" s="8">
        <v>-0.26893607687391602</v>
      </c>
    </row>
    <row r="37" spans="1:38" x14ac:dyDescent="0.35">
      <c r="A37" t="s">
        <v>191</v>
      </c>
      <c r="B37" t="s">
        <v>39</v>
      </c>
      <c r="C37">
        <v>212.0673828125</v>
      </c>
      <c r="D37">
        <f t="shared" si="4"/>
        <v>-0.65397744880624398</v>
      </c>
      <c r="E37">
        <f t="shared" si="0"/>
        <v>57.879800835535221</v>
      </c>
      <c r="F37">
        <v>55.03</v>
      </c>
      <c r="G37">
        <f t="shared" si="5"/>
        <v>-0.47274835984182317</v>
      </c>
      <c r="H37">
        <f t="shared" si="6"/>
        <v>72.009945040565299</v>
      </c>
      <c r="L37" t="s">
        <v>39</v>
      </c>
      <c r="M37">
        <v>196.8999938964844</v>
      </c>
      <c r="N37">
        <f t="shared" si="7"/>
        <v>-0.61621465102266892</v>
      </c>
      <c r="O37">
        <f t="shared" si="8"/>
        <v>74.705007559633557</v>
      </c>
      <c r="P37">
        <f t="shared" si="9"/>
        <v>77.477806008295289</v>
      </c>
      <c r="Q37">
        <f>LN([1]gpr!B437)-LN([1]gpr!B433)</f>
        <v>-0.19465047143893521</v>
      </c>
      <c r="Y37">
        <f>LN([1]epu!B49)-LN([1]epu!B45)</f>
        <v>0.65096831009010803</v>
      </c>
      <c r="AF37">
        <f>LN([1]wui!B77)-LN([1]wui!B73)</f>
        <v>-4.4176978498661867E-2</v>
      </c>
      <c r="AL37" s="8">
        <v>1.7377063337552401</v>
      </c>
    </row>
    <row r="38" spans="1:38" x14ac:dyDescent="0.35">
      <c r="A38" t="s">
        <v>191</v>
      </c>
      <c r="B38" t="s">
        <v>40</v>
      </c>
      <c r="C38">
        <v>230.79832458496091</v>
      </c>
      <c r="D38">
        <f t="shared" si="4"/>
        <v>-0.39843917443734167</v>
      </c>
      <c r="E38">
        <f t="shared" si="0"/>
        <v>62.992058858781505</v>
      </c>
      <c r="F38">
        <v>44.52</v>
      </c>
      <c r="G38">
        <f t="shared" si="5"/>
        <v>-0.77732811056773876</v>
      </c>
      <c r="H38">
        <f t="shared" si="6"/>
        <v>58.257000785134785</v>
      </c>
      <c r="L38" t="s">
        <v>40</v>
      </c>
      <c r="M38">
        <v>176.46000671386719</v>
      </c>
      <c r="N38">
        <f t="shared" si="7"/>
        <v>-0.55036008668394487</v>
      </c>
      <c r="O38">
        <f t="shared" si="8"/>
        <v>66.949957055167829</v>
      </c>
      <c r="P38">
        <f t="shared" si="9"/>
        <v>94.088273733880129</v>
      </c>
      <c r="Q38">
        <f>LN([1]gpr!B438)-LN([1]gpr!B434)</f>
        <v>-6.1996960138827717E-2</v>
      </c>
      <c r="Y38">
        <f>LN([1]epu!B50)-LN([1]epu!B46)</f>
        <v>0.19095845792093868</v>
      </c>
      <c r="AF38">
        <f>LN([1]wui!B78)-LN([1]wui!B74)</f>
        <v>0.50317672996326124</v>
      </c>
      <c r="AL38" s="8">
        <v>0.80920448484472596</v>
      </c>
    </row>
    <row r="39" spans="1:38" x14ac:dyDescent="0.35">
      <c r="A39" t="s">
        <v>191</v>
      </c>
      <c r="B39" t="s">
        <v>41</v>
      </c>
      <c r="C39">
        <v>263.02273559570313</v>
      </c>
      <c r="D39">
        <f t="shared" si="4"/>
        <v>-0.33584768705859513</v>
      </c>
      <c r="E39">
        <f t="shared" si="0"/>
        <v>71.787105351118612</v>
      </c>
      <c r="F39">
        <v>58.88</v>
      </c>
      <c r="G39">
        <f t="shared" si="5"/>
        <v>-0.72194059921459264</v>
      </c>
      <c r="H39">
        <f t="shared" si="6"/>
        <v>77.04789322166971</v>
      </c>
      <c r="L39" t="s">
        <v>41</v>
      </c>
      <c r="M39">
        <v>205.83000183105469</v>
      </c>
      <c r="N39">
        <f t="shared" si="7"/>
        <v>-0.34072471570165863</v>
      </c>
      <c r="O39">
        <f t="shared" si="8"/>
        <v>78.093104720319019</v>
      </c>
      <c r="P39">
        <f t="shared" si="9"/>
        <v>91.925024121163347</v>
      </c>
      <c r="Q39">
        <f>LN([1]gpr!B439)-LN([1]gpr!B435)</f>
        <v>0.10019271934534046</v>
      </c>
      <c r="Y39">
        <f>LN([1]epu!B51)-LN([1]epu!B47)</f>
        <v>0.22509203399886424</v>
      </c>
      <c r="AF39">
        <f>LN([1]wui!B79)-LN([1]wui!B75)</f>
        <v>5.1538366066832708E-2</v>
      </c>
      <c r="AL39" s="8">
        <v>4.9969597834283203E-2</v>
      </c>
    </row>
    <row r="40" spans="1:38" x14ac:dyDescent="0.35">
      <c r="A40" t="s">
        <v>191</v>
      </c>
      <c r="B40" t="s">
        <v>42</v>
      </c>
      <c r="C40">
        <v>325.59246826171881</v>
      </c>
      <c r="D40">
        <f t="shared" si="4"/>
        <v>5.9640777641745579E-2</v>
      </c>
      <c r="E40">
        <f t="shared" si="0"/>
        <v>88.864336262407079</v>
      </c>
      <c r="F40">
        <v>68.14</v>
      </c>
      <c r="G40">
        <f t="shared" si="5"/>
        <v>-0.52066842414361059</v>
      </c>
      <c r="H40">
        <f t="shared" si="6"/>
        <v>89.16514001570269</v>
      </c>
      <c r="L40" t="s">
        <v>42</v>
      </c>
      <c r="M40">
        <v>242.4700012207031</v>
      </c>
      <c r="N40">
        <f t="shared" si="7"/>
        <v>-5.4494693815251516E-2</v>
      </c>
      <c r="O40">
        <f t="shared" si="8"/>
        <v>91.99453446250412</v>
      </c>
      <c r="P40">
        <f t="shared" si="9"/>
        <v>96.597408510857917</v>
      </c>
      <c r="Q40">
        <f>LN([1]gpr!B440)-LN([1]gpr!B436)</f>
        <v>-6.6569216025228251E-2</v>
      </c>
      <c r="Y40">
        <f>LN([1]epu!B52)-LN([1]epu!B48)</f>
        <v>-0.10527693929737847</v>
      </c>
      <c r="AF40">
        <f>LN([1]wui!B80)-LN([1]wui!B76)</f>
        <v>3.2157809955887018E-2</v>
      </c>
      <c r="AL40" s="8">
        <v>-0.39729425291579201</v>
      </c>
    </row>
    <row r="41" spans="1:38" x14ac:dyDescent="0.35">
      <c r="A41" t="s">
        <v>191</v>
      </c>
      <c r="B41" t="s">
        <v>43</v>
      </c>
      <c r="C41">
        <v>359.73593139648438</v>
      </c>
      <c r="D41">
        <f t="shared" si="4"/>
        <v>0.52846617076554381</v>
      </c>
      <c r="E41">
        <f t="shared" si="0"/>
        <v>98.183151913670855</v>
      </c>
      <c r="F41">
        <v>74.569999999999993</v>
      </c>
      <c r="G41">
        <f t="shared" si="5"/>
        <v>0.30385979048403566</v>
      </c>
      <c r="H41">
        <f t="shared" si="6"/>
        <v>97.579167757131628</v>
      </c>
      <c r="L41" t="s">
        <v>43</v>
      </c>
      <c r="M41">
        <v>253.1600036621094</v>
      </c>
      <c r="N41">
        <f t="shared" si="7"/>
        <v>0.25132575972566507</v>
      </c>
      <c r="O41">
        <f t="shared" si="8"/>
        <v>96.050383817266422</v>
      </c>
      <c r="P41">
        <f t="shared" si="9"/>
        <v>102.22046806232652</v>
      </c>
      <c r="Q41">
        <f>LN([1]gpr!B441)-LN([1]gpr!B437)</f>
        <v>0.11991981267842355</v>
      </c>
      <c r="Y41">
        <f>LN([1]epu!B53)-LN([1]epu!B49)</f>
        <v>-0.50764876621138288</v>
      </c>
      <c r="AF41">
        <f>LN([1]wui!B81)-LN([1]wui!B77)</f>
        <v>0.35824655386980275</v>
      </c>
      <c r="AL41" s="8">
        <v>-0.49861643843222297</v>
      </c>
    </row>
    <row r="42" spans="1:38" x14ac:dyDescent="0.35">
      <c r="A42" t="s">
        <v>191</v>
      </c>
      <c r="B42" t="s">
        <v>44</v>
      </c>
      <c r="C42">
        <v>366.39273071289063</v>
      </c>
      <c r="D42">
        <f t="shared" si="4"/>
        <v>0.46216151740212119</v>
      </c>
      <c r="E42">
        <f t="shared" si="0"/>
        <v>100</v>
      </c>
      <c r="F42">
        <v>76.42</v>
      </c>
      <c r="G42">
        <f t="shared" si="5"/>
        <v>0.54030591561140984</v>
      </c>
      <c r="H42">
        <f t="shared" si="6"/>
        <v>100</v>
      </c>
      <c r="L42" t="s">
        <v>44</v>
      </c>
      <c r="M42">
        <v>263.57000732421881</v>
      </c>
      <c r="N42">
        <f t="shared" si="7"/>
        <v>0.40122475529745127</v>
      </c>
      <c r="O42">
        <f t="shared" si="8"/>
        <v>100</v>
      </c>
      <c r="P42">
        <f t="shared" si="9"/>
        <v>100</v>
      </c>
      <c r="Q42">
        <f>LN([1]gpr!B442)-LN([1]gpr!B438)</f>
        <v>8.8878084296784898E-2</v>
      </c>
      <c r="Y42">
        <f>LN([1]epu!B54)-LN([1]epu!B50)</f>
        <v>-0.2103267937389548</v>
      </c>
      <c r="AF42">
        <f>LN([1]wui!B82)-LN([1]wui!B78)</f>
        <v>-0.10041672820873693</v>
      </c>
      <c r="AL42" s="8">
        <v>-0.62766155778055899</v>
      </c>
    </row>
    <row r="43" spans="1:38" x14ac:dyDescent="0.35">
      <c r="A43" t="s">
        <v>191</v>
      </c>
      <c r="B43" t="s">
        <v>45</v>
      </c>
      <c r="C43">
        <v>332.1392822265625</v>
      </c>
      <c r="D43">
        <f t="shared" si="4"/>
        <v>0.23331393014599833</v>
      </c>
      <c r="E43">
        <f t="shared" si="0"/>
        <v>90.65116591705268</v>
      </c>
      <c r="F43">
        <v>78.489999999999995</v>
      </c>
      <c r="G43">
        <f t="shared" si="5"/>
        <v>0.28746975371810102</v>
      </c>
      <c r="H43">
        <f t="shared" si="6"/>
        <v>102.70871499607432</v>
      </c>
      <c r="L43" t="s">
        <v>45</v>
      </c>
      <c r="M43">
        <v>243.32000732421881</v>
      </c>
      <c r="N43">
        <f t="shared" si="7"/>
        <v>0.16732688528681727</v>
      </c>
      <c r="O43">
        <f t="shared" si="8"/>
        <v>92.317031742124442</v>
      </c>
      <c r="P43">
        <f t="shared" si="9"/>
        <v>98.195494597654374</v>
      </c>
      <c r="Q43">
        <f>LN([1]gpr!B443)-LN([1]gpr!B439)</f>
        <v>6.6716301896883046E-2</v>
      </c>
      <c r="Y43">
        <f>LN([1]epu!B55)-LN([1]epu!B51)</f>
        <v>0.19670790991023068</v>
      </c>
      <c r="AF43">
        <f>LN([1]wui!B83)-LN([1]wui!B79)</f>
        <v>0.12271152524985318</v>
      </c>
      <c r="AL43" s="8">
        <v>-7.0049875957110097E-2</v>
      </c>
    </row>
    <row r="44" spans="1:38" x14ac:dyDescent="0.35">
      <c r="A44" t="s">
        <v>191</v>
      </c>
      <c r="B44" t="s">
        <v>46</v>
      </c>
      <c r="C44">
        <v>349.07107543945313</v>
      </c>
      <c r="D44">
        <f t="shared" si="4"/>
        <v>6.9629054035449833E-2</v>
      </c>
      <c r="E44">
        <f t="shared" si="0"/>
        <v>95.272380202594434</v>
      </c>
      <c r="F44">
        <v>76.819999999999993</v>
      </c>
      <c r="G44">
        <f t="shared" si="5"/>
        <v>0.11990061068493851</v>
      </c>
      <c r="H44">
        <f t="shared" si="6"/>
        <v>100.5234231876472</v>
      </c>
      <c r="L44" t="s">
        <v>46</v>
      </c>
      <c r="M44">
        <v>259.72000122070313</v>
      </c>
      <c r="N44">
        <f t="shared" si="7"/>
        <v>6.8726135921457043E-2</v>
      </c>
      <c r="O44">
        <f t="shared" si="8"/>
        <v>98.539285200694422</v>
      </c>
      <c r="P44">
        <f t="shared" si="9"/>
        <v>96.684667448676635</v>
      </c>
      <c r="Q44">
        <f>LN([1]gpr!B444)-LN([1]gpr!B440)</f>
        <v>-7.5296877238846704E-2</v>
      </c>
      <c r="Y44">
        <f>LN([1]epu!B56)-LN([1]epu!B52)</f>
        <v>0.25027815855007507</v>
      </c>
      <c r="AF44">
        <f>LN([1]wui!B84)-LN([1]wui!B80)</f>
        <v>0.30360386213847512</v>
      </c>
      <c r="AL44" s="8">
        <v>-0.32955825245954501</v>
      </c>
    </row>
    <row r="45" spans="1:38" x14ac:dyDescent="0.35">
      <c r="A45" t="s">
        <v>191</v>
      </c>
      <c r="B45" t="s">
        <v>47</v>
      </c>
      <c r="C45">
        <v>411.620849609375</v>
      </c>
      <c r="D45">
        <f t="shared" si="4"/>
        <v>0.13473241931339341</v>
      </c>
      <c r="E45">
        <f t="shared" si="0"/>
        <v>112.34416381801134</v>
      </c>
      <c r="F45">
        <v>86.54</v>
      </c>
      <c r="G45">
        <f t="shared" si="5"/>
        <v>0.14886845324103515</v>
      </c>
      <c r="H45">
        <f t="shared" si="6"/>
        <v>113.2426066474745</v>
      </c>
      <c r="L45" t="s">
        <v>47</v>
      </c>
      <c r="M45">
        <v>277.01998901367188</v>
      </c>
      <c r="N45">
        <f t="shared" si="7"/>
        <v>9.0067951715283812E-2</v>
      </c>
      <c r="O45">
        <f t="shared" si="8"/>
        <v>105.10300159946051</v>
      </c>
      <c r="P45">
        <f t="shared" si="9"/>
        <v>106.88958650881004</v>
      </c>
      <c r="Q45">
        <f>LN([1]gpr!B445)-LN([1]gpr!B441)</f>
        <v>-2.9510032764655136E-2</v>
      </c>
      <c r="Y45">
        <f>LN([1]epu!B57)-LN([1]epu!B53)</f>
        <v>0.26687344974569349</v>
      </c>
      <c r="AF45">
        <f>LN([1]wui!B85)-LN([1]wui!B81)</f>
        <v>-0.24042711216179136</v>
      </c>
      <c r="AL45" s="8">
        <v>-0.51966730178342202</v>
      </c>
    </row>
    <row r="46" spans="1:38" x14ac:dyDescent="0.35">
      <c r="A46" t="s">
        <v>191</v>
      </c>
      <c r="B46" t="s">
        <v>48</v>
      </c>
      <c r="C46">
        <v>437.14846801757813</v>
      </c>
      <c r="D46">
        <f t="shared" si="4"/>
        <v>0.1765670882973005</v>
      </c>
      <c r="E46">
        <f t="shared" si="0"/>
        <v>119.31144680927976</v>
      </c>
      <c r="F46">
        <v>105.45</v>
      </c>
      <c r="G46">
        <f t="shared" si="5"/>
        <v>0.32199246490602995</v>
      </c>
      <c r="H46">
        <f t="shared" si="6"/>
        <v>137.98743784349648</v>
      </c>
      <c r="L46" t="s">
        <v>48</v>
      </c>
      <c r="M46">
        <v>275.89999389648438</v>
      </c>
      <c r="N46">
        <f t="shared" si="7"/>
        <v>4.5719443962099149E-2</v>
      </c>
      <c r="O46">
        <f t="shared" si="8"/>
        <v>104.67806891134559</v>
      </c>
      <c r="P46">
        <f t="shared" si="9"/>
        <v>113.97941139927556</v>
      </c>
      <c r="Q46">
        <f>LN([1]gpr!B446)-LN([1]gpr!B442)</f>
        <v>0.21759381344887085</v>
      </c>
      <c r="Y46">
        <f>LN([1]epu!B58)-LN([1]epu!B54)</f>
        <v>-1.4156823930779439E-2</v>
      </c>
      <c r="AF46">
        <f>LN([1]wui!B86)-LN([1]wui!B82)</f>
        <v>-0.38613026804932105</v>
      </c>
      <c r="AL46" s="8">
        <v>-0.48549818683019602</v>
      </c>
    </row>
    <row r="47" spans="1:38" x14ac:dyDescent="0.35">
      <c r="A47" t="s">
        <v>191</v>
      </c>
      <c r="B47" t="s">
        <v>49</v>
      </c>
      <c r="C47">
        <v>410.15155029296881</v>
      </c>
      <c r="D47">
        <f t="shared" si="4"/>
        <v>0.21097232054174153</v>
      </c>
      <c r="E47">
        <f t="shared" si="0"/>
        <v>111.94314622316239</v>
      </c>
      <c r="F47">
        <v>117.01</v>
      </c>
      <c r="G47">
        <f t="shared" si="5"/>
        <v>0.39928817309214448</v>
      </c>
      <c r="H47">
        <f t="shared" si="6"/>
        <v>153.11436796650091</v>
      </c>
      <c r="L47" t="s">
        <v>49</v>
      </c>
      <c r="M47">
        <v>272.8599853515625</v>
      </c>
      <c r="N47">
        <f t="shared" si="7"/>
        <v>0.1145813098962325</v>
      </c>
      <c r="O47">
        <f t="shared" si="8"/>
        <v>103.52467191607127</v>
      </c>
      <c r="P47">
        <f t="shared" si="9"/>
        <v>108.13185316241918</v>
      </c>
      <c r="Q47">
        <f>LN([1]gpr!B447)-LN([1]gpr!B443)</f>
        <v>2.3717836651707458E-2</v>
      </c>
      <c r="Y47">
        <f>LN([1]epu!B59)-LN([1]epu!B55)</f>
        <v>-0.15494007081382577</v>
      </c>
      <c r="AF47">
        <f>LN([1]wui!B87)-LN([1]wui!B83)</f>
        <v>-0.41801637181916895</v>
      </c>
      <c r="AL47" s="8">
        <v>-0.65258308303378298</v>
      </c>
    </row>
    <row r="48" spans="1:38" x14ac:dyDescent="0.35">
      <c r="A48" t="s">
        <v>191</v>
      </c>
      <c r="B48" t="s">
        <v>50</v>
      </c>
      <c r="C48">
        <v>338.6561279296875</v>
      </c>
      <c r="D48">
        <f t="shared" si="4"/>
        <v>-3.0290335353679865E-2</v>
      </c>
      <c r="E48">
        <f t="shared" si="0"/>
        <v>92.429816298692387</v>
      </c>
      <c r="F48">
        <v>113.24</v>
      </c>
      <c r="G48">
        <f t="shared" si="5"/>
        <v>0.38804443732593974</v>
      </c>
      <c r="H48">
        <f t="shared" si="6"/>
        <v>148.18110442292593</v>
      </c>
      <c r="L48" t="s">
        <v>50</v>
      </c>
      <c r="M48">
        <v>226.17999267578119</v>
      </c>
      <c r="N48">
        <f t="shared" si="7"/>
        <v>-0.13827302227943594</v>
      </c>
      <c r="O48">
        <f t="shared" si="8"/>
        <v>85.814010088619838</v>
      </c>
      <c r="P48">
        <f t="shared" si="9"/>
        <v>107.709470986428</v>
      </c>
      <c r="Q48">
        <f>LN([1]gpr!B448)-LN([1]gpr!B444)</f>
        <v>7.3594204395208251E-2</v>
      </c>
      <c r="Y48">
        <f>LN([1]epu!B60)-LN([1]epu!B56)</f>
        <v>0.33117280851816222</v>
      </c>
      <c r="AF48">
        <f>LN([1]wui!B88)-LN([1]wui!B84)</f>
        <v>2.8793644347608449E-2</v>
      </c>
      <c r="AL48" s="8">
        <v>0.44518903282426397</v>
      </c>
    </row>
    <row r="49" spans="1:38" x14ac:dyDescent="0.35">
      <c r="A49" t="s">
        <v>191</v>
      </c>
      <c r="B49" t="s">
        <v>51</v>
      </c>
      <c r="C49">
        <v>364.26373291015619</v>
      </c>
      <c r="D49">
        <f t="shared" si="4"/>
        <v>-0.12222451145898638</v>
      </c>
      <c r="E49">
        <f t="shared" si="0"/>
        <v>99.418930119439864</v>
      </c>
      <c r="F49">
        <v>109.42</v>
      </c>
      <c r="G49">
        <f t="shared" si="5"/>
        <v>0.23458695383894135</v>
      </c>
      <c r="H49">
        <f t="shared" si="6"/>
        <v>143.18241298089504</v>
      </c>
      <c r="L49" t="s">
        <v>51</v>
      </c>
      <c r="M49">
        <v>244.53999328613281</v>
      </c>
      <c r="N49">
        <f t="shared" si="7"/>
        <v>-0.12471079882702529</v>
      </c>
      <c r="O49">
        <f t="shared" si="8"/>
        <v>92.779901540664639</v>
      </c>
      <c r="P49">
        <f t="shared" si="9"/>
        <v>107.15567538715848</v>
      </c>
      <c r="Q49">
        <f>LN([1]gpr!B449)-LN([1]gpr!B445)</f>
        <v>-5.1975204464241642E-2</v>
      </c>
      <c r="Y49">
        <f>LN([1]epu!B61)-LN([1]epu!B57)</f>
        <v>0.31347220368597384</v>
      </c>
      <c r="AF49">
        <f>LN([1]wui!B89)-LN([1]wui!B85)</f>
        <v>0.26570616316145923</v>
      </c>
      <c r="AL49" s="8">
        <v>0.330269788157877</v>
      </c>
    </row>
    <row r="50" spans="1:38" x14ac:dyDescent="0.35">
      <c r="A50" t="s">
        <v>191</v>
      </c>
      <c r="B50" t="s">
        <v>52</v>
      </c>
      <c r="C50">
        <v>438.42788696289063</v>
      </c>
      <c r="D50">
        <f t="shared" si="4"/>
        <v>2.9224632406732454E-3</v>
      </c>
      <c r="E50">
        <f t="shared" si="0"/>
        <v>119.66064013056186</v>
      </c>
      <c r="F50">
        <v>118.71</v>
      </c>
      <c r="G50">
        <f t="shared" si="5"/>
        <v>0.11844663714065895</v>
      </c>
      <c r="H50">
        <f t="shared" si="6"/>
        <v>155.33891651400157</v>
      </c>
      <c r="L50" t="s">
        <v>52</v>
      </c>
      <c r="M50">
        <v>263.32000732421881</v>
      </c>
      <c r="N50">
        <f t="shared" si="7"/>
        <v>-4.666840868646549E-2</v>
      </c>
      <c r="O50">
        <f t="shared" si="8"/>
        <v>99.905148540026218</v>
      </c>
      <c r="P50">
        <f t="shared" si="9"/>
        <v>119.77424775322841</v>
      </c>
      <c r="Q50">
        <f>LN([1]gpr!B450)-LN([1]gpr!B446)</f>
        <v>-0.16073454018076028</v>
      </c>
      <c r="Y50">
        <f>LN([1]epu!B62)-LN([1]epu!B58)</f>
        <v>0.22508972405869976</v>
      </c>
      <c r="AF50">
        <f>LN([1]wui!B90)-LN([1]wui!B86)</f>
        <v>0.32967398982430751</v>
      </c>
      <c r="AL50" s="8">
        <v>-0.48362864485593998</v>
      </c>
    </row>
    <row r="51" spans="1:38" x14ac:dyDescent="0.35">
      <c r="A51" t="s">
        <v>191</v>
      </c>
      <c r="B51" t="s">
        <v>53</v>
      </c>
      <c r="C51">
        <v>385.2735595703125</v>
      </c>
      <c r="D51">
        <f t="shared" si="4"/>
        <v>-6.2573099951973354E-2</v>
      </c>
      <c r="E51">
        <f t="shared" si="0"/>
        <v>105.15316688207363</v>
      </c>
      <c r="F51">
        <v>107.75</v>
      </c>
      <c r="G51">
        <f t="shared" si="5"/>
        <v>-8.244567224700905E-2</v>
      </c>
      <c r="H51">
        <f t="shared" si="6"/>
        <v>140.99712117246796</v>
      </c>
      <c r="L51" t="s">
        <v>53</v>
      </c>
      <c r="M51">
        <v>251.16999816894531</v>
      </c>
      <c r="N51">
        <f t="shared" si="7"/>
        <v>-8.2828796029507323E-2</v>
      </c>
      <c r="O51">
        <f t="shared" si="8"/>
        <v>95.295364111736674</v>
      </c>
      <c r="P51">
        <f t="shared" si="9"/>
        <v>110.34447253780193</v>
      </c>
      <c r="Q51">
        <f>LN([1]gpr!B451)-LN([1]gpr!B447)</f>
        <v>-0.10801086785617642</v>
      </c>
      <c r="Y51">
        <f>LN([1]epu!B63)-LN([1]epu!B59)</f>
        <v>0.33458105375423752</v>
      </c>
      <c r="AF51">
        <f>LN([1]wui!B91)-LN([1]wui!B87)</f>
        <v>0.95859211594282101</v>
      </c>
      <c r="AL51" s="8">
        <v>-0.32000885576400301</v>
      </c>
    </row>
    <row r="52" spans="1:38" x14ac:dyDescent="0.35">
      <c r="A52" t="s">
        <v>191</v>
      </c>
      <c r="B52" t="s">
        <v>54</v>
      </c>
      <c r="C52">
        <v>382.08511352539063</v>
      </c>
      <c r="D52">
        <f t="shared" si="4"/>
        <v>0.12065817339566287</v>
      </c>
      <c r="E52">
        <f t="shared" si="0"/>
        <v>104.28294054359849</v>
      </c>
      <c r="F52">
        <v>109.63</v>
      </c>
      <c r="G52">
        <f t="shared" si="5"/>
        <v>-3.2398400557250184E-2</v>
      </c>
      <c r="H52">
        <f t="shared" si="6"/>
        <v>143.45721015440984</v>
      </c>
      <c r="L52" t="s">
        <v>54</v>
      </c>
      <c r="M52">
        <v>268.48001098632813</v>
      </c>
      <c r="N52">
        <f t="shared" si="7"/>
        <v>0.17144535413838824</v>
      </c>
      <c r="O52">
        <f t="shared" si="8"/>
        <v>101.86288406331055</v>
      </c>
      <c r="P52">
        <f t="shared" si="9"/>
        <v>102.37579811581206</v>
      </c>
      <c r="Q52">
        <f>LN([1]gpr!B452)-LN([1]gpr!B448)</f>
        <v>-9.3559088583161198E-2</v>
      </c>
      <c r="Y52">
        <f>LN([1]epu!B64)-LN([1]epu!B60)</f>
        <v>-0.2925906596793455</v>
      </c>
      <c r="AF52">
        <f>LN([1]wui!B92)-LN([1]wui!B88)</f>
        <v>0.24894213215990746</v>
      </c>
      <c r="AL52" s="8">
        <v>-0.73773876929349602</v>
      </c>
    </row>
    <row r="53" spans="1:38" x14ac:dyDescent="0.35">
      <c r="A53" t="s">
        <v>191</v>
      </c>
      <c r="B53" t="s">
        <v>55</v>
      </c>
      <c r="C53">
        <v>384.05999755859381</v>
      </c>
      <c r="D53">
        <f t="shared" si="4"/>
        <v>5.2920637779510393E-2</v>
      </c>
      <c r="E53">
        <f t="shared" si="0"/>
        <v>104.82194797132792</v>
      </c>
      <c r="F53">
        <v>110.15</v>
      </c>
      <c r="G53">
        <f t="shared" si="5"/>
        <v>6.6493846126727263E-3</v>
      </c>
      <c r="H53">
        <f t="shared" si="6"/>
        <v>144.13766029835122</v>
      </c>
      <c r="L53" t="s">
        <v>55</v>
      </c>
      <c r="M53">
        <v>278.77999877929688</v>
      </c>
      <c r="N53">
        <f t="shared" si="7"/>
        <v>0.1310440686620522</v>
      </c>
      <c r="O53">
        <f t="shared" si="8"/>
        <v>105.77075958281101</v>
      </c>
      <c r="P53">
        <f t="shared" si="9"/>
        <v>99.102954715248842</v>
      </c>
      <c r="Q53">
        <f>LN([1]gpr!B453)-LN([1]gpr!B449)</f>
        <v>-2.8813794367373191E-2</v>
      </c>
      <c r="Y53">
        <f>LN([1]epu!B65)-LN([1]epu!B61)</f>
        <v>-0.10131141922533082</v>
      </c>
      <c r="AF53">
        <f>LN([1]wui!B93)-LN([1]wui!B89)</f>
        <v>0.69001189755871195</v>
      </c>
      <c r="AL53" s="8">
        <v>-0.51768921323952199</v>
      </c>
    </row>
    <row r="54" spans="1:38" x14ac:dyDescent="0.35">
      <c r="A54" t="s">
        <v>191</v>
      </c>
      <c r="B54" t="s">
        <v>56</v>
      </c>
      <c r="C54">
        <v>436.66000366210938</v>
      </c>
      <c r="D54">
        <f t="shared" si="4"/>
        <v>-4.0404757621352871E-3</v>
      </c>
      <c r="E54">
        <f t="shared" si="0"/>
        <v>119.17812965680288</v>
      </c>
      <c r="F54">
        <v>112.44</v>
      </c>
      <c r="G54">
        <f t="shared" si="5"/>
        <v>-5.4263798027111676E-2</v>
      </c>
      <c r="H54">
        <f t="shared" si="6"/>
        <v>147.1342580476315</v>
      </c>
      <c r="L54" t="s">
        <v>56</v>
      </c>
      <c r="M54">
        <v>293.77999877929688</v>
      </c>
      <c r="N54">
        <f t="shared" si="7"/>
        <v>0.1094611333335358</v>
      </c>
      <c r="O54">
        <f t="shared" si="8"/>
        <v>111.46184718123735</v>
      </c>
      <c r="P54">
        <f t="shared" si="9"/>
        <v>106.92280154214457</v>
      </c>
      <c r="Q54">
        <f>LN([1]gpr!B454)-LN([1]gpr!B450)</f>
        <v>-4.9898736711960545E-2</v>
      </c>
      <c r="Y54">
        <f>LN([1]epu!B66)-LN([1]epu!B62)</f>
        <v>1.1309827083394453E-2</v>
      </c>
      <c r="AF54">
        <f>LN([1]wui!B94)-LN([1]wui!B90)</f>
        <v>0.52835619942470302</v>
      </c>
      <c r="AL54" s="8">
        <v>-0.77039852669292797</v>
      </c>
    </row>
    <row r="55" spans="1:38" x14ac:dyDescent="0.35">
      <c r="A55" t="s">
        <v>191</v>
      </c>
      <c r="B55" t="s">
        <v>57</v>
      </c>
      <c r="C55">
        <v>468.42999267578119</v>
      </c>
      <c r="D55">
        <f t="shared" si="4"/>
        <v>0.19543303555014369</v>
      </c>
      <c r="E55">
        <f t="shared" si="0"/>
        <v>127.84915021767942</v>
      </c>
      <c r="F55">
        <v>102.56</v>
      </c>
      <c r="G55">
        <f t="shared" si="5"/>
        <v>-4.9365735811497835E-2</v>
      </c>
      <c r="H55">
        <f t="shared" si="6"/>
        <v>134.20570531274535</v>
      </c>
      <c r="L55" t="s">
        <v>57</v>
      </c>
      <c r="M55">
        <v>285.01998901367188</v>
      </c>
      <c r="N55">
        <f t="shared" si="7"/>
        <v>0.12642932127884254</v>
      </c>
      <c r="O55">
        <f t="shared" si="8"/>
        <v>108.13824831862122</v>
      </c>
      <c r="P55">
        <f t="shared" si="9"/>
        <v>118.2275024845802</v>
      </c>
      <c r="Q55">
        <f>LN([1]gpr!B455)-LN([1]gpr!B451)</f>
        <v>3.8104090827523862E-2</v>
      </c>
      <c r="Y55">
        <f>LN([1]epu!B67)-LN([1]epu!B63)</f>
        <v>-0.2434504556521766</v>
      </c>
      <c r="AF55">
        <f>LN([1]wui!B95)-LN([1]wui!B91)</f>
        <v>-0.95909503964006326</v>
      </c>
      <c r="AL55" s="8">
        <v>-0.79650350417243199</v>
      </c>
    </row>
    <row r="56" spans="1:38" x14ac:dyDescent="0.35">
      <c r="A56" t="s">
        <v>191</v>
      </c>
      <c r="B56" t="s">
        <v>58</v>
      </c>
      <c r="C56">
        <v>490.82998657226563</v>
      </c>
      <c r="D56">
        <f t="shared" si="4"/>
        <v>0.25045441424195136</v>
      </c>
      <c r="E56">
        <f t="shared" si="0"/>
        <v>133.96280696324331</v>
      </c>
      <c r="F56">
        <v>110.23</v>
      </c>
      <c r="G56">
        <f t="shared" si="5"/>
        <v>5.4580322887760602E-3</v>
      </c>
      <c r="H56">
        <f t="shared" si="6"/>
        <v>144.24234493588065</v>
      </c>
      <c r="L56" t="s">
        <v>58</v>
      </c>
      <c r="M56">
        <v>310.45999145507813</v>
      </c>
      <c r="N56">
        <f t="shared" si="7"/>
        <v>0.14527857687556267</v>
      </c>
      <c r="O56">
        <f t="shared" si="8"/>
        <v>117.79033381183608</v>
      </c>
      <c r="P56">
        <f t="shared" si="9"/>
        <v>113.72988141560234</v>
      </c>
      <c r="Q56">
        <f>LN([1]gpr!B456)-LN([1]gpr!B452)</f>
        <v>0.1564034284723137</v>
      </c>
      <c r="Y56">
        <f>LN([1]epu!B68)-LN([1]epu!B64)</f>
        <v>-0.14063655757306304</v>
      </c>
      <c r="AF56">
        <f>LN([1]wui!B96)-LN([1]wui!B92)</f>
        <v>-0.49581810931786485</v>
      </c>
      <c r="AL56" s="8">
        <v>-0.81318122652094604</v>
      </c>
    </row>
    <row r="57" spans="1:38" x14ac:dyDescent="0.35">
      <c r="A57" t="s">
        <v>191</v>
      </c>
      <c r="B57" t="s">
        <v>59</v>
      </c>
      <c r="C57">
        <v>535.030029296875</v>
      </c>
      <c r="D57">
        <f t="shared" si="4"/>
        <v>0.33152409082254142</v>
      </c>
      <c r="E57">
        <f t="shared" si="0"/>
        <v>146.02637673948024</v>
      </c>
      <c r="F57">
        <v>109.23</v>
      </c>
      <c r="G57">
        <f t="shared" si="5"/>
        <v>-8.3873223929007423E-3</v>
      </c>
      <c r="H57">
        <f t="shared" si="6"/>
        <v>142.93378696676263</v>
      </c>
      <c r="L57" t="s">
        <v>59</v>
      </c>
      <c r="M57">
        <v>327.1300048828125</v>
      </c>
      <c r="N57">
        <f t="shared" si="7"/>
        <v>0.15993472441381851</v>
      </c>
      <c r="O57">
        <f t="shared" si="8"/>
        <v>124.11503425744806</v>
      </c>
      <c r="P57">
        <f t="shared" si="9"/>
        <v>117.65405989139248</v>
      </c>
      <c r="Q57">
        <f>LN([1]gpr!B457)-LN([1]gpr!B453)</f>
        <v>-7.3150769097984458E-2</v>
      </c>
      <c r="Y57">
        <f>LN([1]epu!B69)-LN([1]epu!B65)</f>
        <v>-0.21227064443362043</v>
      </c>
      <c r="AF57">
        <f>LN([1]wui!B97)-LN([1]wui!B93)</f>
        <v>-0.73985058782851532</v>
      </c>
      <c r="AL57" s="8">
        <v>-0.93229746519611301</v>
      </c>
    </row>
    <row r="58" spans="1:38" x14ac:dyDescent="0.35">
      <c r="A58" t="s">
        <v>191</v>
      </c>
      <c r="B58" t="s">
        <v>60</v>
      </c>
      <c r="C58">
        <v>586.739990234375</v>
      </c>
      <c r="D58">
        <f t="shared" si="4"/>
        <v>0.29542690628675938</v>
      </c>
      <c r="E58">
        <f t="shared" si="0"/>
        <v>160.13963734835966</v>
      </c>
      <c r="F58">
        <v>108.14</v>
      </c>
      <c r="G58">
        <f t="shared" si="5"/>
        <v>-3.8993062084472285E-2</v>
      </c>
      <c r="H58">
        <f t="shared" si="6"/>
        <v>141.50745878042397</v>
      </c>
      <c r="L58" t="s">
        <v>60</v>
      </c>
      <c r="M58">
        <v>334.30999755859381</v>
      </c>
      <c r="N58">
        <f t="shared" si="7"/>
        <v>0.12923751517930082</v>
      </c>
      <c r="O58">
        <f t="shared" si="8"/>
        <v>126.83916540904346</v>
      </c>
      <c r="P58">
        <f t="shared" si="9"/>
        <v>126.25409259980979</v>
      </c>
      <c r="Q58">
        <f>LN([1]gpr!B458)-LN([1]gpr!B454)</f>
        <v>7.2330638888912446E-2</v>
      </c>
      <c r="Y58">
        <f>LN([1]epu!B70)-LN([1]epu!B66)</f>
        <v>-0.27493631328416779</v>
      </c>
      <c r="AF58">
        <f>LN([1]wui!B98)-LN([1]wui!B94)</f>
        <v>-0.48082000510016165</v>
      </c>
      <c r="AL58" s="8">
        <v>-0.86970114628290995</v>
      </c>
    </row>
    <row r="59" spans="1:38" x14ac:dyDescent="0.35">
      <c r="A59" t="s">
        <v>191</v>
      </c>
      <c r="B59" t="s">
        <v>61</v>
      </c>
      <c r="C59">
        <v>635.92999267578125</v>
      </c>
      <c r="D59">
        <f t="shared" si="4"/>
        <v>0.3057018210130531</v>
      </c>
      <c r="E59">
        <f t="shared" si="0"/>
        <v>173.56512271366623</v>
      </c>
      <c r="F59">
        <v>109.69</v>
      </c>
      <c r="G59">
        <f t="shared" si="5"/>
        <v>6.7210212250882861E-2</v>
      </c>
      <c r="H59">
        <f t="shared" si="6"/>
        <v>143.53572363255691</v>
      </c>
      <c r="L59" t="s">
        <v>61</v>
      </c>
      <c r="M59">
        <v>341.8599853515625</v>
      </c>
      <c r="N59">
        <f t="shared" si="7"/>
        <v>0.18184193897964107</v>
      </c>
      <c r="O59">
        <f t="shared" si="8"/>
        <v>129.70367486883242</v>
      </c>
      <c r="P59">
        <f t="shared" si="9"/>
        <v>133.81665776948131</v>
      </c>
      <c r="Q59">
        <f>LN([1]gpr!B459)-LN([1]gpr!B455)</f>
        <v>5.0714181962624671E-2</v>
      </c>
      <c r="Y59">
        <f>LN([1]epu!B71)-LN([1]epu!B67)</f>
        <v>-0.18691990137207437</v>
      </c>
      <c r="AF59">
        <f>LN([1]wui!B99)-LN([1]wui!B95)</f>
        <v>0.35286790616093633</v>
      </c>
      <c r="AL59" s="8">
        <v>-0.99547985788916404</v>
      </c>
    </row>
    <row r="60" spans="1:38" x14ac:dyDescent="0.35">
      <c r="A60" t="s">
        <v>191</v>
      </c>
      <c r="B60" t="s">
        <v>62</v>
      </c>
      <c r="C60">
        <v>638.47998046875</v>
      </c>
      <c r="D60">
        <f t="shared" si="4"/>
        <v>0.26299251267162838</v>
      </c>
      <c r="E60">
        <f t="shared" si="0"/>
        <v>174.26109388864211</v>
      </c>
      <c r="F60">
        <v>101.9</v>
      </c>
      <c r="G60">
        <f t="shared" si="5"/>
        <v>-7.8577151746545226E-2</v>
      </c>
      <c r="H60">
        <f t="shared" si="6"/>
        <v>133.34205705312746</v>
      </c>
      <c r="L60" t="s">
        <v>62</v>
      </c>
      <c r="M60">
        <v>343.07998657226563</v>
      </c>
      <c r="N60">
        <f t="shared" si="7"/>
        <v>9.9908575908560948E-2</v>
      </c>
      <c r="O60">
        <f t="shared" si="8"/>
        <v>130.16655045664629</v>
      </c>
      <c r="P60">
        <f t="shared" si="9"/>
        <v>133.87547974291758</v>
      </c>
      <c r="Q60">
        <f>LN([1]gpr!B460)-LN([1]gpr!B456)</f>
        <v>0.42700640727965489</v>
      </c>
      <c r="Y60">
        <f>LN([1]epu!B72)-LN([1]epu!B68)</f>
        <v>-0.16264622915192017</v>
      </c>
      <c r="AF60">
        <f>LN([1]wui!B100)-LN([1]wui!B96)</f>
        <v>-0.10614037135125187</v>
      </c>
      <c r="AL60" s="8">
        <v>-0.45305893207544201</v>
      </c>
    </row>
    <row r="61" spans="1:38" x14ac:dyDescent="0.35">
      <c r="A61" t="s">
        <v>191</v>
      </c>
      <c r="B61" t="s">
        <v>63</v>
      </c>
      <c r="C61">
        <v>686.8699951171875</v>
      </c>
      <c r="D61">
        <f t="shared" si="4"/>
        <v>0.24982216383007216</v>
      </c>
      <c r="E61">
        <f t="shared" si="0"/>
        <v>187.4682376423637</v>
      </c>
      <c r="F61">
        <v>76.430000000000007</v>
      </c>
      <c r="G61">
        <f t="shared" si="5"/>
        <v>-0.35708046160065887</v>
      </c>
      <c r="H61">
        <f t="shared" si="6"/>
        <v>100.01308557969119</v>
      </c>
      <c r="L61" t="s">
        <v>63</v>
      </c>
      <c r="M61">
        <v>341.01998901367188</v>
      </c>
      <c r="N61">
        <f t="shared" si="7"/>
        <v>4.1583434037097078E-2</v>
      </c>
      <c r="O61">
        <f t="shared" si="8"/>
        <v>129.38497535274621</v>
      </c>
      <c r="P61">
        <f t="shared" si="9"/>
        <v>144.89181385339629</v>
      </c>
      <c r="Q61">
        <f>LN([1]gpr!B461)-LN([1]gpr!B457)</f>
        <v>0.14092912062860652</v>
      </c>
      <c r="Y61">
        <f>LN([1]epu!B73)-LN([1]epu!B69)</f>
        <v>-0.14119923061280382</v>
      </c>
      <c r="AF61">
        <f>LN([1]wui!B101)-LN([1]wui!B97)</f>
        <v>-6.9409508829417987E-2</v>
      </c>
      <c r="AL61" s="8">
        <v>-0.82456924337422299</v>
      </c>
    </row>
    <row r="62" spans="1:38" x14ac:dyDescent="0.35">
      <c r="A62" t="s">
        <v>191</v>
      </c>
      <c r="B62" t="s">
        <v>64</v>
      </c>
      <c r="C62">
        <v>695.47998046875</v>
      </c>
      <c r="D62">
        <f t="shared" si="4"/>
        <v>0.17002045166809854</v>
      </c>
      <c r="E62">
        <f t="shared" si="0"/>
        <v>189.81817109623165</v>
      </c>
      <c r="F62">
        <v>53.98</v>
      </c>
      <c r="G62">
        <f t="shared" si="5"/>
        <v>-0.69481307636400036</v>
      </c>
      <c r="H62">
        <f t="shared" si="6"/>
        <v>70.635959172991363</v>
      </c>
      <c r="L62" t="s">
        <v>64</v>
      </c>
      <c r="M62">
        <v>397.29998779296881</v>
      </c>
      <c r="N62">
        <f t="shared" si="7"/>
        <v>0.17262293316817168</v>
      </c>
      <c r="O62">
        <f t="shared" si="8"/>
        <v>150.73793555889995</v>
      </c>
      <c r="P62">
        <f t="shared" si="9"/>
        <v>125.92594584265176</v>
      </c>
      <c r="Q62">
        <f>LN([1]gpr!B462)-LN([1]gpr!B458)</f>
        <v>0.20711553230418378</v>
      </c>
      <c r="Y62">
        <f>LN([1]epu!B74)-LN([1]epu!B70)</f>
        <v>7.350936874530678E-2</v>
      </c>
      <c r="AF62">
        <f>LN([1]wui!B102)-LN([1]wui!B98)</f>
        <v>0.42348651410685356</v>
      </c>
      <c r="AL62" s="8">
        <v>-0.47803105325262901</v>
      </c>
    </row>
    <row r="63" spans="1:38" x14ac:dyDescent="0.35">
      <c r="A63" t="s">
        <v>191</v>
      </c>
      <c r="B63" t="s">
        <v>65</v>
      </c>
      <c r="C63">
        <v>680.53997802734375</v>
      </c>
      <c r="D63">
        <f t="shared" si="4"/>
        <v>6.7798085513190998E-2</v>
      </c>
      <c r="E63">
        <f t="shared" si="0"/>
        <v>185.74057861443282</v>
      </c>
      <c r="F63">
        <v>61.65</v>
      </c>
      <c r="G63">
        <f t="shared" si="5"/>
        <v>-0.57618497581288963</v>
      </c>
      <c r="H63">
        <f t="shared" si="6"/>
        <v>80.672598796126664</v>
      </c>
      <c r="L63" t="s">
        <v>65</v>
      </c>
      <c r="M63">
        <v>381.30999755859381</v>
      </c>
      <c r="N63">
        <f t="shared" si="7"/>
        <v>0.10921143250676035</v>
      </c>
      <c r="O63">
        <f t="shared" si="8"/>
        <v>144.67123988411262</v>
      </c>
      <c r="P63">
        <f t="shared" si="9"/>
        <v>128.38804641697848</v>
      </c>
      <c r="Q63">
        <f>LN([1]gpr!B463)-LN([1]gpr!B459)</f>
        <v>-4.0980916218727792E-2</v>
      </c>
      <c r="Y63">
        <f>LN([1]epu!B75)-LN([1]epu!B71)</f>
        <v>5.2120805762980282E-2</v>
      </c>
      <c r="AF63">
        <f>LN([1]wui!B103)-LN([1]wui!B99)</f>
        <v>0.23317427540322022</v>
      </c>
      <c r="AL63" s="8">
        <v>-0.94910569855003502</v>
      </c>
    </row>
    <row r="64" spans="1:38" x14ac:dyDescent="0.35">
      <c r="A64" t="s">
        <v>191</v>
      </c>
      <c r="B64" t="s">
        <v>66</v>
      </c>
      <c r="C64">
        <v>602.72998046875</v>
      </c>
      <c r="D64">
        <f t="shared" si="4"/>
        <v>-5.7621018123987788E-2</v>
      </c>
      <c r="E64">
        <f t="shared" si="0"/>
        <v>164.50380423651359</v>
      </c>
      <c r="F64">
        <v>50.44</v>
      </c>
      <c r="G64">
        <f t="shared" si="5"/>
        <v>-0.70320742913196055</v>
      </c>
      <c r="H64">
        <f t="shared" si="6"/>
        <v>66.003663962313524</v>
      </c>
      <c r="L64" t="s">
        <v>66</v>
      </c>
      <c r="M64">
        <v>347.76998901367188</v>
      </c>
      <c r="N64">
        <f t="shared" si="7"/>
        <v>1.3577693156420878E-2</v>
      </c>
      <c r="O64">
        <f t="shared" si="8"/>
        <v>131.94596477203805</v>
      </c>
      <c r="P64">
        <f t="shared" si="9"/>
        <v>124.67513085430497</v>
      </c>
      <c r="Q64">
        <f>LN([1]gpr!B464)-LN([1]gpr!B460)</f>
        <v>-0.34506375980396875</v>
      </c>
      <c r="Y64">
        <f>LN([1]epu!B76)-LN([1]epu!B72)</f>
        <v>0.24055104807001104</v>
      </c>
      <c r="AF64">
        <f>LN([1]wui!B104)-LN([1]wui!B100)</f>
        <v>0.40376006825065147</v>
      </c>
      <c r="AL64" s="8">
        <v>-0.391701939095495</v>
      </c>
    </row>
    <row r="65" spans="1:38" x14ac:dyDescent="0.35">
      <c r="A65" t="s">
        <v>191</v>
      </c>
      <c r="B65" t="s">
        <v>67</v>
      </c>
      <c r="C65">
        <v>663.47998046875</v>
      </c>
      <c r="D65">
        <f t="shared" si="4"/>
        <v>-3.4646357977490716E-2</v>
      </c>
      <c r="E65">
        <f t="shared" si="0"/>
        <v>181.08437336565507</v>
      </c>
      <c r="F65">
        <v>43.56</v>
      </c>
      <c r="G65">
        <f t="shared" si="5"/>
        <v>-0.56223599119003298</v>
      </c>
      <c r="H65">
        <f t="shared" si="6"/>
        <v>57.000785134781474</v>
      </c>
      <c r="L65" t="s">
        <v>67</v>
      </c>
      <c r="M65">
        <v>367.70001220703119</v>
      </c>
      <c r="N65">
        <f t="shared" si="7"/>
        <v>7.5326327131646664E-2</v>
      </c>
      <c r="O65">
        <f t="shared" si="8"/>
        <v>139.50753196084315</v>
      </c>
      <c r="P65">
        <f t="shared" si="9"/>
        <v>129.80257826973934</v>
      </c>
      <c r="Q65">
        <f>LN([1]gpr!B465)-LN([1]gpr!B461)</f>
        <v>0.42884734034651295</v>
      </c>
      <c r="Y65">
        <f>LN([1]epu!B77)-LN([1]epu!B73)</f>
        <v>-2.8011671807232297E-2</v>
      </c>
      <c r="AF65">
        <f>LN([1]wui!B105)-LN([1]wui!B101)</f>
        <v>7.0808593789266183E-2</v>
      </c>
      <c r="AL65" s="8">
        <v>-0.26007234314710798</v>
      </c>
    </row>
    <row r="66" spans="1:38" x14ac:dyDescent="0.35">
      <c r="A66" t="s">
        <v>191</v>
      </c>
      <c r="B66" t="s">
        <v>68</v>
      </c>
      <c r="C66">
        <v>676.8900146484375</v>
      </c>
      <c r="D66">
        <f t="shared" si="4"/>
        <v>-2.7093426761140904E-2</v>
      </c>
      <c r="E66">
        <f t="shared" ref="E66:E107" si="10">C66/C$42*100</f>
        <v>184.74438980582721</v>
      </c>
      <c r="F66">
        <v>33.840000000000003</v>
      </c>
      <c r="G66">
        <f t="shared" si="5"/>
        <v>-0.46697007285183556</v>
      </c>
      <c r="H66">
        <f t="shared" si="6"/>
        <v>44.281601674954203</v>
      </c>
      <c r="L66" t="s">
        <v>68</v>
      </c>
      <c r="M66">
        <v>337.54000854492188</v>
      </c>
      <c r="N66">
        <f t="shared" si="7"/>
        <v>-0.16300758497195655</v>
      </c>
      <c r="O66">
        <f t="shared" ref="O66:O97" si="11">M66/M$42*100</f>
        <v>128.06465044018159</v>
      </c>
      <c r="P66">
        <f t="shared" ref="P66:P97" si="12">(E66/O66)*100</f>
        <v>144.25869212997264</v>
      </c>
      <c r="Q66">
        <f>LN([1]gpr!B466)-LN([1]gpr!B462)</f>
        <v>1.0716319531819174E-2</v>
      </c>
      <c r="Y66">
        <f>LN([1]epu!B78)-LN([1]epu!B74)</f>
        <v>0.23871800024486856</v>
      </c>
      <c r="AF66">
        <f>LN([1]wui!B106)-LN([1]wui!B102)</f>
        <v>-0.26788570989979199</v>
      </c>
      <c r="AL66" s="8">
        <v>-2.89832279430348E-2</v>
      </c>
    </row>
    <row r="67" spans="1:38" x14ac:dyDescent="0.35">
      <c r="A67" t="s">
        <v>191</v>
      </c>
      <c r="B67" t="s">
        <v>69</v>
      </c>
      <c r="C67">
        <v>691.66998291015625</v>
      </c>
      <c r="D67">
        <f t="shared" si="4"/>
        <v>1.6222370168563316E-2</v>
      </c>
      <c r="E67">
        <f t="shared" si="10"/>
        <v>188.77830397027077</v>
      </c>
      <c r="F67">
        <v>45.57</v>
      </c>
      <c r="G67">
        <f t="shared" si="5"/>
        <v>-0.30222362433456151</v>
      </c>
      <c r="H67">
        <f t="shared" si="6"/>
        <v>59.630986652708714</v>
      </c>
      <c r="L67" t="s">
        <v>69</v>
      </c>
      <c r="M67">
        <v>329.8800048828125</v>
      </c>
      <c r="N67">
        <f t="shared" si="7"/>
        <v>-0.14488371941871403</v>
      </c>
      <c r="O67">
        <f t="shared" si="11"/>
        <v>125.15840031715955</v>
      </c>
      <c r="P67">
        <f t="shared" si="12"/>
        <v>150.8315091051773</v>
      </c>
      <c r="Q67">
        <f>LN([1]gpr!B467)-LN([1]gpr!B463)</f>
        <v>-2.411705701398148E-3</v>
      </c>
      <c r="Y67">
        <f>LN([1]epu!B79)-LN([1]epu!B75)</f>
        <v>0.42829804192221221</v>
      </c>
      <c r="AF67">
        <f>LN([1]wui!B107)-LN([1]wui!B103)</f>
        <v>-0.31471777763099773</v>
      </c>
      <c r="AL67" s="8">
        <v>-0.45082899229110202</v>
      </c>
    </row>
    <row r="68" spans="1:38" x14ac:dyDescent="0.35">
      <c r="A68" t="s">
        <v>191</v>
      </c>
      <c r="B68" t="s">
        <v>70</v>
      </c>
      <c r="C68">
        <v>835.5999755859375</v>
      </c>
      <c r="D68">
        <f t="shared" si="4"/>
        <v>0.32668069761147134</v>
      </c>
      <c r="E68">
        <f t="shared" si="10"/>
        <v>228.06128657632206</v>
      </c>
      <c r="F68">
        <v>45.8</v>
      </c>
      <c r="G68">
        <f t="shared" si="5"/>
        <v>-9.6500419976579543E-2</v>
      </c>
      <c r="H68">
        <f t="shared" si="6"/>
        <v>59.931954985605863</v>
      </c>
      <c r="L68" t="s">
        <v>70</v>
      </c>
      <c r="M68">
        <v>342.92001342773438</v>
      </c>
      <c r="N68">
        <f t="shared" si="7"/>
        <v>-1.404408717225536E-2</v>
      </c>
      <c r="O68">
        <f t="shared" si="11"/>
        <v>130.10585571138475</v>
      </c>
      <c r="P68">
        <f t="shared" si="12"/>
        <v>175.28902548570366</v>
      </c>
      <c r="Q68">
        <f>LN([1]gpr!B468)-LN([1]gpr!B464)</f>
        <v>9.856829620980978E-2</v>
      </c>
      <c r="Y68">
        <f>LN([1]epu!B80)-LN([1]epu!B76)</f>
        <v>0.17883890637511701</v>
      </c>
      <c r="AF68">
        <f>LN([1]wui!B108)-LN([1]wui!B104)</f>
        <v>0.34946557783034571</v>
      </c>
      <c r="AL68" s="8">
        <v>-0.41669607693741201</v>
      </c>
    </row>
    <row r="69" spans="1:38" x14ac:dyDescent="0.35">
      <c r="A69" t="s">
        <v>191</v>
      </c>
      <c r="B69" t="s">
        <v>71</v>
      </c>
      <c r="C69">
        <v>906.469970703125</v>
      </c>
      <c r="D69">
        <f t="shared" si="4"/>
        <v>0.31205922230847261</v>
      </c>
      <c r="E69">
        <f t="shared" si="10"/>
        <v>247.40391790508659</v>
      </c>
      <c r="F69">
        <v>49.05</v>
      </c>
      <c r="G69">
        <f t="shared" si="5"/>
        <v>0.11870088794661227</v>
      </c>
      <c r="H69">
        <f t="shared" si="6"/>
        <v>64.184768385239465</v>
      </c>
      <c r="L69" t="s">
        <v>71</v>
      </c>
      <c r="M69">
        <v>361.42001342773438</v>
      </c>
      <c r="N69">
        <f t="shared" si="7"/>
        <v>-1.7226667382837846E-2</v>
      </c>
      <c r="O69">
        <f t="shared" si="11"/>
        <v>137.1248637494439</v>
      </c>
      <c r="P69">
        <f t="shared" si="12"/>
        <v>180.42236188263118</v>
      </c>
      <c r="Q69">
        <f>LN([1]gpr!B469)-LN([1]gpr!B465)</f>
        <v>-0.36685837276331679</v>
      </c>
      <c r="Y69">
        <f>LN([1]epu!B81)-LN([1]epu!B77)</f>
        <v>0.48791374949508892</v>
      </c>
      <c r="AF69">
        <f>LN([1]wui!B109)-LN([1]wui!B105)</f>
        <v>0.54797571788710364</v>
      </c>
      <c r="AL69" s="8">
        <v>-0.40260725541348102</v>
      </c>
    </row>
    <row r="70" spans="1:38" x14ac:dyDescent="0.35">
      <c r="A70" t="s">
        <v>191</v>
      </c>
      <c r="B70" t="s">
        <v>72</v>
      </c>
      <c r="C70">
        <v>1011.400024414062</v>
      </c>
      <c r="D70">
        <f t="shared" si="4"/>
        <v>0.40158201296943563</v>
      </c>
      <c r="E70">
        <f t="shared" si="10"/>
        <v>276.04260118539474</v>
      </c>
      <c r="F70">
        <v>53.59</v>
      </c>
      <c r="G70">
        <f t="shared" si="5"/>
        <v>0.45971894876873609</v>
      </c>
      <c r="H70">
        <f t="shared" si="6"/>
        <v>70.125621565035331</v>
      </c>
      <c r="L70" t="s">
        <v>72</v>
      </c>
      <c r="M70">
        <v>381.1400146484375</v>
      </c>
      <c r="N70">
        <f t="shared" si="7"/>
        <v>0.12148275300982458</v>
      </c>
      <c r="O70">
        <f t="shared" si="11"/>
        <v>144.60674737531696</v>
      </c>
      <c r="P70">
        <f t="shared" si="12"/>
        <v>190.89192323021069</v>
      </c>
      <c r="Q70">
        <f>LN([1]gpr!B470)-LN([1]gpr!B466)</f>
        <v>-4.8294141262203105E-2</v>
      </c>
      <c r="Y70">
        <f>LN([1]epu!B82)-LN([1]epu!B78)</f>
        <v>0.40024425995997337</v>
      </c>
      <c r="AF70">
        <f>LN([1]wui!B110)-LN([1]wui!B106)</f>
        <v>0.27029280843433767</v>
      </c>
      <c r="AL70" s="8">
        <v>-5.7018310946887897E-2</v>
      </c>
    </row>
    <row r="71" spans="1:38" x14ac:dyDescent="0.35">
      <c r="A71" t="s">
        <v>191</v>
      </c>
      <c r="B71" t="s">
        <v>73</v>
      </c>
      <c r="C71">
        <v>1034.910034179688</v>
      </c>
      <c r="D71">
        <f t="shared" ref="D71:D107" si="13">LN(C71)-LN(C67)</f>
        <v>0.40296083986942133</v>
      </c>
      <c r="E71">
        <f t="shared" si="10"/>
        <v>282.45921587092153</v>
      </c>
      <c r="F71">
        <v>49.55</v>
      </c>
      <c r="G71">
        <f t="shared" ref="G71:G107" si="14">LN(F71)-LN(F67)</f>
        <v>8.3732655500205588E-2</v>
      </c>
      <c r="H71">
        <f t="shared" ref="H71:H107" si="15">F71/F$42*100</f>
        <v>64.839047369798479</v>
      </c>
      <c r="L71" t="s">
        <v>73</v>
      </c>
      <c r="M71">
        <v>379.3699951171875</v>
      </c>
      <c r="N71">
        <f t="shared" ref="N71:N107" si="16">LN(M71)-LN(M67)</f>
        <v>0.13978300251746401</v>
      </c>
      <c r="O71">
        <f t="shared" si="11"/>
        <v>143.93519162843234</v>
      </c>
      <c r="P71">
        <f t="shared" si="12"/>
        <v>196.24055290111951</v>
      </c>
      <c r="Q71">
        <f>LN([1]gpr!B471)-LN([1]gpr!B467)</f>
        <v>0.27968603479537801</v>
      </c>
      <c r="Y71">
        <f>LN([1]epu!B83)-LN([1]epu!B79)</f>
        <v>-1.0717814030178907E-2</v>
      </c>
      <c r="AF71">
        <f>LN([1]wui!B111)-LN([1]wui!B107)</f>
        <v>-0.11425483141407966</v>
      </c>
      <c r="AL71" s="8">
        <v>-0.352866937982726</v>
      </c>
    </row>
    <row r="72" spans="1:38" x14ac:dyDescent="0.35">
      <c r="A72" t="s">
        <v>191</v>
      </c>
      <c r="B72" t="s">
        <v>74</v>
      </c>
      <c r="C72">
        <v>1171.739990234375</v>
      </c>
      <c r="D72">
        <f t="shared" si="13"/>
        <v>0.33809509372344593</v>
      </c>
      <c r="E72">
        <f t="shared" si="10"/>
        <v>319.80437711046272</v>
      </c>
      <c r="F72">
        <v>52.1</v>
      </c>
      <c r="G72">
        <f t="shared" si="14"/>
        <v>0.12888085763918244</v>
      </c>
      <c r="H72">
        <f t="shared" si="15"/>
        <v>68.175870191049455</v>
      </c>
      <c r="L72" t="s">
        <v>74</v>
      </c>
      <c r="M72">
        <v>388.16000366210938</v>
      </c>
      <c r="N72">
        <f t="shared" si="16"/>
        <v>0.12392041222262051</v>
      </c>
      <c r="O72">
        <f t="shared" si="11"/>
        <v>147.27017220310344</v>
      </c>
      <c r="P72">
        <f t="shared" si="12"/>
        <v>217.15488773206135</v>
      </c>
      <c r="Q72">
        <f>LN([1]gpr!B472)-LN([1]gpr!B468)</f>
        <v>0.11567974464199171</v>
      </c>
      <c r="Y72">
        <f>LN([1]epu!B84)-LN([1]epu!B80)</f>
        <v>-2.4328943991922536E-2</v>
      </c>
      <c r="AF72">
        <f>LN([1]wui!B112)-LN([1]wui!B108)</f>
        <v>-0.61452028805858561</v>
      </c>
      <c r="AL72" s="8">
        <v>-0.41474432482484502</v>
      </c>
    </row>
    <row r="73" spans="1:38" x14ac:dyDescent="0.35">
      <c r="A73" t="s">
        <v>191</v>
      </c>
      <c r="B73" t="s">
        <v>75</v>
      </c>
      <c r="C73">
        <v>1253.050048828125</v>
      </c>
      <c r="D73">
        <f t="shared" si="13"/>
        <v>0.32377799428845577</v>
      </c>
      <c r="E73">
        <f t="shared" si="10"/>
        <v>341.99642727356093</v>
      </c>
      <c r="F73">
        <v>61.4</v>
      </c>
      <c r="G73">
        <f t="shared" si="14"/>
        <v>0.22456964914172417</v>
      </c>
      <c r="H73">
        <f t="shared" si="15"/>
        <v>80.34545930384715</v>
      </c>
      <c r="L73" t="s">
        <v>75</v>
      </c>
      <c r="M73">
        <v>389.17999267578119</v>
      </c>
      <c r="N73">
        <f t="shared" si="16"/>
        <v>7.4001188587660138E-2</v>
      </c>
      <c r="O73">
        <f t="shared" si="11"/>
        <v>147.65716199151936</v>
      </c>
      <c r="P73">
        <f t="shared" si="12"/>
        <v>231.61519743499022</v>
      </c>
      <c r="Q73">
        <f>LN([1]gpr!B473)-LN([1]gpr!B469)</f>
        <v>-1.5145356355824369E-2</v>
      </c>
      <c r="Y73">
        <f>LN([1]epu!B85)-LN([1]epu!B81)</f>
        <v>-0.17758507302206716</v>
      </c>
      <c r="AF73">
        <f>LN([1]wui!B113)-LN([1]wui!B109)</f>
        <v>-0.12044553867701602</v>
      </c>
      <c r="AL73" s="8">
        <v>-0.82046789333800296</v>
      </c>
    </row>
    <row r="74" spans="1:38" x14ac:dyDescent="0.35">
      <c r="A74" t="s">
        <v>191</v>
      </c>
      <c r="B74" t="s">
        <v>76</v>
      </c>
      <c r="C74">
        <v>1328.900024414062</v>
      </c>
      <c r="D74">
        <f t="shared" si="13"/>
        <v>0.27301601692433319</v>
      </c>
      <c r="E74">
        <f t="shared" si="10"/>
        <v>362.69825054345927</v>
      </c>
      <c r="F74">
        <v>66.86</v>
      </c>
      <c r="G74">
        <f t="shared" si="14"/>
        <v>0.22123839748519369</v>
      </c>
      <c r="H74">
        <f t="shared" si="15"/>
        <v>87.490185815231612</v>
      </c>
      <c r="L74" t="s">
        <v>76</v>
      </c>
      <c r="M74">
        <v>370.8699951171875</v>
      </c>
      <c r="N74">
        <f t="shared" si="16"/>
        <v>-2.7315216410451981E-2</v>
      </c>
      <c r="O74">
        <f t="shared" si="11"/>
        <v>140.71024198932409</v>
      </c>
      <c r="P74">
        <f t="shared" si="12"/>
        <v>257.76250926423518</v>
      </c>
      <c r="Q74">
        <f>LN([1]gpr!B474)-LN([1]gpr!B470)</f>
        <v>-0.16161289897937348</v>
      </c>
      <c r="Y74">
        <f>LN([1]epu!B86)-LN([1]epu!B82)</f>
        <v>-0.32666413159032359</v>
      </c>
      <c r="AF74">
        <f>LN([1]wui!B114)-LN([1]wui!B110)</f>
        <v>-0.78649867187923839</v>
      </c>
      <c r="AL74" s="8">
        <v>-0.36789637010221599</v>
      </c>
    </row>
    <row r="75" spans="1:38" x14ac:dyDescent="0.35">
      <c r="A75" t="s">
        <v>191</v>
      </c>
      <c r="B75" t="s">
        <v>77</v>
      </c>
      <c r="C75">
        <v>1313.699951171875</v>
      </c>
      <c r="D75">
        <f t="shared" si="13"/>
        <v>0.23853304688354626</v>
      </c>
      <c r="E75">
        <f t="shared" si="10"/>
        <v>358.54967663135892</v>
      </c>
      <c r="F75">
        <v>74.53</v>
      </c>
      <c r="G75">
        <f t="shared" si="14"/>
        <v>0.4082194681176059</v>
      </c>
      <c r="H75">
        <f t="shared" si="15"/>
        <v>97.526825438366913</v>
      </c>
      <c r="L75" t="s">
        <v>77</v>
      </c>
      <c r="M75">
        <v>379.92999267578119</v>
      </c>
      <c r="N75">
        <f t="shared" si="16"/>
        <v>1.4750366630593703E-3</v>
      </c>
      <c r="O75">
        <f t="shared" si="11"/>
        <v>144.14765797248978</v>
      </c>
      <c r="P75">
        <f t="shared" si="12"/>
        <v>248.73777463646843</v>
      </c>
      <c r="Q75">
        <f>LN([1]gpr!B475)-LN([1]gpr!B471)</f>
        <v>1.1599441611245709E-2</v>
      </c>
      <c r="Y75">
        <f>LN([1]epu!B87)-LN([1]epu!B83)</f>
        <v>2.145393107929916E-2</v>
      </c>
      <c r="AF75">
        <f>LN([1]wui!B115)-LN([1]wui!B111)</f>
        <v>0.44043978970574926</v>
      </c>
      <c r="AL75" s="8">
        <v>-0.10425001718478399</v>
      </c>
    </row>
    <row r="76" spans="1:38" x14ac:dyDescent="0.35">
      <c r="A76" t="s">
        <v>191</v>
      </c>
      <c r="B76" t="s">
        <v>78</v>
      </c>
      <c r="C76">
        <v>1366.739990234375</v>
      </c>
      <c r="D76">
        <f t="shared" si="13"/>
        <v>0.15393851978765838</v>
      </c>
      <c r="E76">
        <f t="shared" si="10"/>
        <v>373.02595703116378</v>
      </c>
      <c r="F76">
        <v>75.069999999999993</v>
      </c>
      <c r="G76">
        <f t="shared" si="14"/>
        <v>0.3652560628255892</v>
      </c>
      <c r="H76">
        <f t="shared" si="15"/>
        <v>98.233446741690642</v>
      </c>
      <c r="L76" t="s">
        <v>78</v>
      </c>
      <c r="M76">
        <v>383.17999267578119</v>
      </c>
      <c r="N76">
        <f t="shared" si="16"/>
        <v>-1.291280163667885E-2</v>
      </c>
      <c r="O76">
        <f t="shared" si="11"/>
        <v>145.38072695214882</v>
      </c>
      <c r="P76">
        <f t="shared" si="12"/>
        <v>256.58556319775664</v>
      </c>
      <c r="Q76">
        <f>LN([1]gpr!B476)-LN([1]gpr!B472)</f>
        <v>-0.18089548123235843</v>
      </c>
      <c r="Y76">
        <f>LN([1]epu!B88)-LN([1]epu!B84)</f>
        <v>0.24879764819421357</v>
      </c>
      <c r="AF76">
        <f>LN([1]wui!B116)-LN([1]wui!B112)</f>
        <v>0.56453692492781826</v>
      </c>
      <c r="AL76" s="8">
        <v>-0.24375299389893801</v>
      </c>
    </row>
    <row r="77" spans="1:38" x14ac:dyDescent="0.35">
      <c r="A77" t="s">
        <v>191</v>
      </c>
      <c r="B77" t="s">
        <v>79</v>
      </c>
      <c r="C77">
        <v>1155.170043945312</v>
      </c>
      <c r="D77">
        <f t="shared" si="13"/>
        <v>-8.1333060982632155E-2</v>
      </c>
      <c r="E77">
        <f t="shared" si="10"/>
        <v>315.28192213248792</v>
      </c>
      <c r="F77">
        <v>68.760000000000005</v>
      </c>
      <c r="G77">
        <f t="shared" si="14"/>
        <v>0.11321234536155256</v>
      </c>
      <c r="H77">
        <f t="shared" si="15"/>
        <v>89.976445956555878</v>
      </c>
      <c r="L77" t="s">
        <v>79</v>
      </c>
      <c r="M77">
        <v>336.23001098632813</v>
      </c>
      <c r="N77">
        <f t="shared" si="16"/>
        <v>-0.14624646044218803</v>
      </c>
      <c r="O77">
        <f t="shared" si="11"/>
        <v>127.56762971620283</v>
      </c>
      <c r="P77">
        <f t="shared" si="12"/>
        <v>247.14884397702562</v>
      </c>
      <c r="Q77">
        <f>LN([1]gpr!B477)-LN([1]gpr!B473)</f>
        <v>-1.4134084297982241E-2</v>
      </c>
      <c r="Y77">
        <f>LN([1]epu!B89)-LN([1]epu!B85)</f>
        <v>0.41003737610276669</v>
      </c>
      <c r="AF77">
        <f>LN([1]wui!B117)-LN([1]wui!B113)</f>
        <v>-7.1274647217672182E-2</v>
      </c>
      <c r="AL77" s="8">
        <v>0.26268200007893</v>
      </c>
    </row>
    <row r="78" spans="1:38" x14ac:dyDescent="0.35">
      <c r="A78" t="s">
        <v>191</v>
      </c>
      <c r="B78" t="s">
        <v>80</v>
      </c>
      <c r="C78">
        <v>1395.510009765625</v>
      </c>
      <c r="D78">
        <f t="shared" si="13"/>
        <v>4.8908396129859533E-2</v>
      </c>
      <c r="E78">
        <f t="shared" si="10"/>
        <v>380.87819238399737</v>
      </c>
      <c r="F78">
        <v>63.1</v>
      </c>
      <c r="G78">
        <f t="shared" si="14"/>
        <v>-5.7880111444784887E-2</v>
      </c>
      <c r="H78">
        <f t="shared" si="15"/>
        <v>82.57000785134781</v>
      </c>
      <c r="L78" t="s">
        <v>80</v>
      </c>
      <c r="M78">
        <v>379.08999633789063</v>
      </c>
      <c r="N78">
        <f t="shared" si="16"/>
        <v>2.1922050526805847E-2</v>
      </c>
      <c r="O78">
        <f t="shared" si="11"/>
        <v>143.82895845640363</v>
      </c>
      <c r="P78">
        <f t="shared" si="12"/>
        <v>264.81328688717883</v>
      </c>
      <c r="Q78">
        <f>LN([1]gpr!B478)-LN([1]gpr!B474)</f>
        <v>-8.6954323899863795E-3</v>
      </c>
      <c r="Y78">
        <f>LN([1]epu!B90)-LN([1]epu!B86)</f>
        <v>0.30750889261033443</v>
      </c>
      <c r="AF78">
        <f>LN([1]wui!B118)-LN([1]wui!B114)</f>
        <v>0.98802298596565663</v>
      </c>
      <c r="AL78" s="8">
        <v>-2.7041979167532499E-2</v>
      </c>
    </row>
    <row r="79" spans="1:38" x14ac:dyDescent="0.35">
      <c r="A79" t="s">
        <v>191</v>
      </c>
      <c r="B79" t="s">
        <v>81</v>
      </c>
      <c r="C79">
        <v>1458.9599609375</v>
      </c>
      <c r="D79">
        <f t="shared" si="13"/>
        <v>0.10487628002730442</v>
      </c>
      <c r="E79">
        <f t="shared" si="10"/>
        <v>398.19566236993853</v>
      </c>
      <c r="F79">
        <v>69.040000000000006</v>
      </c>
      <c r="G79">
        <f t="shared" si="14"/>
        <v>-7.6515682118429851E-2</v>
      </c>
      <c r="H79">
        <f t="shared" si="15"/>
        <v>90.342842187908929</v>
      </c>
      <c r="L79" t="s">
        <v>81</v>
      </c>
      <c r="M79">
        <v>384.8699951171875</v>
      </c>
      <c r="N79">
        <f t="shared" si="16"/>
        <v>1.2918596294983153E-2</v>
      </c>
      <c r="O79">
        <f t="shared" si="11"/>
        <v>146.02192374785534</v>
      </c>
      <c r="P79">
        <f t="shared" si="12"/>
        <v>272.69580632119767</v>
      </c>
      <c r="Q79">
        <f>LN([1]gpr!B479)-LN([1]gpr!B475)</f>
        <v>-0.18835309628830288</v>
      </c>
      <c r="Y79">
        <f>LN([1]epu!B91)-LN([1]epu!B87)</f>
        <v>0.38066979348860475</v>
      </c>
      <c r="AF79">
        <f>LN([1]wui!B119)-LN([1]wui!B115)</f>
        <v>0.45636183059037805</v>
      </c>
      <c r="AL79" s="8">
        <v>0.18695900789388001</v>
      </c>
    </row>
    <row r="80" spans="1:38" x14ac:dyDescent="0.35">
      <c r="A80" t="s">
        <v>191</v>
      </c>
      <c r="B80" t="s">
        <v>82</v>
      </c>
      <c r="C80">
        <v>1558.75</v>
      </c>
      <c r="D80">
        <f t="shared" si="13"/>
        <v>0.13145588301813493</v>
      </c>
      <c r="E80">
        <f t="shared" si="10"/>
        <v>425.43147539175766</v>
      </c>
      <c r="F80">
        <v>61.95</v>
      </c>
      <c r="G80">
        <f t="shared" si="14"/>
        <v>-0.19209340350975879</v>
      </c>
      <c r="H80">
        <f t="shared" si="15"/>
        <v>81.065166186862086</v>
      </c>
      <c r="L80" t="s">
        <v>82</v>
      </c>
      <c r="M80">
        <v>393.14999389648438</v>
      </c>
      <c r="N80">
        <f t="shared" si="16"/>
        <v>2.5686369359333661E-2</v>
      </c>
      <c r="O80">
        <f t="shared" si="11"/>
        <v>149.16340363904476</v>
      </c>
      <c r="P80">
        <f t="shared" si="12"/>
        <v>285.21169738204975</v>
      </c>
      <c r="Q80">
        <f>LN([1]gpr!B480)-LN([1]gpr!B476)</f>
        <v>-3.599786770678115E-2</v>
      </c>
      <c r="Y80">
        <f>LN([1]epu!B92)-LN([1]epu!B88)</f>
        <v>0.27235229335520561</v>
      </c>
      <c r="AF80">
        <f>LN([1]wui!B120)-LN([1]wui!B116)</f>
        <v>0.13318642759725385</v>
      </c>
      <c r="AL80" s="8">
        <v>0.30789062195329298</v>
      </c>
    </row>
    <row r="81" spans="1:38" x14ac:dyDescent="0.35">
      <c r="A81" t="s">
        <v>191</v>
      </c>
      <c r="B81" t="s">
        <v>83</v>
      </c>
      <c r="C81">
        <v>1849.619995117188</v>
      </c>
      <c r="D81">
        <f t="shared" si="13"/>
        <v>0.47073265261393438</v>
      </c>
      <c r="E81">
        <f t="shared" si="10"/>
        <v>504.81896611823629</v>
      </c>
      <c r="F81">
        <v>63.27</v>
      </c>
      <c r="G81">
        <f t="shared" si="14"/>
        <v>-8.3210897355855629E-2</v>
      </c>
      <c r="H81">
        <f t="shared" si="15"/>
        <v>82.792462706097879</v>
      </c>
      <c r="L81" t="s">
        <v>83</v>
      </c>
      <c r="M81">
        <v>416.17001342773438</v>
      </c>
      <c r="N81">
        <f t="shared" si="16"/>
        <v>0.21329838062799311</v>
      </c>
      <c r="O81">
        <f t="shared" si="11"/>
        <v>157.89733348370004</v>
      </c>
      <c r="P81">
        <f t="shared" si="12"/>
        <v>319.71342072749411</v>
      </c>
      <c r="Q81">
        <f>LN([1]gpr!B481)-LN([1]gpr!B477)</f>
        <v>-7.0220831558633456E-2</v>
      </c>
      <c r="Y81">
        <f>LN([1]epu!B93)-LN([1]epu!B89)</f>
        <v>-4.2826825546917746E-3</v>
      </c>
      <c r="AF81">
        <f>LN([1]wui!B121)-LN([1]wui!B117)</f>
        <v>0.68993058300592303</v>
      </c>
      <c r="AL81" s="8">
        <v>-0.197496817518413</v>
      </c>
    </row>
    <row r="82" spans="1:38" x14ac:dyDescent="0.35">
      <c r="A82" t="s">
        <v>191</v>
      </c>
      <c r="B82" t="s">
        <v>84</v>
      </c>
      <c r="C82">
        <v>1510.589965820312</v>
      </c>
      <c r="D82">
        <f t="shared" si="13"/>
        <v>7.9240333505629756E-2</v>
      </c>
      <c r="E82">
        <f t="shared" si="10"/>
        <v>412.2871004785373</v>
      </c>
      <c r="F82">
        <v>50.27</v>
      </c>
      <c r="G82">
        <f t="shared" si="14"/>
        <v>-0.22731229184268376</v>
      </c>
      <c r="H82">
        <f t="shared" si="15"/>
        <v>65.78120910756347</v>
      </c>
      <c r="L82" t="s">
        <v>84</v>
      </c>
      <c r="M82">
        <v>320.05999755859381</v>
      </c>
      <c r="N82">
        <f t="shared" si="16"/>
        <v>-0.16926516365992317</v>
      </c>
      <c r="O82">
        <f t="shared" si="11"/>
        <v>121.43263219053841</v>
      </c>
      <c r="P82">
        <f t="shared" si="12"/>
        <v>339.51919928048892</v>
      </c>
      <c r="Q82">
        <f>LN([1]gpr!B482)-LN([1]gpr!B478)</f>
        <v>0.10450599296913499</v>
      </c>
      <c r="Y82">
        <f>LN([1]epu!B94)-LN([1]epu!B90)</f>
        <v>7.1489645563262094E-2</v>
      </c>
      <c r="AF82">
        <f>LN([1]wui!B122)-LN([1]wui!B118)</f>
        <v>0.41998473854455121</v>
      </c>
      <c r="AL82" s="8">
        <v>0.98847171637166298</v>
      </c>
    </row>
    <row r="83" spans="1:38" x14ac:dyDescent="0.35">
      <c r="A83" t="s">
        <v>191</v>
      </c>
      <c r="B83" t="s">
        <v>85</v>
      </c>
      <c r="C83">
        <v>1996.43994140625</v>
      </c>
      <c r="D83">
        <f t="shared" si="13"/>
        <v>0.31364173877616786</v>
      </c>
      <c r="E83">
        <f t="shared" si="10"/>
        <v>544.8907071714483</v>
      </c>
      <c r="F83">
        <v>29.7</v>
      </c>
      <c r="G83">
        <f t="shared" si="14"/>
        <v>-0.84353900096651913</v>
      </c>
      <c r="H83">
        <f t="shared" si="15"/>
        <v>38.864171682805548</v>
      </c>
      <c r="L83" t="s">
        <v>85</v>
      </c>
      <c r="M83">
        <v>360.33999633789063</v>
      </c>
      <c r="N83">
        <f t="shared" si="16"/>
        <v>-6.5857582217818234E-2</v>
      </c>
      <c r="O83">
        <f t="shared" si="11"/>
        <v>136.71509895837067</v>
      </c>
      <c r="P83">
        <f t="shared" si="12"/>
        <v>398.55927496155039</v>
      </c>
      <c r="Q83">
        <f>LN([1]gpr!B483)-LN([1]gpr!B479)</f>
        <v>-0.33513735533112765</v>
      </c>
      <c r="Y83">
        <f>LN([1]epu!B95)-LN([1]epu!B91)</f>
        <v>0.36030656664284511</v>
      </c>
      <c r="AF83">
        <f>LN([1]wui!B123)-LN([1]wui!B119)</f>
        <v>-0.33669261683156648</v>
      </c>
      <c r="AL83" s="8">
        <v>1.6212986334964801</v>
      </c>
    </row>
    <row r="84" spans="1:38" x14ac:dyDescent="0.35">
      <c r="A84" t="s">
        <v>191</v>
      </c>
      <c r="B84" t="s">
        <v>86</v>
      </c>
      <c r="C84">
        <v>2244.1201171875</v>
      </c>
      <c r="D84">
        <f t="shared" si="13"/>
        <v>0.36442929637418242</v>
      </c>
      <c r="E84">
        <f t="shared" si="10"/>
        <v>612.49034958229481</v>
      </c>
      <c r="F84">
        <v>42.91</v>
      </c>
      <c r="G84">
        <f t="shared" si="14"/>
        <v>-0.36722270907171861</v>
      </c>
      <c r="H84">
        <f t="shared" si="15"/>
        <v>56.150222454854749</v>
      </c>
      <c r="L84" t="s">
        <v>86</v>
      </c>
      <c r="M84">
        <v>361.08999633789063</v>
      </c>
      <c r="N84">
        <f t="shared" si="16"/>
        <v>-8.5063978314535049E-2</v>
      </c>
      <c r="O84">
        <f t="shared" si="11"/>
        <v>136.99965333829201</v>
      </c>
      <c r="P84">
        <f t="shared" si="12"/>
        <v>447.07437913720696</v>
      </c>
      <c r="Q84">
        <f>LN([1]gpr!B484)-LN([1]gpr!B480)</f>
        <v>-0.30242582704480458</v>
      </c>
      <c r="Y84">
        <f>LN([1]epu!B96)-LN([1]epu!B92)</f>
        <v>0.15565928480664581</v>
      </c>
      <c r="AF84">
        <f>LN([1]wui!B124)-LN([1]wui!B120)</f>
        <v>-0.1763549371816211</v>
      </c>
      <c r="AL84" s="8">
        <v>0.83770659619548704</v>
      </c>
    </row>
    <row r="85" spans="1:38" x14ac:dyDescent="0.35">
      <c r="A85" t="s">
        <v>191</v>
      </c>
      <c r="B85" t="s">
        <v>87</v>
      </c>
      <c r="C85">
        <v>2795.5</v>
      </c>
      <c r="D85">
        <f t="shared" si="13"/>
        <v>0.41303077153821466</v>
      </c>
      <c r="E85">
        <f t="shared" si="10"/>
        <v>762.97911111958831</v>
      </c>
      <c r="F85">
        <v>44.32</v>
      </c>
      <c r="G85">
        <f t="shared" si="14"/>
        <v>-0.35597524071976494</v>
      </c>
      <c r="H85">
        <f t="shared" si="15"/>
        <v>57.995289191311173</v>
      </c>
      <c r="L85" t="s">
        <v>87</v>
      </c>
      <c r="M85">
        <v>400.25</v>
      </c>
      <c r="N85">
        <f t="shared" si="16"/>
        <v>-3.9004511019373744E-2</v>
      </c>
      <c r="O85">
        <f t="shared" si="11"/>
        <v>151.85718741800937</v>
      </c>
      <c r="P85">
        <f t="shared" si="12"/>
        <v>502.43200476206329</v>
      </c>
      <c r="Q85">
        <f>LN([1]gpr!B485)-LN([1]gpr!B481)</f>
        <v>-0.15390910659550805</v>
      </c>
      <c r="Y85">
        <f>LN([1]epu!B97)-LN([1]epu!B93)</f>
        <v>0.39112188790414226</v>
      </c>
      <c r="AF85">
        <f>LN([1]wui!B125)-LN([1]wui!B121)</f>
        <v>-0.8594578345798336</v>
      </c>
      <c r="AL85" s="8">
        <v>1.03765410777402</v>
      </c>
    </row>
    <row r="86" spans="1:38" x14ac:dyDescent="0.35">
      <c r="A86" t="s">
        <v>191</v>
      </c>
      <c r="B86" t="s">
        <v>88</v>
      </c>
      <c r="C86">
        <v>3124.93994140625</v>
      </c>
      <c r="D86">
        <f t="shared" si="13"/>
        <v>0.7269147838912362</v>
      </c>
      <c r="E86">
        <f t="shared" si="10"/>
        <v>852.893542763813</v>
      </c>
      <c r="F86">
        <v>61.04</v>
      </c>
      <c r="G86">
        <f t="shared" si="14"/>
        <v>0.19412090927171732</v>
      </c>
      <c r="H86">
        <f t="shared" si="15"/>
        <v>79.874378434964669</v>
      </c>
      <c r="L86" t="s">
        <v>88</v>
      </c>
      <c r="M86">
        <v>429.60000610351563</v>
      </c>
      <c r="N86">
        <f t="shared" si="16"/>
        <v>0.29434608681221341</v>
      </c>
      <c r="O86">
        <f t="shared" si="11"/>
        <v>162.99275113463972</v>
      </c>
      <c r="P86">
        <f t="shared" si="12"/>
        <v>523.27084292189329</v>
      </c>
      <c r="Q86">
        <f>LN([1]gpr!B486)-LN([1]gpr!B482)</f>
        <v>-0.2520230392816396</v>
      </c>
      <c r="Y86">
        <f>LN([1]epu!B98)-LN([1]epu!B94)</f>
        <v>-4.0791243843103508E-2</v>
      </c>
      <c r="AF86">
        <f>LN([1]wui!B126)-LN([1]wui!B122)</f>
        <v>-1.54411471041543</v>
      </c>
      <c r="AL86" s="8">
        <v>0.23887579091678901</v>
      </c>
    </row>
    <row r="87" spans="1:38" x14ac:dyDescent="0.35">
      <c r="A87" t="s">
        <v>191</v>
      </c>
      <c r="B87" t="s">
        <v>89</v>
      </c>
      <c r="C87">
        <v>3345.31005859375</v>
      </c>
      <c r="D87">
        <f t="shared" si="13"/>
        <v>0.51619381730814062</v>
      </c>
      <c r="E87">
        <f t="shared" si="10"/>
        <v>913.0394186819093</v>
      </c>
      <c r="F87">
        <v>68.98</v>
      </c>
      <c r="G87">
        <f t="shared" si="14"/>
        <v>0.84266956170004104</v>
      </c>
      <c r="H87">
        <f t="shared" si="15"/>
        <v>90.264328709761841</v>
      </c>
      <c r="L87" t="s">
        <v>89</v>
      </c>
      <c r="M87">
        <v>452.83999633789063</v>
      </c>
      <c r="N87">
        <f t="shared" si="16"/>
        <v>0.22849083409829962</v>
      </c>
      <c r="O87">
        <f t="shared" si="11"/>
        <v>171.81013914866642</v>
      </c>
      <c r="P87">
        <f t="shared" si="12"/>
        <v>531.42347896701312</v>
      </c>
      <c r="Q87">
        <f>LN([1]gpr!B487)-LN([1]gpr!B483)</f>
        <v>0.19975064574216894</v>
      </c>
      <c r="Y87">
        <f>LN([1]epu!B99)-LN([1]epu!B95)</f>
        <v>-0.67028228233563514</v>
      </c>
      <c r="AF87">
        <f>LN([1]wui!B127)-LN([1]wui!B123)</f>
        <v>-0.46993010449509676</v>
      </c>
      <c r="AL87" s="8">
        <v>-0.26267590591470202</v>
      </c>
    </row>
    <row r="88" spans="1:38" x14ac:dyDescent="0.35">
      <c r="A88" t="s">
        <v>191</v>
      </c>
      <c r="B88" t="s">
        <v>90</v>
      </c>
      <c r="C88">
        <v>3258.090087890625</v>
      </c>
      <c r="D88">
        <f t="shared" si="13"/>
        <v>0.37282764669752844</v>
      </c>
      <c r="E88">
        <f t="shared" si="10"/>
        <v>889.23436923853728</v>
      </c>
      <c r="F88">
        <v>73.510000000000005</v>
      </c>
      <c r="G88">
        <f t="shared" si="14"/>
        <v>0.53831655238256282</v>
      </c>
      <c r="H88">
        <f t="shared" si="15"/>
        <v>96.192096309866542</v>
      </c>
      <c r="L88" t="s">
        <v>90</v>
      </c>
      <c r="M88">
        <v>454.80999755859381</v>
      </c>
      <c r="N88">
        <f t="shared" si="16"/>
        <v>0.23075251935524044</v>
      </c>
      <c r="O88">
        <f t="shared" si="11"/>
        <v>172.55756911640168</v>
      </c>
      <c r="P88">
        <f t="shared" si="12"/>
        <v>515.3262031865371</v>
      </c>
      <c r="Q88">
        <f>LN([1]gpr!B488)-LN([1]gpr!B484)</f>
        <v>7.3913419238630595E-2</v>
      </c>
      <c r="Y88">
        <f>LN([1]epu!B100)-LN([1]epu!B96)</f>
        <v>-0.41396927088539126</v>
      </c>
      <c r="AF88">
        <f>LN([1]wui!B128)-LN([1]wui!B124)</f>
        <v>-0.2456524603789294</v>
      </c>
      <c r="AL88" s="8">
        <v>-0.20569999659905799</v>
      </c>
    </row>
    <row r="89" spans="1:38" x14ac:dyDescent="0.35">
      <c r="A89" t="s">
        <v>191</v>
      </c>
      <c r="B89" t="s">
        <v>91</v>
      </c>
      <c r="C89">
        <v>3946.169921875</v>
      </c>
      <c r="D89">
        <f t="shared" si="13"/>
        <v>0.34473448699182008</v>
      </c>
      <c r="E89">
        <f t="shared" si="10"/>
        <v>1077.0328096294199</v>
      </c>
      <c r="F89">
        <v>79.61</v>
      </c>
      <c r="G89">
        <f t="shared" si="14"/>
        <v>0.58570367066145845</v>
      </c>
      <c r="H89">
        <f t="shared" si="15"/>
        <v>104.17429992148652</v>
      </c>
      <c r="L89" t="s">
        <v>91</v>
      </c>
      <c r="M89">
        <v>488.70999145507813</v>
      </c>
      <c r="N89">
        <f t="shared" si="16"/>
        <v>0.19967989715668644</v>
      </c>
      <c r="O89">
        <f t="shared" si="11"/>
        <v>185.41942477313569</v>
      </c>
      <c r="P89">
        <f t="shared" si="12"/>
        <v>580.86298722325921</v>
      </c>
      <c r="Q89">
        <f>LN([1]gpr!B489)-LN([1]gpr!B485)</f>
        <v>0.25376669062545076</v>
      </c>
      <c r="Y89">
        <f>LN([1]epu!B101)-LN([1]epu!B97)</f>
        <v>-0.39766638980702407</v>
      </c>
      <c r="AF89">
        <f>LN([1]wui!B129)-LN([1]wui!B125)</f>
        <v>-0.11965034514980566</v>
      </c>
      <c r="AL89" s="8">
        <v>0.181592583432969</v>
      </c>
    </row>
    <row r="90" spans="1:38" x14ac:dyDescent="0.35">
      <c r="A90" t="s">
        <v>191</v>
      </c>
      <c r="B90" t="s">
        <v>92</v>
      </c>
      <c r="C90">
        <v>3429</v>
      </c>
      <c r="D90">
        <f t="shared" si="13"/>
        <v>9.285360922710062E-2</v>
      </c>
      <c r="E90">
        <f t="shared" si="10"/>
        <v>935.88101306709655</v>
      </c>
      <c r="F90">
        <v>100.87</v>
      </c>
      <c r="G90">
        <f t="shared" si="14"/>
        <v>0.50230317209054309</v>
      </c>
      <c r="H90">
        <f t="shared" si="15"/>
        <v>131.99424234493588</v>
      </c>
      <c r="L90" t="s">
        <v>92</v>
      </c>
      <c r="M90">
        <v>455.8599853515625</v>
      </c>
      <c r="N90">
        <f t="shared" si="16"/>
        <v>5.9331155295265781E-2</v>
      </c>
      <c r="O90">
        <f t="shared" si="11"/>
        <v>172.95594061687254</v>
      </c>
      <c r="P90">
        <f t="shared" si="12"/>
        <v>541.10949281599733</v>
      </c>
      <c r="Q90">
        <f>LN([1]gpr!B490)-LN([1]gpr!B486)</f>
        <v>1.0748624974817407</v>
      </c>
      <c r="Y90">
        <f>LN([1]epu!B102)-LN([1]epu!B98)</f>
        <v>2.3549327860662217E-2</v>
      </c>
      <c r="AF90">
        <f>LN([1]wui!B130)-LN([1]wui!B126)</f>
        <v>0.79985503980616457</v>
      </c>
      <c r="AL90" s="8">
        <v>2.1362625032214302</v>
      </c>
    </row>
    <row r="91" spans="1:38" x14ac:dyDescent="0.35">
      <c r="A91" t="s">
        <v>191</v>
      </c>
      <c r="B91" t="s">
        <v>93</v>
      </c>
      <c r="C91">
        <v>2556.25</v>
      </c>
      <c r="D91">
        <f t="shared" si="13"/>
        <v>-0.26901804162756449</v>
      </c>
      <c r="E91">
        <f t="shared" si="10"/>
        <v>697.68032652457441</v>
      </c>
      <c r="F91">
        <v>113.84</v>
      </c>
      <c r="G91">
        <f t="shared" si="14"/>
        <v>0.50097734627290169</v>
      </c>
      <c r="H91">
        <f t="shared" si="15"/>
        <v>148.96623920439674</v>
      </c>
      <c r="L91" t="s">
        <v>93</v>
      </c>
      <c r="M91">
        <v>407.20001220703119</v>
      </c>
      <c r="N91">
        <f t="shared" si="16"/>
        <v>-0.10623435890863941</v>
      </c>
      <c r="O91">
        <f t="shared" si="11"/>
        <v>154.49406263669917</v>
      </c>
      <c r="P91">
        <f t="shared" si="12"/>
        <v>451.59038128552942</v>
      </c>
      <c r="Q91">
        <f>LN([1]gpr!B491)-LN([1]gpr!B487)</f>
        <v>0.5976780382161424</v>
      </c>
      <c r="Y91">
        <f>LN([1]epu!B103)-LN([1]epu!B99)</f>
        <v>0.38441371041600281</v>
      </c>
      <c r="AF91">
        <f>LN([1]wui!B131)-LN([1]wui!B127)</f>
        <v>0.48466722885429725</v>
      </c>
      <c r="AL91" s="8">
        <v>1.64150693421324</v>
      </c>
    </row>
    <row r="92" spans="1:38" x14ac:dyDescent="0.35">
      <c r="A92" t="s">
        <v>191</v>
      </c>
      <c r="B92" t="s">
        <v>94</v>
      </c>
      <c r="C92">
        <v>2306.699951171875</v>
      </c>
      <c r="D92">
        <f t="shared" si="13"/>
        <v>-0.34532325052766932</v>
      </c>
      <c r="E92">
        <f t="shared" si="10"/>
        <v>629.57033745831336</v>
      </c>
      <c r="F92">
        <v>100.71</v>
      </c>
      <c r="G92">
        <f t="shared" si="14"/>
        <v>0.31482364827405718</v>
      </c>
      <c r="H92">
        <f t="shared" si="15"/>
        <v>131.78487306987699</v>
      </c>
      <c r="L92" t="s">
        <v>94</v>
      </c>
      <c r="M92">
        <v>387.85000610351563</v>
      </c>
      <c r="N92">
        <f t="shared" si="16"/>
        <v>-0.15926106127990725</v>
      </c>
      <c r="O92">
        <f t="shared" si="11"/>
        <v>147.15255731901976</v>
      </c>
      <c r="P92">
        <f t="shared" si="12"/>
        <v>427.83513173572294</v>
      </c>
      <c r="Q92">
        <f>LN([1]gpr!B492)-LN([1]gpr!B488)</f>
        <v>0.5134957912878555</v>
      </c>
      <c r="Y92">
        <f>LN([1]epu!B104)-LN([1]epu!B100)</f>
        <v>0.25599132317778039</v>
      </c>
      <c r="AF92">
        <f>LN([1]wui!B132)-LN([1]wui!B128)</f>
        <v>0.13041638896195451</v>
      </c>
      <c r="AL92" s="8">
        <v>1.14328332759622</v>
      </c>
    </row>
    <row r="93" spans="1:38" x14ac:dyDescent="0.35">
      <c r="A93" t="s">
        <v>191</v>
      </c>
      <c r="B93" t="s">
        <v>95</v>
      </c>
      <c r="C93">
        <v>2532.110107421875</v>
      </c>
      <c r="D93">
        <f t="shared" si="13"/>
        <v>-0.44369247879640383</v>
      </c>
      <c r="E93">
        <f t="shared" si="10"/>
        <v>691.09179718034977</v>
      </c>
      <c r="F93">
        <v>88.72</v>
      </c>
      <c r="G93">
        <f t="shared" si="14"/>
        <v>0.108345629941625</v>
      </c>
      <c r="H93">
        <f t="shared" si="15"/>
        <v>116.09526302015179</v>
      </c>
      <c r="L93" t="s">
        <v>95</v>
      </c>
      <c r="M93">
        <v>424.8900146484375</v>
      </c>
      <c r="N93">
        <f t="shared" si="16"/>
        <v>-0.13993890266326137</v>
      </c>
      <c r="O93">
        <f t="shared" si="11"/>
        <v>161.20575287072711</v>
      </c>
      <c r="P93">
        <f t="shared" si="12"/>
        <v>428.70169635605055</v>
      </c>
      <c r="Q93">
        <f>LN([1]gpr!B493)-LN([1]gpr!B489)</f>
        <v>0.31449179771657931</v>
      </c>
      <c r="Y93">
        <f>LN([1]epu!B105)-LN([1]epu!B101)</f>
        <v>0.18755778645224286</v>
      </c>
      <c r="AF93">
        <f>LN([1]wui!B133)-LN([1]wui!B129)</f>
        <v>0.29134519214685461</v>
      </c>
      <c r="AL93" s="8">
        <v>1.20087378101925</v>
      </c>
    </row>
    <row r="94" spans="1:38" x14ac:dyDescent="0.35">
      <c r="A94" t="s">
        <v>191</v>
      </c>
      <c r="B94" t="s">
        <v>96</v>
      </c>
      <c r="C94">
        <v>3230.860107421875</v>
      </c>
      <c r="D94">
        <f t="shared" si="13"/>
        <v>-5.952028456682612E-2</v>
      </c>
      <c r="E94">
        <f t="shared" si="10"/>
        <v>881.80245856286172</v>
      </c>
      <c r="F94">
        <v>81.069999999999993</v>
      </c>
      <c r="G94">
        <f t="shared" si="14"/>
        <v>-0.21851958006712913</v>
      </c>
      <c r="H94">
        <f t="shared" si="15"/>
        <v>106.08479455639883</v>
      </c>
      <c r="L94" t="s">
        <v>96</v>
      </c>
      <c r="M94">
        <v>457.83999633789063</v>
      </c>
      <c r="N94">
        <f t="shared" si="16"/>
        <v>4.3340574048214009E-3</v>
      </c>
      <c r="O94">
        <f t="shared" si="11"/>
        <v>173.70716834814189</v>
      </c>
      <c r="P94">
        <f t="shared" si="12"/>
        <v>507.63734562500235</v>
      </c>
      <c r="Q94">
        <f>LN([1]gpr!B494)-LN([1]gpr!B490)</f>
        <v>-0.71188250345766502</v>
      </c>
      <c r="Y94">
        <f>LN([1]epu!B106)-LN([1]epu!B102)</f>
        <v>0.10418534123585665</v>
      </c>
      <c r="AF94">
        <f>LN([1]wui!B134)-LN([1]wui!B130)</f>
        <v>-2.0800282666932901E-3</v>
      </c>
      <c r="AL94" s="8">
        <v>0.71022148255387196</v>
      </c>
    </row>
    <row r="95" spans="1:38" x14ac:dyDescent="0.35">
      <c r="A95" t="s">
        <v>191</v>
      </c>
      <c r="B95" t="s">
        <v>97</v>
      </c>
      <c r="C95">
        <v>3673.06005859375</v>
      </c>
      <c r="D95">
        <f t="shared" si="13"/>
        <v>0.36248377726806957</v>
      </c>
      <c r="E95">
        <f t="shared" si="10"/>
        <v>1002.4926126255492</v>
      </c>
      <c r="F95">
        <v>77.989999999999995</v>
      </c>
      <c r="G95">
        <f t="shared" si="14"/>
        <v>-0.3782133404391903</v>
      </c>
      <c r="H95">
        <f t="shared" si="15"/>
        <v>102.05443601151529</v>
      </c>
      <c r="L95" t="s">
        <v>97</v>
      </c>
      <c r="M95">
        <v>461.92999267578119</v>
      </c>
      <c r="N95">
        <f t="shared" si="16"/>
        <v>0.12610885338066691</v>
      </c>
      <c r="O95">
        <f t="shared" si="11"/>
        <v>175.25893684388708</v>
      </c>
      <c r="P95">
        <f t="shared" si="12"/>
        <v>572.00655822677118</v>
      </c>
      <c r="Q95">
        <f>LN([1]gpr!B495)-LN([1]gpr!B491)</f>
        <v>-0.35381624934233002</v>
      </c>
      <c r="Y95">
        <f>LN([1]epu!B107)-LN([1]epu!B103)</f>
        <v>-0.14058030896509344</v>
      </c>
      <c r="AF95">
        <f>LN([1]wui!B135)-LN([1]wui!B131)</f>
        <v>4.5264999700627584E-2</v>
      </c>
      <c r="AL95" s="8">
        <v>0.27543462831682303</v>
      </c>
    </row>
    <row r="96" spans="1:38" x14ac:dyDescent="0.35">
      <c r="A96" t="s">
        <v>191</v>
      </c>
      <c r="B96" t="s">
        <v>98</v>
      </c>
      <c r="C96">
        <v>3434.2900390625</v>
      </c>
      <c r="D96">
        <f t="shared" si="13"/>
        <v>0.39799230934915553</v>
      </c>
      <c r="E96">
        <f t="shared" si="10"/>
        <v>937.32482966580676</v>
      </c>
      <c r="F96">
        <v>86.65</v>
      </c>
      <c r="G96">
        <f t="shared" si="14"/>
        <v>-0.15036808349843778</v>
      </c>
      <c r="H96">
        <f t="shared" si="15"/>
        <v>113.38654802407748</v>
      </c>
      <c r="L96" t="s">
        <v>98</v>
      </c>
      <c r="M96">
        <v>450.22000122070313</v>
      </c>
      <c r="N96">
        <f t="shared" si="16"/>
        <v>0.14911767222369132</v>
      </c>
      <c r="O96">
        <f t="shared" si="11"/>
        <v>170.81609770070887</v>
      </c>
      <c r="P96">
        <f t="shared" si="12"/>
        <v>548.73331160399005</v>
      </c>
      <c r="Q96">
        <f>LN([1]gpr!B496)-LN([1]gpr!B492)</f>
        <v>-0.2179086391875904</v>
      </c>
      <c r="Y96">
        <f>LN([1]epu!B108)-LN([1]epu!B104)</f>
        <v>-0.31635308145340701</v>
      </c>
      <c r="AF96">
        <f>LN([1]wui!B136)-LN([1]wui!B132)</f>
        <v>-0.31377174297590038</v>
      </c>
      <c r="AL96" s="8">
        <v>-0.15163217415411401</v>
      </c>
    </row>
    <row r="97" spans="1:58" x14ac:dyDescent="0.35">
      <c r="A97" t="s">
        <v>191</v>
      </c>
      <c r="B97" t="s">
        <v>99</v>
      </c>
      <c r="C97">
        <v>4175.47021484375</v>
      </c>
      <c r="D97">
        <f t="shared" si="13"/>
        <v>0.50017398859085382</v>
      </c>
      <c r="E97">
        <f t="shared" si="10"/>
        <v>1139.6160089528889</v>
      </c>
      <c r="F97">
        <v>84.01</v>
      </c>
      <c r="G97">
        <f t="shared" si="14"/>
        <v>-5.4549503665356269E-2</v>
      </c>
      <c r="H97">
        <f t="shared" si="15"/>
        <v>109.93195498560586</v>
      </c>
      <c r="L97" t="s">
        <v>99</v>
      </c>
      <c r="M97">
        <v>479.01998901367188</v>
      </c>
      <c r="N97">
        <f t="shared" si="16"/>
        <v>0.11991198088744248</v>
      </c>
      <c r="O97">
        <f t="shared" si="11"/>
        <v>181.74298125826849</v>
      </c>
      <c r="P97">
        <f t="shared" si="12"/>
        <v>627.04815397158097</v>
      </c>
      <c r="Q97">
        <f>LN([1]gpr!B497)-LN([1]gpr!B493)</f>
        <v>0.29191032501893766</v>
      </c>
      <c r="Y97">
        <f>LN([1]epu!B109)-LN([1]epu!B105)</f>
        <v>-0.27207645839451633</v>
      </c>
      <c r="AF97">
        <f>LN([1]wui!B137)-LN([1]wui!B133)</f>
        <v>-0.46441926626207497</v>
      </c>
      <c r="AL97" s="8">
        <v>0.73195566631651798</v>
      </c>
    </row>
    <row r="98" spans="1:58" x14ac:dyDescent="0.35">
      <c r="A98" t="s">
        <v>191</v>
      </c>
      <c r="B98" t="s">
        <v>100</v>
      </c>
      <c r="C98">
        <v>4905.2099609375</v>
      </c>
      <c r="D98">
        <f t="shared" si="13"/>
        <v>0.41754950867908569</v>
      </c>
      <c r="E98">
        <f t="shared" si="10"/>
        <v>1338.784738276174</v>
      </c>
      <c r="F98">
        <v>82.92</v>
      </c>
      <c r="G98">
        <f t="shared" si="14"/>
        <v>2.2563308567963958E-2</v>
      </c>
      <c r="H98">
        <f t="shared" si="15"/>
        <v>108.5056267992672</v>
      </c>
      <c r="L98" t="s">
        <v>100</v>
      </c>
      <c r="M98">
        <v>512.66998291015625</v>
      </c>
      <c r="N98">
        <f t="shared" si="16"/>
        <v>0.11311255988976754</v>
      </c>
      <c r="O98">
        <f t="shared" ref="O98:O107" si="17">M98/M$42*100</f>
        <v>194.50998545502875</v>
      </c>
      <c r="P98">
        <f t="shared" ref="P98:P107" si="18">(E98/O98)*100</f>
        <v>688.2858662213539</v>
      </c>
      <c r="Q98">
        <f>LN([1]gpr!B498)-LN([1]gpr!B494)</f>
        <v>0.2861606965399357</v>
      </c>
      <c r="Y98">
        <f>LN([1]epu!B110)-LN([1]epu!B106)</f>
        <v>-0.27981777347784309</v>
      </c>
      <c r="AF98">
        <f>LN([1]wui!B138)-LN([1]wui!B134)</f>
        <v>-0.4980988966599984</v>
      </c>
      <c r="AL98" s="8">
        <v>0.34395817598755601</v>
      </c>
    </row>
    <row r="99" spans="1:58" x14ac:dyDescent="0.35">
      <c r="A99" t="s">
        <v>191</v>
      </c>
      <c r="B99" t="s">
        <v>101</v>
      </c>
      <c r="C99">
        <v>5472.259765625</v>
      </c>
      <c r="D99">
        <f t="shared" si="13"/>
        <v>0.39866653290465059</v>
      </c>
      <c r="E99">
        <f t="shared" si="10"/>
        <v>1493.5503100669109</v>
      </c>
      <c r="F99">
        <v>84.68</v>
      </c>
      <c r="G99">
        <f t="shared" si="14"/>
        <v>8.2298832924258214E-2</v>
      </c>
      <c r="H99">
        <f t="shared" si="15"/>
        <v>110.80868882491495</v>
      </c>
      <c r="L99" t="s">
        <v>101</v>
      </c>
      <c r="M99">
        <v>511.42001342773438</v>
      </c>
      <c r="N99">
        <f t="shared" si="16"/>
        <v>0.10177784808328205</v>
      </c>
      <c r="O99">
        <f t="shared" si="17"/>
        <v>194.03573973370726</v>
      </c>
      <c r="P99">
        <f t="shared" si="18"/>
        <v>769.72949010148579</v>
      </c>
      <c r="Q99">
        <f>LN([1]gpr!B499)-LN([1]gpr!B495)</f>
        <v>0.22389010049727265</v>
      </c>
      <c r="Y99">
        <f>LN([1]epu!B111)-LN([1]epu!B107)</f>
        <v>-0.26664968401828748</v>
      </c>
      <c r="AF99">
        <f>LN([1]wui!B139)-LN([1]wui!B135)</f>
        <v>-0.70986531293946697</v>
      </c>
      <c r="AL99">
        <v>8.7765788432024594E-2</v>
      </c>
    </row>
    <row r="100" spans="1:58" x14ac:dyDescent="0.35">
      <c r="A100" t="s">
        <v>191</v>
      </c>
      <c r="B100" t="s">
        <v>102</v>
      </c>
      <c r="C100">
        <v>5173.06005859375</v>
      </c>
      <c r="D100">
        <f t="shared" si="13"/>
        <v>0.4096541810610006</v>
      </c>
      <c r="E100">
        <f t="shared" si="10"/>
        <v>1411.8893812463264</v>
      </c>
      <c r="F100">
        <v>80.010000000000005</v>
      </c>
      <c r="G100">
        <f t="shared" si="14"/>
        <v>-7.9725389299582616E-2</v>
      </c>
      <c r="H100">
        <f t="shared" si="15"/>
        <v>104.69772310913375</v>
      </c>
      <c r="L100" t="s">
        <v>102</v>
      </c>
      <c r="M100">
        <v>522.8900146484375</v>
      </c>
      <c r="N100">
        <f t="shared" si="16"/>
        <v>0.14963479001271818</v>
      </c>
      <c r="O100">
        <f t="shared" si="17"/>
        <v>198.38752518044583</v>
      </c>
      <c r="P100">
        <f t="shared" si="18"/>
        <v>711.68254151168264</v>
      </c>
      <c r="Q100">
        <f>LN([1]gpr!B500)-LN([1]gpr!B496)</f>
        <v>0.16882866646679595</v>
      </c>
      <c r="Y100">
        <f>LN([1]epu!B112)-LN([1]epu!B108)</f>
        <v>9.0005104055324026E-2</v>
      </c>
      <c r="AF100">
        <f>LN([1]wui!B140)-LN([1]wui!B136)</f>
        <v>7.3103494226218757E-2</v>
      </c>
      <c r="AL100">
        <v>0.30425528579961297</v>
      </c>
    </row>
    <row r="101" spans="1:58" x14ac:dyDescent="0.35">
      <c r="A101" t="s">
        <v>191</v>
      </c>
      <c r="B101" t="s">
        <v>103</v>
      </c>
      <c r="C101">
        <v>4979.93017578125</v>
      </c>
      <c r="D101">
        <f t="shared" si="13"/>
        <v>0.1761888917399741</v>
      </c>
      <c r="E101">
        <f t="shared" si="10"/>
        <v>1359.1782146146284</v>
      </c>
      <c r="F101">
        <v>74.66</v>
      </c>
      <c r="G101">
        <f t="shared" si="14"/>
        <v>-0.117991365890318</v>
      </c>
      <c r="H101">
        <f t="shared" si="15"/>
        <v>97.696937974352267</v>
      </c>
      <c r="L101" t="s">
        <v>103</v>
      </c>
      <c r="M101">
        <v>504.85000610351563</v>
      </c>
      <c r="N101">
        <f t="shared" si="16"/>
        <v>5.2519040282398954E-2</v>
      </c>
      <c r="O101">
        <f t="shared" si="17"/>
        <v>191.54304058674515</v>
      </c>
      <c r="P101">
        <f t="shared" si="18"/>
        <v>709.59415202511093</v>
      </c>
      <c r="Q101">
        <f>LN([1]gpr!B501)-LN([1]gpr!B497)</f>
        <v>-0.21196770816418642</v>
      </c>
      <c r="Y101">
        <f>LN([1]epu!B113)-LN([1]epu!B109)</f>
        <v>0.27050992242040905</v>
      </c>
      <c r="AF101">
        <f>LN([1]wui!B141)-LN([1]wui!B137)</f>
        <v>0.4594947877769382</v>
      </c>
      <c r="AL101">
        <v>0.90945592778423401</v>
      </c>
    </row>
    <row r="102" spans="1:58" x14ac:dyDescent="0.35">
      <c r="A102" t="s">
        <v>191</v>
      </c>
      <c r="B102" t="s">
        <v>104</v>
      </c>
      <c r="C102">
        <v>4270.43017578125</v>
      </c>
      <c r="D102">
        <f t="shared" si="13"/>
        <v>-0.1385833316841385</v>
      </c>
      <c r="E102">
        <f t="shared" si="10"/>
        <v>1165.5335430570008</v>
      </c>
      <c r="F102">
        <v>75.87</v>
      </c>
      <c r="G102">
        <f t="shared" si="14"/>
        <v>-8.8854938217595603E-2</v>
      </c>
      <c r="H102">
        <f t="shared" si="15"/>
        <v>99.280293116985092</v>
      </c>
      <c r="L102" t="s">
        <v>104</v>
      </c>
      <c r="M102">
        <v>533.91998291015625</v>
      </c>
      <c r="N102">
        <f t="shared" si="16"/>
        <v>4.0613653002867345E-2</v>
      </c>
      <c r="O102">
        <f t="shared" si="17"/>
        <v>202.57235955279941</v>
      </c>
      <c r="P102">
        <f t="shared" si="18"/>
        <v>575.36652366099861</v>
      </c>
      <c r="Q102">
        <f>LN([1]gpr!B502)-LN([1]gpr!B498)</f>
        <v>-3.2486134045512927E-2</v>
      </c>
      <c r="Y102">
        <f>LN([1]epu!B114)-LN([1]epu!B110)</f>
        <v>0.64847987313731004</v>
      </c>
      <c r="AF102">
        <f>LN([1]wui!B142)-LN([1]wui!B138)</f>
        <v>1.0989648225688704</v>
      </c>
      <c r="AL102">
        <v>1.7668732672898</v>
      </c>
    </row>
    <row r="103" spans="1:58" x14ac:dyDescent="0.35">
      <c r="A103" t="s">
        <v>191</v>
      </c>
      <c r="B103" t="s">
        <v>105</v>
      </c>
      <c r="C103">
        <v>5546.5400390625</v>
      </c>
      <c r="D103">
        <f t="shared" si="13"/>
        <v>1.348266598671799E-2</v>
      </c>
      <c r="E103">
        <f t="shared" si="10"/>
        <v>1513.8237126786312</v>
      </c>
      <c r="F103">
        <v>68.069999999999993</v>
      </c>
      <c r="G103">
        <f t="shared" si="14"/>
        <v>-0.21834285880680415</v>
      </c>
      <c r="H103">
        <f t="shared" si="15"/>
        <v>89.073540957864424</v>
      </c>
      <c r="L103" t="s">
        <v>105</v>
      </c>
      <c r="M103">
        <v>541.3699951171875</v>
      </c>
      <c r="N103">
        <f t="shared" si="16"/>
        <v>5.6911758052219596E-2</v>
      </c>
      <c r="O103">
        <f t="shared" si="17"/>
        <v>205.39893769143677</v>
      </c>
      <c r="P103">
        <f t="shared" si="18"/>
        <v>737.01633011987258</v>
      </c>
      <c r="Q103">
        <f>LN([1]gpr!B503)-LN([1]gpr!B499)</f>
        <v>0.26493241529138434</v>
      </c>
      <c r="Y103">
        <f>LN([1]epu!B115)-LN([1]epu!B111)</f>
        <v>1.051516555282042</v>
      </c>
      <c r="AF103">
        <f>LN([1]wui!B143)-LN([1]wui!B139)</f>
        <v>1.6680277565708348</v>
      </c>
      <c r="AL103">
        <v>3.3448629645629699</v>
      </c>
    </row>
    <row r="104" spans="1:58" x14ac:dyDescent="0.35">
      <c r="A104" t="s">
        <v>191</v>
      </c>
      <c r="B104" t="s">
        <v>106</v>
      </c>
      <c r="C104">
        <v>6369.81982421875</v>
      </c>
      <c r="D104">
        <f t="shared" si="13"/>
        <v>0.20810678316573394</v>
      </c>
      <c r="E104">
        <f t="shared" si="10"/>
        <v>1738.5224351544821</v>
      </c>
      <c r="F104">
        <v>69.03</v>
      </c>
      <c r="G104">
        <f t="shared" si="14"/>
        <v>-0.14761043414664865</v>
      </c>
      <c r="H104">
        <f t="shared" si="15"/>
        <v>90.32975660821775</v>
      </c>
      <c r="L104" t="s">
        <v>106</v>
      </c>
      <c r="M104">
        <v>558.17999267578125</v>
      </c>
      <c r="N104">
        <f t="shared" si="16"/>
        <v>6.5310332976831198E-2</v>
      </c>
      <c r="O104">
        <f t="shared" si="17"/>
        <v>211.77674893378943</v>
      </c>
      <c r="P104">
        <f t="shared" si="18"/>
        <v>820.92224189257865</v>
      </c>
      <c r="Q104">
        <f>LN([1]gpr!B504)-LN([1]gpr!B500)</f>
        <v>9.3802199143834031E-2</v>
      </c>
      <c r="Y104">
        <f>LN([1]epu!B116)-LN([1]epu!B112)</f>
        <v>0.53286339761463974</v>
      </c>
      <c r="AF104">
        <f>LN([1]wui!B144)-LN([1]wui!B140)</f>
        <v>1.7133410183582622</v>
      </c>
      <c r="AL104">
        <v>1.3828512536058</v>
      </c>
    </row>
    <row r="105" spans="1:58" x14ac:dyDescent="0.35">
      <c r="A105" t="s">
        <v>191</v>
      </c>
      <c r="B105" t="s">
        <v>107</v>
      </c>
      <c r="C105">
        <v>7083.1298828125</v>
      </c>
      <c r="D105">
        <f t="shared" si="13"/>
        <v>0.35230001385254184</v>
      </c>
      <c r="E105">
        <f t="shared" si="10"/>
        <v>1933.2069904964676</v>
      </c>
      <c r="F105">
        <v>63.65</v>
      </c>
      <c r="G105">
        <f t="shared" si="14"/>
        <v>-0.15954514848302193</v>
      </c>
      <c r="H105">
        <f t="shared" si="15"/>
        <v>83.289714734362732</v>
      </c>
      <c r="L105" t="s">
        <v>107</v>
      </c>
      <c r="M105">
        <v>592.780029296875</v>
      </c>
      <c r="N105">
        <f t="shared" si="16"/>
        <v>0.16056201710385398</v>
      </c>
      <c r="O105">
        <f t="shared" si="17"/>
        <v>224.9042048884163</v>
      </c>
      <c r="P105">
        <f t="shared" si="18"/>
        <v>859.56907362208119</v>
      </c>
      <c r="Q105">
        <f>LN([1]gpr!B505)-LN([1]gpr!B501)</f>
        <v>-3.0441785002001787E-2</v>
      </c>
      <c r="Y105">
        <f>LN([1]epu!B117)-LN([1]epu!B113)</f>
        <v>0.30840187233913952</v>
      </c>
      <c r="AF105">
        <f>LN([1]wui!B145)-LN([1]wui!B141)</f>
        <v>1.281082992323336</v>
      </c>
      <c r="AL105">
        <v>1.5588754266220699</v>
      </c>
    </row>
    <row r="106" spans="1:58" x14ac:dyDescent="0.35">
      <c r="A106" t="s">
        <v>191</v>
      </c>
      <c r="B106" t="s">
        <v>108</v>
      </c>
      <c r="C106">
        <v>7588.2001953125</v>
      </c>
      <c r="D106">
        <f t="shared" si="13"/>
        <v>0.57487986896192034</v>
      </c>
      <c r="E106">
        <f t="shared" si="10"/>
        <v>2071.0564264056584</v>
      </c>
      <c r="F106">
        <v>80.72</v>
      </c>
      <c r="G106">
        <f t="shared" si="14"/>
        <v>6.1965026695370184E-2</v>
      </c>
      <c r="H106">
        <f t="shared" si="15"/>
        <v>105.62679926720753</v>
      </c>
      <c r="L106" t="s">
        <v>108</v>
      </c>
      <c r="M106">
        <v>583.1400146484375</v>
      </c>
      <c r="N106">
        <f t="shared" si="16"/>
        <v>8.8181336868551341E-2</v>
      </c>
      <c r="O106">
        <f t="shared" si="17"/>
        <v>221.24672703412494</v>
      </c>
      <c r="P106">
        <f t="shared" si="18"/>
        <v>936.08454876090445</v>
      </c>
      <c r="Q106">
        <f>LN([1]gpr!B506)-LN([1]gpr!B502)</f>
        <v>0.37286644740994923</v>
      </c>
      <c r="Y106">
        <f>LN([1]epu!B118)-LN([1]epu!B114)</f>
        <v>5.945642479794877E-2</v>
      </c>
      <c r="AF106">
        <f>LN([1]wui!B146)-LN([1]wui!B142)</f>
        <v>0.53092192422779405</v>
      </c>
      <c r="AL106">
        <v>2.7832597596106701</v>
      </c>
    </row>
    <row r="107" spans="1:58" x14ac:dyDescent="0.35">
      <c r="A107" t="s">
        <v>191</v>
      </c>
      <c r="B107" t="s">
        <v>109</v>
      </c>
      <c r="C107">
        <v>13709.66015625</v>
      </c>
      <c r="D107">
        <f t="shared" si="13"/>
        <v>0.9049263882788896</v>
      </c>
      <c r="E107">
        <f t="shared" si="10"/>
        <v>3741.7937112385125</v>
      </c>
      <c r="F107">
        <v>102.63</v>
      </c>
      <c r="G107">
        <f t="shared" si="14"/>
        <v>0.41059370019776242</v>
      </c>
      <c r="H107">
        <f t="shared" si="15"/>
        <v>134.29730437058362</v>
      </c>
      <c r="L107" t="s">
        <v>109</v>
      </c>
      <c r="M107">
        <v>636.1099853515625</v>
      </c>
      <c r="N107">
        <f t="shared" si="16"/>
        <v>0.16126852660119795</v>
      </c>
      <c r="O107">
        <f t="shared" si="17"/>
        <v>241.34384325796233</v>
      </c>
      <c r="P107">
        <f t="shared" si="18"/>
        <v>1550.3994884340455</v>
      </c>
      <c r="Q107">
        <f>LN([1]gpr!B507)-LN([1]gpr!B503)</f>
        <v>0.17661953844871192</v>
      </c>
      <c r="Y107">
        <f>LN([1]epu!B119)-LN([1]epu!B115)</f>
        <v>-0.45463409497059182</v>
      </c>
      <c r="AF107">
        <f>LN([1]wui!B147)-LN([1]wui!B143)</f>
        <v>-2.6784164756023188E-2</v>
      </c>
      <c r="AL107">
        <v>2.2025838320800402</v>
      </c>
    </row>
    <row r="108" spans="1:58" x14ac:dyDescent="0.35">
      <c r="B108" t="s">
        <v>194</v>
      </c>
      <c r="AL108">
        <v>0.76386029204533001</v>
      </c>
      <c r="AP108" t="s">
        <v>195</v>
      </c>
      <c r="AW108" t="s">
        <v>207</v>
      </c>
      <c r="BF108" t="s">
        <v>208</v>
      </c>
    </row>
    <row r="109" spans="1:58" x14ac:dyDescent="0.35">
      <c r="B109" t="s">
        <v>196</v>
      </c>
      <c r="D109" t="s">
        <v>197</v>
      </c>
      <c r="K109" t="s">
        <v>198</v>
      </c>
    </row>
    <row r="110" spans="1:58" x14ac:dyDescent="0.35">
      <c r="B110" t="s">
        <v>199</v>
      </c>
    </row>
    <row r="126" spans="10:18" x14ac:dyDescent="0.35">
      <c r="J126" t="s">
        <v>200</v>
      </c>
      <c r="R126" t="s">
        <v>201</v>
      </c>
    </row>
    <row r="127" spans="10:18" x14ac:dyDescent="0.35">
      <c r="J127" t="s">
        <v>202</v>
      </c>
      <c r="R127" s="9" t="s">
        <v>203</v>
      </c>
    </row>
    <row r="128" spans="10:18" x14ac:dyDescent="0.35">
      <c r="J128" t="s">
        <v>204</v>
      </c>
    </row>
    <row r="129" spans="10:18" x14ac:dyDescent="0.35">
      <c r="J129" t="s">
        <v>205</v>
      </c>
      <c r="R129" t="s">
        <v>206</v>
      </c>
    </row>
  </sheetData>
  <pageMargins left="0.7" right="0.7" top="0.75" bottom="0.75" header="0.3" footer="0.3"/>
  <pageSetup orientation="portrait" horizontalDpi="90" verticalDpi="90" r:id="rId1"/>
  <headerFooter>
    <oddHeader>&amp;L&amp;"Aptos"&amp;10&amp;K7FAA39 | DNB PUBLIC |&amp;1#_x000D_</oddHeader>
  </headerFooter>
  <drawing r:id="rId2"/>
  <legacyDrawing r:id="rId3"/>
</worksheet>
</file>

<file path=docMetadata/LabelInfo.xml><?xml version="1.0" encoding="utf-8"?>
<clbl:labelList xmlns:clbl="http://schemas.microsoft.com/office/2020/mipLabelMetadata">
  <clbl:label id="{1ddf9560-f40a-4faa-b693-65e98d55b544}" enabled="1" method="Privileged" siteId="{9ecbd628-0072-405d-8567-32c6750b0d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ict_inv</vt:lpstr>
      <vt:lpstr>ai_patent</vt:lpstr>
      <vt:lpstr>ai_inv</vt:lpstr>
      <vt:lpstr>hs_export</vt:lpstr>
      <vt:lpstr>eu_export</vt:lpstr>
      <vt:lpstr>Corr_exposure_data</vt:lpstr>
      <vt:lpstr>index_sox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Willem van den End (EBO_CMA)</cp:lastModifiedBy>
  <dcterms:created xsi:type="dcterms:W3CDTF">2026-09-02T09:00:34Z</dcterms:created>
  <dcterms:modified xsi:type="dcterms:W3CDTF">2026-09-23T10:27:46Z</dcterms:modified>
</cp:coreProperties>
</file>