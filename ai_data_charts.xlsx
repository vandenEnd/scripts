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nbnl-my.sharepoint.com/personal/w_a_van_den_end_dnb_nl/Documents/Projecten_nw/AI/Data/"/>
    </mc:Choice>
  </mc:AlternateContent>
  <xr:revisionPtr revIDLastSave="36" documentId="13_ncr:1_{168B706B-C04D-4114-BEFE-4F25AD195DA9}" xr6:coauthVersionLast="47" xr6:coauthVersionMax="47" xr10:uidLastSave="{F9A1658A-E540-4A90-BD5F-F6FA6699E6EA}"/>
  <bookViews>
    <workbookView xWindow="-110" yWindow="-110" windowWidth="19420" windowHeight="11500" xr2:uid="{00000000-000D-0000-FFFF-FFFF00000000}"/>
  </bookViews>
  <sheets>
    <sheet name="ict_inv" sheetId="2" r:id="rId1"/>
    <sheet name="ai_patent" sheetId="3" r:id="rId2"/>
    <sheet name="ai_inv" sheetId="4" r:id="rId3"/>
    <sheet name="hs_export" sheetId="12" r:id="rId4"/>
    <sheet name="Corr_exposure_data" sheetId="1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9" i="12" l="1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M269" i="12"/>
  <c r="M268" i="12"/>
  <c r="M267" i="12"/>
  <c r="M266" i="12"/>
  <c r="M265" i="12"/>
  <c r="M264" i="12"/>
  <c r="M263" i="12"/>
  <c r="M262" i="12"/>
  <c r="M261" i="12"/>
  <c r="M260" i="12"/>
  <c r="M259" i="12"/>
  <c r="M258" i="12"/>
  <c r="M257" i="12"/>
  <c r="M256" i="12"/>
  <c r="M255" i="12"/>
  <c r="M254" i="12"/>
  <c r="M253" i="12"/>
  <c r="M252" i="12"/>
  <c r="M251" i="12"/>
  <c r="M250" i="12"/>
  <c r="M249" i="12"/>
  <c r="M248" i="12"/>
  <c r="M247" i="12"/>
  <c r="M246" i="12"/>
  <c r="M245" i="12"/>
  <c r="M242" i="12"/>
  <c r="M241" i="12"/>
  <c r="M240" i="12"/>
  <c r="M239" i="12"/>
  <c r="M238" i="12"/>
  <c r="M237" i="12"/>
  <c r="M236" i="12"/>
  <c r="M235" i="12"/>
  <c r="M234" i="12"/>
  <c r="M233" i="12"/>
  <c r="M232" i="12"/>
  <c r="M231" i="12"/>
  <c r="M230" i="12"/>
  <c r="M229" i="12"/>
  <c r="M228" i="12"/>
  <c r="M227" i="12"/>
  <c r="M226" i="12"/>
  <c r="M225" i="12"/>
  <c r="M224" i="12"/>
  <c r="M223" i="12"/>
  <c r="M222" i="12"/>
  <c r="M221" i="12"/>
  <c r="M220" i="12"/>
  <c r="M219" i="12"/>
  <c r="M218" i="12"/>
  <c r="M215" i="12"/>
  <c r="M214" i="12"/>
  <c r="M213" i="12"/>
  <c r="M212" i="12"/>
  <c r="M211" i="12"/>
  <c r="M210" i="12"/>
  <c r="M209" i="12"/>
  <c r="M208" i="12"/>
  <c r="M207" i="12"/>
  <c r="M206" i="12"/>
  <c r="M205" i="12"/>
  <c r="M204" i="12"/>
  <c r="M203" i="12"/>
  <c r="M202" i="12"/>
  <c r="M201" i="12"/>
  <c r="M200" i="12"/>
  <c r="M199" i="12"/>
  <c r="M198" i="12"/>
  <c r="M197" i="12"/>
  <c r="M196" i="12"/>
  <c r="M195" i="12"/>
  <c r="M194" i="12"/>
  <c r="M193" i="12"/>
  <c r="M192" i="12"/>
  <c r="M191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AC13" i="13"/>
  <c r="AB13" i="13"/>
  <c r="AB12" i="13"/>
  <c r="AC12" i="13"/>
  <c r="AC11" i="13"/>
  <c r="AB11" i="13"/>
  <c r="M188" i="12"/>
  <c r="M187" i="12"/>
  <c r="M186" i="12"/>
  <c r="M185" i="12"/>
  <c r="M184" i="12"/>
  <c r="M183" i="12"/>
  <c r="M182" i="12"/>
  <c r="M181" i="12"/>
  <c r="M180" i="12"/>
  <c r="M179" i="12"/>
  <c r="M178" i="12"/>
  <c r="M177" i="12"/>
  <c r="M176" i="12"/>
  <c r="M175" i="12"/>
  <c r="M174" i="12"/>
  <c r="M173" i="12"/>
  <c r="M172" i="12"/>
  <c r="M171" i="12"/>
  <c r="M170" i="12"/>
  <c r="M169" i="12"/>
  <c r="M168" i="12"/>
  <c r="M167" i="12"/>
  <c r="M166" i="12"/>
  <c r="M165" i="12"/>
  <c r="M164" i="12"/>
  <c r="M161" i="12"/>
  <c r="M160" i="12"/>
  <c r="M159" i="12"/>
  <c r="M158" i="12"/>
  <c r="M157" i="12"/>
  <c r="M156" i="12"/>
  <c r="M155" i="12"/>
  <c r="M154" i="12"/>
  <c r="M153" i="12"/>
  <c r="M152" i="12"/>
  <c r="M151" i="12"/>
  <c r="M150" i="12"/>
  <c r="M149" i="12"/>
  <c r="M148" i="12"/>
  <c r="M147" i="12"/>
  <c r="M146" i="12"/>
  <c r="M145" i="12"/>
  <c r="M144" i="12"/>
  <c r="M143" i="12"/>
  <c r="M142" i="12"/>
  <c r="M141" i="12"/>
  <c r="M140" i="12"/>
  <c r="M139" i="12"/>
  <c r="M138" i="12"/>
  <c r="M137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29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" i="12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<sst xmlns="http://schemas.openxmlformats.org/spreadsheetml/2006/main" count="3348" uniqueCount="199">
  <si>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</si>
  <si>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</si>
  <si>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</si>
  <si>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</si>
  <si>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</si>
  <si>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</si>
  <si>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</si>
  <si>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</si>
  <si>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</si>
  <si>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</si>
  <si>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</si>
  <si>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</si>
  <si>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</si>
  <si>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</si>
  <si>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</si>
  <si>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</si>
  <si>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</si>
  <si>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</si>
  <si>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</si>
  <si>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</si>
  <si>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</si>
  <si>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</si>
  <si>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</si>
  <si>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</si>
  <si>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</si>
  <si>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</si>
  <si>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</si>
  <si>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</si>
  <si>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</si>
  <si>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</si>
  <si>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</si>
  <si>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</si>
  <si>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</si>
  <si>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</si>
  <si>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</si>
  <si>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</si>
  <si>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</si>
  <si>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</si>
  <si>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</si>
  <si>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</si>
  <si>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</si>
  <si>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</si>
  <si>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</si>
  <si>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</si>
  <si>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</si>
  <si>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</si>
  <si>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</si>
  <si>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</si>
  <si>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</si>
  <si>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</si>
  <si>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</si>
  <si>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</si>
  <si>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</si>
  <si>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</si>
  <si>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</si>
  <si>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</si>
  <si>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</si>
  <si>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</si>
  <si>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</si>
  <si>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</si>
  <si>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</si>
  <si>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</si>
  <si>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</si>
  <si>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</si>
  <si>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</si>
  <si>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</si>
  <si>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</si>
  <si>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</si>
  <si>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</si>
  <si>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</si>
  <si>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</si>
  <si>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</si>
  <si>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</si>
  <si>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</si>
  <si>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</si>
  <si>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</si>
  <si>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</si>
  <si>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</si>
  <si>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</si>
  <si>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</si>
  <si>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</si>
  <si>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</si>
  <si>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</si>
  <si>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</si>
  <si>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</si>
  <si>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</si>
  <si>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</si>
  <si>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</si>
  <si>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</si>
  <si>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</si>
  <si>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</si>
  <si>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</si>
  <si>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</si>
  <si>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</si>
  <si>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</si>
  <si>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</si>
  <si>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</si>
  <si>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</si>
  <si>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</si>
  <si>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</si>
  <si>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</si>
  <si>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</si>
  <si>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</si>
  <si>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</si>
  <si>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</si>
  <si>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</si>
  <si>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</si>
  <si>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</si>
  <si>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</si>
  <si>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</si>
  <si>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</si>
  <si>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</si>
  <si>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</si>
  <si>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</si>
  <si>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</si>
  <si>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</si>
  <si>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</si>
  <si>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</si>
  <si>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</si>
  <si>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</si>
  <si>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</si>
  <si>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</si>
  <si>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</si>
  <si>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</si>
  <si>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</si>
  <si>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</si>
  <si>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</si>
  <si>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</si>
  <si>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</si>
  <si>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</si>
  <si>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</si>
  <si>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</si>
  <si>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</si>
  <si>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</si>
  <si>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</si>
  <si>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</si>
  <si>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</si>
  <si>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</si>
  <si>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</si>
  <si>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</si>
  <si>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</si>
  <si>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</si>
  <si>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</si>
  <si>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</si>
  <si>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</si>
  <si>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</si>
  <si>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</si>
  <si>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</si>
  <si>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</si>
  <si>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</si>
  <si>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</si>
  <si>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</si>
  <si>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</si>
  <si>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</si>
  <si>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</si>
  <si>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</si>
  <si>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</si>
  <si>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</si>
  <si>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</si>
  <si>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</si>
  <si>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</si>
  <si>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</si>
  <si>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</si>
  <si>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</si>
  <si>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</si>
  <si>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</si>
  <si>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</si>
  <si>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</si>
  <si>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</si>
  <si>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</si>
  <si>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</si>
  <si>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</si>
  <si>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</si>
  <si>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</si>
  <si>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</si>
  <si>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</si>
  <si>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HS_848610</t>
  </si>
  <si>
    <t>HS_848620</t>
  </si>
  <si>
    <t>HS_848630</t>
  </si>
  <si>
    <t>HS_848640</t>
  </si>
  <si>
    <t>HS_848690</t>
  </si>
  <si>
    <t>FI</t>
  </si>
  <si>
    <t>IE</t>
  </si>
  <si>
    <t>PT</t>
  </si>
  <si>
    <t>ICT equipment</t>
  </si>
  <si>
    <t>N1132</t>
  </si>
  <si>
    <t>Total economy</t>
  </si>
  <si>
    <t>Computer software and databases</t>
  </si>
  <si>
    <t>N1173</t>
  </si>
  <si>
    <t>HS 8471.50: Processing units for automatic data-processing machines (computer processing units)</t>
  </si>
  <si>
    <t xml:space="preserve">HS 8471.80: Other units of automatic data-processing machines </t>
  </si>
  <si>
    <t>HS 8473.30: Parts and accessories of machines of heading 8471 (computeronderdelen en accessoires)</t>
  </si>
  <si>
    <t>Machines en apparaten voor de vervaardiging van halfgeleiderboules of wafers</t>
  </si>
  <si>
    <t>Machines en apparaten voor de vervaardiging van halfgeleiderdevices of elektronische geïntegreerde schakelingen (chips)</t>
  </si>
  <si>
    <t>Machines en apparaten voor de vervaardiging van flat panel displays</t>
  </si>
  <si>
    <t>Machines en apparaten genoemd in hoofdstuk 90 voor gebruik bij de vervaardiging van wafers, chips of flat panel displays</t>
  </si>
  <si>
    <t>Onderdelen en accessoires van machines onder HS 8486</t>
  </si>
  <si>
    <t>share_8</t>
  </si>
  <si>
    <t>share_5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</si>
</sst>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ict_inv!$A$2:$A$271</c:f>
              <c:strCache>
                <c:ptCount val="270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4">
                  <c:v>FI</c:v>
                </c:pt>
                <c:pt idx="215">
                  <c:v>FI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1">
                  <c:v>IE</c:v>
                </c:pt>
                <c:pt idx="242">
                  <c:v>IE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  <c:pt idx="268">
                  <c:v>PT</c:v>
                </c:pt>
                <c:pt idx="269">
                  <c:v>PT</c:v>
                </c:pt>
              </c:strCache>
            </c:strRef>
          </c:cat>
          <c:val>
            <c:numRef>
              <c:f>ict_inv!$F$2:$F$271</c:f>
              <c:numCache>
                <c:formatCode>General</c:formatCode>
                <c:ptCount val="270"/>
                <c:pt idx="0">
                  <c:v>0.12644364430216071</c:v>
                </c:pt>
                <c:pt idx="1">
                  <c:v>0.1356326757513916</c:v>
                </c:pt>
                <c:pt idx="2">
                  <c:v>0.13702144145397921</c:v>
                </c:pt>
                <c:pt idx="3">
                  <c:v>0.1282181377470526</c:v>
                </c:pt>
                <c:pt idx="4">
                  <c:v>0.12794765324648519</c:v>
                </c:pt>
                <c:pt idx="5">
                  <c:v>0.1222387845876767</c:v>
                </c:pt>
                <c:pt idx="6">
                  <c:v>0.1210896902716814</c:v>
                </c:pt>
                <c:pt idx="7">
                  <c:v>0.1176515628325929</c:v>
                </c:pt>
                <c:pt idx="8">
                  <c:v>0.1212972736868926</c:v>
                </c:pt>
                <c:pt idx="9">
                  <c:v>0.1224562771750439</c:v>
                </c:pt>
                <c:pt idx="10">
                  <c:v>0.13194799861238371</c:v>
                </c:pt>
                <c:pt idx="11">
                  <c:v>0.13750596628015649</c:v>
                </c:pt>
                <c:pt idx="12">
                  <c:v>0.13131175515371701</c:v>
                </c:pt>
                <c:pt idx="13">
                  <c:v>0.13484052427594201</c:v>
                </c:pt>
                <c:pt idx="14">
                  <c:v>0.1312752414340696</c:v>
                </c:pt>
                <c:pt idx="15">
                  <c:v>0.1424237742791736</c:v>
                </c:pt>
                <c:pt idx="16">
                  <c:v>0.1433331725900564</c:v>
                </c:pt>
                <c:pt idx="17">
                  <c:v>0.13921121106492099</c:v>
                </c:pt>
                <c:pt idx="18">
                  <c:v>0.14732340251990811</c:v>
                </c:pt>
                <c:pt idx="19">
                  <c:v>0.15920909841128461</c:v>
                </c:pt>
                <c:pt idx="20">
                  <c:v>0.1595395339057078</c:v>
                </c:pt>
                <c:pt idx="21">
                  <c:v>0.14566804732826749</c:v>
                </c:pt>
                <c:pt idx="22">
                  <c:v>0.14569445241236881</c:v>
                </c:pt>
                <c:pt idx="23">
                  <c:v>0.15684042235755269</c:v>
                </c:pt>
                <c:pt idx="24">
                  <c:v>0.16447738795829381</c:v>
                </c:pt>
                <c:pt idx="27">
                  <c:v>0.120437829706704</c:v>
                </c:pt>
                <c:pt idx="28">
                  <c:v>0.13289955445017601</c:v>
                </c:pt>
                <c:pt idx="29">
                  <c:v>0.1266378093934668</c:v>
                </c:pt>
                <c:pt idx="30">
                  <c:v>0.12592291821751631</c:v>
                </c:pt>
                <c:pt idx="31">
                  <c:v>0.1111784374362275</c:v>
                </c:pt>
                <c:pt idx="32">
                  <c:v>0.1136325914968829</c:v>
                </c:pt>
                <c:pt idx="33">
                  <c:v>0.1125724086153337</c:v>
                </c:pt>
                <c:pt idx="34">
                  <c:v>0.10811827204669711</c:v>
                </c:pt>
                <c:pt idx="35">
                  <c:v>0.1068582253085147</c:v>
                </c:pt>
                <c:pt idx="36">
                  <c:v>0.1169147503519762</c:v>
                </c:pt>
                <c:pt idx="37">
                  <c:v>0.125609557153434</c:v>
                </c:pt>
                <c:pt idx="38">
                  <c:v>0.1203576157866261</c:v>
                </c:pt>
                <c:pt idx="39">
                  <c:v>0.1196092648812751</c:v>
                </c:pt>
                <c:pt idx="40">
                  <c:v>0.1243237493509138</c:v>
                </c:pt>
                <c:pt idx="41">
                  <c:v>0.1235834553203267</c:v>
                </c:pt>
                <c:pt idx="42">
                  <c:v>0.1179311326922737</c:v>
                </c:pt>
                <c:pt idx="43">
                  <c:v>0.1162256002746721</c:v>
                </c:pt>
                <c:pt idx="44">
                  <c:v>0.1216725149228884</c:v>
                </c:pt>
                <c:pt idx="45">
                  <c:v>0.1227782553016593</c:v>
                </c:pt>
                <c:pt idx="46">
                  <c:v>0.12281181972415819</c:v>
                </c:pt>
                <c:pt idx="47">
                  <c:v>0.12748020990998349</c:v>
                </c:pt>
                <c:pt idx="48">
                  <c:v>0.12691174453557111</c:v>
                </c:pt>
                <c:pt idx="49">
                  <c:v>0.12751671857414229</c:v>
                </c:pt>
                <c:pt idx="50">
                  <c:v>0.12650261831176421</c:v>
                </c:pt>
                <c:pt idx="51">
                  <c:v>0.14231307533501991</c:v>
                </c:pt>
                <c:pt idx="54">
                  <c:v>9.9801161022635629E-2</c:v>
                </c:pt>
                <c:pt idx="55">
                  <c:v>0.1008560416582979</c:v>
                </c:pt>
                <c:pt idx="56">
                  <c:v>9.5978089032529468E-2</c:v>
                </c:pt>
                <c:pt idx="57">
                  <c:v>8.610340841435643E-2</c:v>
                </c:pt>
                <c:pt idx="58">
                  <c:v>8.249867419461665E-2</c:v>
                </c:pt>
                <c:pt idx="59">
                  <c:v>8.7993748940207062E-2</c:v>
                </c:pt>
                <c:pt idx="60">
                  <c:v>8.7313873776188974E-2</c:v>
                </c:pt>
                <c:pt idx="61">
                  <c:v>8.2114432674983986E-2</c:v>
                </c:pt>
                <c:pt idx="62">
                  <c:v>7.7877883300219192E-2</c:v>
                </c:pt>
                <c:pt idx="63">
                  <c:v>7.5601455028425843E-2</c:v>
                </c:pt>
                <c:pt idx="64">
                  <c:v>7.6995743052566123E-2</c:v>
                </c:pt>
                <c:pt idx="65">
                  <c:v>7.3645618216719277E-2</c:v>
                </c:pt>
                <c:pt idx="66">
                  <c:v>6.7073050725247038E-2</c:v>
                </c:pt>
                <c:pt idx="67">
                  <c:v>6.5868935715240343E-2</c:v>
                </c:pt>
                <c:pt idx="68">
                  <c:v>6.7452003285880038E-2</c:v>
                </c:pt>
                <c:pt idx="69">
                  <c:v>7.2666698380463857E-2</c:v>
                </c:pt>
                <c:pt idx="70">
                  <c:v>6.9907860652704462E-2</c:v>
                </c:pt>
                <c:pt idx="71">
                  <c:v>7.0408263620459974E-2</c:v>
                </c:pt>
                <c:pt idx="72">
                  <c:v>6.943682855863921E-2</c:v>
                </c:pt>
                <c:pt idx="73">
                  <c:v>6.9544088872731932E-2</c:v>
                </c:pt>
                <c:pt idx="74">
                  <c:v>6.8565710220020754E-2</c:v>
                </c:pt>
                <c:pt idx="75">
                  <c:v>6.866373922241098E-2</c:v>
                </c:pt>
                <c:pt idx="76">
                  <c:v>6.9890339425587464E-2</c:v>
                </c:pt>
                <c:pt idx="77">
                  <c:v>6.5899973494172634E-2</c:v>
                </c:pt>
                <c:pt idx="78">
                  <c:v>7.1033655067453516E-2</c:v>
                </c:pt>
                <c:pt idx="81">
                  <c:v>6.6917968262273253E-2</c:v>
                </c:pt>
                <c:pt idx="82">
                  <c:v>6.6553568379481468E-2</c:v>
                </c:pt>
                <c:pt idx="83">
                  <c:v>6.4286187411789278E-2</c:v>
                </c:pt>
                <c:pt idx="84">
                  <c:v>6.3200731217762346E-2</c:v>
                </c:pt>
                <c:pt idx="85">
                  <c:v>6.2131759947182362E-2</c:v>
                </c:pt>
                <c:pt idx="86">
                  <c:v>5.9320240962961041E-2</c:v>
                </c:pt>
                <c:pt idx="87">
                  <c:v>5.913893028647127E-2</c:v>
                </c:pt>
                <c:pt idx="88">
                  <c:v>6.3915706812788117E-2</c:v>
                </c:pt>
                <c:pt idx="89">
                  <c:v>7.0464622474071106E-2</c:v>
                </c:pt>
                <c:pt idx="90">
                  <c:v>7.8123994077126113E-2</c:v>
                </c:pt>
                <c:pt idx="91">
                  <c:v>9.2786174172491798E-2</c:v>
                </c:pt>
                <c:pt idx="92">
                  <c:v>0.10274071218574229</c:v>
                </c:pt>
                <c:pt idx="93">
                  <c:v>0.12009183068073361</c:v>
                </c:pt>
                <c:pt idx="94">
                  <c:v>0.13001252091435919</c:v>
                </c:pt>
                <c:pt idx="95">
                  <c:v>0.13342266258101021</c:v>
                </c:pt>
                <c:pt idx="96">
                  <c:v>0.13664102950786711</c:v>
                </c:pt>
                <c:pt idx="97">
                  <c:v>0.14226553818892049</c:v>
                </c:pt>
                <c:pt idx="98">
                  <c:v>0.13686275750767379</c:v>
                </c:pt>
                <c:pt idx="99">
                  <c:v>0.1341833611458185</c:v>
                </c:pt>
                <c:pt idx="100">
                  <c:v>0.12737757595279811</c:v>
                </c:pt>
                <c:pt idx="101">
                  <c:v>0.1319770788408835</c:v>
                </c:pt>
                <c:pt idx="102">
                  <c:v>0.13424026286263821</c:v>
                </c:pt>
                <c:pt idx="103">
                  <c:v>0.1297385504984214</c:v>
                </c:pt>
                <c:pt idx="104">
                  <c:v>0.1367244208541443</c:v>
                </c:pt>
                <c:pt idx="105">
                  <c:v>0.1359972793742561</c:v>
                </c:pt>
                <c:pt idx="108">
                  <c:v>0.1038663388925795</c:v>
                </c:pt>
                <c:pt idx="109">
                  <c:v>0.11077388986431359</c:v>
                </c:pt>
                <c:pt idx="110">
                  <c:v>0.105400273230428</c:v>
                </c:pt>
                <c:pt idx="111">
                  <c:v>0.1017843251579954</c:v>
                </c:pt>
                <c:pt idx="112">
                  <c:v>9.8114241105622252E-2</c:v>
                </c:pt>
                <c:pt idx="113">
                  <c:v>9.818681064881947E-2</c:v>
                </c:pt>
                <c:pt idx="114">
                  <c:v>9.7040676809708737E-2</c:v>
                </c:pt>
                <c:pt idx="115">
                  <c:v>9.4029904284629692E-2</c:v>
                </c:pt>
                <c:pt idx="116">
                  <c:v>9.703595944403505E-2</c:v>
                </c:pt>
                <c:pt idx="117">
                  <c:v>9.8424120694990833E-2</c:v>
                </c:pt>
                <c:pt idx="118">
                  <c:v>0.10003819960904869</c:v>
                </c:pt>
                <c:pt idx="119">
                  <c:v>9.9801081681211781E-2</c:v>
                </c:pt>
                <c:pt idx="120">
                  <c:v>0.104572417431714</c:v>
                </c:pt>
                <c:pt idx="121">
                  <c:v>0.1058235045774891</c:v>
                </c:pt>
                <c:pt idx="122">
                  <c:v>0.111003910828762</c:v>
                </c:pt>
                <c:pt idx="123">
                  <c:v>0.1173808614260593</c:v>
                </c:pt>
                <c:pt idx="124">
                  <c:v>0.11967304364065549</c:v>
                </c:pt>
                <c:pt idx="125">
                  <c:v>0.1259941424508528</c:v>
                </c:pt>
                <c:pt idx="126">
                  <c:v>0.13029340616343921</c:v>
                </c:pt>
                <c:pt idx="127">
                  <c:v>0.13429130797948219</c:v>
                </c:pt>
                <c:pt idx="128">
                  <c:v>0.1462016119698431</c:v>
                </c:pt>
                <c:pt idx="129">
                  <c:v>0.14153692616803801</c:v>
                </c:pt>
                <c:pt idx="130">
                  <c:v>0.14865002534045171</c:v>
                </c:pt>
                <c:pt idx="131">
                  <c:v>0.15392213232289939</c:v>
                </c:pt>
                <c:pt idx="132">
                  <c:v>0.16352131366457029</c:v>
                </c:pt>
                <c:pt idx="135">
                  <c:v>0.11663570602377531</c:v>
                </c:pt>
                <c:pt idx="136">
                  <c:v>0.1143129647125003</c:v>
                </c:pt>
                <c:pt idx="137">
                  <c:v>0.11110581236976511</c:v>
                </c:pt>
                <c:pt idx="138">
                  <c:v>0.10501778420311531</c:v>
                </c:pt>
                <c:pt idx="139">
                  <c:v>0.1025894315368</c:v>
                </c:pt>
                <c:pt idx="140">
                  <c:v>0.10208103583648789</c:v>
                </c:pt>
                <c:pt idx="141">
                  <c:v>9.5197380963798775E-2</c:v>
                </c:pt>
                <c:pt idx="142">
                  <c:v>9.5272445691972477E-2</c:v>
                </c:pt>
                <c:pt idx="143">
                  <c:v>9.3355217011258415E-2</c:v>
                </c:pt>
                <c:pt idx="144">
                  <c:v>9.4149798105500948E-2</c:v>
                </c:pt>
                <c:pt idx="145">
                  <c:v>0.1009807897623579</c:v>
                </c:pt>
                <c:pt idx="146">
                  <c:v>9.8515373147853219E-2</c:v>
                </c:pt>
                <c:pt idx="147">
                  <c:v>0.1098692605369075</c:v>
                </c:pt>
                <c:pt idx="148">
                  <c:v>0.118267295160526</c:v>
                </c:pt>
                <c:pt idx="149">
                  <c:v>0.12702149949796029</c:v>
                </c:pt>
                <c:pt idx="150">
                  <c:v>0.13219144740060909</c:v>
                </c:pt>
                <c:pt idx="151">
                  <c:v>0.131175787440033</c:v>
                </c:pt>
                <c:pt idx="152">
                  <c:v>0.12965394679992501</c:v>
                </c:pt>
                <c:pt idx="153">
                  <c:v>0.1264107207578847</c:v>
                </c:pt>
                <c:pt idx="154">
                  <c:v>0.12605633479839479</c:v>
                </c:pt>
                <c:pt idx="155">
                  <c:v>0.13491319116038461</c:v>
                </c:pt>
                <c:pt idx="156">
                  <c:v>0.1139150307396111</c:v>
                </c:pt>
                <c:pt idx="157">
                  <c:v>0.10703501534147709</c:v>
                </c:pt>
                <c:pt idx="158">
                  <c:v>9.5587608171398122E-2</c:v>
                </c:pt>
                <c:pt idx="159">
                  <c:v>0.10295599653636379</c:v>
                </c:pt>
                <c:pt idx="160">
                  <c:v>0.10237831084356409</c:v>
                </c:pt>
                <c:pt idx="163">
                  <c:v>0.13131570939147341</c:v>
                </c:pt>
                <c:pt idx="164">
                  <c:v>0.12945675402092</c:v>
                </c:pt>
                <c:pt idx="165">
                  <c:v>0.12598171874112901</c:v>
                </c:pt>
                <c:pt idx="166">
                  <c:v>0.12788011889660919</c:v>
                </c:pt>
                <c:pt idx="167">
                  <c:v>0.13459064382003619</c:v>
                </c:pt>
                <c:pt idx="168">
                  <c:v>0.1398818000569638</c:v>
                </c:pt>
                <c:pt idx="169">
                  <c:v>0.13995538621857501</c:v>
                </c:pt>
                <c:pt idx="170">
                  <c:v>0.1451992911005317</c:v>
                </c:pt>
                <c:pt idx="171">
                  <c:v>0.13936865097978821</c:v>
                </c:pt>
                <c:pt idx="172">
                  <c:v>0.14620340820136091</c:v>
                </c:pt>
                <c:pt idx="173">
                  <c:v>0.1646747304086269</c:v>
                </c:pt>
                <c:pt idx="174">
                  <c:v>0.15798490283205741</c:v>
                </c:pt>
                <c:pt idx="175">
                  <c:v>0.16965219665271969</c:v>
                </c:pt>
                <c:pt idx="176">
                  <c:v>0.1881810976817912</c:v>
                </c:pt>
                <c:pt idx="177">
                  <c:v>0.18172728197132501</c:v>
                </c:pt>
                <c:pt idx="178">
                  <c:v>0.18371723902720569</c:v>
                </c:pt>
                <c:pt idx="179">
                  <c:v>0.16761183718118489</c:v>
                </c:pt>
                <c:pt idx="180">
                  <c:v>0.1599250456668711</c:v>
                </c:pt>
                <c:pt idx="181">
                  <c:v>0.15493827553495601</c:v>
                </c:pt>
                <c:pt idx="182">
                  <c:v>0.15109750755112861</c:v>
                </c:pt>
                <c:pt idx="183">
                  <c:v>0.15323499948184741</c:v>
                </c:pt>
                <c:pt idx="184">
                  <c:v>0.1469757353937915</c:v>
                </c:pt>
                <c:pt idx="185">
                  <c:v>0.1481599826960702</c:v>
                </c:pt>
                <c:pt idx="186">
                  <c:v>0.14858306227037649</c:v>
                </c:pt>
                <c:pt idx="187">
                  <c:v>0.14816177955717541</c:v>
                </c:pt>
                <c:pt idx="190">
                  <c:v>7.4666242848061032E-2</c:v>
                </c:pt>
                <c:pt idx="191">
                  <c:v>7.0577922863015355E-2</c:v>
                </c:pt>
                <c:pt idx="192">
                  <c:v>6.497069460032423E-2</c:v>
                </c:pt>
                <c:pt idx="193">
                  <c:v>8.1498063891577932E-2</c:v>
                </c:pt>
                <c:pt idx="194">
                  <c:v>7.895630518451438E-2</c:v>
                </c:pt>
                <c:pt idx="195">
                  <c:v>8.0809686564396049E-2</c:v>
                </c:pt>
                <c:pt idx="196">
                  <c:v>8.2778596473398039E-2</c:v>
                </c:pt>
                <c:pt idx="197">
                  <c:v>8.1059585091575903E-2</c:v>
                </c:pt>
                <c:pt idx="198">
                  <c:v>8.0953281634197086E-2</c:v>
                </c:pt>
                <c:pt idx="199">
                  <c:v>8.4635666347075741E-2</c:v>
                </c:pt>
                <c:pt idx="200">
                  <c:v>8.207373593870089E-2</c:v>
                </c:pt>
                <c:pt idx="201">
                  <c:v>8.0874558303886929E-2</c:v>
                </c:pt>
                <c:pt idx="202">
                  <c:v>7.9048760649000391E-2</c:v>
                </c:pt>
                <c:pt idx="203">
                  <c:v>8.0406654343807768E-2</c:v>
                </c:pt>
                <c:pt idx="204">
                  <c:v>8.9900458561682134E-2</c:v>
                </c:pt>
                <c:pt idx="205">
                  <c:v>9.2308375719076921E-2</c:v>
                </c:pt>
                <c:pt idx="206">
                  <c:v>8.6188867438867445E-2</c:v>
                </c:pt>
                <c:pt idx="207">
                  <c:v>8.6622456839059947E-2</c:v>
                </c:pt>
                <c:pt idx="208">
                  <c:v>9.2139638454929604E-2</c:v>
                </c:pt>
                <c:pt idx="209">
                  <c:v>8.8346380991622037E-2</c:v>
                </c:pt>
                <c:pt idx="210">
                  <c:v>8.3968155926154697E-2</c:v>
                </c:pt>
                <c:pt idx="211">
                  <c:v>8.4790123456790129E-2</c:v>
                </c:pt>
                <c:pt idx="212">
                  <c:v>8.0545399146861665E-2</c:v>
                </c:pt>
                <c:pt idx="213">
                  <c:v>9.1250645752125117E-2</c:v>
                </c:pt>
                <c:pt idx="214">
                  <c:v>0.1130130228887135</c:v>
                </c:pt>
                <c:pt idx="215">
                  <c:v>0.1057030402176906</c:v>
                </c:pt>
                <c:pt idx="218">
                  <c:v>6.462595597655188E-2</c:v>
                </c:pt>
                <c:pt idx="219">
                  <c:v>5.9427793195249053E-2</c:v>
                </c:pt>
                <c:pt idx="220">
                  <c:v>4.6347172139960917E-2</c:v>
                </c:pt>
                <c:pt idx="221">
                  <c:v>3.9377026758730227E-2</c:v>
                </c:pt>
                <c:pt idx="222">
                  <c:v>3.7174235678242802E-2</c:v>
                </c:pt>
                <c:pt idx="223">
                  <c:v>2.950156198635058E-2</c:v>
                </c:pt>
                <c:pt idx="224">
                  <c:v>3.2272589241772162E-2</c:v>
                </c:pt>
                <c:pt idx="225">
                  <c:v>3.9870680131299623E-2</c:v>
                </c:pt>
                <c:pt idx="226">
                  <c:v>4.4212693793242788E-2</c:v>
                </c:pt>
                <c:pt idx="227">
                  <c:v>5.788597853142935E-2</c:v>
                </c:pt>
                <c:pt idx="228">
                  <c:v>7.4582377432237237E-2</c:v>
                </c:pt>
                <c:pt idx="229">
                  <c:v>0.1071641530816842</c:v>
                </c:pt>
                <c:pt idx="230">
                  <c:v>8.8182100566378971E-2</c:v>
                </c:pt>
                <c:pt idx="231">
                  <c:v>9.6088262393949908E-2</c:v>
                </c:pt>
                <c:pt idx="232">
                  <c:v>8.1891688372609767E-2</c:v>
                </c:pt>
                <c:pt idx="233">
                  <c:v>6.6607073172945147E-2</c:v>
                </c:pt>
                <c:pt idx="234">
                  <c:v>4.7151930338258083E-2</c:v>
                </c:pt>
                <c:pt idx="235">
                  <c:v>4.0910416283881479E-2</c:v>
                </c:pt>
                <c:pt idx="236">
                  <c:v>6.1045442100039357E-2</c:v>
                </c:pt>
                <c:pt idx="237">
                  <c:v>2.8666240948318621E-2</c:v>
                </c:pt>
                <c:pt idx="238">
                  <c:v>3.2340818233145052E-2</c:v>
                </c:pt>
                <c:pt idx="239">
                  <c:v>6.0412195158903718E-2</c:v>
                </c:pt>
                <c:pt idx="240">
                  <c:v>7.6199126256800573E-2</c:v>
                </c:pt>
                <c:pt idx="241">
                  <c:v>6.4456081699348911E-2</c:v>
                </c:pt>
                <c:pt idx="242">
                  <c:v>0.10338449058520841</c:v>
                </c:pt>
                <c:pt idx="245">
                  <c:v>8.9863737486095663E-2</c:v>
                </c:pt>
                <c:pt idx="246">
                  <c:v>8.8836228461377065E-2</c:v>
                </c:pt>
                <c:pt idx="247">
                  <c:v>9.3221994335384306E-2</c:v>
                </c:pt>
                <c:pt idx="248">
                  <c:v>9.7301938547357261E-2</c:v>
                </c:pt>
                <c:pt idx="249">
                  <c:v>9.7922765458685238E-2</c:v>
                </c:pt>
                <c:pt idx="250">
                  <c:v>9.7870611272015212E-2</c:v>
                </c:pt>
                <c:pt idx="251">
                  <c:v>9.7751927224583077E-2</c:v>
                </c:pt>
                <c:pt idx="252">
                  <c:v>9.7848898880273011E-2</c:v>
                </c:pt>
                <c:pt idx="253">
                  <c:v>0.1006401329130934</c:v>
                </c:pt>
                <c:pt idx="254">
                  <c:v>9.7738437421856311E-2</c:v>
                </c:pt>
                <c:pt idx="255">
                  <c:v>0.1003861315755461</c:v>
                </c:pt>
                <c:pt idx="256">
                  <c:v>0.1062048185377469</c:v>
                </c:pt>
                <c:pt idx="257">
                  <c:v>0.1231049777847531</c:v>
                </c:pt>
                <c:pt idx="258">
                  <c:v>0.12784836130337221</c:v>
                </c:pt>
                <c:pt idx="259">
                  <c:v>0.13179313559904929</c:v>
                </c:pt>
                <c:pt idx="260">
                  <c:v>0.1279453606008055</c:v>
                </c:pt>
                <c:pt idx="261">
                  <c:v>0.1188403226026556</c:v>
                </c:pt>
                <c:pt idx="262">
                  <c:v>0.11791402227278169</c:v>
                </c:pt>
                <c:pt idx="263">
                  <c:v>0.1181987818958866</c:v>
                </c:pt>
                <c:pt idx="264">
                  <c:v>0.1186979120559483</c:v>
                </c:pt>
                <c:pt idx="265">
                  <c:v>0.12664215604979351</c:v>
                </c:pt>
                <c:pt idx="266">
                  <c:v>0.12634806489185069</c:v>
                </c:pt>
                <c:pt idx="267">
                  <c:v>0.1228534027762558</c:v>
                </c:pt>
                <c:pt idx="268">
                  <c:v>0.1173888629088027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ser>
          <c:idx val="7"/>
          <c:order val="7"/>
          <c:tx>
            <c:strRef>
              <c:f>ai_inv!$A$79</c:f>
              <c:strCache>
                <c:ptCount val="1"/>
                <c:pt idx="0">
                  <c:v>FI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ai_inv!$C$79:$C$89</c:f>
              <c:numCache>
                <c:formatCode>General</c:formatCode>
                <c:ptCount val="11"/>
                <c:pt idx="0">
                  <c:v>26</c:v>
                </c:pt>
                <c:pt idx="1">
                  <c:v>23</c:v>
                </c:pt>
                <c:pt idx="2">
                  <c:v>46</c:v>
                </c:pt>
                <c:pt idx="3">
                  <c:v>55</c:v>
                </c:pt>
                <c:pt idx="4">
                  <c:v>77</c:v>
                </c:pt>
                <c:pt idx="5">
                  <c:v>72</c:v>
                </c:pt>
                <c:pt idx="6">
                  <c:v>71</c:v>
                </c:pt>
                <c:pt idx="7">
                  <c:v>70</c:v>
                </c:pt>
                <c:pt idx="8">
                  <c:v>67</c:v>
                </c:pt>
                <c:pt idx="9">
                  <c:v>129</c:v>
                </c:pt>
                <c:pt idx="10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F-48F1-8C36-C267B9195A28}"/>
            </c:ext>
          </c:extLst>
        </c:ser>
        <c:ser>
          <c:idx val="8"/>
          <c:order val="8"/>
          <c:tx>
            <c:strRef>
              <c:f>ai_inv!$A$90</c:f>
              <c:strCache>
                <c:ptCount val="1"/>
                <c:pt idx="0">
                  <c:v>IE</c:v>
                </c:pt>
              </c:strCache>
            </c:strRef>
          </c:tx>
          <c:spPr>
            <a:ln w="1270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ai_inv!$C$90:$C$100</c:f>
              <c:numCache>
                <c:formatCode>General</c:formatCode>
                <c:ptCount val="11"/>
                <c:pt idx="0">
                  <c:v>29</c:v>
                </c:pt>
                <c:pt idx="1">
                  <c:v>36</c:v>
                </c:pt>
                <c:pt idx="2">
                  <c:v>55</c:v>
                </c:pt>
                <c:pt idx="3">
                  <c:v>49</c:v>
                </c:pt>
                <c:pt idx="4">
                  <c:v>65</c:v>
                </c:pt>
                <c:pt idx="5">
                  <c:v>61</c:v>
                </c:pt>
                <c:pt idx="6">
                  <c:v>86</c:v>
                </c:pt>
                <c:pt idx="7">
                  <c:v>99</c:v>
                </c:pt>
                <c:pt idx="8">
                  <c:v>64</c:v>
                </c:pt>
                <c:pt idx="9">
                  <c:v>91</c:v>
                </c:pt>
                <c:pt idx="10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F-48F1-8C36-C267B9195A28}"/>
            </c:ext>
          </c:extLst>
        </c:ser>
        <c:ser>
          <c:idx val="9"/>
          <c:order val="9"/>
          <c:tx>
            <c:strRef>
              <c:f>ai_inv!$A$101</c:f>
              <c:strCache>
                <c:ptCount val="1"/>
                <c:pt idx="0">
                  <c:v>PT</c:v>
                </c:pt>
              </c:strCache>
            </c:strRef>
          </c:tx>
          <c:spPr>
            <a:ln w="127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ai_inv!$C$101:$C$111</c:f>
              <c:numCache>
                <c:formatCode>General</c:formatCode>
                <c:ptCount val="11"/>
                <c:pt idx="0">
                  <c:v>23</c:v>
                </c:pt>
                <c:pt idx="1">
                  <c:v>26</c:v>
                </c:pt>
                <c:pt idx="2">
                  <c:v>22</c:v>
                </c:pt>
                <c:pt idx="3">
                  <c:v>40</c:v>
                </c:pt>
                <c:pt idx="4">
                  <c:v>73</c:v>
                </c:pt>
                <c:pt idx="5">
                  <c:v>46</c:v>
                </c:pt>
                <c:pt idx="6">
                  <c:v>80</c:v>
                </c:pt>
                <c:pt idx="7">
                  <c:v>84</c:v>
                </c:pt>
                <c:pt idx="8">
                  <c:v>46</c:v>
                </c:pt>
                <c:pt idx="9">
                  <c:v>60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5F-48F1-8C36-C267B9195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hs_export!$L$2:$L$269</c:f>
              <c:numCache>
                <c:formatCode>General</c:formatCode>
                <c:ptCount val="268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hs_export!$M$2:$M$269</c:f>
              <c:numCache>
                <c:formatCode>General</c:formatCode>
                <c:ptCount val="268"/>
                <c:pt idx="0">
                  <c:v>2.045100768191273E-3</c:v>
                </c:pt>
                <c:pt idx="1">
                  <c:v>1.9664095408418541E-3</c:v>
                </c:pt>
                <c:pt idx="2">
                  <c:v>1.346125055138405E-3</c:v>
                </c:pt>
                <c:pt idx="3">
                  <c:v>1.3053389570574744E-3</c:v>
                </c:pt>
                <c:pt idx="4">
                  <c:v>1.7876614175192727E-3</c:v>
                </c:pt>
                <c:pt idx="5">
                  <c:v>1.4944604918183473E-3</c:v>
                </c:pt>
                <c:pt idx="6">
                  <c:v>1.6229619490547181E-3</c:v>
                </c:pt>
                <c:pt idx="7">
                  <c:v>2.2844523547747224E-3</c:v>
                </c:pt>
                <c:pt idx="8">
                  <c:v>1.9209244463514749E-3</c:v>
                </c:pt>
                <c:pt idx="9">
                  <c:v>2.2012722725014782E-3</c:v>
                </c:pt>
                <c:pt idx="10">
                  <c:v>3.4120861817458119E-3</c:v>
                </c:pt>
                <c:pt idx="11">
                  <c:v>3.4301060676151032E-3</c:v>
                </c:pt>
                <c:pt idx="12">
                  <c:v>2.9413274628074908E-3</c:v>
                </c:pt>
                <c:pt idx="13">
                  <c:v>2.680125065045206E-3</c:v>
                </c:pt>
                <c:pt idx="14">
                  <c:v>2.8586461311444029E-3</c:v>
                </c:pt>
                <c:pt idx="15">
                  <c:v>3.623667777585765E-3</c:v>
                </c:pt>
                <c:pt idx="16">
                  <c:v>3.4384380685274275E-3</c:v>
                </c:pt>
                <c:pt idx="17">
                  <c:v>3.5493188716351006E-3</c:v>
                </c:pt>
                <c:pt idx="18">
                  <c:v>4.3076993998541029E-3</c:v>
                </c:pt>
                <c:pt idx="19">
                  <c:v>4.4881103447364339E-3</c:v>
                </c:pt>
                <c:pt idx="20">
                  <c:v>6.6061201274963234E-3</c:v>
                </c:pt>
                <c:pt idx="21">
                  <c:v>7.0013277951317277E-3</c:v>
                </c:pt>
                <c:pt idx="22">
                  <c:v>7.0810615793588348E-3</c:v>
                </c:pt>
                <c:pt idx="23">
                  <c:v>8.3404848006125142E-3</c:v>
                </c:pt>
                <c:pt idx="24">
                  <c:v>9.4171695532752984E-3</c:v>
                </c:pt>
                <c:pt idx="27">
                  <c:v>3.446889009026672E-4</c:v>
                </c:pt>
                <c:pt idx="28">
                  <c:v>3.6951786324165614E-4</c:v>
                </c:pt>
                <c:pt idx="29">
                  <c:v>6.5086194460935005E-5</c:v>
                </c:pt>
                <c:pt idx="30">
                  <c:v>7.5993710107964227E-5</c:v>
                </c:pt>
                <c:pt idx="31">
                  <c:v>8.1106238081014558E-5</c:v>
                </c:pt>
                <c:pt idx="32">
                  <c:v>7.5771065268203158E-5</c:v>
                </c:pt>
                <c:pt idx="33">
                  <c:v>8.2717593297375517E-5</c:v>
                </c:pt>
                <c:pt idx="34">
                  <c:v>1.5321359384108465E-4</c:v>
                </c:pt>
                <c:pt idx="35">
                  <c:v>2.3608448850851569E-4</c:v>
                </c:pt>
                <c:pt idx="36">
                  <c:v>1.5439623635081322E-4</c:v>
                </c:pt>
                <c:pt idx="37">
                  <c:v>1.3289410927436179E-4</c:v>
                </c:pt>
                <c:pt idx="38">
                  <c:v>3.8415296346892434E-4</c:v>
                </c:pt>
                <c:pt idx="39">
                  <c:v>1.390264361000922E-4</c:v>
                </c:pt>
                <c:pt idx="40">
                  <c:v>1.1177933014024297E-4</c:v>
                </c:pt>
                <c:pt idx="41">
                  <c:v>1.2296169412331689E-4</c:v>
                </c:pt>
                <c:pt idx="42">
                  <c:v>1.3452586054719433E-4</c:v>
                </c:pt>
                <c:pt idx="43">
                  <c:v>6.5134675720155614E-4</c:v>
                </c:pt>
                <c:pt idx="44">
                  <c:v>1.3156530388200613E-3</c:v>
                </c:pt>
                <c:pt idx="45">
                  <c:v>8.7062771781917651E-4</c:v>
                </c:pt>
                <c:pt idx="46">
                  <c:v>2.5023310112723586E-4</c:v>
                </c:pt>
                <c:pt idx="47">
                  <c:v>1.6452545973920645E-4</c:v>
                </c:pt>
                <c:pt idx="48">
                  <c:v>1.3039918529633661E-4</c:v>
                </c:pt>
                <c:pt idx="49">
                  <c:v>1.0770456851502385E-4</c:v>
                </c:pt>
                <c:pt idx="50">
                  <c:v>2.3784701344328562E-4</c:v>
                </c:pt>
                <c:pt idx="51">
                  <c:v>2.2000665350613313E-4</c:v>
                </c:pt>
                <c:pt idx="54">
                  <c:v>1.0806743025469096E-3</c:v>
                </c:pt>
                <c:pt idx="55">
                  <c:v>9.7501609589439766E-4</c:v>
                </c:pt>
                <c:pt idx="56">
                  <c:v>8.6955182913955853E-4</c:v>
                </c:pt>
                <c:pt idx="57">
                  <c:v>8.4843314831091173E-4</c:v>
                </c:pt>
                <c:pt idx="58">
                  <c:v>1.0311744133835823E-3</c:v>
                </c:pt>
                <c:pt idx="59">
                  <c:v>8.8231762232120789E-4</c:v>
                </c:pt>
                <c:pt idx="60">
                  <c:v>8.9669930968260642E-4</c:v>
                </c:pt>
                <c:pt idx="61">
                  <c:v>1.2211846117711901E-3</c:v>
                </c:pt>
                <c:pt idx="62">
                  <c:v>1.6727971285991697E-3</c:v>
                </c:pt>
                <c:pt idx="63">
                  <c:v>1.9332517319557072E-3</c:v>
                </c:pt>
                <c:pt idx="64">
                  <c:v>2.907120784095568E-3</c:v>
                </c:pt>
                <c:pt idx="65">
                  <c:v>3.1243580016286168E-3</c:v>
                </c:pt>
                <c:pt idx="66">
                  <c:v>1.6441804628660984E-3</c:v>
                </c:pt>
                <c:pt idx="67">
                  <c:v>1.40158663664389E-3</c:v>
                </c:pt>
                <c:pt idx="68">
                  <c:v>1.6926862987760732E-3</c:v>
                </c:pt>
                <c:pt idx="69">
                  <c:v>1.7937605686553805E-3</c:v>
                </c:pt>
                <c:pt idx="70">
                  <c:v>1.9486828660754381E-3</c:v>
                </c:pt>
                <c:pt idx="71">
                  <c:v>2.1659822492231893E-3</c:v>
                </c:pt>
                <c:pt idx="72">
                  <c:v>2.6336204670430441E-3</c:v>
                </c:pt>
                <c:pt idx="73">
                  <c:v>2.8990262183314522E-3</c:v>
                </c:pt>
                <c:pt idx="74">
                  <c:v>3.2277880439939822E-3</c:v>
                </c:pt>
                <c:pt idx="75">
                  <c:v>3.3783884836019336E-3</c:v>
                </c:pt>
                <c:pt idx="76">
                  <c:v>3.6664658591822842E-3</c:v>
                </c:pt>
                <c:pt idx="77">
                  <c:v>4.6493517258674299E-3</c:v>
                </c:pt>
                <c:pt idx="78">
                  <c:v>5.260769765883383E-3</c:v>
                </c:pt>
                <c:pt idx="81">
                  <c:v>6.6129708999553772E-5</c:v>
                </c:pt>
                <c:pt idx="82">
                  <c:v>7.2219457875427143E-5</c:v>
                </c:pt>
                <c:pt idx="83">
                  <c:v>8.2910240074126354E-5</c:v>
                </c:pt>
                <c:pt idx="84">
                  <c:v>2.3396020234466135E-5</c:v>
                </c:pt>
                <c:pt idx="85">
                  <c:v>2.4514396959761051E-5</c:v>
                </c:pt>
                <c:pt idx="86">
                  <c:v>3.0404159922838954E-5</c:v>
                </c:pt>
                <c:pt idx="87">
                  <c:v>2.357817581643421E-5</c:v>
                </c:pt>
                <c:pt idx="88">
                  <c:v>4.1606073012162865E-5</c:v>
                </c:pt>
                <c:pt idx="89">
                  <c:v>3.6698825326868392E-5</c:v>
                </c:pt>
                <c:pt idx="90">
                  <c:v>4.1567480647694494E-5</c:v>
                </c:pt>
                <c:pt idx="91">
                  <c:v>8.9376673539361132E-5</c:v>
                </c:pt>
                <c:pt idx="92">
                  <c:v>9.0936170591950381E-5</c:v>
                </c:pt>
                <c:pt idx="93">
                  <c:v>3.5039188396436094E-5</c:v>
                </c:pt>
                <c:pt idx="94">
                  <c:v>3.9630074884481264E-5</c:v>
                </c:pt>
                <c:pt idx="95">
                  <c:v>2.5897124175693863E-5</c:v>
                </c:pt>
                <c:pt idx="96">
                  <c:v>2.4931656663182356E-5</c:v>
                </c:pt>
                <c:pt idx="97">
                  <c:v>4.1529737526718024E-5</c:v>
                </c:pt>
                <c:pt idx="98">
                  <c:v>5.4244001257849989E-5</c:v>
                </c:pt>
                <c:pt idx="99">
                  <c:v>6.6688235137249009E-5</c:v>
                </c:pt>
                <c:pt idx="100">
                  <c:v>4.1511043729436016E-5</c:v>
                </c:pt>
                <c:pt idx="101">
                  <c:v>3.5715024424512705E-5</c:v>
                </c:pt>
                <c:pt idx="102">
                  <c:v>3.5588849713039668E-5</c:v>
                </c:pt>
                <c:pt idx="103">
                  <c:v>2.8101640547262104E-5</c:v>
                </c:pt>
                <c:pt idx="104">
                  <c:v>6.1850422928220791E-5</c:v>
                </c:pt>
                <c:pt idx="105">
                  <c:v>7.6828950816999885E-5</c:v>
                </c:pt>
                <c:pt idx="108">
                  <c:v>1.4726431948728104E-4</c:v>
                </c:pt>
                <c:pt idx="109">
                  <c:v>1.5317761327479014E-4</c:v>
                </c:pt>
                <c:pt idx="110">
                  <c:v>2.6001507529375799E-4</c:v>
                </c:pt>
                <c:pt idx="111">
                  <c:v>2.5295854404660677E-4</c:v>
                </c:pt>
                <c:pt idx="112">
                  <c:v>2.6432390636503338E-4</c:v>
                </c:pt>
                <c:pt idx="113">
                  <c:v>2.7727949348787184E-4</c:v>
                </c:pt>
                <c:pt idx="114">
                  <c:v>2.9893502003860392E-4</c:v>
                </c:pt>
                <c:pt idx="115">
                  <c:v>3.2854658886058766E-4</c:v>
                </c:pt>
                <c:pt idx="116">
                  <c:v>2.9087492419871142E-4</c:v>
                </c:pt>
                <c:pt idx="117">
                  <c:v>2.0111537655833066E-4</c:v>
                </c:pt>
                <c:pt idx="118">
                  <c:v>2.26336620850831E-4</c:v>
                </c:pt>
                <c:pt idx="119">
                  <c:v>4.2452182355806205E-4</c:v>
                </c:pt>
                <c:pt idx="120">
                  <c:v>3.5041663504598763E-4</c:v>
                </c:pt>
                <c:pt idx="121">
                  <c:v>3.2499019170696719E-4</c:v>
                </c:pt>
                <c:pt idx="122">
                  <c:v>2.8379085779524783E-4</c:v>
                </c:pt>
                <c:pt idx="123">
                  <c:v>4.3698800482094711E-4</c:v>
                </c:pt>
                <c:pt idx="124">
                  <c:v>4.0705655833723266E-4</c:v>
                </c:pt>
                <c:pt idx="125">
                  <c:v>4.6534020030369454E-4</c:v>
                </c:pt>
                <c:pt idx="126">
                  <c:v>4.6546106372824335E-4</c:v>
                </c:pt>
                <c:pt idx="127">
                  <c:v>3.6124395059219233E-4</c:v>
                </c:pt>
                <c:pt idx="128">
                  <c:v>3.8586309947449788E-4</c:v>
                </c:pt>
                <c:pt idx="129">
                  <c:v>4.3221485026797364E-4</c:v>
                </c:pt>
                <c:pt idx="130">
                  <c:v>7.348831804684841E-4</c:v>
                </c:pt>
                <c:pt idx="131">
                  <c:v>6.5346379384680011E-4</c:v>
                </c:pt>
                <c:pt idx="132">
                  <c:v>5.7882658098050899E-4</c:v>
                </c:pt>
                <c:pt idx="135">
                  <c:v>2.1112491374499485E-4</c:v>
                </c:pt>
                <c:pt idx="136">
                  <c:v>1.9327920487341237E-4</c:v>
                </c:pt>
                <c:pt idx="137">
                  <c:v>1.6931261259904982E-4</c:v>
                </c:pt>
                <c:pt idx="138">
                  <c:v>1.8555124790162799E-4</c:v>
                </c:pt>
                <c:pt idx="139">
                  <c:v>1.6572538174204773E-4</c:v>
                </c:pt>
                <c:pt idx="140">
                  <c:v>1.7575724253414049E-4</c:v>
                </c:pt>
                <c:pt idx="141">
                  <c:v>1.459718827413826E-4</c:v>
                </c:pt>
                <c:pt idx="142">
                  <c:v>3.2104131233127168E-4</c:v>
                </c:pt>
                <c:pt idx="143">
                  <c:v>4.0976312788594429E-4</c:v>
                </c:pt>
                <c:pt idx="144">
                  <c:v>5.0873925760569472E-4</c:v>
                </c:pt>
                <c:pt idx="145">
                  <c:v>1.4031350321216179E-3</c:v>
                </c:pt>
                <c:pt idx="146">
                  <c:v>1.953468073068516E-3</c:v>
                </c:pt>
                <c:pt idx="147">
                  <c:v>3.5012278179706824E-4</c:v>
                </c:pt>
                <c:pt idx="148">
                  <c:v>3.0110884627837828E-4</c:v>
                </c:pt>
                <c:pt idx="149">
                  <c:v>3.222174792008529E-4</c:v>
                </c:pt>
                <c:pt idx="150">
                  <c:v>2.9337071045455569E-4</c:v>
                </c:pt>
                <c:pt idx="151">
                  <c:v>4.7823805379538706E-4</c:v>
                </c:pt>
                <c:pt idx="152">
                  <c:v>3.3591327754357462E-4</c:v>
                </c:pt>
                <c:pt idx="153">
                  <c:v>3.2178914428403649E-4</c:v>
                </c:pt>
                <c:pt idx="154">
                  <c:v>2.9447728695322677E-4</c:v>
                </c:pt>
                <c:pt idx="155">
                  <c:v>3.321040206140439E-4</c:v>
                </c:pt>
                <c:pt idx="156">
                  <c:v>2.9584156588163103E-4</c:v>
                </c:pt>
                <c:pt idx="157">
                  <c:v>3.0787692851715141E-4</c:v>
                </c:pt>
                <c:pt idx="158">
                  <c:v>4.7702119677565436E-4</c:v>
                </c:pt>
                <c:pt idx="159">
                  <c:v>4.6431336941973075E-4</c:v>
                </c:pt>
                <c:pt idx="162">
                  <c:v>9.1440326620945631E-3</c:v>
                </c:pt>
                <c:pt idx="163">
                  <c:v>6.2455824901905274E-3</c:v>
                </c:pt>
                <c:pt idx="164">
                  <c:v>8.7547649927600373E-3</c:v>
                </c:pt>
                <c:pt idx="165">
                  <c:v>6.9011722539559488E-3</c:v>
                </c:pt>
                <c:pt idx="166">
                  <c:v>9.7931605879110987E-3</c:v>
                </c:pt>
                <c:pt idx="167">
                  <c:v>9.554187451529389E-3</c:v>
                </c:pt>
                <c:pt idx="168">
                  <c:v>1.2284831511283636E-2</c:v>
                </c:pt>
                <c:pt idx="169">
                  <c:v>1.2038176856600476E-2</c:v>
                </c:pt>
                <c:pt idx="170">
                  <c:v>8.5604116388531635E-3</c:v>
                </c:pt>
                <c:pt idx="171">
                  <c:v>6.2555504195234892E-3</c:v>
                </c:pt>
                <c:pt idx="172">
                  <c:v>1.4967572729629878E-2</c:v>
                </c:pt>
                <c:pt idx="173">
                  <c:v>1.7417805379954923E-2</c:v>
                </c:pt>
                <c:pt idx="174">
                  <c:v>1.1603270206154143E-2</c:v>
                </c:pt>
                <c:pt idx="175">
                  <c:v>1.2841856736220972E-2</c:v>
                </c:pt>
                <c:pt idx="176">
                  <c:v>1.4744509285559454E-2</c:v>
                </c:pt>
                <c:pt idx="177">
                  <c:v>1.5129081734836337E-2</c:v>
                </c:pt>
                <c:pt idx="178">
                  <c:v>1.5257197230735141E-2</c:v>
                </c:pt>
                <c:pt idx="179">
                  <c:v>1.9551402391854818E-2</c:v>
                </c:pt>
                <c:pt idx="180">
                  <c:v>2.3282873969912972E-2</c:v>
                </c:pt>
                <c:pt idx="181">
                  <c:v>2.5136082963002106E-2</c:v>
                </c:pt>
                <c:pt idx="182">
                  <c:v>2.869739548789638E-2</c:v>
                </c:pt>
                <c:pt idx="183">
                  <c:v>3.0854430978216066E-2</c:v>
                </c:pt>
                <c:pt idx="184">
                  <c:v>3.052292391874099E-2</c:v>
                </c:pt>
                <c:pt idx="185">
                  <c:v>3.5870143183365739E-2</c:v>
                </c:pt>
                <c:pt idx="186">
                  <c:v>3.9866431412571422E-2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C-4B6D-89F2-F9EB6E03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Corr_exposure_data!$AB$4:$AB$13</c:f>
              <c:numCache>
                <c:formatCode>0.00</c:formatCode>
                <c:ptCount val="10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  <c:pt idx="7">
                  <c:v>0.57037267357179189</c:v>
                </c:pt>
                <c:pt idx="8">
                  <c:v>0.63328456531058652</c:v>
                </c:pt>
                <c:pt idx="9">
                  <c:v>0.45433252306800165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Corr_exposure_data!$AC$4:$AC$13</c:f>
              <c:numCache>
                <c:formatCode>0.00</c:formatCode>
                <c:ptCount val="10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  <c:pt idx="7">
                  <c:v>0.5865708812884457</c:v>
                </c:pt>
                <c:pt idx="8">
                  <c:v>0.72076768278638115</c:v>
                </c:pt>
                <c:pt idx="9">
                  <c:v>0.39684417032587227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82550</xdr:colOff>
      <xdr:row>2</xdr:row>
      <xdr:rowOff>25400</xdr:rowOff>
    </xdr:from>
    <xdr:to>
      <xdr:col>13</xdr:col>
      <xdr:colOff>285750</xdr:colOff>
      <xdr:row>14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425450</xdr:colOff>
      <xdr:row>1</xdr:row>
      <xdr:rowOff>107950</xdr:rowOff>
    </xdr:from>
    <xdr:to>
      <xdr:col>26</xdr:col>
      <xdr:colOff>19050</xdr:colOff>
      <xdr:row>14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9A963-5FC6-43F7-8595-378B561B5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39997558519241921"/>
  </sheetPr>
  <dimension ref="A1:J271"/>
  <sheetViews>
    <sheetView tabSelected="1" workbookViewId="0"/>
  </sheetViews>
  <sheetFormatPr defaultRowHeight="14.5" x14ac:dyDescent="0.35"/>
  <cols>
    <col min="15" max="15" width="30" bestFit="1" customWidth="1"/>
  </cols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 t="s">
        <v>150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 t="s">
        <v>151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 t="s">
        <v>152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 t="s">
        <v>153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 t="s">
        <v>154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 t="s">
        <v>155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 t="s">
        <v>156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 t="s">
        <v>157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 t="s">
        <v>158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 t="s">
        <v>159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 t="s">
        <v>160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 t="s">
        <v>161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 t="s">
        <v>162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 t="s">
        <v>163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 t="s">
        <v>164</v>
      </c>
      <c r="C16">
        <v>3469.2</v>
      </c>
      <c r="D16">
        <v>6483.8</v>
      </c>
      <c r="E16">
        <v>75817.8</v>
      </c>
      <c r="F16">
        <v>0.1312752414340696</v>
      </c>
    </row>
    <row r="17" spans="1:10" x14ac:dyDescent="0.35">
      <c r="A17" t="s">
        <v>3</v>
      </c>
      <c r="B17" t="s">
        <v>165</v>
      </c>
      <c r="C17">
        <v>4212.3999999999996</v>
      </c>
      <c r="D17">
        <v>6942.7</v>
      </c>
      <c r="E17">
        <v>78323.3</v>
      </c>
      <c r="F17">
        <v>0.1424237742791736</v>
      </c>
      <c r="H17" t="s">
        <v>186</v>
      </c>
      <c r="I17" t="s">
        <v>185</v>
      </c>
      <c r="J17" t="s">
        <v>184</v>
      </c>
    </row>
    <row r="18" spans="1:10" x14ac:dyDescent="0.35">
      <c r="A18" t="s">
        <v>3</v>
      </c>
      <c r="B18" t="s">
        <v>166</v>
      </c>
      <c r="C18">
        <v>4258</v>
      </c>
      <c r="D18">
        <v>7631.2</v>
      </c>
      <c r="E18">
        <v>82948</v>
      </c>
      <c r="F18">
        <v>0.1433331725900564</v>
      </c>
      <c r="H18" t="s">
        <v>186</v>
      </c>
      <c r="I18" t="s">
        <v>188</v>
      </c>
      <c r="J18" t="s">
        <v>187</v>
      </c>
    </row>
    <row r="19" spans="1:10" x14ac:dyDescent="0.35">
      <c r="A19" t="s">
        <v>3</v>
      </c>
      <c r="B19" t="s">
        <v>167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10" x14ac:dyDescent="0.35">
      <c r="A20" t="s">
        <v>3</v>
      </c>
      <c r="B20" t="s">
        <v>168</v>
      </c>
      <c r="C20">
        <v>4773.3</v>
      </c>
      <c r="D20">
        <v>8954</v>
      </c>
      <c r="E20">
        <v>93178</v>
      </c>
      <c r="F20">
        <v>0.14732340251990811</v>
      </c>
    </row>
    <row r="21" spans="1:10" x14ac:dyDescent="0.35">
      <c r="A21" t="s">
        <v>3</v>
      </c>
      <c r="B21" t="s">
        <v>169</v>
      </c>
      <c r="C21">
        <v>5047.7</v>
      </c>
      <c r="D21">
        <v>10752.8</v>
      </c>
      <c r="E21">
        <v>99243.7</v>
      </c>
      <c r="F21">
        <v>0.15920909841128461</v>
      </c>
    </row>
    <row r="22" spans="1:10" x14ac:dyDescent="0.35">
      <c r="A22" t="s">
        <v>3</v>
      </c>
      <c r="B22" t="s">
        <v>170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10" x14ac:dyDescent="0.35">
      <c r="A23" t="s">
        <v>3</v>
      </c>
      <c r="B23" t="s">
        <v>171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10" x14ac:dyDescent="0.35">
      <c r="A24" t="s">
        <v>3</v>
      </c>
      <c r="B24" t="s">
        <v>172</v>
      </c>
      <c r="C24">
        <v>4390</v>
      </c>
      <c r="D24">
        <v>12117.4</v>
      </c>
      <c r="E24">
        <v>113301.5</v>
      </c>
      <c r="F24">
        <v>0.14569445241236881</v>
      </c>
    </row>
    <row r="25" spans="1:10" x14ac:dyDescent="0.35">
      <c r="A25" t="s">
        <v>3</v>
      </c>
      <c r="B25" t="s">
        <v>173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10" x14ac:dyDescent="0.35">
      <c r="A26" t="s">
        <v>3</v>
      </c>
      <c r="B26" t="s">
        <v>174</v>
      </c>
      <c r="C26">
        <v>4563.7</v>
      </c>
      <c r="D26">
        <v>14572.8</v>
      </c>
      <c r="E26">
        <v>116347.3</v>
      </c>
      <c r="F26">
        <v>0.16447738795829381</v>
      </c>
    </row>
    <row r="29" spans="1:10" x14ac:dyDescent="0.35">
      <c r="A29" t="s">
        <v>110</v>
      </c>
      <c r="B29" t="s">
        <v>150</v>
      </c>
      <c r="C29">
        <v>4344.3999999999996</v>
      </c>
      <c r="D29">
        <v>2605.1999999999998</v>
      </c>
      <c r="E29">
        <v>57702.8</v>
      </c>
      <c r="F29">
        <v>0.120437829706704</v>
      </c>
    </row>
    <row r="30" spans="1:10" x14ac:dyDescent="0.35">
      <c r="A30" t="s">
        <v>110</v>
      </c>
      <c r="B30" t="s">
        <v>151</v>
      </c>
      <c r="C30">
        <v>4962</v>
      </c>
      <c r="D30">
        <v>2903.7</v>
      </c>
      <c r="E30">
        <v>59185.3</v>
      </c>
      <c r="F30">
        <v>0.13289955445017601</v>
      </c>
    </row>
    <row r="31" spans="1:10" x14ac:dyDescent="0.35">
      <c r="A31" t="s">
        <v>110</v>
      </c>
      <c r="B31" t="s">
        <v>152</v>
      </c>
      <c r="C31">
        <v>4263.7</v>
      </c>
      <c r="D31">
        <v>2898.2</v>
      </c>
      <c r="E31">
        <v>56554.2</v>
      </c>
      <c r="F31">
        <v>0.1266378093934668</v>
      </c>
    </row>
    <row r="32" spans="1:10" x14ac:dyDescent="0.35">
      <c r="A32" t="s">
        <v>110</v>
      </c>
      <c r="B32" t="s">
        <v>153</v>
      </c>
      <c r="C32">
        <v>4145.7</v>
      </c>
      <c r="D32">
        <v>3111.2</v>
      </c>
      <c r="E32">
        <v>57629.7</v>
      </c>
      <c r="F32">
        <v>0.12592291821751631</v>
      </c>
    </row>
    <row r="33" spans="1:6" x14ac:dyDescent="0.35">
      <c r="A33" t="s">
        <v>110</v>
      </c>
      <c r="B33" t="s">
        <v>154</v>
      </c>
      <c r="C33">
        <v>3598.4</v>
      </c>
      <c r="D33">
        <v>3484</v>
      </c>
      <c r="E33">
        <v>63703</v>
      </c>
      <c r="F33">
        <v>0.1111784374362275</v>
      </c>
    </row>
    <row r="34" spans="1:6" x14ac:dyDescent="0.35">
      <c r="A34" t="s">
        <v>110</v>
      </c>
      <c r="B34" t="s">
        <v>155</v>
      </c>
      <c r="C34">
        <v>4215.2</v>
      </c>
      <c r="D34">
        <v>3589.7</v>
      </c>
      <c r="E34">
        <v>68685.399999999994</v>
      </c>
      <c r="F34">
        <v>0.1136325914968829</v>
      </c>
    </row>
    <row r="35" spans="1:6" x14ac:dyDescent="0.35">
      <c r="A35" t="s">
        <v>110</v>
      </c>
      <c r="B35" t="s">
        <v>156</v>
      </c>
      <c r="C35">
        <v>4421.2</v>
      </c>
      <c r="D35">
        <v>3750.6</v>
      </c>
      <c r="E35">
        <v>72591.5</v>
      </c>
      <c r="F35">
        <v>0.1125724086153337</v>
      </c>
    </row>
    <row r="36" spans="1:6" x14ac:dyDescent="0.35">
      <c r="A36" t="s">
        <v>110</v>
      </c>
      <c r="B36" t="s">
        <v>157</v>
      </c>
      <c r="C36">
        <v>4594.3999999999996</v>
      </c>
      <c r="D36">
        <v>4059.3</v>
      </c>
      <c r="E36">
        <v>80039.199999999997</v>
      </c>
      <c r="F36">
        <v>0.10811827204669711</v>
      </c>
    </row>
    <row r="37" spans="1:6" x14ac:dyDescent="0.35">
      <c r="A37" t="s">
        <v>110</v>
      </c>
      <c r="B37" t="s">
        <v>158</v>
      </c>
      <c r="C37">
        <v>4864.3</v>
      </c>
      <c r="D37">
        <v>4200.8999999999996</v>
      </c>
      <c r="E37">
        <v>84833.9</v>
      </c>
      <c r="F37">
        <v>0.1068582253085147</v>
      </c>
    </row>
    <row r="38" spans="1:6" x14ac:dyDescent="0.35">
      <c r="A38" t="s">
        <v>110</v>
      </c>
      <c r="B38" t="s">
        <v>159</v>
      </c>
      <c r="C38">
        <v>4318.3</v>
      </c>
      <c r="D38">
        <v>4849.5</v>
      </c>
      <c r="E38">
        <v>78414.399999999994</v>
      </c>
      <c r="F38">
        <v>0.1169147503519762</v>
      </c>
    </row>
    <row r="39" spans="1:6" x14ac:dyDescent="0.35">
      <c r="A39" t="s">
        <v>110</v>
      </c>
      <c r="B39" t="s">
        <v>160</v>
      </c>
      <c r="C39">
        <v>4748.3999999999996</v>
      </c>
      <c r="D39">
        <v>5261.3</v>
      </c>
      <c r="E39">
        <v>79689</v>
      </c>
      <c r="F39">
        <v>0.125609557153434</v>
      </c>
    </row>
    <row r="40" spans="1:6" x14ac:dyDescent="0.35">
      <c r="A40" t="s">
        <v>110</v>
      </c>
      <c r="B40" t="s">
        <v>161</v>
      </c>
      <c r="C40">
        <v>4766.7</v>
      </c>
      <c r="D40">
        <v>5622.1</v>
      </c>
      <c r="E40">
        <v>86316.1</v>
      </c>
      <c r="F40">
        <v>0.1203576157866261</v>
      </c>
    </row>
    <row r="41" spans="1:6" x14ac:dyDescent="0.35">
      <c r="A41" t="s">
        <v>110</v>
      </c>
      <c r="B41" t="s">
        <v>162</v>
      </c>
      <c r="C41">
        <v>4853</v>
      </c>
      <c r="D41">
        <v>5737.3</v>
      </c>
      <c r="E41">
        <v>88540.800000000003</v>
      </c>
      <c r="F41">
        <v>0.1196092648812751</v>
      </c>
    </row>
    <row r="42" spans="1:6" x14ac:dyDescent="0.35">
      <c r="A42" t="s">
        <v>110</v>
      </c>
      <c r="B42" t="s">
        <v>163</v>
      </c>
      <c r="C42">
        <v>5038.3999999999996</v>
      </c>
      <c r="D42">
        <v>5831.3</v>
      </c>
      <c r="E42">
        <v>87430.6</v>
      </c>
      <c r="F42">
        <v>0.1243237493509138</v>
      </c>
    </row>
    <row r="43" spans="1:6" x14ac:dyDescent="0.35">
      <c r="A43" t="s">
        <v>110</v>
      </c>
      <c r="B43" t="s">
        <v>164</v>
      </c>
      <c r="C43">
        <v>5447.3</v>
      </c>
      <c r="D43">
        <v>5983.7</v>
      </c>
      <c r="E43">
        <v>92496.2</v>
      </c>
      <c r="F43">
        <v>0.1235834553203267</v>
      </c>
    </row>
    <row r="44" spans="1:6" x14ac:dyDescent="0.35">
      <c r="A44" t="s">
        <v>110</v>
      </c>
      <c r="B44" t="s">
        <v>165</v>
      </c>
      <c r="C44">
        <v>5224.8999999999996</v>
      </c>
      <c r="D44">
        <v>6120.7</v>
      </c>
      <c r="E44">
        <v>96205.3</v>
      </c>
      <c r="F44">
        <v>0.1179311326922737</v>
      </c>
    </row>
    <row r="45" spans="1:6" x14ac:dyDescent="0.35">
      <c r="A45" t="s">
        <v>110</v>
      </c>
      <c r="B45" t="s">
        <v>166</v>
      </c>
      <c r="C45">
        <v>5388.3</v>
      </c>
      <c r="D45">
        <v>6324.3</v>
      </c>
      <c r="E45">
        <v>100774.7</v>
      </c>
      <c r="F45">
        <v>0.1162256002746721</v>
      </c>
    </row>
    <row r="46" spans="1:6" x14ac:dyDescent="0.35">
      <c r="A46" t="s">
        <v>110</v>
      </c>
      <c r="B46" t="s">
        <v>167</v>
      </c>
      <c r="C46">
        <v>5664.1</v>
      </c>
      <c r="D46">
        <v>7016.5</v>
      </c>
      <c r="E46">
        <v>104219.1</v>
      </c>
      <c r="F46">
        <v>0.1216725149228884</v>
      </c>
    </row>
    <row r="47" spans="1:6" x14ac:dyDescent="0.35">
      <c r="A47" t="s">
        <v>110</v>
      </c>
      <c r="B47" t="s">
        <v>168</v>
      </c>
      <c r="C47">
        <v>5967.4</v>
      </c>
      <c r="D47">
        <v>7445.4</v>
      </c>
      <c r="E47">
        <v>109244.1</v>
      </c>
      <c r="F47">
        <v>0.1227782553016593</v>
      </c>
    </row>
    <row r="48" spans="1:6" x14ac:dyDescent="0.35">
      <c r="A48" t="s">
        <v>110</v>
      </c>
      <c r="B48" t="s">
        <v>169</v>
      </c>
      <c r="C48">
        <v>6243.9</v>
      </c>
      <c r="D48">
        <v>8023.8</v>
      </c>
      <c r="E48">
        <v>116175.3</v>
      </c>
      <c r="F48">
        <v>0.12281181972415819</v>
      </c>
    </row>
    <row r="49" spans="1:6" x14ac:dyDescent="0.35">
      <c r="A49" t="s">
        <v>110</v>
      </c>
      <c r="B49" t="s">
        <v>170</v>
      </c>
      <c r="C49">
        <v>5782.6</v>
      </c>
      <c r="D49">
        <v>8426</v>
      </c>
      <c r="E49">
        <v>111457.3</v>
      </c>
      <c r="F49">
        <v>0.12748020990998349</v>
      </c>
    </row>
    <row r="50" spans="1:6" x14ac:dyDescent="0.35">
      <c r="A50" t="s">
        <v>110</v>
      </c>
      <c r="B50" t="s">
        <v>171</v>
      </c>
      <c r="C50">
        <v>5993.6</v>
      </c>
      <c r="D50">
        <v>9366.2999999999993</v>
      </c>
      <c r="E50">
        <v>121028.2</v>
      </c>
      <c r="F50">
        <v>0.12691174453557111</v>
      </c>
    </row>
    <row r="51" spans="1:6" x14ac:dyDescent="0.35">
      <c r="A51" t="s">
        <v>110</v>
      </c>
      <c r="B51" t="s">
        <v>172</v>
      </c>
      <c r="C51">
        <v>6634.8</v>
      </c>
      <c r="D51">
        <v>10496</v>
      </c>
      <c r="E51">
        <v>134341.6</v>
      </c>
      <c r="F51">
        <v>0.12751671857414229</v>
      </c>
    </row>
    <row r="52" spans="1:6" x14ac:dyDescent="0.35">
      <c r="A52" t="s">
        <v>110</v>
      </c>
      <c r="B52" t="s">
        <v>173</v>
      </c>
      <c r="C52">
        <v>7207.2</v>
      </c>
      <c r="D52">
        <v>11207.9</v>
      </c>
      <c r="E52">
        <v>145570.9</v>
      </c>
      <c r="F52">
        <v>0.12650261831176421</v>
      </c>
    </row>
    <row r="53" spans="1:6" x14ac:dyDescent="0.35">
      <c r="A53" t="s">
        <v>110</v>
      </c>
      <c r="B53" t="s">
        <v>174</v>
      </c>
      <c r="C53">
        <v>9131.1</v>
      </c>
      <c r="D53">
        <v>12273</v>
      </c>
      <c r="E53">
        <v>150401.5</v>
      </c>
      <c r="F53">
        <v>0.14231307533501991</v>
      </c>
    </row>
    <row r="56" spans="1:6" x14ac:dyDescent="0.35">
      <c r="A56" t="s">
        <v>111</v>
      </c>
      <c r="B56" t="s">
        <v>150</v>
      </c>
      <c r="C56">
        <v>35016</v>
      </c>
      <c r="D56">
        <v>13620</v>
      </c>
      <c r="E56">
        <v>487329</v>
      </c>
      <c r="F56">
        <v>9.9801161022635629E-2</v>
      </c>
    </row>
    <row r="57" spans="1:6" x14ac:dyDescent="0.35">
      <c r="A57" t="s">
        <v>111</v>
      </c>
      <c r="B57" t="s">
        <v>151</v>
      </c>
      <c r="C57">
        <v>33543</v>
      </c>
      <c r="D57">
        <v>14161</v>
      </c>
      <c r="E57">
        <v>472991</v>
      </c>
      <c r="F57">
        <v>0.1008560416582979</v>
      </c>
    </row>
    <row r="58" spans="1:6" x14ac:dyDescent="0.35">
      <c r="A58" t="s">
        <v>111</v>
      </c>
      <c r="B58" t="s">
        <v>152</v>
      </c>
      <c r="C58">
        <v>28361</v>
      </c>
      <c r="D58">
        <v>14076</v>
      </c>
      <c r="E58">
        <v>442153</v>
      </c>
      <c r="F58">
        <v>9.5978089032529468E-2</v>
      </c>
    </row>
    <row r="59" spans="1:6" x14ac:dyDescent="0.35">
      <c r="A59" t="s">
        <v>111</v>
      </c>
      <c r="B59" t="s">
        <v>153</v>
      </c>
      <c r="C59">
        <v>23573</v>
      </c>
      <c r="D59">
        <v>13595</v>
      </c>
      <c r="E59">
        <v>431667</v>
      </c>
      <c r="F59">
        <v>8.610340841435643E-2</v>
      </c>
    </row>
    <row r="60" spans="1:6" x14ac:dyDescent="0.35">
      <c r="A60" t="s">
        <v>111</v>
      </c>
      <c r="B60" t="s">
        <v>154</v>
      </c>
      <c r="C60">
        <v>21638</v>
      </c>
      <c r="D60">
        <v>13986</v>
      </c>
      <c r="E60">
        <v>431813</v>
      </c>
      <c r="F60">
        <v>8.249867419461665E-2</v>
      </c>
    </row>
    <row r="61" spans="1:6" x14ac:dyDescent="0.35">
      <c r="A61" t="s">
        <v>111</v>
      </c>
      <c r="B61" t="s">
        <v>155</v>
      </c>
      <c r="C61">
        <v>23760</v>
      </c>
      <c r="D61">
        <v>14641</v>
      </c>
      <c r="E61">
        <v>436406</v>
      </c>
      <c r="F61">
        <v>8.7993748940207062E-2</v>
      </c>
    </row>
    <row r="62" spans="1:6" x14ac:dyDescent="0.35">
      <c r="A62" t="s">
        <v>111</v>
      </c>
      <c r="B62" t="s">
        <v>156</v>
      </c>
      <c r="C62">
        <v>25588</v>
      </c>
      <c r="D62">
        <v>15641</v>
      </c>
      <c r="E62">
        <v>472193</v>
      </c>
      <c r="F62">
        <v>8.7313873776188974E-2</v>
      </c>
    </row>
    <row r="63" spans="1:6" x14ac:dyDescent="0.35">
      <c r="A63" t="s">
        <v>111</v>
      </c>
      <c r="B63" t="s">
        <v>157</v>
      </c>
      <c r="C63">
        <v>24574</v>
      </c>
      <c r="D63">
        <v>16582</v>
      </c>
      <c r="E63">
        <v>501203</v>
      </c>
      <c r="F63">
        <v>8.2114432674983986E-2</v>
      </c>
    </row>
    <row r="64" spans="1:6" x14ac:dyDescent="0.35">
      <c r="A64" t="s">
        <v>111</v>
      </c>
      <c r="B64" t="s">
        <v>158</v>
      </c>
      <c r="C64">
        <v>22599</v>
      </c>
      <c r="D64">
        <v>17656</v>
      </c>
      <c r="E64">
        <v>516899</v>
      </c>
      <c r="F64">
        <v>7.7877883300219192E-2</v>
      </c>
    </row>
    <row r="65" spans="1:6" x14ac:dyDescent="0.35">
      <c r="A65" t="s">
        <v>111</v>
      </c>
      <c r="B65" t="s">
        <v>159</v>
      </c>
      <c r="C65">
        <v>18440</v>
      </c>
      <c r="D65">
        <v>17079</v>
      </c>
      <c r="E65">
        <v>469819</v>
      </c>
      <c r="F65">
        <v>7.5601455028425843E-2</v>
      </c>
    </row>
    <row r="66" spans="1:6" x14ac:dyDescent="0.35">
      <c r="A66" t="s">
        <v>111</v>
      </c>
      <c r="B66" t="s">
        <v>160</v>
      </c>
      <c r="C66">
        <v>20635</v>
      </c>
      <c r="D66">
        <v>17999</v>
      </c>
      <c r="E66">
        <v>501768</v>
      </c>
      <c r="F66">
        <v>7.6995743052566123E-2</v>
      </c>
    </row>
    <row r="67" spans="1:6" x14ac:dyDescent="0.35">
      <c r="A67" t="s">
        <v>111</v>
      </c>
      <c r="B67" t="s">
        <v>161</v>
      </c>
      <c r="C67">
        <v>19547</v>
      </c>
      <c r="D67">
        <v>20929</v>
      </c>
      <c r="E67">
        <v>549605</v>
      </c>
      <c r="F67">
        <v>7.3645618216719277E-2</v>
      </c>
    </row>
    <row r="68" spans="1:6" x14ac:dyDescent="0.35">
      <c r="A68" t="s">
        <v>111</v>
      </c>
      <c r="B68" t="s">
        <v>162</v>
      </c>
      <c r="C68">
        <v>18916</v>
      </c>
      <c r="D68">
        <v>18572</v>
      </c>
      <c r="E68">
        <v>558913</v>
      </c>
      <c r="F68">
        <v>6.7073050725247038E-2</v>
      </c>
    </row>
    <row r="69" spans="1:6" x14ac:dyDescent="0.35">
      <c r="A69" t="s">
        <v>111</v>
      </c>
      <c r="B69" t="s">
        <v>163</v>
      </c>
      <c r="C69">
        <v>17285</v>
      </c>
      <c r="D69">
        <v>19679</v>
      </c>
      <c r="E69">
        <v>561175</v>
      </c>
      <c r="F69">
        <v>6.5868935715240343E-2</v>
      </c>
    </row>
    <row r="70" spans="1:6" x14ac:dyDescent="0.35">
      <c r="A70" t="s">
        <v>111</v>
      </c>
      <c r="B70" t="s">
        <v>164</v>
      </c>
      <c r="C70">
        <v>18872</v>
      </c>
      <c r="D70">
        <v>20952</v>
      </c>
      <c r="E70">
        <v>590405</v>
      </c>
      <c r="F70">
        <v>6.7452003285880038E-2</v>
      </c>
    </row>
    <row r="71" spans="1:6" x14ac:dyDescent="0.35">
      <c r="A71" t="s">
        <v>111</v>
      </c>
      <c r="B71" t="s">
        <v>165</v>
      </c>
      <c r="C71">
        <v>20453</v>
      </c>
      <c r="D71">
        <v>23846</v>
      </c>
      <c r="E71">
        <v>609619</v>
      </c>
      <c r="F71">
        <v>7.2666698380463857E-2</v>
      </c>
    </row>
    <row r="72" spans="1:6" x14ac:dyDescent="0.35">
      <c r="A72" t="s">
        <v>111</v>
      </c>
      <c r="B72" t="s">
        <v>166</v>
      </c>
      <c r="C72">
        <v>21121</v>
      </c>
      <c r="D72">
        <v>23651</v>
      </c>
      <c r="E72">
        <v>640443</v>
      </c>
      <c r="F72">
        <v>6.9907860652704462E-2</v>
      </c>
    </row>
    <row r="73" spans="1:6" x14ac:dyDescent="0.35">
      <c r="A73" t="s">
        <v>111</v>
      </c>
      <c r="B73" t="s">
        <v>167</v>
      </c>
      <c r="C73">
        <v>22460</v>
      </c>
      <c r="D73">
        <v>24790</v>
      </c>
      <c r="E73">
        <v>671086</v>
      </c>
      <c r="F73">
        <v>7.0408263620459974E-2</v>
      </c>
    </row>
    <row r="74" spans="1:6" x14ac:dyDescent="0.35">
      <c r="A74" t="s">
        <v>111</v>
      </c>
      <c r="B74" t="s">
        <v>168</v>
      </c>
      <c r="C74">
        <v>23337</v>
      </c>
      <c r="D74">
        <v>26302</v>
      </c>
      <c r="E74">
        <v>714880</v>
      </c>
      <c r="F74">
        <v>6.943682855863921E-2</v>
      </c>
    </row>
    <row r="75" spans="1:6" x14ac:dyDescent="0.35">
      <c r="A75" t="s">
        <v>111</v>
      </c>
      <c r="B75" t="s">
        <v>169</v>
      </c>
      <c r="C75">
        <v>23280</v>
      </c>
      <c r="D75">
        <v>28754</v>
      </c>
      <c r="E75">
        <v>748216</v>
      </c>
      <c r="F75">
        <v>6.9544088872731932E-2</v>
      </c>
    </row>
    <row r="76" spans="1:6" x14ac:dyDescent="0.35">
      <c r="A76" t="s">
        <v>111</v>
      </c>
      <c r="B76" t="s">
        <v>170</v>
      </c>
      <c r="C76">
        <v>24080</v>
      </c>
      <c r="D76">
        <v>26417</v>
      </c>
      <c r="E76">
        <v>736476</v>
      </c>
      <c r="F76">
        <v>6.8565710220020754E-2</v>
      </c>
    </row>
    <row r="77" spans="1:6" x14ac:dyDescent="0.35">
      <c r="A77" t="s">
        <v>111</v>
      </c>
      <c r="B77" t="s">
        <v>171</v>
      </c>
      <c r="C77">
        <v>25376</v>
      </c>
      <c r="D77">
        <v>28180</v>
      </c>
      <c r="E77">
        <v>779975</v>
      </c>
      <c r="F77">
        <v>6.866373922241098E-2</v>
      </c>
    </row>
    <row r="78" spans="1:6" x14ac:dyDescent="0.35">
      <c r="A78" t="s">
        <v>111</v>
      </c>
      <c r="B78" t="s">
        <v>172</v>
      </c>
      <c r="C78">
        <v>27238</v>
      </c>
      <c r="D78">
        <v>32990</v>
      </c>
      <c r="E78">
        <v>861750</v>
      </c>
      <c r="F78">
        <v>6.9890339425587464E-2</v>
      </c>
    </row>
    <row r="79" spans="1:6" x14ac:dyDescent="0.35">
      <c r="A79" t="s">
        <v>111</v>
      </c>
      <c r="B79" t="s">
        <v>173</v>
      </c>
      <c r="C79">
        <v>25951</v>
      </c>
      <c r="D79">
        <v>32973</v>
      </c>
      <c r="E79">
        <v>894143</v>
      </c>
      <c r="F79">
        <v>6.5899973494172634E-2</v>
      </c>
    </row>
    <row r="80" spans="1:6" x14ac:dyDescent="0.35">
      <c r="A80" t="s">
        <v>111</v>
      </c>
      <c r="B80" t="s">
        <v>174</v>
      </c>
      <c r="C80">
        <v>27729</v>
      </c>
      <c r="D80">
        <v>35187</v>
      </c>
      <c r="E80">
        <v>885721</v>
      </c>
      <c r="F80">
        <v>7.1033655067453516E-2</v>
      </c>
    </row>
    <row r="83" spans="1:6" x14ac:dyDescent="0.35">
      <c r="A83" t="s">
        <v>112</v>
      </c>
      <c r="B83" t="s">
        <v>150</v>
      </c>
      <c r="C83">
        <v>6092</v>
      </c>
      <c r="D83">
        <v>5163</v>
      </c>
      <c r="E83">
        <v>168191</v>
      </c>
      <c r="F83">
        <v>6.6917968262273253E-2</v>
      </c>
    </row>
    <row r="84" spans="1:6" x14ac:dyDescent="0.35">
      <c r="A84" t="s">
        <v>112</v>
      </c>
      <c r="B84" t="s">
        <v>151</v>
      </c>
      <c r="C84">
        <v>6014</v>
      </c>
      <c r="D84">
        <v>6069</v>
      </c>
      <c r="E84">
        <v>181553</v>
      </c>
      <c r="F84">
        <v>6.6553568379481468E-2</v>
      </c>
    </row>
    <row r="85" spans="1:6" x14ac:dyDescent="0.35">
      <c r="A85" t="s">
        <v>112</v>
      </c>
      <c r="B85" t="s">
        <v>152</v>
      </c>
      <c r="C85">
        <v>5677</v>
      </c>
      <c r="D85">
        <v>6940</v>
      </c>
      <c r="E85">
        <v>196263</v>
      </c>
      <c r="F85">
        <v>6.4286187411789278E-2</v>
      </c>
    </row>
    <row r="86" spans="1:6" x14ac:dyDescent="0.35">
      <c r="A86" t="s">
        <v>112</v>
      </c>
      <c r="B86" t="s">
        <v>153</v>
      </c>
      <c r="C86">
        <v>5796</v>
      </c>
      <c r="D86">
        <v>7964</v>
      </c>
      <c r="E86">
        <v>217719</v>
      </c>
      <c r="F86">
        <v>6.3200731217762346E-2</v>
      </c>
    </row>
    <row r="87" spans="1:6" x14ac:dyDescent="0.35">
      <c r="A87" t="s">
        <v>112</v>
      </c>
      <c r="B87" t="s">
        <v>154</v>
      </c>
      <c r="C87">
        <v>5967</v>
      </c>
      <c r="D87">
        <v>8902</v>
      </c>
      <c r="E87">
        <v>239314</v>
      </c>
      <c r="F87">
        <v>6.2131759947182362E-2</v>
      </c>
    </row>
    <row r="88" spans="1:6" x14ac:dyDescent="0.35">
      <c r="A88" t="s">
        <v>112</v>
      </c>
      <c r="B88" t="s">
        <v>155</v>
      </c>
      <c r="C88">
        <v>6642</v>
      </c>
      <c r="D88">
        <v>9340</v>
      </c>
      <c r="E88">
        <v>269419</v>
      </c>
      <c r="F88">
        <v>5.9320240962961041E-2</v>
      </c>
    </row>
    <row r="89" spans="1:6" x14ac:dyDescent="0.35">
      <c r="A89" t="s">
        <v>112</v>
      </c>
      <c r="B89" t="s">
        <v>156</v>
      </c>
      <c r="C89">
        <v>7275</v>
      </c>
      <c r="D89">
        <v>10582</v>
      </c>
      <c r="E89">
        <v>301950</v>
      </c>
      <c r="F89">
        <v>5.913893028647127E-2</v>
      </c>
    </row>
    <row r="90" spans="1:6" x14ac:dyDescent="0.35">
      <c r="A90" t="s">
        <v>112</v>
      </c>
      <c r="B90" t="s">
        <v>157</v>
      </c>
      <c r="C90">
        <v>8322</v>
      </c>
      <c r="D90">
        <v>12254</v>
      </c>
      <c r="E90">
        <v>321924</v>
      </c>
      <c r="F90">
        <v>6.3915706812788117E-2</v>
      </c>
    </row>
    <row r="91" spans="1:6" x14ac:dyDescent="0.35">
      <c r="A91" t="s">
        <v>112</v>
      </c>
      <c r="B91" t="s">
        <v>158</v>
      </c>
      <c r="C91">
        <v>8438</v>
      </c>
      <c r="D91">
        <v>13398</v>
      </c>
      <c r="E91">
        <v>309886</v>
      </c>
      <c r="F91">
        <v>7.0464622474071106E-2</v>
      </c>
    </row>
    <row r="92" spans="1:6" x14ac:dyDescent="0.35">
      <c r="A92" t="s">
        <v>112</v>
      </c>
      <c r="B92" t="s">
        <v>159</v>
      </c>
      <c r="C92">
        <v>6896</v>
      </c>
      <c r="D92">
        <v>12520</v>
      </c>
      <c r="E92">
        <v>248528</v>
      </c>
      <c r="F92">
        <v>7.8123994077126113E-2</v>
      </c>
    </row>
    <row r="93" spans="1:6" x14ac:dyDescent="0.35">
      <c r="A93" t="s">
        <v>112</v>
      </c>
      <c r="B93" t="s">
        <v>160</v>
      </c>
      <c r="C93">
        <v>7685</v>
      </c>
      <c r="D93">
        <v>14177</v>
      </c>
      <c r="E93">
        <v>235617</v>
      </c>
      <c r="F93">
        <v>9.2786174172491798E-2</v>
      </c>
    </row>
    <row r="94" spans="1:6" x14ac:dyDescent="0.35">
      <c r="A94" t="s">
        <v>112</v>
      </c>
      <c r="B94" t="s">
        <v>161</v>
      </c>
      <c r="C94">
        <v>7099</v>
      </c>
      <c r="D94">
        <v>15022</v>
      </c>
      <c r="E94">
        <v>215309</v>
      </c>
      <c r="F94">
        <v>0.10274071218574229</v>
      </c>
    </row>
    <row r="95" spans="1:6" x14ac:dyDescent="0.35">
      <c r="A95" t="s">
        <v>112</v>
      </c>
      <c r="B95" t="s">
        <v>162</v>
      </c>
      <c r="C95">
        <v>6880</v>
      </c>
      <c r="D95">
        <v>16398</v>
      </c>
      <c r="E95">
        <v>193835</v>
      </c>
      <c r="F95">
        <v>0.12009183068073361</v>
      </c>
    </row>
    <row r="96" spans="1:6" x14ac:dyDescent="0.35">
      <c r="A96" t="s">
        <v>112</v>
      </c>
      <c r="B96" t="s">
        <v>163</v>
      </c>
      <c r="C96">
        <v>6868</v>
      </c>
      <c r="D96">
        <v>16599</v>
      </c>
      <c r="E96">
        <v>180498</v>
      </c>
      <c r="F96">
        <v>0.13001252091435919</v>
      </c>
    </row>
    <row r="97" spans="1:6" x14ac:dyDescent="0.35">
      <c r="A97" t="s">
        <v>112</v>
      </c>
      <c r="B97" t="s">
        <v>164</v>
      </c>
      <c r="C97">
        <v>7371</v>
      </c>
      <c r="D97">
        <v>17622</v>
      </c>
      <c r="E97">
        <v>187322</v>
      </c>
      <c r="F97">
        <v>0.13342266258101021</v>
      </c>
    </row>
    <row r="98" spans="1:6" x14ac:dyDescent="0.35">
      <c r="A98" t="s">
        <v>112</v>
      </c>
      <c r="B98" t="s">
        <v>165</v>
      </c>
      <c r="C98">
        <v>7972</v>
      </c>
      <c r="D98">
        <v>19210</v>
      </c>
      <c r="E98">
        <v>198930</v>
      </c>
      <c r="F98">
        <v>0.13664102950786711</v>
      </c>
    </row>
    <row r="99" spans="1:6" x14ac:dyDescent="0.35">
      <c r="A99" t="s">
        <v>112</v>
      </c>
      <c r="B99" t="s">
        <v>166</v>
      </c>
      <c r="C99">
        <v>8177</v>
      </c>
      <c r="D99">
        <v>20886</v>
      </c>
      <c r="E99">
        <v>204287</v>
      </c>
      <c r="F99">
        <v>0.14226553818892049</v>
      </c>
    </row>
    <row r="100" spans="1:6" x14ac:dyDescent="0.35">
      <c r="A100" t="s">
        <v>112</v>
      </c>
      <c r="B100" t="s">
        <v>167</v>
      </c>
      <c r="C100">
        <v>8889</v>
      </c>
      <c r="D100">
        <v>21386</v>
      </c>
      <c r="E100">
        <v>221207</v>
      </c>
      <c r="F100">
        <v>0.13686275750767379</v>
      </c>
    </row>
    <row r="101" spans="1:6" x14ac:dyDescent="0.35">
      <c r="A101" t="s">
        <v>112</v>
      </c>
      <c r="B101" t="s">
        <v>168</v>
      </c>
      <c r="C101">
        <v>10567</v>
      </c>
      <c r="D101">
        <v>21436</v>
      </c>
      <c r="E101">
        <v>238502</v>
      </c>
      <c r="F101">
        <v>0.1341833611458185</v>
      </c>
    </row>
    <row r="102" spans="1:6" x14ac:dyDescent="0.35">
      <c r="A102" t="s">
        <v>112</v>
      </c>
      <c r="B102" t="s">
        <v>169</v>
      </c>
      <c r="C102">
        <v>10241</v>
      </c>
      <c r="D102">
        <v>22185</v>
      </c>
      <c r="E102">
        <v>254566</v>
      </c>
      <c r="F102">
        <v>0.12737757595279811</v>
      </c>
    </row>
    <row r="103" spans="1:6" x14ac:dyDescent="0.35">
      <c r="A103" t="s">
        <v>112</v>
      </c>
      <c r="B103" t="s">
        <v>170</v>
      </c>
      <c r="C103">
        <v>9319</v>
      </c>
      <c r="D103">
        <v>21405</v>
      </c>
      <c r="E103">
        <v>232798</v>
      </c>
      <c r="F103">
        <v>0.1319770788408835</v>
      </c>
    </row>
    <row r="104" spans="1:6" x14ac:dyDescent="0.35">
      <c r="A104" t="s">
        <v>112</v>
      </c>
      <c r="B104" t="s">
        <v>171</v>
      </c>
      <c r="C104">
        <v>9814</v>
      </c>
      <c r="D104">
        <v>23687</v>
      </c>
      <c r="E104">
        <v>249560</v>
      </c>
      <c r="F104">
        <v>0.13424026286263821</v>
      </c>
    </row>
    <row r="105" spans="1:6" x14ac:dyDescent="0.35">
      <c r="A105" t="s">
        <v>112</v>
      </c>
      <c r="B105" t="s">
        <v>172</v>
      </c>
      <c r="C105">
        <v>10476</v>
      </c>
      <c r="D105">
        <v>26096</v>
      </c>
      <c r="E105">
        <v>281890</v>
      </c>
      <c r="F105">
        <v>0.1297385504984214</v>
      </c>
    </row>
    <row r="106" spans="1:6" x14ac:dyDescent="0.35">
      <c r="A106" t="s">
        <v>112</v>
      </c>
      <c r="B106" t="s">
        <v>173</v>
      </c>
      <c r="C106">
        <v>10493</v>
      </c>
      <c r="D106">
        <v>31417</v>
      </c>
      <c r="E106">
        <v>306529</v>
      </c>
      <c r="F106">
        <v>0.1367244208541443</v>
      </c>
    </row>
    <row r="107" spans="1:6" x14ac:dyDescent="0.35">
      <c r="A107" t="s">
        <v>112</v>
      </c>
      <c r="B107" t="s">
        <v>174</v>
      </c>
      <c r="C107">
        <v>10861</v>
      </c>
      <c r="D107">
        <v>33128</v>
      </c>
      <c r="E107">
        <v>323455</v>
      </c>
      <c r="F107">
        <v>0.1359972793742561</v>
      </c>
    </row>
    <row r="110" spans="1:6" x14ac:dyDescent="0.35">
      <c r="A110" t="s">
        <v>113</v>
      </c>
      <c r="B110" t="s">
        <v>150</v>
      </c>
      <c r="C110">
        <v>7175</v>
      </c>
      <c r="D110">
        <v>24783.8</v>
      </c>
      <c r="E110">
        <v>307691.59999999998</v>
      </c>
      <c r="F110">
        <v>0.1038663388925795</v>
      </c>
    </row>
    <row r="111" spans="1:6" x14ac:dyDescent="0.35">
      <c r="A111" t="s">
        <v>113</v>
      </c>
      <c r="B111" t="s">
        <v>151</v>
      </c>
      <c r="C111">
        <v>7904</v>
      </c>
      <c r="D111">
        <v>27452.5</v>
      </c>
      <c r="E111">
        <v>319177.2</v>
      </c>
      <c r="F111">
        <v>0.11077388986431359</v>
      </c>
    </row>
    <row r="112" spans="1:6" x14ac:dyDescent="0.35">
      <c r="A112" t="s">
        <v>113</v>
      </c>
      <c r="B112" t="s">
        <v>152</v>
      </c>
      <c r="C112">
        <v>6904.8</v>
      </c>
      <c r="D112">
        <v>26926</v>
      </c>
      <c r="E112">
        <v>320974.5</v>
      </c>
      <c r="F112">
        <v>0.105400273230428</v>
      </c>
    </row>
    <row r="113" spans="1:6" x14ac:dyDescent="0.35">
      <c r="A113" t="s">
        <v>113</v>
      </c>
      <c r="B113" t="s">
        <v>153</v>
      </c>
      <c r="C113">
        <v>6991.5</v>
      </c>
      <c r="D113">
        <v>26857.599999999999</v>
      </c>
      <c r="E113">
        <v>332557.09999999998</v>
      </c>
      <c r="F113">
        <v>0.1017843251579954</v>
      </c>
    </row>
    <row r="114" spans="1:6" x14ac:dyDescent="0.35">
      <c r="A114" t="s">
        <v>113</v>
      </c>
      <c r="B114" t="s">
        <v>154</v>
      </c>
      <c r="C114">
        <v>6895.9</v>
      </c>
      <c r="D114">
        <v>27779.9</v>
      </c>
      <c r="E114">
        <v>353422.7</v>
      </c>
      <c r="F114">
        <v>9.8114241105622252E-2</v>
      </c>
    </row>
    <row r="115" spans="1:6" x14ac:dyDescent="0.35">
      <c r="A115" t="s">
        <v>113</v>
      </c>
      <c r="B115" t="s">
        <v>155</v>
      </c>
      <c r="C115">
        <v>7193</v>
      </c>
      <c r="D115">
        <v>29580.7</v>
      </c>
      <c r="E115">
        <v>374527.9</v>
      </c>
      <c r="F115">
        <v>9.818681064881947E-2</v>
      </c>
    </row>
    <row r="116" spans="1:6" x14ac:dyDescent="0.35">
      <c r="A116" t="s">
        <v>113</v>
      </c>
      <c r="B116" t="s">
        <v>156</v>
      </c>
      <c r="C116">
        <v>7351.7</v>
      </c>
      <c r="D116">
        <v>31875.8</v>
      </c>
      <c r="E116">
        <v>404237.7</v>
      </c>
      <c r="F116">
        <v>9.7040676809708737E-2</v>
      </c>
    </row>
    <row r="117" spans="1:6" x14ac:dyDescent="0.35">
      <c r="A117" t="s">
        <v>113</v>
      </c>
      <c r="B117" t="s">
        <v>157</v>
      </c>
      <c r="C117">
        <v>7276.8</v>
      </c>
      <c r="D117">
        <v>33878.5</v>
      </c>
      <c r="E117">
        <v>437683.1</v>
      </c>
      <c r="F117">
        <v>9.4029904284629692E-2</v>
      </c>
    </row>
    <row r="118" spans="1:6" x14ac:dyDescent="0.35">
      <c r="A118" t="s">
        <v>113</v>
      </c>
      <c r="B118" t="s">
        <v>158</v>
      </c>
      <c r="C118">
        <v>7397.3</v>
      </c>
      <c r="D118">
        <v>36886.699999999997</v>
      </c>
      <c r="E118">
        <v>456366.9</v>
      </c>
      <c r="F118">
        <v>9.703595944403505E-2</v>
      </c>
    </row>
    <row r="119" spans="1:6" x14ac:dyDescent="0.35">
      <c r="A119" t="s">
        <v>113</v>
      </c>
      <c r="B119" t="s">
        <v>159</v>
      </c>
      <c r="C119">
        <v>6252.9</v>
      </c>
      <c r="D119">
        <v>34615.599999999999</v>
      </c>
      <c r="E119">
        <v>415228.5</v>
      </c>
      <c r="F119">
        <v>9.8424120694990833E-2</v>
      </c>
    </row>
    <row r="120" spans="1:6" x14ac:dyDescent="0.35">
      <c r="A120" t="s">
        <v>113</v>
      </c>
      <c r="B120" t="s">
        <v>160</v>
      </c>
      <c r="C120">
        <v>6820.6</v>
      </c>
      <c r="D120">
        <v>36075.800000000003</v>
      </c>
      <c r="E120">
        <v>428800.2</v>
      </c>
      <c r="F120">
        <v>0.10003819960904869</v>
      </c>
    </row>
    <row r="121" spans="1:6" x14ac:dyDescent="0.35">
      <c r="A121" t="s">
        <v>113</v>
      </c>
      <c r="B121" t="s">
        <v>161</v>
      </c>
      <c r="C121">
        <v>6919.8</v>
      </c>
      <c r="D121">
        <v>37738.199999999997</v>
      </c>
      <c r="E121">
        <v>447470.1</v>
      </c>
      <c r="F121">
        <v>9.9801081681211781E-2</v>
      </c>
    </row>
    <row r="122" spans="1:6" x14ac:dyDescent="0.35">
      <c r="A122" t="s">
        <v>113</v>
      </c>
      <c r="B122" t="s">
        <v>162</v>
      </c>
      <c r="C122">
        <v>7415.2</v>
      </c>
      <c r="D122">
        <v>39876.400000000001</v>
      </c>
      <c r="E122">
        <v>452237.8</v>
      </c>
      <c r="F122">
        <v>0.104572417431714</v>
      </c>
    </row>
    <row r="123" spans="1:6" x14ac:dyDescent="0.35">
      <c r="A123" t="s">
        <v>113</v>
      </c>
      <c r="B123" t="s">
        <v>163</v>
      </c>
      <c r="C123">
        <v>6848.1</v>
      </c>
      <c r="D123">
        <v>40877.199999999997</v>
      </c>
      <c r="E123">
        <v>450989.6</v>
      </c>
      <c r="F123">
        <v>0.1058235045774891</v>
      </c>
    </row>
    <row r="124" spans="1:6" x14ac:dyDescent="0.35">
      <c r="A124" t="s">
        <v>113</v>
      </c>
      <c r="B124" t="s">
        <v>164</v>
      </c>
      <c r="C124">
        <v>7208.7</v>
      </c>
      <c r="D124">
        <v>42897.1</v>
      </c>
      <c r="E124">
        <v>451387.7</v>
      </c>
      <c r="F124">
        <v>0.111003910828762</v>
      </c>
    </row>
    <row r="125" spans="1:6" x14ac:dyDescent="0.35">
      <c r="A125" t="s">
        <v>113</v>
      </c>
      <c r="B125" t="s">
        <v>165</v>
      </c>
      <c r="C125">
        <v>8323.1</v>
      </c>
      <c r="D125">
        <v>44804.1</v>
      </c>
      <c r="E125">
        <v>452605.3</v>
      </c>
      <c r="F125">
        <v>0.1173808614260593</v>
      </c>
    </row>
    <row r="126" spans="1:6" x14ac:dyDescent="0.35">
      <c r="A126" t="s">
        <v>113</v>
      </c>
      <c r="B126" t="s">
        <v>166</v>
      </c>
      <c r="C126">
        <v>8293.7999999999993</v>
      </c>
      <c r="D126">
        <v>47584.5</v>
      </c>
      <c r="E126">
        <v>466924.7</v>
      </c>
      <c r="F126">
        <v>0.11967304364065549</v>
      </c>
    </row>
    <row r="127" spans="1:6" x14ac:dyDescent="0.35">
      <c r="A127" t="s">
        <v>113</v>
      </c>
      <c r="B127" t="s">
        <v>167</v>
      </c>
      <c r="C127">
        <v>9428.6</v>
      </c>
      <c r="D127">
        <v>52420.4</v>
      </c>
      <c r="E127">
        <v>490887.9</v>
      </c>
      <c r="F127">
        <v>0.1259941424508528</v>
      </c>
    </row>
    <row r="128" spans="1:6" x14ac:dyDescent="0.35">
      <c r="A128" t="s">
        <v>113</v>
      </c>
      <c r="B128" t="s">
        <v>168</v>
      </c>
      <c r="C128">
        <v>9284.9</v>
      </c>
      <c r="D128">
        <v>57848.1</v>
      </c>
      <c r="E128">
        <v>515244.79999999999</v>
      </c>
      <c r="F128">
        <v>0.13029340616343921</v>
      </c>
    </row>
    <row r="129" spans="1:6" x14ac:dyDescent="0.35">
      <c r="A129" t="s">
        <v>113</v>
      </c>
      <c r="B129" t="s">
        <v>169</v>
      </c>
      <c r="C129">
        <v>9905.1</v>
      </c>
      <c r="D129">
        <v>63311.3</v>
      </c>
      <c r="E129">
        <v>545205.80000000005</v>
      </c>
      <c r="F129">
        <v>0.13429130797948219</v>
      </c>
    </row>
    <row r="130" spans="1:6" x14ac:dyDescent="0.35">
      <c r="A130" t="s">
        <v>113</v>
      </c>
      <c r="B130" t="s">
        <v>170</v>
      </c>
      <c r="C130">
        <v>10184.4</v>
      </c>
      <c r="D130">
        <v>65860</v>
      </c>
      <c r="E130">
        <v>520133.8</v>
      </c>
      <c r="F130">
        <v>0.1462016119698431</v>
      </c>
    </row>
    <row r="131" spans="1:6" x14ac:dyDescent="0.35">
      <c r="A131" t="s">
        <v>113</v>
      </c>
      <c r="B131" t="s">
        <v>171</v>
      </c>
      <c r="C131">
        <v>11502</v>
      </c>
      <c r="D131">
        <v>71860.899999999994</v>
      </c>
      <c r="E131">
        <v>588983.4</v>
      </c>
      <c r="F131">
        <v>0.14153692616803801</v>
      </c>
    </row>
    <row r="132" spans="1:6" x14ac:dyDescent="0.35">
      <c r="A132" t="s">
        <v>113</v>
      </c>
      <c r="B132" t="s">
        <v>172</v>
      </c>
      <c r="C132">
        <v>12029.5</v>
      </c>
      <c r="D132">
        <v>80625.8</v>
      </c>
      <c r="E132">
        <v>623311.69999999995</v>
      </c>
      <c r="F132">
        <v>0.14865002534045171</v>
      </c>
    </row>
    <row r="133" spans="1:6" x14ac:dyDescent="0.35">
      <c r="A133" t="s">
        <v>113</v>
      </c>
      <c r="B133" t="s">
        <v>173</v>
      </c>
      <c r="C133">
        <v>11700.9</v>
      </c>
      <c r="D133">
        <v>87644.4</v>
      </c>
      <c r="E133">
        <v>645425.69999999995</v>
      </c>
      <c r="F133">
        <v>0.15392213232289939</v>
      </c>
    </row>
    <row r="134" spans="1:6" x14ac:dyDescent="0.35">
      <c r="A134" t="s">
        <v>113</v>
      </c>
      <c r="B134" t="s">
        <v>174</v>
      </c>
      <c r="C134">
        <v>12314</v>
      </c>
      <c r="D134">
        <v>93190.9</v>
      </c>
      <c r="E134">
        <v>645205.80000000005</v>
      </c>
      <c r="F134">
        <v>0.16352131366457029</v>
      </c>
    </row>
    <row r="137" spans="1:6" x14ac:dyDescent="0.35">
      <c r="A137" t="s">
        <v>114</v>
      </c>
      <c r="B137" t="s">
        <v>150</v>
      </c>
      <c r="C137">
        <v>13266.4</v>
      </c>
      <c r="D137">
        <v>17549.5</v>
      </c>
      <c r="E137">
        <v>264206.40000000002</v>
      </c>
      <c r="F137">
        <v>0.11663570602377531</v>
      </c>
    </row>
    <row r="138" spans="1:6" x14ac:dyDescent="0.35">
      <c r="A138" t="s">
        <v>114</v>
      </c>
      <c r="B138" t="s">
        <v>151</v>
      </c>
      <c r="C138">
        <v>12798.5</v>
      </c>
      <c r="D138">
        <v>18903</v>
      </c>
      <c r="E138">
        <v>277322</v>
      </c>
      <c r="F138">
        <v>0.1143129647125003</v>
      </c>
    </row>
    <row r="139" spans="1:6" x14ac:dyDescent="0.35">
      <c r="A139" t="s">
        <v>114</v>
      </c>
      <c r="B139" t="s">
        <v>152</v>
      </c>
      <c r="C139">
        <v>12997.1</v>
      </c>
      <c r="D139">
        <v>19853.3</v>
      </c>
      <c r="E139">
        <v>295667.7</v>
      </c>
      <c r="F139">
        <v>0.11110581236976511</v>
      </c>
    </row>
    <row r="140" spans="1:6" x14ac:dyDescent="0.35">
      <c r="A140" t="s">
        <v>114</v>
      </c>
      <c r="B140" t="s">
        <v>153</v>
      </c>
      <c r="C140">
        <v>12188.5</v>
      </c>
      <c r="D140">
        <v>19090.900000000001</v>
      </c>
      <c r="E140">
        <v>297848.59999999998</v>
      </c>
      <c r="F140">
        <v>0.10501778420311531</v>
      </c>
    </row>
    <row r="141" spans="1:6" x14ac:dyDescent="0.35">
      <c r="A141" t="s">
        <v>114</v>
      </c>
      <c r="B141" t="s">
        <v>154</v>
      </c>
      <c r="C141">
        <v>13790.2</v>
      </c>
      <c r="D141">
        <v>18144.7</v>
      </c>
      <c r="E141">
        <v>311288.40000000002</v>
      </c>
      <c r="F141">
        <v>0.1025894315368</v>
      </c>
    </row>
    <row r="142" spans="1:6" x14ac:dyDescent="0.35">
      <c r="A142" t="s">
        <v>114</v>
      </c>
      <c r="B142" t="s">
        <v>155</v>
      </c>
      <c r="C142">
        <v>14574.4</v>
      </c>
      <c r="D142">
        <v>18591.8</v>
      </c>
      <c r="E142">
        <v>324900.7</v>
      </c>
      <c r="F142">
        <v>0.10208103583648789</v>
      </c>
    </row>
    <row r="143" spans="1:6" x14ac:dyDescent="0.35">
      <c r="A143" t="s">
        <v>114</v>
      </c>
      <c r="B143" t="s">
        <v>156</v>
      </c>
      <c r="C143">
        <v>13499.2</v>
      </c>
      <c r="D143">
        <v>19057.2</v>
      </c>
      <c r="E143">
        <v>341988.4</v>
      </c>
      <c r="F143">
        <v>9.5197380963798775E-2</v>
      </c>
    </row>
    <row r="144" spans="1:6" x14ac:dyDescent="0.35">
      <c r="A144" t="s">
        <v>114</v>
      </c>
      <c r="B144" t="s">
        <v>157</v>
      </c>
      <c r="C144">
        <v>13967.5</v>
      </c>
      <c r="D144">
        <v>20015</v>
      </c>
      <c r="E144">
        <v>356687.6</v>
      </c>
      <c r="F144">
        <v>9.5272445691972477E-2</v>
      </c>
    </row>
    <row r="145" spans="1:6" x14ac:dyDescent="0.35">
      <c r="A145" t="s">
        <v>114</v>
      </c>
      <c r="B145" t="s">
        <v>158</v>
      </c>
      <c r="C145">
        <v>13209.2</v>
      </c>
      <c r="D145">
        <v>19877.7</v>
      </c>
      <c r="E145">
        <v>354419.4</v>
      </c>
      <c r="F145">
        <v>9.3355217011258415E-2</v>
      </c>
    </row>
    <row r="146" spans="1:6" x14ac:dyDescent="0.35">
      <c r="A146" t="s">
        <v>114</v>
      </c>
      <c r="B146" t="s">
        <v>159</v>
      </c>
      <c r="C146">
        <v>11088.7</v>
      </c>
      <c r="D146">
        <v>19211.2</v>
      </c>
      <c r="E146">
        <v>321826.5</v>
      </c>
      <c r="F146">
        <v>9.4149798105500948E-2</v>
      </c>
    </row>
    <row r="147" spans="1:6" x14ac:dyDescent="0.35">
      <c r="A147" t="s">
        <v>114</v>
      </c>
      <c r="B147" t="s">
        <v>160</v>
      </c>
      <c r="C147">
        <v>13344.3</v>
      </c>
      <c r="D147">
        <v>19721.900000000001</v>
      </c>
      <c r="E147">
        <v>327450.40000000002</v>
      </c>
      <c r="F147">
        <v>0.1009807897623579</v>
      </c>
    </row>
    <row r="148" spans="1:6" x14ac:dyDescent="0.35">
      <c r="A148" t="s">
        <v>114</v>
      </c>
      <c r="B148" t="s">
        <v>161</v>
      </c>
      <c r="C148">
        <v>13490.8</v>
      </c>
      <c r="D148">
        <v>19015.5</v>
      </c>
      <c r="E148">
        <v>329961.7</v>
      </c>
      <c r="F148">
        <v>9.8515373147853219E-2</v>
      </c>
    </row>
    <row r="149" spans="1:6" x14ac:dyDescent="0.35">
      <c r="A149" t="s">
        <v>114</v>
      </c>
      <c r="B149" t="s">
        <v>162</v>
      </c>
      <c r="C149">
        <v>13053.9</v>
      </c>
      <c r="D149">
        <v>20104.5</v>
      </c>
      <c r="E149">
        <v>301798.7</v>
      </c>
      <c r="F149">
        <v>0.1098692605369075</v>
      </c>
    </row>
    <row r="150" spans="1:6" x14ac:dyDescent="0.35">
      <c r="A150" t="s">
        <v>114</v>
      </c>
      <c r="B150" t="s">
        <v>163</v>
      </c>
      <c r="C150">
        <v>12281.2</v>
      </c>
      <c r="D150">
        <v>20913</v>
      </c>
      <c r="E150">
        <v>280671</v>
      </c>
      <c r="F150">
        <v>0.118267295160526</v>
      </c>
    </row>
    <row r="151" spans="1:6" x14ac:dyDescent="0.35">
      <c r="A151" t="s">
        <v>114</v>
      </c>
      <c r="B151" t="s">
        <v>164</v>
      </c>
      <c r="C151">
        <v>12138.2</v>
      </c>
      <c r="D151">
        <v>22853.200000000001</v>
      </c>
      <c r="E151">
        <v>275476.2</v>
      </c>
      <c r="F151">
        <v>0.12702149949796029</v>
      </c>
    </row>
    <row r="152" spans="1:6" x14ac:dyDescent="0.35">
      <c r="A152" t="s">
        <v>114</v>
      </c>
      <c r="B152" t="s">
        <v>165</v>
      </c>
      <c r="C152">
        <v>13565.8</v>
      </c>
      <c r="D152">
        <v>23990.2</v>
      </c>
      <c r="E152">
        <v>284103.09999999998</v>
      </c>
      <c r="F152">
        <v>0.13219144740060909</v>
      </c>
    </row>
    <row r="153" spans="1:6" x14ac:dyDescent="0.35">
      <c r="A153" t="s">
        <v>114</v>
      </c>
      <c r="B153" t="s">
        <v>166</v>
      </c>
      <c r="C153">
        <v>13668.1</v>
      </c>
      <c r="D153">
        <v>25006.3</v>
      </c>
      <c r="E153">
        <v>294828.79999999999</v>
      </c>
      <c r="F153">
        <v>0.131175787440033</v>
      </c>
    </row>
    <row r="154" spans="1:6" x14ac:dyDescent="0.35">
      <c r="A154" t="s">
        <v>114</v>
      </c>
      <c r="B154" t="s">
        <v>167</v>
      </c>
      <c r="C154">
        <v>14868.3</v>
      </c>
      <c r="D154">
        <v>24893</v>
      </c>
      <c r="E154">
        <v>306672.5</v>
      </c>
      <c r="F154">
        <v>0.12965394679992501</v>
      </c>
    </row>
    <row r="155" spans="1:6" x14ac:dyDescent="0.35">
      <c r="A155" t="s">
        <v>114</v>
      </c>
      <c r="B155" t="s">
        <v>168</v>
      </c>
      <c r="C155">
        <v>14703.4</v>
      </c>
      <c r="D155">
        <v>25684.799999999999</v>
      </c>
      <c r="E155">
        <v>319499.8</v>
      </c>
      <c r="F155">
        <v>0.1264107207578847</v>
      </c>
    </row>
    <row r="156" spans="1:6" x14ac:dyDescent="0.35">
      <c r="A156" t="s">
        <v>114</v>
      </c>
      <c r="B156" t="s">
        <v>169</v>
      </c>
      <c r="C156">
        <v>15092</v>
      </c>
      <c r="D156">
        <v>26136.3</v>
      </c>
      <c r="E156">
        <v>327062.5</v>
      </c>
      <c r="F156">
        <v>0.12605633479839479</v>
      </c>
    </row>
    <row r="157" spans="1:6" x14ac:dyDescent="0.35">
      <c r="A157" t="s">
        <v>114</v>
      </c>
      <c r="B157" t="s">
        <v>170</v>
      </c>
      <c r="C157">
        <v>14314.5</v>
      </c>
      <c r="D157">
        <v>26695.4</v>
      </c>
      <c r="E157">
        <v>303972.5</v>
      </c>
      <c r="F157">
        <v>0.13491319116038461</v>
      </c>
    </row>
    <row r="158" spans="1:6" x14ac:dyDescent="0.35">
      <c r="A158" t="s">
        <v>114</v>
      </c>
      <c r="B158" t="s">
        <v>171</v>
      </c>
      <c r="C158">
        <v>15291.6</v>
      </c>
      <c r="D158">
        <v>28303.5</v>
      </c>
      <c r="E158">
        <v>382698.4</v>
      </c>
      <c r="F158">
        <v>0.1139150307396111</v>
      </c>
    </row>
    <row r="159" spans="1:6" x14ac:dyDescent="0.35">
      <c r="A159" t="s">
        <v>114</v>
      </c>
      <c r="B159" t="s">
        <v>172</v>
      </c>
      <c r="C159">
        <v>15976.3</v>
      </c>
      <c r="D159">
        <v>30594.1</v>
      </c>
      <c r="E159">
        <v>435095</v>
      </c>
      <c r="F159">
        <v>0.10703501534147709</v>
      </c>
    </row>
    <row r="160" spans="1:6" x14ac:dyDescent="0.35">
      <c r="A160" t="s">
        <v>114</v>
      </c>
      <c r="B160" t="s">
        <v>173</v>
      </c>
      <c r="C160">
        <v>16433.2</v>
      </c>
      <c r="D160">
        <v>29966</v>
      </c>
      <c r="E160">
        <v>485410.2</v>
      </c>
      <c r="F160">
        <v>9.5587608171398122E-2</v>
      </c>
    </row>
    <row r="161" spans="1:6" x14ac:dyDescent="0.35">
      <c r="A161" t="s">
        <v>114</v>
      </c>
      <c r="B161" t="s">
        <v>174</v>
      </c>
      <c r="C161">
        <v>16549.400000000001</v>
      </c>
      <c r="D161">
        <v>32223.1</v>
      </c>
      <c r="E161">
        <v>473721.8</v>
      </c>
      <c r="F161">
        <v>0.10295599653636379</v>
      </c>
    </row>
    <row r="162" spans="1:6" x14ac:dyDescent="0.35">
      <c r="A162" t="s">
        <v>114</v>
      </c>
      <c r="B162" t="s">
        <v>175</v>
      </c>
      <c r="C162">
        <v>17031.900000000001</v>
      </c>
      <c r="D162">
        <v>33444.6</v>
      </c>
      <c r="E162">
        <v>493039</v>
      </c>
      <c r="F162">
        <v>0.10237831084356409</v>
      </c>
    </row>
    <row r="165" spans="1:6" x14ac:dyDescent="0.35">
      <c r="A165" t="s">
        <v>115</v>
      </c>
      <c r="B165" t="s">
        <v>150</v>
      </c>
      <c r="C165">
        <v>4661</v>
      </c>
      <c r="D165">
        <v>8716</v>
      </c>
      <c r="E165">
        <v>101869</v>
      </c>
      <c r="F165">
        <v>0.13131570939147341</v>
      </c>
    </row>
    <row r="166" spans="1:6" x14ac:dyDescent="0.35">
      <c r="A166" t="s">
        <v>115</v>
      </c>
      <c r="B166" t="s">
        <v>151</v>
      </c>
      <c r="C166">
        <v>4681</v>
      </c>
      <c r="D166">
        <v>9131</v>
      </c>
      <c r="E166">
        <v>106692</v>
      </c>
      <c r="F166">
        <v>0.12945675402092</v>
      </c>
    </row>
    <row r="167" spans="1:6" x14ac:dyDescent="0.35">
      <c r="A167" t="s">
        <v>115</v>
      </c>
      <c r="B167" t="s">
        <v>152</v>
      </c>
      <c r="C167">
        <v>4270</v>
      </c>
      <c r="D167">
        <v>9044</v>
      </c>
      <c r="E167">
        <v>105682</v>
      </c>
      <c r="F167">
        <v>0.12598171874112901</v>
      </c>
    </row>
    <row r="168" spans="1:6" x14ac:dyDescent="0.35">
      <c r="A168" t="s">
        <v>115</v>
      </c>
      <c r="B168" t="s">
        <v>153</v>
      </c>
      <c r="C168">
        <v>4486</v>
      </c>
      <c r="D168">
        <v>9023</v>
      </c>
      <c r="E168">
        <v>105638</v>
      </c>
      <c r="F168">
        <v>0.12788011889660919</v>
      </c>
    </row>
    <row r="169" spans="1:6" x14ac:dyDescent="0.35">
      <c r="A169" t="s">
        <v>115</v>
      </c>
      <c r="B169" t="s">
        <v>154</v>
      </c>
      <c r="C169">
        <v>4437</v>
      </c>
      <c r="D169">
        <v>10000</v>
      </c>
      <c r="E169">
        <v>107266</v>
      </c>
      <c r="F169">
        <v>0.13459064382003619</v>
      </c>
    </row>
    <row r="170" spans="1:6" x14ac:dyDescent="0.35">
      <c r="A170" t="s">
        <v>115</v>
      </c>
      <c r="B170" t="s">
        <v>155</v>
      </c>
      <c r="C170">
        <v>4576</v>
      </c>
      <c r="D170">
        <v>11140</v>
      </c>
      <c r="E170">
        <v>112352</v>
      </c>
      <c r="F170">
        <v>0.1398818000569638</v>
      </c>
    </row>
    <row r="171" spans="1:6" x14ac:dyDescent="0.35">
      <c r="A171" t="s">
        <v>115</v>
      </c>
      <c r="B171" t="s">
        <v>156</v>
      </c>
      <c r="C171">
        <v>4677</v>
      </c>
      <c r="D171">
        <v>12514</v>
      </c>
      <c r="E171">
        <v>122832</v>
      </c>
      <c r="F171">
        <v>0.13995538621857501</v>
      </c>
    </row>
    <row r="172" spans="1:6" x14ac:dyDescent="0.35">
      <c r="A172" t="s">
        <v>115</v>
      </c>
      <c r="B172" t="s">
        <v>157</v>
      </c>
      <c r="C172">
        <v>5099</v>
      </c>
      <c r="D172">
        <v>15793</v>
      </c>
      <c r="E172">
        <v>143885</v>
      </c>
      <c r="F172">
        <v>0.1451992911005317</v>
      </c>
    </row>
    <row r="173" spans="1:6" x14ac:dyDescent="0.35">
      <c r="A173" t="s">
        <v>115</v>
      </c>
      <c r="B173" t="s">
        <v>158</v>
      </c>
      <c r="C173">
        <v>5098</v>
      </c>
      <c r="D173">
        <v>14809</v>
      </c>
      <c r="E173">
        <v>142837</v>
      </c>
      <c r="F173">
        <v>0.13936865097978821</v>
      </c>
    </row>
    <row r="174" spans="1:6" x14ac:dyDescent="0.35">
      <c r="A174" t="s">
        <v>115</v>
      </c>
      <c r="B174" t="s">
        <v>159</v>
      </c>
      <c r="C174">
        <v>4989</v>
      </c>
      <c r="D174">
        <v>14435</v>
      </c>
      <c r="E174">
        <v>132856</v>
      </c>
      <c r="F174">
        <v>0.14620340820136091</v>
      </c>
    </row>
    <row r="175" spans="1:6" x14ac:dyDescent="0.35">
      <c r="A175" t="s">
        <v>115</v>
      </c>
      <c r="B175" t="s">
        <v>160</v>
      </c>
      <c r="C175">
        <v>4806</v>
      </c>
      <c r="D175">
        <v>15779</v>
      </c>
      <c r="E175">
        <v>125004</v>
      </c>
      <c r="F175">
        <v>0.1646747304086269</v>
      </c>
    </row>
    <row r="176" spans="1:6" x14ac:dyDescent="0.35">
      <c r="A176" t="s">
        <v>115</v>
      </c>
      <c r="B176" t="s">
        <v>161</v>
      </c>
      <c r="C176">
        <v>5270</v>
      </c>
      <c r="D176">
        <v>15387</v>
      </c>
      <c r="E176">
        <v>130753</v>
      </c>
      <c r="F176">
        <v>0.15798490283205741</v>
      </c>
    </row>
    <row r="177" spans="1:6" x14ac:dyDescent="0.35">
      <c r="A177" t="s">
        <v>115</v>
      </c>
      <c r="B177" t="s">
        <v>162</v>
      </c>
      <c r="C177">
        <v>5278</v>
      </c>
      <c r="D177">
        <v>15482</v>
      </c>
      <c r="E177">
        <v>122368</v>
      </c>
      <c r="F177">
        <v>0.16965219665271969</v>
      </c>
    </row>
    <row r="178" spans="1:6" x14ac:dyDescent="0.35">
      <c r="A178" t="s">
        <v>115</v>
      </c>
      <c r="B178" t="s">
        <v>163</v>
      </c>
      <c r="C178">
        <v>5256</v>
      </c>
      <c r="D178">
        <v>17538</v>
      </c>
      <c r="E178">
        <v>121128</v>
      </c>
      <c r="F178">
        <v>0.1881810976817912</v>
      </c>
    </row>
    <row r="179" spans="1:6" x14ac:dyDescent="0.35">
      <c r="A179" t="s">
        <v>115</v>
      </c>
      <c r="B179" t="s">
        <v>164</v>
      </c>
      <c r="C179">
        <v>5253</v>
      </c>
      <c r="D179">
        <v>16193</v>
      </c>
      <c r="E179">
        <v>118012</v>
      </c>
      <c r="F179">
        <v>0.18172728197132501</v>
      </c>
    </row>
    <row r="180" spans="1:6" x14ac:dyDescent="0.35">
      <c r="A180" t="s">
        <v>115</v>
      </c>
      <c r="B180" t="s">
        <v>165</v>
      </c>
      <c r="C180">
        <v>5247</v>
      </c>
      <c r="D180">
        <v>22764</v>
      </c>
      <c r="E180">
        <v>152468</v>
      </c>
      <c r="F180">
        <v>0.18371723902720569</v>
      </c>
    </row>
    <row r="181" spans="1:6" x14ac:dyDescent="0.35">
      <c r="A181" t="s">
        <v>115</v>
      </c>
      <c r="B181" t="s">
        <v>166</v>
      </c>
      <c r="C181">
        <v>5019</v>
      </c>
      <c r="D181">
        <v>18271</v>
      </c>
      <c r="E181">
        <v>138952</v>
      </c>
      <c r="F181">
        <v>0.16761183718118489</v>
      </c>
    </row>
    <row r="182" spans="1:6" x14ac:dyDescent="0.35">
      <c r="A182" t="s">
        <v>115</v>
      </c>
      <c r="B182" t="s">
        <v>167</v>
      </c>
      <c r="C182">
        <v>5159</v>
      </c>
      <c r="D182">
        <v>18567</v>
      </c>
      <c r="E182">
        <v>148357</v>
      </c>
      <c r="F182">
        <v>0.1599250456668711</v>
      </c>
    </row>
    <row r="183" spans="1:6" x14ac:dyDescent="0.35">
      <c r="A183" t="s">
        <v>115</v>
      </c>
      <c r="B183" t="s">
        <v>168</v>
      </c>
      <c r="C183">
        <v>5339</v>
      </c>
      <c r="D183">
        <v>18997</v>
      </c>
      <c r="E183">
        <v>157069</v>
      </c>
      <c r="F183">
        <v>0.15493827553495601</v>
      </c>
    </row>
    <row r="184" spans="1:6" x14ac:dyDescent="0.35">
      <c r="A184" t="s">
        <v>115</v>
      </c>
      <c r="B184" t="s">
        <v>169</v>
      </c>
      <c r="C184">
        <v>6464</v>
      </c>
      <c r="D184">
        <v>19749</v>
      </c>
      <c r="E184">
        <v>173484</v>
      </c>
      <c r="F184">
        <v>0.15109750755112861</v>
      </c>
    </row>
    <row r="185" spans="1:6" x14ac:dyDescent="0.35">
      <c r="A185" t="s">
        <v>115</v>
      </c>
      <c r="B185" t="s">
        <v>170</v>
      </c>
      <c r="C185">
        <v>6747</v>
      </c>
      <c r="D185">
        <v>19869</v>
      </c>
      <c r="E185">
        <v>173694</v>
      </c>
      <c r="F185">
        <v>0.15323499948184741</v>
      </c>
    </row>
    <row r="186" spans="1:6" x14ac:dyDescent="0.35">
      <c r="A186" t="s">
        <v>115</v>
      </c>
      <c r="B186" t="s">
        <v>171</v>
      </c>
      <c r="C186">
        <v>6745</v>
      </c>
      <c r="D186">
        <v>20361</v>
      </c>
      <c r="E186">
        <v>184425</v>
      </c>
      <c r="F186">
        <v>0.1469757353937915</v>
      </c>
    </row>
    <row r="187" spans="1:6" x14ac:dyDescent="0.35">
      <c r="A187" t="s">
        <v>115</v>
      </c>
      <c r="B187" t="s">
        <v>172</v>
      </c>
      <c r="C187">
        <v>7787</v>
      </c>
      <c r="D187">
        <v>22352</v>
      </c>
      <c r="E187">
        <v>203422</v>
      </c>
      <c r="F187">
        <v>0.1481599826960702</v>
      </c>
    </row>
    <row r="188" spans="1:6" x14ac:dyDescent="0.35">
      <c r="A188" t="s">
        <v>115</v>
      </c>
      <c r="B188" t="s">
        <v>173</v>
      </c>
      <c r="C188">
        <v>7873</v>
      </c>
      <c r="D188">
        <v>23874</v>
      </c>
      <c r="E188">
        <v>213665</v>
      </c>
      <c r="F188">
        <v>0.14858306227037649</v>
      </c>
    </row>
    <row r="189" spans="1:6" x14ac:dyDescent="0.35">
      <c r="A189" t="s">
        <v>115</v>
      </c>
      <c r="B189" t="s">
        <v>174</v>
      </c>
      <c r="C189">
        <v>8359</v>
      </c>
      <c r="D189">
        <v>24651</v>
      </c>
      <c r="E189">
        <v>222797</v>
      </c>
      <c r="F189">
        <v>0.14816177955717541</v>
      </c>
    </row>
    <row r="192" spans="1:6" x14ac:dyDescent="0.35">
      <c r="A192" t="s">
        <v>181</v>
      </c>
      <c r="B192" t="s">
        <v>150</v>
      </c>
      <c r="C192">
        <v>915</v>
      </c>
      <c r="D192">
        <v>1434</v>
      </c>
      <c r="E192">
        <v>31460</v>
      </c>
      <c r="F192">
        <v>7.4666242848061032E-2</v>
      </c>
    </row>
    <row r="193" spans="1:6" x14ac:dyDescent="0.35">
      <c r="A193" t="s">
        <v>181</v>
      </c>
      <c r="B193" t="s">
        <v>151</v>
      </c>
      <c r="C193">
        <v>689</v>
      </c>
      <c r="D193">
        <v>1646</v>
      </c>
      <c r="E193">
        <v>33084</v>
      </c>
      <c r="F193">
        <v>7.0577922863015355E-2</v>
      </c>
    </row>
    <row r="194" spans="1:6" x14ac:dyDescent="0.35">
      <c r="A194" t="s">
        <v>181</v>
      </c>
      <c r="B194" t="s">
        <v>152</v>
      </c>
      <c r="C194">
        <v>542</v>
      </c>
      <c r="D194">
        <v>1542</v>
      </c>
      <c r="E194">
        <v>32076</v>
      </c>
      <c r="F194">
        <v>6.497069460032423E-2</v>
      </c>
    </row>
    <row r="195" spans="1:6" x14ac:dyDescent="0.35">
      <c r="A195" t="s">
        <v>181</v>
      </c>
      <c r="B195" t="s">
        <v>153</v>
      </c>
      <c r="C195">
        <v>781</v>
      </c>
      <c r="D195">
        <v>1913</v>
      </c>
      <c r="E195">
        <v>33056</v>
      </c>
      <c r="F195">
        <v>8.1498063891577932E-2</v>
      </c>
    </row>
    <row r="196" spans="1:6" x14ac:dyDescent="0.35">
      <c r="A196" t="s">
        <v>181</v>
      </c>
      <c r="B196" t="s">
        <v>154</v>
      </c>
      <c r="C196">
        <v>919</v>
      </c>
      <c r="D196">
        <v>1871</v>
      </c>
      <c r="E196">
        <v>35336</v>
      </c>
      <c r="F196">
        <v>7.895630518451438E-2</v>
      </c>
    </row>
    <row r="197" spans="1:6" x14ac:dyDescent="0.35">
      <c r="A197" t="s">
        <v>181</v>
      </c>
      <c r="B197" t="s">
        <v>155</v>
      </c>
      <c r="C197">
        <v>897</v>
      </c>
      <c r="D197">
        <v>2153</v>
      </c>
      <c r="E197">
        <v>37743</v>
      </c>
      <c r="F197">
        <v>8.0809686564396049E-2</v>
      </c>
    </row>
    <row r="198" spans="1:6" x14ac:dyDescent="0.35">
      <c r="A198" t="s">
        <v>181</v>
      </c>
      <c r="B198" t="s">
        <v>156</v>
      </c>
      <c r="C198">
        <v>990</v>
      </c>
      <c r="D198">
        <v>2268</v>
      </c>
      <c r="E198">
        <v>39358</v>
      </c>
      <c r="F198">
        <v>8.2778596473398039E-2</v>
      </c>
    </row>
    <row r="199" spans="1:6" x14ac:dyDescent="0.35">
      <c r="A199" t="s">
        <v>181</v>
      </c>
      <c r="B199" t="s">
        <v>157</v>
      </c>
      <c r="C199">
        <v>1256</v>
      </c>
      <c r="D199">
        <v>2413</v>
      </c>
      <c r="E199">
        <v>45263</v>
      </c>
      <c r="F199">
        <v>8.1059585091575903E-2</v>
      </c>
    </row>
    <row r="200" spans="1:6" x14ac:dyDescent="0.35">
      <c r="A200" t="s">
        <v>181</v>
      </c>
      <c r="B200" t="s">
        <v>158</v>
      </c>
      <c r="C200">
        <v>1334</v>
      </c>
      <c r="D200">
        <v>2518</v>
      </c>
      <c r="E200">
        <v>47583</v>
      </c>
      <c r="F200">
        <v>8.0953281634197086E-2</v>
      </c>
    </row>
    <row r="201" spans="1:6" x14ac:dyDescent="0.35">
      <c r="A201" t="s">
        <v>181</v>
      </c>
      <c r="B201" t="s">
        <v>159</v>
      </c>
      <c r="C201">
        <v>994</v>
      </c>
      <c r="D201">
        <v>2537</v>
      </c>
      <c r="E201">
        <v>41720</v>
      </c>
      <c r="F201">
        <v>8.4635666347075741E-2</v>
      </c>
    </row>
    <row r="202" spans="1:6" x14ac:dyDescent="0.35">
      <c r="A202" t="s">
        <v>181</v>
      </c>
      <c r="B202" t="s">
        <v>160</v>
      </c>
      <c r="C202">
        <v>934</v>
      </c>
      <c r="D202">
        <v>2590</v>
      </c>
      <c r="E202">
        <v>42937</v>
      </c>
      <c r="F202">
        <v>8.207373593870089E-2</v>
      </c>
    </row>
    <row r="203" spans="1:6" x14ac:dyDescent="0.35">
      <c r="A203" t="s">
        <v>181</v>
      </c>
      <c r="B203" t="s">
        <v>161</v>
      </c>
      <c r="C203">
        <v>1070</v>
      </c>
      <c r="D203">
        <v>2592</v>
      </c>
      <c r="E203">
        <v>45280</v>
      </c>
      <c r="F203">
        <v>8.0874558303886929E-2</v>
      </c>
    </row>
    <row r="204" spans="1:6" x14ac:dyDescent="0.35">
      <c r="A204" t="s">
        <v>181</v>
      </c>
      <c r="B204" t="s">
        <v>162</v>
      </c>
      <c r="C204">
        <v>1086</v>
      </c>
      <c r="D204">
        <v>2607</v>
      </c>
      <c r="E204">
        <v>46718</v>
      </c>
      <c r="F204">
        <v>7.9048760649000391E-2</v>
      </c>
    </row>
    <row r="205" spans="1:6" x14ac:dyDescent="0.35">
      <c r="A205" t="s">
        <v>181</v>
      </c>
      <c r="B205" t="s">
        <v>163</v>
      </c>
      <c r="C205">
        <v>963</v>
      </c>
      <c r="D205">
        <v>2691</v>
      </c>
      <c r="E205">
        <v>45444</v>
      </c>
      <c r="F205">
        <v>8.0406654343807768E-2</v>
      </c>
    </row>
    <row r="206" spans="1:6" x14ac:dyDescent="0.35">
      <c r="A206" t="s">
        <v>181</v>
      </c>
      <c r="B206" t="s">
        <v>164</v>
      </c>
      <c r="C206">
        <v>1025</v>
      </c>
      <c r="D206">
        <v>2994</v>
      </c>
      <c r="E206">
        <v>44705</v>
      </c>
      <c r="F206">
        <v>8.9900458561682134E-2</v>
      </c>
    </row>
    <row r="207" spans="1:6" x14ac:dyDescent="0.35">
      <c r="A207" t="s">
        <v>181</v>
      </c>
      <c r="B207" t="s">
        <v>165</v>
      </c>
      <c r="C207">
        <v>1219</v>
      </c>
      <c r="D207">
        <v>2937</v>
      </c>
      <c r="E207">
        <v>45023</v>
      </c>
      <c r="F207">
        <v>9.2308375719076921E-2</v>
      </c>
    </row>
    <row r="208" spans="1:6" x14ac:dyDescent="0.35">
      <c r="A208" t="s">
        <v>181</v>
      </c>
      <c r="B208" t="s">
        <v>166</v>
      </c>
      <c r="C208">
        <v>1271</v>
      </c>
      <c r="D208">
        <v>3015</v>
      </c>
      <c r="E208">
        <v>49728</v>
      </c>
      <c r="F208">
        <v>8.6188867438867445E-2</v>
      </c>
    </row>
    <row r="209" spans="1:6" x14ac:dyDescent="0.35">
      <c r="A209" t="s">
        <v>181</v>
      </c>
      <c r="B209" t="s">
        <v>167</v>
      </c>
      <c r="C209">
        <v>1405</v>
      </c>
      <c r="D209">
        <v>3206</v>
      </c>
      <c r="E209">
        <v>53231</v>
      </c>
      <c r="F209">
        <v>8.6622456839059947E-2</v>
      </c>
    </row>
    <row r="210" spans="1:6" x14ac:dyDescent="0.35">
      <c r="A210" t="s">
        <v>181</v>
      </c>
      <c r="B210" t="s">
        <v>168</v>
      </c>
      <c r="C210">
        <v>1640</v>
      </c>
      <c r="D210">
        <v>3615</v>
      </c>
      <c r="E210">
        <v>57033</v>
      </c>
      <c r="F210">
        <v>9.2139638454929604E-2</v>
      </c>
    </row>
    <row r="211" spans="1:6" x14ac:dyDescent="0.35">
      <c r="A211" t="s">
        <v>181</v>
      </c>
      <c r="B211" t="s">
        <v>169</v>
      </c>
      <c r="C211">
        <v>1153</v>
      </c>
      <c r="D211">
        <v>3993</v>
      </c>
      <c r="E211">
        <v>58248</v>
      </c>
      <c r="F211">
        <v>8.8346380991622037E-2</v>
      </c>
    </row>
    <row r="212" spans="1:6" x14ac:dyDescent="0.35">
      <c r="A212" t="s">
        <v>181</v>
      </c>
      <c r="B212" t="s">
        <v>170</v>
      </c>
      <c r="C212">
        <v>1059</v>
      </c>
      <c r="D212">
        <v>3835</v>
      </c>
      <c r="E212">
        <v>58284</v>
      </c>
      <c r="F212">
        <v>8.3968155926154697E-2</v>
      </c>
    </row>
    <row r="213" spans="1:6" x14ac:dyDescent="0.35">
      <c r="A213" t="s">
        <v>181</v>
      </c>
      <c r="B213" t="s">
        <v>171</v>
      </c>
      <c r="C213">
        <v>1104</v>
      </c>
      <c r="D213">
        <v>4047</v>
      </c>
      <c r="E213">
        <v>60750</v>
      </c>
      <c r="F213">
        <v>8.4790123456790129E-2</v>
      </c>
    </row>
    <row r="214" spans="1:6" x14ac:dyDescent="0.35">
      <c r="A214" t="s">
        <v>181</v>
      </c>
      <c r="B214" t="s">
        <v>172</v>
      </c>
      <c r="C214">
        <v>1017</v>
      </c>
      <c r="D214">
        <v>4270</v>
      </c>
      <c r="E214">
        <v>65640</v>
      </c>
      <c r="F214">
        <v>8.0545399146861665E-2</v>
      </c>
    </row>
    <row r="215" spans="1:6" x14ac:dyDescent="0.35">
      <c r="A215" t="s">
        <v>181</v>
      </c>
      <c r="B215" t="s">
        <v>173</v>
      </c>
      <c r="C215">
        <v>913</v>
      </c>
      <c r="D215">
        <v>4916</v>
      </c>
      <c r="E215">
        <v>63879</v>
      </c>
      <c r="F215">
        <v>9.1250645752125117E-2</v>
      </c>
    </row>
    <row r="216" spans="1:6" x14ac:dyDescent="0.35">
      <c r="A216" t="s">
        <v>181</v>
      </c>
      <c r="B216" t="s">
        <v>174</v>
      </c>
      <c r="C216">
        <v>1343</v>
      </c>
      <c r="D216">
        <v>5530</v>
      </c>
      <c r="E216">
        <v>60816</v>
      </c>
      <c r="F216">
        <v>0.1130130228887135</v>
      </c>
    </row>
    <row r="217" spans="1:6" x14ac:dyDescent="0.35">
      <c r="A217" t="s">
        <v>181</v>
      </c>
      <c r="B217" t="s">
        <v>175</v>
      </c>
      <c r="C217">
        <v>1494</v>
      </c>
      <c r="D217">
        <v>5032</v>
      </c>
      <c r="E217">
        <v>61739</v>
      </c>
      <c r="F217">
        <v>0.1057030402176906</v>
      </c>
    </row>
    <row r="220" spans="1:6" x14ac:dyDescent="0.35">
      <c r="A220" t="s">
        <v>182</v>
      </c>
      <c r="B220" t="s">
        <v>150</v>
      </c>
      <c r="C220">
        <v>1204.4000000000001</v>
      </c>
      <c r="D220">
        <v>460.3</v>
      </c>
      <c r="E220">
        <v>25759</v>
      </c>
      <c r="F220">
        <v>6.462595597655188E-2</v>
      </c>
    </row>
    <row r="221" spans="1:6" x14ac:dyDescent="0.35">
      <c r="A221" t="s">
        <v>182</v>
      </c>
      <c r="B221" t="s">
        <v>151</v>
      </c>
      <c r="C221">
        <v>1088.8</v>
      </c>
      <c r="D221">
        <v>647.9</v>
      </c>
      <c r="E221">
        <v>29223.7</v>
      </c>
      <c r="F221">
        <v>5.9427793195249053E-2</v>
      </c>
    </row>
    <row r="222" spans="1:6" x14ac:dyDescent="0.35">
      <c r="A222" t="s">
        <v>182</v>
      </c>
      <c r="B222" t="s">
        <v>152</v>
      </c>
      <c r="C222">
        <v>915.5</v>
      </c>
      <c r="D222">
        <v>571.6</v>
      </c>
      <c r="E222">
        <v>32086.1</v>
      </c>
      <c r="F222">
        <v>4.6347172139960917E-2</v>
      </c>
    </row>
    <row r="223" spans="1:6" x14ac:dyDescent="0.35">
      <c r="A223" t="s">
        <v>182</v>
      </c>
      <c r="B223" t="s">
        <v>153</v>
      </c>
      <c r="C223">
        <v>820.1</v>
      </c>
      <c r="D223">
        <v>607.9</v>
      </c>
      <c r="E223">
        <v>36264.800000000003</v>
      </c>
      <c r="F223">
        <v>3.9377026758730227E-2</v>
      </c>
    </row>
    <row r="224" spans="1:6" x14ac:dyDescent="0.35">
      <c r="A224" t="s">
        <v>182</v>
      </c>
      <c r="B224" t="s">
        <v>154</v>
      </c>
      <c r="C224">
        <v>888.6</v>
      </c>
      <c r="D224">
        <v>676.9</v>
      </c>
      <c r="E224">
        <v>42112.5</v>
      </c>
      <c r="F224">
        <v>3.7174235678242802E-2</v>
      </c>
    </row>
    <row r="225" spans="1:6" x14ac:dyDescent="0.35">
      <c r="A225" t="s">
        <v>182</v>
      </c>
      <c r="B225" t="s">
        <v>155</v>
      </c>
      <c r="C225">
        <v>795.1</v>
      </c>
      <c r="D225">
        <v>703.6</v>
      </c>
      <c r="E225">
        <v>50800.7</v>
      </c>
      <c r="F225">
        <v>2.950156198635058E-2</v>
      </c>
    </row>
    <row r="226" spans="1:6" x14ac:dyDescent="0.35">
      <c r="A226" t="s">
        <v>182</v>
      </c>
      <c r="B226" t="s">
        <v>156</v>
      </c>
      <c r="C226">
        <v>1072.5999999999999</v>
      </c>
      <c r="D226">
        <v>776.6</v>
      </c>
      <c r="E226">
        <v>57299.4</v>
      </c>
      <c r="F226">
        <v>3.2272589241772162E-2</v>
      </c>
    </row>
    <row r="227" spans="1:6" x14ac:dyDescent="0.35">
      <c r="A227" t="s">
        <v>182</v>
      </c>
      <c r="B227" t="s">
        <v>157</v>
      </c>
      <c r="C227">
        <v>1335.7</v>
      </c>
      <c r="D227">
        <v>919.9</v>
      </c>
      <c r="E227">
        <v>56572.9</v>
      </c>
      <c r="F227">
        <v>3.9870680131299623E-2</v>
      </c>
    </row>
    <row r="228" spans="1:6" x14ac:dyDescent="0.35">
      <c r="A228" t="s">
        <v>182</v>
      </c>
      <c r="B228" t="s">
        <v>158</v>
      </c>
      <c r="C228">
        <v>1136.5</v>
      </c>
      <c r="D228">
        <v>920.5</v>
      </c>
      <c r="E228">
        <v>46525.1</v>
      </c>
      <c r="F228">
        <v>4.4212693793242788E-2</v>
      </c>
    </row>
    <row r="229" spans="1:6" x14ac:dyDescent="0.35">
      <c r="A229" t="s">
        <v>182</v>
      </c>
      <c r="B229" t="s">
        <v>159</v>
      </c>
      <c r="C229">
        <v>1166.7</v>
      </c>
      <c r="D229">
        <v>910</v>
      </c>
      <c r="E229">
        <v>35875.699999999997</v>
      </c>
      <c r="F229">
        <v>5.788597853142935E-2</v>
      </c>
    </row>
    <row r="230" spans="1:6" x14ac:dyDescent="0.35">
      <c r="A230" t="s">
        <v>182</v>
      </c>
      <c r="B230" t="s">
        <v>160</v>
      </c>
      <c r="C230">
        <v>1156.9000000000001</v>
      </c>
      <c r="D230">
        <v>1037.5</v>
      </c>
      <c r="E230">
        <v>29422.5</v>
      </c>
      <c r="F230">
        <v>7.4582377432237237E-2</v>
      </c>
    </row>
    <row r="231" spans="1:6" x14ac:dyDescent="0.35">
      <c r="A231" t="s">
        <v>182</v>
      </c>
      <c r="B231" t="s">
        <v>161</v>
      </c>
      <c r="C231">
        <v>1986</v>
      </c>
      <c r="D231">
        <v>1087.2</v>
      </c>
      <c r="E231">
        <v>28677.5</v>
      </c>
      <c r="F231">
        <v>0.1071641530816842</v>
      </c>
    </row>
    <row r="232" spans="1:6" x14ac:dyDescent="0.35">
      <c r="A232" t="s">
        <v>182</v>
      </c>
      <c r="B232" t="s">
        <v>162</v>
      </c>
      <c r="C232">
        <v>1742.3</v>
      </c>
      <c r="D232">
        <v>1295.3</v>
      </c>
      <c r="E232">
        <v>34446.9</v>
      </c>
      <c r="F232">
        <v>8.8182100566378971E-2</v>
      </c>
    </row>
    <row r="233" spans="1:6" x14ac:dyDescent="0.35">
      <c r="A233" t="s">
        <v>182</v>
      </c>
      <c r="B233" t="s">
        <v>163</v>
      </c>
      <c r="C233">
        <v>1855.7</v>
      </c>
      <c r="D233">
        <v>1356.3</v>
      </c>
      <c r="E233">
        <v>33427.599999999999</v>
      </c>
      <c r="F233">
        <v>9.6088262393949908E-2</v>
      </c>
    </row>
    <row r="234" spans="1:6" x14ac:dyDescent="0.35">
      <c r="A234" t="s">
        <v>182</v>
      </c>
      <c r="B234" t="s">
        <v>164</v>
      </c>
      <c r="C234">
        <v>1786.1</v>
      </c>
      <c r="D234">
        <v>1530.8</v>
      </c>
      <c r="E234">
        <v>40503.5</v>
      </c>
      <c r="F234">
        <v>8.1891688372609767E-2</v>
      </c>
    </row>
    <row r="235" spans="1:6" x14ac:dyDescent="0.35">
      <c r="A235" t="s">
        <v>182</v>
      </c>
      <c r="B235" t="s">
        <v>165</v>
      </c>
      <c r="C235">
        <v>1903.1</v>
      </c>
      <c r="D235">
        <v>2500.6</v>
      </c>
      <c r="E235">
        <v>66114.600000000006</v>
      </c>
      <c r="F235">
        <v>6.6607073172945147E-2</v>
      </c>
    </row>
    <row r="236" spans="1:6" x14ac:dyDescent="0.35">
      <c r="A236" t="s">
        <v>182</v>
      </c>
      <c r="B236" t="s">
        <v>166</v>
      </c>
      <c r="C236">
        <v>2190.6999999999998</v>
      </c>
      <c r="D236">
        <v>2247.4</v>
      </c>
      <c r="E236">
        <v>94123.4</v>
      </c>
      <c r="F236">
        <v>4.7151930338258083E-2</v>
      </c>
    </row>
    <row r="237" spans="1:6" x14ac:dyDescent="0.35">
      <c r="A237" t="s">
        <v>182</v>
      </c>
      <c r="B237" t="s">
        <v>167</v>
      </c>
      <c r="C237">
        <v>1866.1</v>
      </c>
      <c r="D237">
        <v>2230.8000000000002</v>
      </c>
      <c r="E237">
        <v>100143.2</v>
      </c>
      <c r="F237">
        <v>4.0910416283881479E-2</v>
      </c>
    </row>
    <row r="238" spans="1:6" x14ac:dyDescent="0.35">
      <c r="A238" t="s">
        <v>182</v>
      </c>
      <c r="B238" t="s">
        <v>168</v>
      </c>
      <c r="C238">
        <v>3173.1</v>
      </c>
      <c r="D238">
        <v>2534.6</v>
      </c>
      <c r="E238">
        <v>93499.199999999997</v>
      </c>
      <c r="F238">
        <v>6.1045442100039357E-2</v>
      </c>
    </row>
    <row r="239" spans="1:6" x14ac:dyDescent="0.35">
      <c r="A239" t="s">
        <v>182</v>
      </c>
      <c r="B239" t="s">
        <v>169</v>
      </c>
      <c r="C239">
        <v>2772.8</v>
      </c>
      <c r="D239">
        <v>2775.7</v>
      </c>
      <c r="E239">
        <v>193555.20000000001</v>
      </c>
      <c r="F239">
        <v>2.8666240948318621E-2</v>
      </c>
    </row>
    <row r="240" spans="1:6" x14ac:dyDescent="0.35">
      <c r="A240" t="s">
        <v>182</v>
      </c>
      <c r="B240" t="s">
        <v>170</v>
      </c>
      <c r="C240">
        <v>1800.2</v>
      </c>
      <c r="D240">
        <v>3309.3</v>
      </c>
      <c r="E240">
        <v>157989.20000000001</v>
      </c>
      <c r="F240">
        <v>3.2340818233145052E-2</v>
      </c>
    </row>
    <row r="241" spans="1:6" x14ac:dyDescent="0.35">
      <c r="A241" t="s">
        <v>182</v>
      </c>
      <c r="B241" t="s">
        <v>171</v>
      </c>
      <c r="C241">
        <v>2553.4</v>
      </c>
      <c r="D241">
        <v>3427.8</v>
      </c>
      <c r="E241">
        <v>99006.5</v>
      </c>
      <c r="F241">
        <v>6.0412195158903718E-2</v>
      </c>
    </row>
    <row r="242" spans="1:6" x14ac:dyDescent="0.35">
      <c r="A242" t="s">
        <v>182</v>
      </c>
      <c r="B242" t="s">
        <v>172</v>
      </c>
      <c r="C242">
        <v>2414.9</v>
      </c>
      <c r="D242">
        <v>5974.7</v>
      </c>
      <c r="E242">
        <v>110101</v>
      </c>
      <c r="F242">
        <v>7.6199126256800573E-2</v>
      </c>
    </row>
    <row r="243" spans="1:6" x14ac:dyDescent="0.35">
      <c r="A243" t="s">
        <v>182</v>
      </c>
      <c r="B243" t="s">
        <v>173</v>
      </c>
      <c r="C243">
        <v>2895.8</v>
      </c>
      <c r="D243">
        <v>5521.9</v>
      </c>
      <c r="E243">
        <v>130595.9</v>
      </c>
      <c r="F243">
        <v>6.4456081699348911E-2</v>
      </c>
    </row>
    <row r="244" spans="1:6" x14ac:dyDescent="0.35">
      <c r="A244" t="s">
        <v>182</v>
      </c>
      <c r="B244" t="s">
        <v>174</v>
      </c>
      <c r="C244">
        <v>3132</v>
      </c>
      <c r="D244">
        <v>6961.8</v>
      </c>
      <c r="E244">
        <v>97633.600000000006</v>
      </c>
      <c r="F244">
        <v>0.10338449058520841</v>
      </c>
    </row>
    <row r="247" spans="1:6" x14ac:dyDescent="0.35">
      <c r="A247" t="s">
        <v>183</v>
      </c>
      <c r="B247" t="s">
        <v>150</v>
      </c>
      <c r="C247">
        <v>2344.6</v>
      </c>
      <c r="D247">
        <v>886.9</v>
      </c>
      <c r="E247">
        <v>35960</v>
      </c>
      <c r="F247">
        <v>8.9863737486095663E-2</v>
      </c>
    </row>
    <row r="248" spans="1:6" x14ac:dyDescent="0.35">
      <c r="A248" t="s">
        <v>183</v>
      </c>
      <c r="B248" t="s">
        <v>151</v>
      </c>
      <c r="C248">
        <v>2347</v>
      </c>
      <c r="D248">
        <v>955.7</v>
      </c>
      <c r="E248">
        <v>37177.4</v>
      </c>
      <c r="F248">
        <v>8.8836228461377065E-2</v>
      </c>
    </row>
    <row r="249" spans="1:6" x14ac:dyDescent="0.35">
      <c r="A249" t="s">
        <v>183</v>
      </c>
      <c r="B249" t="s">
        <v>152</v>
      </c>
      <c r="C249">
        <v>2272.5</v>
      </c>
      <c r="D249">
        <v>1163.7</v>
      </c>
      <c r="E249">
        <v>36860.400000000001</v>
      </c>
      <c r="F249">
        <v>9.3221994335384306E-2</v>
      </c>
    </row>
    <row r="250" spans="1:6" x14ac:dyDescent="0.35">
      <c r="A250" t="s">
        <v>183</v>
      </c>
      <c r="B250" t="s">
        <v>153</v>
      </c>
      <c r="C250">
        <v>2152.6</v>
      </c>
      <c r="D250">
        <v>1224.4000000000001</v>
      </c>
      <c r="E250">
        <v>34706.400000000001</v>
      </c>
      <c r="F250">
        <v>9.7301938547357261E-2</v>
      </c>
    </row>
    <row r="251" spans="1:6" x14ac:dyDescent="0.35">
      <c r="A251" t="s">
        <v>183</v>
      </c>
      <c r="B251" t="s">
        <v>154</v>
      </c>
      <c r="C251">
        <v>2250.3000000000002</v>
      </c>
      <c r="D251">
        <v>1241.9000000000001</v>
      </c>
      <c r="E251">
        <v>35662.800000000003</v>
      </c>
      <c r="F251">
        <v>9.7922765458685238E-2</v>
      </c>
    </row>
    <row r="252" spans="1:6" x14ac:dyDescent="0.35">
      <c r="A252" t="s">
        <v>183</v>
      </c>
      <c r="B252" t="s">
        <v>155</v>
      </c>
      <c r="C252">
        <v>2285.6999999999998</v>
      </c>
      <c r="D252">
        <v>1303</v>
      </c>
      <c r="E252">
        <v>36667.800000000003</v>
      </c>
      <c r="F252">
        <v>9.7870611272015212E-2</v>
      </c>
    </row>
    <row r="253" spans="1:6" x14ac:dyDescent="0.35">
      <c r="A253" t="s">
        <v>183</v>
      </c>
      <c r="B253" t="s">
        <v>156</v>
      </c>
      <c r="C253">
        <v>2280.9</v>
      </c>
      <c r="D253">
        <v>1381.2</v>
      </c>
      <c r="E253">
        <v>37463.199999999997</v>
      </c>
      <c r="F253">
        <v>9.7751927224583077E-2</v>
      </c>
    </row>
    <row r="254" spans="1:6" x14ac:dyDescent="0.35">
      <c r="A254" t="s">
        <v>183</v>
      </c>
      <c r="B254" t="s">
        <v>157</v>
      </c>
      <c r="C254">
        <v>2349.1</v>
      </c>
      <c r="D254">
        <v>1516</v>
      </c>
      <c r="E254">
        <v>39500.699999999997</v>
      </c>
      <c r="F254">
        <v>9.7848898880273011E-2</v>
      </c>
    </row>
    <row r="255" spans="1:6" x14ac:dyDescent="0.35">
      <c r="A255" t="s">
        <v>183</v>
      </c>
      <c r="B255" t="s">
        <v>158</v>
      </c>
      <c r="C255">
        <v>2469.6999999999998</v>
      </c>
      <c r="D255">
        <v>1649.4</v>
      </c>
      <c r="E255">
        <v>40929</v>
      </c>
      <c r="F255">
        <v>0.1006401329130934</v>
      </c>
    </row>
    <row r="256" spans="1:6" x14ac:dyDescent="0.35">
      <c r="A256" t="s">
        <v>183</v>
      </c>
      <c r="B256" t="s">
        <v>159</v>
      </c>
      <c r="C256">
        <v>1938.5</v>
      </c>
      <c r="D256">
        <v>1696.5</v>
      </c>
      <c r="E256">
        <v>37191.1</v>
      </c>
      <c r="F256">
        <v>9.7738437421856311E-2</v>
      </c>
    </row>
    <row r="257" spans="1:6" x14ac:dyDescent="0.35">
      <c r="A257" t="s">
        <v>183</v>
      </c>
      <c r="B257" t="s">
        <v>160</v>
      </c>
      <c r="C257">
        <v>1973.2</v>
      </c>
      <c r="D257">
        <v>1754.9</v>
      </c>
      <c r="E257">
        <v>37137.599999999999</v>
      </c>
      <c r="F257">
        <v>0.1003861315755461</v>
      </c>
    </row>
    <row r="258" spans="1:6" x14ac:dyDescent="0.35">
      <c r="A258" t="s">
        <v>183</v>
      </c>
      <c r="B258" t="s">
        <v>161</v>
      </c>
      <c r="C258">
        <v>1657.4</v>
      </c>
      <c r="D258">
        <v>1803.9</v>
      </c>
      <c r="E258">
        <v>32590.799999999999</v>
      </c>
      <c r="F258">
        <v>0.1062048185377469</v>
      </c>
    </row>
    <row r="259" spans="1:6" x14ac:dyDescent="0.35">
      <c r="A259" t="s">
        <v>183</v>
      </c>
      <c r="B259" t="s">
        <v>162</v>
      </c>
      <c r="C259">
        <v>1443.2</v>
      </c>
      <c r="D259">
        <v>1851.2</v>
      </c>
      <c r="E259">
        <v>26760.9</v>
      </c>
      <c r="F259">
        <v>0.1231049777847531</v>
      </c>
    </row>
    <row r="260" spans="1:6" x14ac:dyDescent="0.35">
      <c r="A260" t="s">
        <v>183</v>
      </c>
      <c r="B260" t="s">
        <v>163</v>
      </c>
      <c r="C260">
        <v>1406.9</v>
      </c>
      <c r="D260">
        <v>1829.3</v>
      </c>
      <c r="E260">
        <v>25312.799999999999</v>
      </c>
      <c r="F260">
        <v>0.12784836130337221</v>
      </c>
    </row>
    <row r="261" spans="1:6" x14ac:dyDescent="0.35">
      <c r="A261" t="s">
        <v>183</v>
      </c>
      <c r="B261" t="s">
        <v>164</v>
      </c>
      <c r="C261">
        <v>1527.4</v>
      </c>
      <c r="D261">
        <v>1921.6</v>
      </c>
      <c r="E261">
        <v>26169.8</v>
      </c>
      <c r="F261">
        <v>0.13179313559904929</v>
      </c>
    </row>
    <row r="262" spans="1:6" x14ac:dyDescent="0.35">
      <c r="A262" t="s">
        <v>183</v>
      </c>
      <c r="B262" t="s">
        <v>165</v>
      </c>
      <c r="C262">
        <v>1685.2</v>
      </c>
      <c r="D262">
        <v>1907.8</v>
      </c>
      <c r="E262">
        <v>28082.3</v>
      </c>
      <c r="F262">
        <v>0.1279453606008055</v>
      </c>
    </row>
    <row r="263" spans="1:6" x14ac:dyDescent="0.35">
      <c r="A263" t="s">
        <v>183</v>
      </c>
      <c r="B263" t="s">
        <v>166</v>
      </c>
      <c r="C263">
        <v>1492</v>
      </c>
      <c r="D263">
        <v>1991.4</v>
      </c>
      <c r="E263">
        <v>29311.599999999999</v>
      </c>
      <c r="F263">
        <v>0.1188403226026556</v>
      </c>
    </row>
    <row r="264" spans="1:6" x14ac:dyDescent="0.35">
      <c r="A264" t="s">
        <v>183</v>
      </c>
      <c r="B264" t="s">
        <v>167</v>
      </c>
      <c r="C264">
        <v>1678.3</v>
      </c>
      <c r="D264">
        <v>2260.5</v>
      </c>
      <c r="E264">
        <v>33404</v>
      </c>
      <c r="F264">
        <v>0.11791402227278169</v>
      </c>
    </row>
    <row r="265" spans="1:6" x14ac:dyDescent="0.35">
      <c r="A265" t="s">
        <v>183</v>
      </c>
      <c r="B265" t="s">
        <v>168</v>
      </c>
      <c r="C265">
        <v>1741.4</v>
      </c>
      <c r="D265">
        <v>2578.6</v>
      </c>
      <c r="E265">
        <v>36548.6</v>
      </c>
      <c r="F265">
        <v>0.1181987818958866</v>
      </c>
    </row>
    <row r="266" spans="1:6" x14ac:dyDescent="0.35">
      <c r="A266" t="s">
        <v>183</v>
      </c>
      <c r="B266" t="s">
        <v>169</v>
      </c>
      <c r="C266">
        <v>1770.6</v>
      </c>
      <c r="D266">
        <v>2922.3</v>
      </c>
      <c r="E266">
        <v>39536.5</v>
      </c>
      <c r="F266">
        <v>0.1186979120559483</v>
      </c>
    </row>
    <row r="267" spans="1:6" x14ac:dyDescent="0.35">
      <c r="A267" t="s">
        <v>183</v>
      </c>
      <c r="B267" t="s">
        <v>170</v>
      </c>
      <c r="C267">
        <v>1773.5</v>
      </c>
      <c r="D267">
        <v>3190.1</v>
      </c>
      <c r="E267">
        <v>39193.9</v>
      </c>
      <c r="F267">
        <v>0.12664215604979351</v>
      </c>
    </row>
    <row r="268" spans="1:6" x14ac:dyDescent="0.35">
      <c r="A268" t="s">
        <v>183</v>
      </c>
      <c r="B268" t="s">
        <v>171</v>
      </c>
      <c r="C268">
        <v>2092</v>
      </c>
      <c r="D268">
        <v>3516.3</v>
      </c>
      <c r="E268">
        <v>44387.7</v>
      </c>
      <c r="F268">
        <v>0.12634806489185069</v>
      </c>
    </row>
    <row r="269" spans="1:6" x14ac:dyDescent="0.35">
      <c r="A269" t="s">
        <v>183</v>
      </c>
      <c r="B269" t="s">
        <v>172</v>
      </c>
      <c r="C269">
        <v>2211.6</v>
      </c>
      <c r="D269">
        <v>3954.4</v>
      </c>
      <c r="E269">
        <v>50189.9</v>
      </c>
      <c r="F269">
        <v>0.1228534027762558</v>
      </c>
    </row>
    <row r="270" spans="1:6" x14ac:dyDescent="0.35">
      <c r="A270" t="s">
        <v>183</v>
      </c>
      <c r="B270" t="s">
        <v>173</v>
      </c>
      <c r="C270">
        <v>2148.9</v>
      </c>
      <c r="D270">
        <v>4352.6000000000004</v>
      </c>
      <c r="E270">
        <v>55384.3</v>
      </c>
      <c r="F270">
        <v>0.1173888629088027</v>
      </c>
    </row>
    <row r="271" spans="1:6" x14ac:dyDescent="0.35">
      <c r="A271" t="s">
        <v>183</v>
      </c>
      <c r="B271" t="s">
        <v>174</v>
      </c>
      <c r="C271">
        <v>2213</v>
      </c>
      <c r="E271">
        <v>59197.5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workbookViewId="0">
      <selection activeCell="O12" sqref="O12"/>
    </sheetView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  <row r="79" spans="1:3" x14ac:dyDescent="0.35">
      <c r="A79" t="s">
        <v>181</v>
      </c>
      <c r="B79">
        <v>2015</v>
      </c>
      <c r="C79">
        <v>26</v>
      </c>
    </row>
    <row r="80" spans="1:3" x14ac:dyDescent="0.35">
      <c r="A80" t="s">
        <v>181</v>
      </c>
      <c r="B80">
        <v>2016</v>
      </c>
      <c r="C80">
        <v>23</v>
      </c>
    </row>
    <row r="81" spans="1:3" x14ac:dyDescent="0.35">
      <c r="A81" t="s">
        <v>181</v>
      </c>
      <c r="B81">
        <v>2017</v>
      </c>
      <c r="C81">
        <v>46</v>
      </c>
    </row>
    <row r="82" spans="1:3" x14ac:dyDescent="0.35">
      <c r="A82" t="s">
        <v>181</v>
      </c>
      <c r="B82">
        <v>2018</v>
      </c>
      <c r="C82">
        <v>55</v>
      </c>
    </row>
    <row r="83" spans="1:3" x14ac:dyDescent="0.35">
      <c r="A83" t="s">
        <v>181</v>
      </c>
      <c r="B83">
        <v>2019</v>
      </c>
      <c r="C83">
        <v>77</v>
      </c>
    </row>
    <row r="84" spans="1:3" x14ac:dyDescent="0.35">
      <c r="A84" t="s">
        <v>181</v>
      </c>
      <c r="B84">
        <v>2020</v>
      </c>
      <c r="C84">
        <v>72</v>
      </c>
    </row>
    <row r="85" spans="1:3" x14ac:dyDescent="0.35">
      <c r="A85" t="s">
        <v>181</v>
      </c>
      <c r="B85">
        <v>2021</v>
      </c>
      <c r="C85">
        <v>71</v>
      </c>
    </row>
    <row r="86" spans="1:3" x14ac:dyDescent="0.35">
      <c r="A86" t="s">
        <v>181</v>
      </c>
      <c r="B86">
        <v>2022</v>
      </c>
      <c r="C86">
        <v>70</v>
      </c>
    </row>
    <row r="87" spans="1:3" x14ac:dyDescent="0.35">
      <c r="A87" t="s">
        <v>181</v>
      </c>
      <c r="B87">
        <v>2023</v>
      </c>
      <c r="C87">
        <v>67</v>
      </c>
    </row>
    <row r="88" spans="1:3" x14ac:dyDescent="0.35">
      <c r="A88" t="s">
        <v>181</v>
      </c>
      <c r="B88">
        <v>2024</v>
      </c>
      <c r="C88">
        <v>129</v>
      </c>
    </row>
    <row r="89" spans="1:3" x14ac:dyDescent="0.35">
      <c r="A89" t="s">
        <v>181</v>
      </c>
      <c r="B89">
        <v>2025</v>
      </c>
      <c r="C89">
        <v>70</v>
      </c>
    </row>
    <row r="90" spans="1:3" x14ac:dyDescent="0.35">
      <c r="A90" t="s">
        <v>182</v>
      </c>
      <c r="B90">
        <v>2015</v>
      </c>
      <c r="C90">
        <v>29</v>
      </c>
    </row>
    <row r="91" spans="1:3" x14ac:dyDescent="0.35">
      <c r="A91" t="s">
        <v>182</v>
      </c>
      <c r="B91">
        <v>2016</v>
      </c>
      <c r="C91">
        <v>36</v>
      </c>
    </row>
    <row r="92" spans="1:3" x14ac:dyDescent="0.35">
      <c r="A92" t="s">
        <v>182</v>
      </c>
      <c r="B92">
        <v>2017</v>
      </c>
      <c r="C92">
        <v>55</v>
      </c>
    </row>
    <row r="93" spans="1:3" x14ac:dyDescent="0.35">
      <c r="A93" t="s">
        <v>182</v>
      </c>
      <c r="B93">
        <v>2018</v>
      </c>
      <c r="C93">
        <v>49</v>
      </c>
    </row>
    <row r="94" spans="1:3" x14ac:dyDescent="0.35">
      <c r="A94" t="s">
        <v>182</v>
      </c>
      <c r="B94">
        <v>2019</v>
      </c>
      <c r="C94">
        <v>65</v>
      </c>
    </row>
    <row r="95" spans="1:3" x14ac:dyDescent="0.35">
      <c r="A95" t="s">
        <v>182</v>
      </c>
      <c r="B95">
        <v>2020</v>
      </c>
      <c r="C95">
        <v>61</v>
      </c>
    </row>
    <row r="96" spans="1:3" x14ac:dyDescent="0.35">
      <c r="A96" t="s">
        <v>182</v>
      </c>
      <c r="B96">
        <v>2021</v>
      </c>
      <c r="C96">
        <v>86</v>
      </c>
    </row>
    <row r="97" spans="1:3" x14ac:dyDescent="0.35">
      <c r="A97" t="s">
        <v>182</v>
      </c>
      <c r="B97">
        <v>2022</v>
      </c>
      <c r="C97">
        <v>99</v>
      </c>
    </row>
    <row r="98" spans="1:3" x14ac:dyDescent="0.35">
      <c r="A98" t="s">
        <v>182</v>
      </c>
      <c r="B98">
        <v>2023</v>
      </c>
      <c r="C98">
        <v>64</v>
      </c>
    </row>
    <row r="99" spans="1:3" x14ac:dyDescent="0.35">
      <c r="A99" t="s">
        <v>182</v>
      </c>
      <c r="B99">
        <v>2024</v>
      </c>
      <c r="C99">
        <v>91</v>
      </c>
    </row>
    <row r="100" spans="1:3" x14ac:dyDescent="0.35">
      <c r="A100" t="s">
        <v>182</v>
      </c>
      <c r="B100">
        <v>2025</v>
      </c>
      <c r="C100">
        <v>89</v>
      </c>
    </row>
    <row r="101" spans="1:3" x14ac:dyDescent="0.35">
      <c r="A101" t="s">
        <v>183</v>
      </c>
      <c r="B101">
        <v>2015</v>
      </c>
      <c r="C101">
        <v>23</v>
      </c>
    </row>
    <row r="102" spans="1:3" x14ac:dyDescent="0.35">
      <c r="A102" t="s">
        <v>183</v>
      </c>
      <c r="B102">
        <v>2016</v>
      </c>
      <c r="C102">
        <v>26</v>
      </c>
    </row>
    <row r="103" spans="1:3" x14ac:dyDescent="0.35">
      <c r="A103" t="s">
        <v>183</v>
      </c>
      <c r="B103">
        <v>2017</v>
      </c>
      <c r="C103">
        <v>22</v>
      </c>
    </row>
    <row r="104" spans="1:3" x14ac:dyDescent="0.35">
      <c r="A104" t="s">
        <v>183</v>
      </c>
      <c r="B104">
        <v>2018</v>
      </c>
      <c r="C104">
        <v>40</v>
      </c>
    </row>
    <row r="105" spans="1:3" x14ac:dyDescent="0.35">
      <c r="A105" t="s">
        <v>183</v>
      </c>
      <c r="B105">
        <v>2019</v>
      </c>
      <c r="C105">
        <v>73</v>
      </c>
    </row>
    <row r="106" spans="1:3" x14ac:dyDescent="0.35">
      <c r="A106" t="s">
        <v>183</v>
      </c>
      <c r="B106">
        <v>2020</v>
      </c>
      <c r="C106">
        <v>46</v>
      </c>
    </row>
    <row r="107" spans="1:3" x14ac:dyDescent="0.35">
      <c r="A107" t="s">
        <v>183</v>
      </c>
      <c r="B107">
        <v>2021</v>
      </c>
      <c r="C107">
        <v>80</v>
      </c>
    </row>
    <row r="108" spans="1:3" x14ac:dyDescent="0.35">
      <c r="A108" t="s">
        <v>183</v>
      </c>
      <c r="B108">
        <v>2022</v>
      </c>
      <c r="C108">
        <v>84</v>
      </c>
    </row>
    <row r="109" spans="1:3" x14ac:dyDescent="0.35">
      <c r="A109" t="s">
        <v>183</v>
      </c>
      <c r="B109">
        <v>2023</v>
      </c>
      <c r="C109">
        <v>46</v>
      </c>
    </row>
    <row r="110" spans="1:3" x14ac:dyDescent="0.35">
      <c r="A110" t="s">
        <v>183</v>
      </c>
      <c r="B110">
        <v>2024</v>
      </c>
      <c r="C110">
        <v>60</v>
      </c>
    </row>
    <row r="111" spans="1:3" x14ac:dyDescent="0.35">
      <c r="A111" t="s">
        <v>183</v>
      </c>
      <c r="B111">
        <v>2025</v>
      </c>
      <c r="C111">
        <v>39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39997558519241921"/>
  </sheetPr>
  <dimension ref="A1:V269"/>
  <sheetViews>
    <sheetView workbookViewId="0">
      <selection activeCell="A16" sqref="A16"/>
    </sheetView>
  </sheetViews>
  <sheetFormatPr defaultRowHeight="14.5" x14ac:dyDescent="0.35"/>
  <cols>
    <col min="2" max="2" width="4.81640625" bestFit="1" customWidth="1"/>
  </cols>
  <sheetData>
    <row r="1" spans="1:22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127</v>
      </c>
      <c r="L1" t="s">
        <v>197</v>
      </c>
      <c r="M1" t="s">
        <v>198</v>
      </c>
      <c r="O1" t="s">
        <v>197</v>
      </c>
      <c r="V1" t="s">
        <v>198</v>
      </c>
    </row>
    <row r="2" spans="1:2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  <c r="M2">
        <f>(SUM(F2:J2)/K2)</f>
        <v>2.045100768191273E-3</v>
      </c>
    </row>
    <row r="3" spans="1:2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  <c r="M3">
        <f t="shared" ref="M3:M26" si="1">(SUM(F3:J3)/K3)</f>
        <v>1.9664095408418541E-3</v>
      </c>
    </row>
    <row r="4" spans="1:2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  <c r="M4">
        <f t="shared" si="1"/>
        <v>1.346125055138405E-3</v>
      </c>
    </row>
    <row r="5" spans="1:2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  <c r="M5">
        <f t="shared" si="1"/>
        <v>1.3053389570574744E-3</v>
      </c>
    </row>
    <row r="6" spans="1:2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  <c r="M6">
        <f t="shared" si="1"/>
        <v>1.7876614175192727E-3</v>
      </c>
    </row>
    <row r="7" spans="1:2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  <c r="M7">
        <f t="shared" si="1"/>
        <v>1.4944604918183473E-3</v>
      </c>
    </row>
    <row r="8" spans="1:2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  <c r="M8">
        <f t="shared" si="1"/>
        <v>1.6229619490547181E-3</v>
      </c>
    </row>
    <row r="9" spans="1:2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  <c r="M9">
        <f t="shared" si="1"/>
        <v>2.2844523547747224E-3</v>
      </c>
    </row>
    <row r="10" spans="1:2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  <c r="M10">
        <f t="shared" si="1"/>
        <v>1.9209244463514749E-3</v>
      </c>
    </row>
    <row r="11" spans="1:2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  <c r="M11">
        <f t="shared" si="1"/>
        <v>2.2012722725014782E-3</v>
      </c>
    </row>
    <row r="12" spans="1:2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  <c r="M12">
        <f t="shared" si="1"/>
        <v>3.4120861817458119E-3</v>
      </c>
    </row>
    <row r="13" spans="1:2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  <c r="M13">
        <f t="shared" si="1"/>
        <v>3.4301060676151032E-3</v>
      </c>
    </row>
    <row r="14" spans="1:2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  <c r="M14">
        <f t="shared" si="1"/>
        <v>2.9413274628074908E-3</v>
      </c>
    </row>
    <row r="15" spans="1:2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  <c r="M15">
        <f t="shared" si="1"/>
        <v>2.680125065045206E-3</v>
      </c>
    </row>
    <row r="16" spans="1:2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  <c r="M16">
        <f t="shared" si="1"/>
        <v>2.8586461311444029E-3</v>
      </c>
    </row>
    <row r="17" spans="1:16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  <c r="M17">
        <f t="shared" si="1"/>
        <v>3.623667777585765E-3</v>
      </c>
      <c r="O17" t="s">
        <v>189</v>
      </c>
    </row>
    <row r="18" spans="1:16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  <c r="M18">
        <f t="shared" si="1"/>
        <v>3.4384380685274275E-3</v>
      </c>
      <c r="O18" t="s">
        <v>190</v>
      </c>
    </row>
    <row r="19" spans="1:16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  <c r="M19">
        <f t="shared" si="1"/>
        <v>3.5493188716351006E-3</v>
      </c>
      <c r="O19" t="s">
        <v>191</v>
      </c>
    </row>
    <row r="20" spans="1:16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  <c r="M20">
        <f t="shared" si="1"/>
        <v>4.3076993998541029E-3</v>
      </c>
    </row>
    <row r="21" spans="1:16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  <c r="M21">
        <f t="shared" si="1"/>
        <v>4.4881103447364339E-3</v>
      </c>
      <c r="O21">
        <v>848610</v>
      </c>
      <c r="P21" t="s">
        <v>192</v>
      </c>
    </row>
    <row r="22" spans="1:16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  <c r="M22">
        <f t="shared" si="1"/>
        <v>6.6061201274963234E-3</v>
      </c>
      <c r="O22">
        <v>848620</v>
      </c>
      <c r="P22" t="s">
        <v>193</v>
      </c>
    </row>
    <row r="23" spans="1:16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  <c r="M23">
        <f t="shared" si="1"/>
        <v>7.0013277951317277E-3</v>
      </c>
      <c r="O23">
        <v>848630</v>
      </c>
      <c r="P23" t="s">
        <v>194</v>
      </c>
    </row>
    <row r="24" spans="1:16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  <c r="M24">
        <f t="shared" si="1"/>
        <v>7.0810615793588348E-3</v>
      </c>
      <c r="O24">
        <v>848640</v>
      </c>
      <c r="P24" t="s">
        <v>195</v>
      </c>
    </row>
    <row r="25" spans="1:16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  <c r="M25">
        <f t="shared" si="1"/>
        <v>8.3404848006125142E-3</v>
      </c>
      <c r="O25">
        <v>848690</v>
      </c>
      <c r="P25" t="s">
        <v>196</v>
      </c>
    </row>
    <row r="26" spans="1:16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  <c r="M26">
        <f t="shared" si="1"/>
        <v>9.4171695532752984E-3</v>
      </c>
    </row>
    <row r="29" spans="1:16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  <c r="M29">
        <f t="shared" ref="M29:M53" si="2">(SUM(F29:J29)/K29)</f>
        <v>3.446889009026672E-4</v>
      </c>
    </row>
    <row r="30" spans="1:16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  <c r="M30">
        <f t="shared" si="2"/>
        <v>3.6951786324165614E-4</v>
      </c>
    </row>
    <row r="31" spans="1:16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  <c r="M31">
        <f t="shared" si="2"/>
        <v>6.5086194460935005E-5</v>
      </c>
    </row>
    <row r="32" spans="1:16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  <c r="M32">
        <f t="shared" si="2"/>
        <v>7.5993710107964227E-5</v>
      </c>
    </row>
    <row r="33" spans="1:13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  <c r="M33">
        <f t="shared" si="2"/>
        <v>8.1106238081014558E-5</v>
      </c>
    </row>
    <row r="34" spans="1:13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  <c r="M34">
        <f t="shared" si="2"/>
        <v>7.5771065268203158E-5</v>
      </c>
    </row>
    <row r="35" spans="1:13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  <c r="M35">
        <f t="shared" si="2"/>
        <v>8.2717593297375517E-5</v>
      </c>
    </row>
    <row r="36" spans="1:13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  <c r="M36">
        <f t="shared" si="2"/>
        <v>1.5321359384108465E-4</v>
      </c>
    </row>
    <row r="37" spans="1:13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  <c r="M37">
        <f t="shared" si="2"/>
        <v>2.3608448850851569E-4</v>
      </c>
    </row>
    <row r="38" spans="1:13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  <c r="M38">
        <f t="shared" si="2"/>
        <v>1.5439623635081322E-4</v>
      </c>
    </row>
    <row r="39" spans="1:13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  <c r="M39">
        <f t="shared" si="2"/>
        <v>1.3289410927436179E-4</v>
      </c>
    </row>
    <row r="40" spans="1:13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  <c r="M40">
        <f t="shared" si="2"/>
        <v>3.8415296346892434E-4</v>
      </c>
    </row>
    <row r="41" spans="1:13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  <c r="M41">
        <f t="shared" si="2"/>
        <v>1.390264361000922E-4</v>
      </c>
    </row>
    <row r="42" spans="1:13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  <c r="M42">
        <f t="shared" si="2"/>
        <v>1.1177933014024297E-4</v>
      </c>
    </row>
    <row r="43" spans="1:13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  <c r="M43">
        <f t="shared" si="2"/>
        <v>1.2296169412331689E-4</v>
      </c>
    </row>
    <row r="44" spans="1:13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  <c r="M44">
        <f t="shared" si="2"/>
        <v>1.3452586054719433E-4</v>
      </c>
    </row>
    <row r="45" spans="1:13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  <c r="M45">
        <f t="shared" si="2"/>
        <v>6.5134675720155614E-4</v>
      </c>
    </row>
    <row r="46" spans="1:13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  <c r="M46">
        <f t="shared" si="2"/>
        <v>1.3156530388200613E-3</v>
      </c>
    </row>
    <row r="47" spans="1:13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  <c r="M47">
        <f t="shared" si="2"/>
        <v>8.7062771781917651E-4</v>
      </c>
    </row>
    <row r="48" spans="1:13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  <c r="M48">
        <f t="shared" si="2"/>
        <v>2.5023310112723586E-4</v>
      </c>
    </row>
    <row r="49" spans="1:13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  <c r="M49">
        <f t="shared" si="2"/>
        <v>1.6452545973920645E-4</v>
      </c>
    </row>
    <row r="50" spans="1:13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  <c r="M50">
        <f t="shared" si="2"/>
        <v>1.3039918529633661E-4</v>
      </c>
    </row>
    <row r="51" spans="1:13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  <c r="M51">
        <f t="shared" si="2"/>
        <v>1.0770456851502385E-4</v>
      </c>
    </row>
    <row r="52" spans="1:13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  <c r="M52">
        <f t="shared" si="2"/>
        <v>2.3784701344328562E-4</v>
      </c>
    </row>
    <row r="53" spans="1:13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  <c r="M53">
        <f t="shared" si="2"/>
        <v>2.2000665350613313E-4</v>
      </c>
    </row>
    <row r="56" spans="1:13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  <c r="M56">
        <f t="shared" ref="M56:M80" si="3">(SUM(F56:J56)/K56)</f>
        <v>1.0806743025469096E-3</v>
      </c>
    </row>
    <row r="57" spans="1:13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  <c r="M57">
        <f t="shared" si="3"/>
        <v>9.7501609589439766E-4</v>
      </c>
    </row>
    <row r="58" spans="1:13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  <c r="M58">
        <f t="shared" si="3"/>
        <v>8.6955182913955853E-4</v>
      </c>
    </row>
    <row r="59" spans="1:13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  <c r="M59">
        <f t="shared" si="3"/>
        <v>8.4843314831091173E-4</v>
      </c>
    </row>
    <row r="60" spans="1:13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  <c r="M60">
        <f t="shared" si="3"/>
        <v>1.0311744133835823E-3</v>
      </c>
    </row>
    <row r="61" spans="1:13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  <c r="M61">
        <f t="shared" si="3"/>
        <v>8.8231762232120789E-4</v>
      </c>
    </row>
    <row r="62" spans="1:13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  <c r="M62">
        <f t="shared" si="3"/>
        <v>8.9669930968260642E-4</v>
      </c>
    </row>
    <row r="63" spans="1:13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  <c r="M63">
        <f t="shared" si="3"/>
        <v>1.2211846117711901E-3</v>
      </c>
    </row>
    <row r="64" spans="1:13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  <c r="M64">
        <f t="shared" si="3"/>
        <v>1.6727971285991697E-3</v>
      </c>
    </row>
    <row r="65" spans="1:13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  <c r="M65">
        <f t="shared" si="3"/>
        <v>1.9332517319557072E-3</v>
      </c>
    </row>
    <row r="66" spans="1:13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  <c r="M66">
        <f t="shared" si="3"/>
        <v>2.907120784095568E-3</v>
      </c>
    </row>
    <row r="67" spans="1:13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  <c r="M67">
        <f t="shared" si="3"/>
        <v>3.1243580016286168E-3</v>
      </c>
    </row>
    <row r="68" spans="1:13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  <c r="M68">
        <f t="shared" si="3"/>
        <v>1.6441804628660984E-3</v>
      </c>
    </row>
    <row r="69" spans="1:13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  <c r="M69">
        <f t="shared" si="3"/>
        <v>1.40158663664389E-3</v>
      </c>
    </row>
    <row r="70" spans="1:13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  <c r="M70">
        <f t="shared" si="3"/>
        <v>1.6926862987760732E-3</v>
      </c>
    </row>
    <row r="71" spans="1:13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4">(SUM(C71:J71)/K71)</f>
        <v>5.4147439174576885E-3</v>
      </c>
      <c r="M71">
        <f t="shared" si="3"/>
        <v>1.7937605686553805E-3</v>
      </c>
    </row>
    <row r="72" spans="1:13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4"/>
        <v>5.3806800427406536E-3</v>
      </c>
      <c r="M72">
        <f t="shared" si="3"/>
        <v>1.9486828660754381E-3</v>
      </c>
    </row>
    <row r="73" spans="1:13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4"/>
        <v>6.2433576307011837E-3</v>
      </c>
      <c r="M73">
        <f t="shared" si="3"/>
        <v>2.1659822492231893E-3</v>
      </c>
    </row>
    <row r="74" spans="1:13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4"/>
        <v>6.8350081171567678E-3</v>
      </c>
      <c r="M74">
        <f t="shared" si="3"/>
        <v>2.6336204670430441E-3</v>
      </c>
    </row>
    <row r="75" spans="1:13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4"/>
        <v>7.0803682370956548E-3</v>
      </c>
      <c r="M75">
        <f t="shared" si="3"/>
        <v>2.8990262183314522E-3</v>
      </c>
    </row>
    <row r="76" spans="1:13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4"/>
        <v>7.8392311441250039E-3</v>
      </c>
      <c r="M76">
        <f t="shared" si="3"/>
        <v>3.2277880439939822E-3</v>
      </c>
    </row>
    <row r="77" spans="1:13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4"/>
        <v>7.6718061679035407E-3</v>
      </c>
      <c r="M77">
        <f t="shared" si="3"/>
        <v>3.3783884836019336E-3</v>
      </c>
    </row>
    <row r="78" spans="1:13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4"/>
        <v>7.6054945428721031E-3</v>
      </c>
      <c r="M78">
        <f t="shared" si="3"/>
        <v>3.6664658591822842E-3</v>
      </c>
    </row>
    <row r="79" spans="1:13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4"/>
        <v>8.2199832242052222E-3</v>
      </c>
      <c r="M79">
        <f t="shared" si="3"/>
        <v>4.6493517258674299E-3</v>
      </c>
    </row>
    <row r="80" spans="1:13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4"/>
        <v>9.0522441223979538E-3</v>
      </c>
      <c r="M80">
        <f t="shared" si="3"/>
        <v>5.260769765883383E-3</v>
      </c>
    </row>
    <row r="83" spans="1:13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4"/>
        <v>4.4499363456354142E-3</v>
      </c>
      <c r="M83">
        <f t="shared" ref="M83:M107" si="5">(SUM(F83:J83)/K83)</f>
        <v>6.6129708999553772E-5</v>
      </c>
    </row>
    <row r="84" spans="1:13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4"/>
        <v>4.9309051200132469E-3</v>
      </c>
      <c r="M84">
        <f t="shared" si="5"/>
        <v>7.2219457875427143E-5</v>
      </c>
    </row>
    <row r="85" spans="1:13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4"/>
        <v>4.5296454768084509E-3</v>
      </c>
      <c r="M85">
        <f t="shared" si="5"/>
        <v>8.2910240074126354E-5</v>
      </c>
    </row>
    <row r="86" spans="1:13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4"/>
        <v>5.4872390158287165E-3</v>
      </c>
      <c r="M86">
        <f t="shared" si="5"/>
        <v>2.3396020234466135E-5</v>
      </c>
    </row>
    <row r="87" spans="1:13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4"/>
        <v>4.8959262440976597E-3</v>
      </c>
      <c r="M87">
        <f t="shared" si="5"/>
        <v>2.4514396959761051E-5</v>
      </c>
    </row>
    <row r="88" spans="1:13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4"/>
        <v>3.3207861401942881E-3</v>
      </c>
      <c r="M88">
        <f t="shared" si="5"/>
        <v>3.0404159922838954E-5</v>
      </c>
    </row>
    <row r="89" spans="1:13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4"/>
        <v>3.126757928638195E-3</v>
      </c>
      <c r="M89">
        <f t="shared" si="5"/>
        <v>2.357817581643421E-5</v>
      </c>
    </row>
    <row r="90" spans="1:13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4"/>
        <v>2.0117172575407904E-3</v>
      </c>
      <c r="M90">
        <f t="shared" si="5"/>
        <v>4.1606073012162865E-5</v>
      </c>
    </row>
    <row r="91" spans="1:13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4"/>
        <v>1.5011437049617597E-3</v>
      </c>
      <c r="M91">
        <f t="shared" si="5"/>
        <v>3.6698825326868392E-5</v>
      </c>
    </row>
    <row r="92" spans="1:13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4"/>
        <v>1.3734167933158795E-3</v>
      </c>
      <c r="M92">
        <f t="shared" si="5"/>
        <v>4.1567480647694494E-5</v>
      </c>
    </row>
    <row r="93" spans="1:13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4"/>
        <v>1.0612814296687271E-3</v>
      </c>
      <c r="M93">
        <f t="shared" si="5"/>
        <v>8.9376673539361132E-5</v>
      </c>
    </row>
    <row r="94" spans="1:13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4"/>
        <v>9.9075850777640361E-4</v>
      </c>
      <c r="M94">
        <f t="shared" si="5"/>
        <v>9.0936170591950381E-5</v>
      </c>
    </row>
    <row r="95" spans="1:13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4"/>
        <v>8.5916088536536466E-4</v>
      </c>
      <c r="M95">
        <f t="shared" si="5"/>
        <v>3.5039188396436094E-5</v>
      </c>
    </row>
    <row r="96" spans="1:13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4"/>
        <v>9.4227488393005903E-4</v>
      </c>
      <c r="M96">
        <f t="shared" si="5"/>
        <v>3.9630074884481264E-5</v>
      </c>
    </row>
    <row r="97" spans="1:13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4"/>
        <v>9.2250592250354795E-4</v>
      </c>
      <c r="M97">
        <f t="shared" si="5"/>
        <v>2.5897124175693863E-5</v>
      </c>
    </row>
    <row r="98" spans="1:13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4"/>
        <v>9.2666995943365294E-4</v>
      </c>
      <c r="M98">
        <f t="shared" si="5"/>
        <v>2.4931656663182356E-5</v>
      </c>
    </row>
    <row r="99" spans="1:13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4"/>
        <v>8.8753437142114551E-4</v>
      </c>
      <c r="M99">
        <f t="shared" si="5"/>
        <v>4.1529737526718024E-5</v>
      </c>
    </row>
    <row r="100" spans="1:13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4"/>
        <v>1.0545553688851065E-3</v>
      </c>
      <c r="M100">
        <f t="shared" si="5"/>
        <v>5.4244001257849989E-5</v>
      </c>
    </row>
    <row r="101" spans="1:13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4"/>
        <v>1.0194633256850384E-3</v>
      </c>
      <c r="M101">
        <f t="shared" si="5"/>
        <v>6.6688235137249009E-5</v>
      </c>
    </row>
    <row r="102" spans="1:13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4"/>
        <v>1.0308378641124421E-3</v>
      </c>
      <c r="M102">
        <f t="shared" si="5"/>
        <v>4.1511043729436016E-5</v>
      </c>
    </row>
    <row r="103" spans="1:13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4"/>
        <v>1.0905201006530247E-3</v>
      </c>
      <c r="M103">
        <f t="shared" si="5"/>
        <v>3.5715024424512705E-5</v>
      </c>
    </row>
    <row r="104" spans="1:13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4"/>
        <v>9.5082948422036513E-4</v>
      </c>
      <c r="M104">
        <f t="shared" si="5"/>
        <v>3.5588849713039668E-5</v>
      </c>
    </row>
    <row r="105" spans="1:13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4"/>
        <v>7.4896701923423141E-4</v>
      </c>
      <c r="M105">
        <f t="shared" si="5"/>
        <v>2.8101640547262104E-5</v>
      </c>
    </row>
    <row r="106" spans="1:13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4"/>
        <v>8.320080192103427E-4</v>
      </c>
      <c r="M106">
        <f t="shared" si="5"/>
        <v>6.1850422928220791E-5</v>
      </c>
    </row>
    <row r="107" spans="1:13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4"/>
        <v>8.4521814706645191E-4</v>
      </c>
      <c r="M107">
        <f t="shared" si="5"/>
        <v>7.6828950816999885E-5</v>
      </c>
    </row>
    <row r="110" spans="1:13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4"/>
        <v>1.5769101588683061E-2</v>
      </c>
      <c r="M110">
        <f t="shared" ref="M110:M134" si="6">(SUM(F110:J110)/K110)</f>
        <v>1.4726431948728104E-4</v>
      </c>
    </row>
    <row r="111" spans="1:13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4"/>
        <v>1.3339579080489409E-2</v>
      </c>
      <c r="M111">
        <f t="shared" si="6"/>
        <v>1.5317761327479014E-4</v>
      </c>
    </row>
    <row r="112" spans="1:13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4"/>
        <v>1.0695766030768886E-2</v>
      </c>
      <c r="M112">
        <f t="shared" si="6"/>
        <v>2.6001507529375799E-4</v>
      </c>
    </row>
    <row r="113" spans="1:13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4"/>
        <v>9.2233082002119212E-3</v>
      </c>
      <c r="M113">
        <f t="shared" si="6"/>
        <v>2.5295854404660677E-4</v>
      </c>
    </row>
    <row r="114" spans="1:13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4"/>
        <v>8.324938030414732E-3</v>
      </c>
      <c r="M114">
        <f t="shared" si="6"/>
        <v>2.6432390636503338E-4</v>
      </c>
    </row>
    <row r="115" spans="1:13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4"/>
        <v>6.873056967627536E-3</v>
      </c>
      <c r="M115">
        <f t="shared" si="6"/>
        <v>2.7727949348787184E-4</v>
      </c>
    </row>
    <row r="116" spans="1:13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4"/>
        <v>6.4874178115893397E-3</v>
      </c>
      <c r="M116">
        <f t="shared" si="6"/>
        <v>2.9893502003860392E-4</v>
      </c>
    </row>
    <row r="117" spans="1:13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4"/>
        <v>4.5094944083163002E-3</v>
      </c>
      <c r="M117">
        <f t="shared" si="6"/>
        <v>3.2854658886058766E-4</v>
      </c>
    </row>
    <row r="118" spans="1:13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4"/>
        <v>4.7662496273629795E-3</v>
      </c>
      <c r="M118">
        <f t="shared" si="6"/>
        <v>2.9087492419871142E-4</v>
      </c>
    </row>
    <row r="119" spans="1:13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4"/>
        <v>4.6367173683867459E-3</v>
      </c>
      <c r="M119">
        <f t="shared" si="6"/>
        <v>2.0111537655833066E-4</v>
      </c>
    </row>
    <row r="120" spans="1:13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4"/>
        <v>4.2918301080053893E-3</v>
      </c>
      <c r="M120">
        <f t="shared" si="6"/>
        <v>2.26336620850831E-4</v>
      </c>
    </row>
    <row r="121" spans="1:13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4"/>
        <v>4.1600953365570287E-3</v>
      </c>
      <c r="M121">
        <f t="shared" si="6"/>
        <v>4.2452182355806205E-4</v>
      </c>
    </row>
    <row r="122" spans="1:13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4"/>
        <v>3.0575260075342958E-3</v>
      </c>
      <c r="M122">
        <f t="shared" si="6"/>
        <v>3.5041663504598763E-4</v>
      </c>
    </row>
    <row r="123" spans="1:13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4"/>
        <v>2.8452681531162109E-3</v>
      </c>
      <c r="M123">
        <f t="shared" si="6"/>
        <v>3.2499019170696719E-4</v>
      </c>
    </row>
    <row r="124" spans="1:13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4"/>
        <v>2.665525596819427E-3</v>
      </c>
      <c r="M124">
        <f t="shared" si="6"/>
        <v>2.8379085779524783E-4</v>
      </c>
    </row>
    <row r="125" spans="1:13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4"/>
        <v>2.8317362322561857E-3</v>
      </c>
      <c r="M125">
        <f t="shared" si="6"/>
        <v>4.3698800482094711E-4</v>
      </c>
    </row>
    <row r="126" spans="1:13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4"/>
        <v>2.7643537690768671E-3</v>
      </c>
      <c r="M126">
        <f t="shared" si="6"/>
        <v>4.0705655833723266E-4</v>
      </c>
    </row>
    <row r="127" spans="1:13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4"/>
        <v>2.9273748927723382E-3</v>
      </c>
      <c r="M127">
        <f t="shared" si="6"/>
        <v>4.6534020030369454E-4</v>
      </c>
    </row>
    <row r="128" spans="1:13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4"/>
        <v>3.1899423817828773E-3</v>
      </c>
      <c r="M128">
        <f t="shared" si="6"/>
        <v>4.6546106372824335E-4</v>
      </c>
    </row>
    <row r="129" spans="1:13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4"/>
        <v>2.7119388920044175E-3</v>
      </c>
      <c r="M129">
        <f t="shared" si="6"/>
        <v>3.6124395059219233E-4</v>
      </c>
    </row>
    <row r="130" spans="1:13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4"/>
        <v>3.0742389243511815E-3</v>
      </c>
      <c r="M130">
        <f t="shared" si="6"/>
        <v>3.8586309947449788E-4</v>
      </c>
    </row>
    <row r="131" spans="1:13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4"/>
        <v>3.2311725148076254E-3</v>
      </c>
      <c r="M131">
        <f t="shared" si="6"/>
        <v>4.3221485026797364E-4</v>
      </c>
    </row>
    <row r="132" spans="1:13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4"/>
        <v>3.2520324935252382E-3</v>
      </c>
      <c r="M132">
        <f t="shared" si="6"/>
        <v>7.348831804684841E-4</v>
      </c>
    </row>
    <row r="133" spans="1:13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4"/>
        <v>2.5946260117071037E-3</v>
      </c>
      <c r="M133">
        <f t="shared" si="6"/>
        <v>6.5346379384680011E-4</v>
      </c>
    </row>
    <row r="134" spans="1:13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4"/>
        <v>2.7502951165177488E-3</v>
      </c>
      <c r="M134">
        <f t="shared" si="6"/>
        <v>5.7882658098050899E-4</v>
      </c>
    </row>
    <row r="137" spans="1:13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4"/>
        <v>1.0266230083078115E-2</v>
      </c>
      <c r="M137">
        <f t="shared" ref="M137:M161" si="7">(SUM(F137:J137)/K137)</f>
        <v>2.1112491374499485E-4</v>
      </c>
    </row>
    <row r="138" spans="1:13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4"/>
        <v>9.4064267248073954E-3</v>
      </c>
      <c r="M138">
        <f t="shared" si="7"/>
        <v>1.9327920487341237E-4</v>
      </c>
    </row>
    <row r="139" spans="1:13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4"/>
        <v>8.0304945854945495E-3</v>
      </c>
      <c r="M139">
        <f t="shared" si="7"/>
        <v>1.6931261259904982E-4</v>
      </c>
    </row>
    <row r="140" spans="1:13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4"/>
        <v>6.4338560633505721E-3</v>
      </c>
      <c r="M140">
        <f t="shared" si="7"/>
        <v>1.8555124790162799E-4</v>
      </c>
    </row>
    <row r="141" spans="1:13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8">(SUM(C141:J141)/K141)</f>
        <v>4.7130037241950853E-3</v>
      </c>
      <c r="M141">
        <f t="shared" si="7"/>
        <v>1.6572538174204773E-4</v>
      </c>
    </row>
    <row r="142" spans="1:13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8"/>
        <v>4.304434075137792E-3</v>
      </c>
      <c r="M142">
        <f t="shared" si="7"/>
        <v>1.7575724253414049E-4</v>
      </c>
    </row>
    <row r="143" spans="1:13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8"/>
        <v>3.1662050987560047E-3</v>
      </c>
      <c r="M143">
        <f t="shared" si="7"/>
        <v>1.459718827413826E-4</v>
      </c>
    </row>
    <row r="144" spans="1:13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8"/>
        <v>2.1586470020978853E-3</v>
      </c>
      <c r="M144">
        <f t="shared" si="7"/>
        <v>3.2104131233127168E-4</v>
      </c>
    </row>
    <row r="145" spans="1:13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8"/>
        <v>1.894414753840512E-3</v>
      </c>
      <c r="M145">
        <f t="shared" si="7"/>
        <v>4.0976312788594429E-4</v>
      </c>
    </row>
    <row r="146" spans="1:13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8"/>
        <v>2.0098660900824809E-3</v>
      </c>
      <c r="M146">
        <f t="shared" si="7"/>
        <v>5.0873925760569472E-4</v>
      </c>
    </row>
    <row r="147" spans="1:13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8"/>
        <v>2.8601736968134018E-3</v>
      </c>
      <c r="M147">
        <f t="shared" si="7"/>
        <v>1.4031350321216179E-3</v>
      </c>
    </row>
    <row r="148" spans="1:13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8"/>
        <v>3.1268873181164343E-3</v>
      </c>
      <c r="M148">
        <f t="shared" si="7"/>
        <v>1.953468073068516E-3</v>
      </c>
    </row>
    <row r="149" spans="1:13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8"/>
        <v>1.2489929048752988E-3</v>
      </c>
      <c r="M149">
        <f t="shared" si="7"/>
        <v>3.5012278179706824E-4</v>
      </c>
    </row>
    <row r="150" spans="1:13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8"/>
        <v>1.2588426091907925E-3</v>
      </c>
      <c r="M150">
        <f t="shared" si="7"/>
        <v>3.0110884627837828E-4</v>
      </c>
    </row>
    <row r="151" spans="1:13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8"/>
        <v>1.1676188031476179E-3</v>
      </c>
      <c r="M151">
        <f t="shared" si="7"/>
        <v>3.222174792008529E-4</v>
      </c>
    </row>
    <row r="152" spans="1:13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8"/>
        <v>1.2064189214924918E-3</v>
      </c>
      <c r="M152">
        <f t="shared" si="7"/>
        <v>2.9337071045455569E-4</v>
      </c>
    </row>
    <row r="153" spans="1:13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8"/>
        <v>1.4504261810183822E-3</v>
      </c>
      <c r="M153">
        <f t="shared" si="7"/>
        <v>4.7823805379538706E-4</v>
      </c>
    </row>
    <row r="154" spans="1:13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8"/>
        <v>1.415613987051515E-3</v>
      </c>
      <c r="M154">
        <f t="shared" si="7"/>
        <v>3.3591327754357462E-4</v>
      </c>
    </row>
    <row r="155" spans="1:13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8"/>
        <v>1.4557354596703058E-3</v>
      </c>
      <c r="M155">
        <f t="shared" si="7"/>
        <v>3.2178914428403649E-4</v>
      </c>
    </row>
    <row r="156" spans="1:13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8"/>
        <v>1.4682068744594184E-3</v>
      </c>
      <c r="M156">
        <f t="shared" si="7"/>
        <v>2.9447728695322677E-4</v>
      </c>
    </row>
    <row r="157" spans="1:13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8"/>
        <v>1.6408659407385494E-3</v>
      </c>
      <c r="M157">
        <f t="shared" si="7"/>
        <v>3.321040206140439E-4</v>
      </c>
    </row>
    <row r="158" spans="1:13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8"/>
        <v>1.3550145653097681E-3</v>
      </c>
      <c r="M158">
        <f t="shared" si="7"/>
        <v>2.9584156588163103E-4</v>
      </c>
    </row>
    <row r="159" spans="1:13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8"/>
        <v>1.312969725716661E-3</v>
      </c>
      <c r="M159">
        <f t="shared" si="7"/>
        <v>3.0787692851715141E-4</v>
      </c>
    </row>
    <row r="160" spans="1:13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8"/>
        <v>1.2881686896721704E-3</v>
      </c>
      <c r="M160">
        <f t="shared" si="7"/>
        <v>4.7702119677565436E-4</v>
      </c>
    </row>
    <row r="161" spans="1:13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8"/>
        <v>1.1948630732060812E-3</v>
      </c>
      <c r="M161">
        <f t="shared" si="7"/>
        <v>4.6431336941973075E-4</v>
      </c>
    </row>
    <row r="164" spans="1:13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8"/>
        <v>5.4484067456146201E-2</v>
      </c>
      <c r="M164">
        <f t="shared" ref="M164:M188" si="9">(SUM(F164:J164)/K164)</f>
        <v>9.1440326620945631E-3</v>
      </c>
    </row>
    <row r="165" spans="1:13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8"/>
        <v>5.0086166094544006E-2</v>
      </c>
      <c r="M165">
        <f t="shared" si="9"/>
        <v>6.2455824901905274E-3</v>
      </c>
    </row>
    <row r="166" spans="1:13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8"/>
        <v>5.4325116632785872E-2</v>
      </c>
      <c r="M166">
        <f t="shared" si="9"/>
        <v>8.7547649927600373E-3</v>
      </c>
    </row>
    <row r="167" spans="1:13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8"/>
        <v>4.8055729510678477E-2</v>
      </c>
      <c r="M167">
        <f t="shared" si="9"/>
        <v>6.9011722539559488E-3</v>
      </c>
    </row>
    <row r="168" spans="1:13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8"/>
        <v>4.7766188320884348E-2</v>
      </c>
      <c r="M168">
        <f t="shared" si="9"/>
        <v>9.7931605879110987E-3</v>
      </c>
    </row>
    <row r="169" spans="1:13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8"/>
        <v>5.5433490860016393E-2</v>
      </c>
      <c r="M169">
        <f t="shared" si="9"/>
        <v>9.554187451529389E-3</v>
      </c>
    </row>
    <row r="170" spans="1:13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8"/>
        <v>5.7114826347569946E-2</v>
      </c>
      <c r="M170">
        <f t="shared" si="9"/>
        <v>1.2284831511283636E-2</v>
      </c>
    </row>
    <row r="171" spans="1:13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8"/>
        <v>3.9608146378004423E-2</v>
      </c>
      <c r="M171">
        <f t="shared" si="9"/>
        <v>1.2038176856600476E-2</v>
      </c>
    </row>
    <row r="172" spans="1:13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8"/>
        <v>3.0980013183286019E-2</v>
      </c>
      <c r="M172">
        <f t="shared" si="9"/>
        <v>8.5604116388531635E-3</v>
      </c>
    </row>
    <row r="173" spans="1:13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8"/>
        <v>2.9284183405477126E-2</v>
      </c>
      <c r="M173">
        <f t="shared" si="9"/>
        <v>6.2555504195234892E-3</v>
      </c>
    </row>
    <row r="174" spans="1:13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8"/>
        <v>3.4946739474163262E-2</v>
      </c>
      <c r="M174">
        <f t="shared" si="9"/>
        <v>1.4967572729629878E-2</v>
      </c>
    </row>
    <row r="175" spans="1:13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8"/>
        <v>3.5170763787982888E-2</v>
      </c>
      <c r="M175">
        <f t="shared" si="9"/>
        <v>1.7417805379954923E-2</v>
      </c>
    </row>
    <row r="176" spans="1:13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8"/>
        <v>2.7962413886549894E-2</v>
      </c>
      <c r="M176">
        <f t="shared" si="9"/>
        <v>1.1603270206154143E-2</v>
      </c>
    </row>
    <row r="177" spans="1:13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8"/>
        <v>2.9160807041343783E-2</v>
      </c>
      <c r="M177">
        <f t="shared" si="9"/>
        <v>1.2841856736220972E-2</v>
      </c>
    </row>
    <row r="178" spans="1:13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8"/>
        <v>3.2188351395378782E-2</v>
      </c>
      <c r="M178">
        <f t="shared" si="9"/>
        <v>1.4744509285559454E-2</v>
      </c>
    </row>
    <row r="179" spans="1:13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8"/>
        <v>3.2851000748855559E-2</v>
      </c>
      <c r="M179">
        <f t="shared" si="9"/>
        <v>1.5129081734836337E-2</v>
      </c>
    </row>
    <row r="180" spans="1:13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8"/>
        <v>3.3329279039429366E-2</v>
      </c>
      <c r="M180">
        <f t="shared" si="9"/>
        <v>1.5257197230735141E-2</v>
      </c>
    </row>
    <row r="181" spans="1:13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8"/>
        <v>3.1898869597727753E-2</v>
      </c>
      <c r="M181">
        <f t="shared" si="9"/>
        <v>1.9551402391854818E-2</v>
      </c>
    </row>
    <row r="182" spans="1:13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8"/>
        <v>3.6136036052098933E-2</v>
      </c>
      <c r="M182">
        <f t="shared" si="9"/>
        <v>2.3282873969912972E-2</v>
      </c>
    </row>
    <row r="183" spans="1:13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8"/>
        <v>3.7054754499917721E-2</v>
      </c>
      <c r="M183">
        <f t="shared" si="9"/>
        <v>2.5136082963002106E-2</v>
      </c>
    </row>
    <row r="184" spans="1:13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8"/>
        <v>4.2581579870975286E-2</v>
      </c>
      <c r="M184">
        <f t="shared" si="9"/>
        <v>2.869739548789638E-2</v>
      </c>
    </row>
    <row r="185" spans="1:13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8"/>
        <v>4.2462832174872046E-2</v>
      </c>
      <c r="M185">
        <f t="shared" si="9"/>
        <v>3.0854430978216066E-2</v>
      </c>
    </row>
    <row r="186" spans="1:13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8"/>
        <v>3.9912869114175485E-2</v>
      </c>
      <c r="M186">
        <f t="shared" si="9"/>
        <v>3.052292391874099E-2</v>
      </c>
    </row>
    <row r="187" spans="1:13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8"/>
        <v>4.7342708178344274E-2</v>
      </c>
      <c r="M187">
        <f t="shared" si="9"/>
        <v>3.5870143183365739E-2</v>
      </c>
    </row>
    <row r="188" spans="1:13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8"/>
        <v>5.4353019400492378E-2</v>
      </c>
      <c r="M188">
        <f t="shared" si="9"/>
        <v>3.9866431412571422E-2</v>
      </c>
    </row>
    <row r="191" spans="1:13" x14ac:dyDescent="0.35">
      <c r="A191" t="s">
        <v>181</v>
      </c>
      <c r="B191">
        <v>2000</v>
      </c>
      <c r="C191">
        <v>38.130174207240998</v>
      </c>
      <c r="D191">
        <v>10.116259796344499</v>
      </c>
      <c r="E191">
        <v>99.197207932011906</v>
      </c>
      <c r="F191">
        <v>0.48826785656996702</v>
      </c>
      <c r="G191">
        <v>2.71014487675621</v>
      </c>
      <c r="H191">
        <v>1.37376594700348</v>
      </c>
      <c r="I191">
        <v>0.64460980005879498</v>
      </c>
      <c r="J191">
        <v>2.54889217557582</v>
      </c>
      <c r="K191">
        <v>45130.9904882337</v>
      </c>
      <c r="L191">
        <f t="shared" ref="L191:L215" si="10">SUM(F191:J191)/K191</f>
        <v>1.7206980329822135E-4</v>
      </c>
      <c r="M191">
        <f>(SUM(F191:J191)/K191)</f>
        <v>1.7206980329822135E-4</v>
      </c>
    </row>
    <row r="192" spans="1:13" x14ac:dyDescent="0.35">
      <c r="A192" t="s">
        <v>181</v>
      </c>
      <c r="B192">
        <v>2001</v>
      </c>
      <c r="C192">
        <v>14.179609782714801</v>
      </c>
      <c r="D192">
        <v>18.104937457333801</v>
      </c>
      <c r="E192">
        <v>69.622769217985507</v>
      </c>
      <c r="F192">
        <v>0.50202030730750302</v>
      </c>
      <c r="G192">
        <v>0.67124153049747204</v>
      </c>
      <c r="H192">
        <v>1.4150325406420099</v>
      </c>
      <c r="I192">
        <v>0.93001345834197802</v>
      </c>
      <c r="J192">
        <v>2.4380694550686499</v>
      </c>
      <c r="K192">
        <v>43818.365904682199</v>
      </c>
      <c r="L192">
        <f t="shared" si="10"/>
        <v>1.3593335052280319E-4</v>
      </c>
      <c r="M192">
        <f t="shared" ref="M192:M215" si="11">(SUM(F192:J192)/K192)</f>
        <v>1.3593335052280319E-4</v>
      </c>
    </row>
    <row r="193" spans="1:13" x14ac:dyDescent="0.35">
      <c r="A193" t="s">
        <v>181</v>
      </c>
      <c r="B193">
        <v>2002</v>
      </c>
      <c r="C193">
        <v>17.986403138179298</v>
      </c>
      <c r="D193">
        <v>13.414273383033199</v>
      </c>
      <c r="E193">
        <v>69.974852896496301</v>
      </c>
      <c r="F193">
        <v>0.40142793014454897</v>
      </c>
      <c r="G193">
        <v>0.42250132222633502</v>
      </c>
      <c r="H193">
        <v>1.1241777121865499</v>
      </c>
      <c r="I193">
        <v>0.74060522927477201</v>
      </c>
      <c r="J193">
        <v>1.5312854548266199</v>
      </c>
      <c r="K193">
        <v>43755.070585737602</v>
      </c>
      <c r="L193">
        <f t="shared" si="10"/>
        <v>9.6445911117656286E-5</v>
      </c>
      <c r="M193">
        <f t="shared" si="11"/>
        <v>9.6445911117656286E-5</v>
      </c>
    </row>
    <row r="194" spans="1:13" x14ac:dyDescent="0.35">
      <c r="A194" t="s">
        <v>181</v>
      </c>
      <c r="B194">
        <v>2003</v>
      </c>
      <c r="C194">
        <v>20.770678591131698</v>
      </c>
      <c r="D194">
        <v>23.433952528786499</v>
      </c>
      <c r="E194">
        <v>84.874344379732605</v>
      </c>
      <c r="F194">
        <v>0.45802372359937799</v>
      </c>
      <c r="G194">
        <v>2.5639277038657E-2</v>
      </c>
      <c r="H194">
        <v>0.54543689731102696</v>
      </c>
      <c r="I194">
        <v>1.0075988468014101</v>
      </c>
      <c r="J194">
        <v>1.60966302663088</v>
      </c>
      <c r="K194">
        <v>51829.180813675499</v>
      </c>
      <c r="L194">
        <f t="shared" si="10"/>
        <v>7.0353451745454435E-5</v>
      </c>
      <c r="M194">
        <f t="shared" si="11"/>
        <v>7.0353451745454435E-5</v>
      </c>
    </row>
    <row r="195" spans="1:13" x14ac:dyDescent="0.35">
      <c r="A195" t="s">
        <v>181</v>
      </c>
      <c r="B195">
        <v>2004</v>
      </c>
      <c r="C195">
        <v>28.436801871882999</v>
      </c>
      <c r="D195">
        <v>33.946583275386097</v>
      </c>
      <c r="E195">
        <v>122.368835441953</v>
      </c>
      <c r="F195">
        <v>1.17315066933671</v>
      </c>
      <c r="G195">
        <v>4.2990169305943099E-2</v>
      </c>
      <c r="H195">
        <v>1.32918086866806</v>
      </c>
      <c r="I195">
        <v>0.83455621590311901</v>
      </c>
      <c r="J195">
        <v>2.2969471619516</v>
      </c>
      <c r="K195">
        <v>61010.5055117007</v>
      </c>
      <c r="L195">
        <f t="shared" si="10"/>
        <v>9.3046681674793222E-5</v>
      </c>
      <c r="M195">
        <f t="shared" si="11"/>
        <v>9.3046681674793222E-5</v>
      </c>
    </row>
    <row r="196" spans="1:13" x14ac:dyDescent="0.35">
      <c r="A196" t="s">
        <v>181</v>
      </c>
      <c r="B196">
        <v>2005</v>
      </c>
      <c r="C196">
        <v>42.2020971502969</v>
      </c>
      <c r="D196">
        <v>46.520895377652799</v>
      </c>
      <c r="E196">
        <v>137.83097744565401</v>
      </c>
      <c r="F196">
        <v>0.66418319817221805</v>
      </c>
      <c r="G196">
        <v>2.68746968205179E-2</v>
      </c>
      <c r="H196">
        <v>0.78531930872919298</v>
      </c>
      <c r="I196">
        <v>1.37944461498211</v>
      </c>
      <c r="J196">
        <v>1.9259110817681799</v>
      </c>
      <c r="K196">
        <v>66270.082490683897</v>
      </c>
      <c r="L196">
        <f t="shared" si="10"/>
        <v>7.2155227830664385E-5</v>
      </c>
      <c r="M196">
        <f t="shared" si="11"/>
        <v>7.2155227830664385E-5</v>
      </c>
    </row>
    <row r="197" spans="1:13" x14ac:dyDescent="0.35">
      <c r="A197" t="s">
        <v>181</v>
      </c>
      <c r="B197">
        <v>2006</v>
      </c>
      <c r="C197">
        <v>39.911264124781901</v>
      </c>
      <c r="D197">
        <v>50.021815848518301</v>
      </c>
      <c r="E197">
        <v>186.19963468722599</v>
      </c>
      <c r="F197">
        <v>0.46522884049275498</v>
      </c>
      <c r="G197">
        <v>3.8649354839481898E-2</v>
      </c>
      <c r="H197">
        <v>0.90424926402699402</v>
      </c>
      <c r="I197">
        <v>1.18247331317287</v>
      </c>
      <c r="J197">
        <v>2.5760824409396199</v>
      </c>
      <c r="K197">
        <v>78009.700235351804</v>
      </c>
      <c r="L197">
        <f t="shared" si="10"/>
        <v>6.6231291722491781E-5</v>
      </c>
      <c r="M197">
        <f t="shared" si="11"/>
        <v>6.6231291722491781E-5</v>
      </c>
    </row>
    <row r="198" spans="1:13" x14ac:dyDescent="0.35">
      <c r="A198" t="s">
        <v>181</v>
      </c>
      <c r="B198">
        <v>2007</v>
      </c>
      <c r="C198">
        <v>42.878961468849802</v>
      </c>
      <c r="D198">
        <v>35.6137255458572</v>
      </c>
      <c r="E198">
        <v>124.168847346001</v>
      </c>
      <c r="F198">
        <v>1.13642539450814</v>
      </c>
      <c r="G198">
        <v>2.9772044329820702</v>
      </c>
      <c r="H198">
        <v>1.98380713576834</v>
      </c>
      <c r="I198">
        <v>3.0550937912540599</v>
      </c>
      <c r="J198">
        <v>4.3011600452761902</v>
      </c>
      <c r="K198">
        <v>89916.179706396695</v>
      </c>
      <c r="L198">
        <f t="shared" si="10"/>
        <v>1.4962480438692057E-4</v>
      </c>
      <c r="M198">
        <f t="shared" si="11"/>
        <v>1.4962480438692057E-4</v>
      </c>
    </row>
    <row r="199" spans="1:13" x14ac:dyDescent="0.35">
      <c r="A199" t="s">
        <v>181</v>
      </c>
      <c r="B199">
        <v>2008</v>
      </c>
      <c r="C199">
        <v>50.043954765494398</v>
      </c>
      <c r="D199">
        <v>34.500910392123899</v>
      </c>
      <c r="E199">
        <v>94.949785330140998</v>
      </c>
      <c r="F199">
        <v>0.37611940455868798</v>
      </c>
      <c r="G199">
        <v>4.6215988879374104</v>
      </c>
      <c r="H199">
        <v>5.5004270138147501E-2</v>
      </c>
      <c r="I199">
        <v>0.34070447601610898</v>
      </c>
      <c r="J199">
        <v>8.6667051569388498</v>
      </c>
      <c r="K199">
        <v>97235.381769378204</v>
      </c>
      <c r="L199">
        <f t="shared" si="10"/>
        <v>1.4459893034550808E-4</v>
      </c>
      <c r="M199">
        <f t="shared" si="11"/>
        <v>1.4459893034550808E-4</v>
      </c>
    </row>
    <row r="200" spans="1:13" x14ac:dyDescent="0.35">
      <c r="A200" t="s">
        <v>181</v>
      </c>
      <c r="B200">
        <v>2009</v>
      </c>
      <c r="C200">
        <v>39.563922980450499</v>
      </c>
      <c r="D200">
        <v>31.8108043275715</v>
      </c>
      <c r="E200">
        <v>55.802780011117697</v>
      </c>
      <c r="F200">
        <v>0.108561423438857</v>
      </c>
      <c r="G200">
        <v>5.1834944151735503</v>
      </c>
      <c r="H200">
        <v>0.124956498092975</v>
      </c>
      <c r="I200">
        <v>1.8528763379439399</v>
      </c>
      <c r="J200">
        <v>1.9363233745553701</v>
      </c>
      <c r="K200">
        <v>65026.289589404601</v>
      </c>
      <c r="L200">
        <f t="shared" si="10"/>
        <v>1.4157677006231575E-4</v>
      </c>
      <c r="M200">
        <f t="shared" si="11"/>
        <v>1.4157677006231575E-4</v>
      </c>
    </row>
    <row r="201" spans="1:13" x14ac:dyDescent="0.35">
      <c r="A201" t="s">
        <v>181</v>
      </c>
      <c r="B201">
        <v>2010</v>
      </c>
      <c r="C201">
        <v>45.676025593337499</v>
      </c>
      <c r="D201">
        <v>27.797886352256299</v>
      </c>
      <c r="E201">
        <v>80.346505835161594</v>
      </c>
      <c r="F201">
        <v>0.59656438068281603</v>
      </c>
      <c r="G201">
        <v>8.5495995427655593</v>
      </c>
      <c r="H201">
        <v>0.416855856028712</v>
      </c>
      <c r="I201">
        <v>0.76307819890420903</v>
      </c>
      <c r="J201">
        <v>2.0194974015579898</v>
      </c>
      <c r="K201">
        <v>70215.190330577301</v>
      </c>
      <c r="L201">
        <f t="shared" si="10"/>
        <v>1.7582513586896921E-4</v>
      </c>
      <c r="M201">
        <f t="shared" si="11"/>
        <v>1.7582513586896921E-4</v>
      </c>
    </row>
    <row r="202" spans="1:13" x14ac:dyDescent="0.35">
      <c r="A202" t="s">
        <v>181</v>
      </c>
      <c r="B202">
        <v>2011</v>
      </c>
      <c r="C202">
        <v>50.830458391603898</v>
      </c>
      <c r="D202">
        <v>29.362426969386899</v>
      </c>
      <c r="E202">
        <v>82.873895683767998</v>
      </c>
      <c r="F202">
        <v>2.3124229966100698</v>
      </c>
      <c r="G202">
        <v>11.5959559499912</v>
      </c>
      <c r="H202">
        <v>0.43946764187563198</v>
      </c>
      <c r="I202">
        <v>0.24239852446051499</v>
      </c>
      <c r="J202">
        <v>3.1832470973778002</v>
      </c>
      <c r="K202">
        <v>80493.702532113501</v>
      </c>
      <c r="L202">
        <f t="shared" si="10"/>
        <v>2.2080599663339335E-4</v>
      </c>
      <c r="M202">
        <f t="shared" si="11"/>
        <v>2.2080599663339335E-4</v>
      </c>
    </row>
    <row r="203" spans="1:13" x14ac:dyDescent="0.35">
      <c r="A203" t="s">
        <v>181</v>
      </c>
      <c r="B203">
        <v>2012</v>
      </c>
      <c r="C203">
        <v>49.933997786130398</v>
      </c>
      <c r="D203">
        <v>34.336492700253103</v>
      </c>
      <c r="E203">
        <v>62.1173586237922</v>
      </c>
      <c r="F203">
        <v>2.9303979659333099</v>
      </c>
      <c r="G203">
        <v>12.277955779848901</v>
      </c>
      <c r="H203">
        <v>7.5768855660385999E-3</v>
      </c>
      <c r="I203">
        <v>0.25297950106663197</v>
      </c>
      <c r="J203">
        <v>2.3167093421831502</v>
      </c>
      <c r="K203">
        <v>73893.020994482402</v>
      </c>
      <c r="L203">
        <f t="shared" si="10"/>
        <v>2.4069417159065784E-4</v>
      </c>
      <c r="M203">
        <f t="shared" si="11"/>
        <v>2.4069417159065784E-4</v>
      </c>
    </row>
    <row r="204" spans="1:13" x14ac:dyDescent="0.35">
      <c r="A204" t="s">
        <v>181</v>
      </c>
      <c r="B204">
        <v>2013</v>
      </c>
      <c r="C204">
        <v>51.4413843041634</v>
      </c>
      <c r="D204">
        <v>37.504718399596001</v>
      </c>
      <c r="E204">
        <v>73.572028109079397</v>
      </c>
      <c r="F204">
        <v>1.7623187763556699E-2</v>
      </c>
      <c r="G204">
        <v>8.1909090818241701</v>
      </c>
      <c r="H204">
        <v>9.24567643538287E-8</v>
      </c>
      <c r="I204">
        <v>1.5840784222323401</v>
      </c>
      <c r="J204">
        <v>2.30093048085361</v>
      </c>
      <c r="K204">
        <v>75782.128030456501</v>
      </c>
      <c r="L204">
        <f t="shared" si="10"/>
        <v>1.5958302543668475E-4</v>
      </c>
      <c r="M204">
        <f t="shared" si="11"/>
        <v>1.5958302543668475E-4</v>
      </c>
    </row>
    <row r="205" spans="1:13" x14ac:dyDescent="0.35">
      <c r="A205" t="s">
        <v>181</v>
      </c>
      <c r="B205">
        <v>2014</v>
      </c>
      <c r="C205">
        <v>68.251303338232105</v>
      </c>
      <c r="D205">
        <v>26.090747498802202</v>
      </c>
      <c r="E205">
        <v>65.975158118469196</v>
      </c>
      <c r="F205">
        <v>3.8028593033575002E-3</v>
      </c>
      <c r="G205">
        <v>8.7400197120672303</v>
      </c>
      <c r="H205">
        <v>1.1248564832344501</v>
      </c>
      <c r="I205">
        <v>0.70043294888781304</v>
      </c>
      <c r="J205">
        <v>3.4719101422246501</v>
      </c>
      <c r="K205">
        <v>75822.403120998293</v>
      </c>
      <c r="L205">
        <f t="shared" si="10"/>
        <v>1.851830272816686E-4</v>
      </c>
      <c r="M205">
        <f t="shared" si="11"/>
        <v>1.851830272816686E-4</v>
      </c>
    </row>
    <row r="206" spans="1:13" x14ac:dyDescent="0.35">
      <c r="A206" t="s">
        <v>181</v>
      </c>
      <c r="B206">
        <v>2015</v>
      </c>
      <c r="C206">
        <v>69.897967961619997</v>
      </c>
      <c r="D206">
        <v>16.3081599075553</v>
      </c>
      <c r="E206">
        <v>50.159288848991103</v>
      </c>
      <c r="F206">
        <v>1.6996870530163199</v>
      </c>
      <c r="G206">
        <v>4.5784994718435597</v>
      </c>
      <c r="H206">
        <v>1.2992744199272901</v>
      </c>
      <c r="I206">
        <v>0.14789479381780099</v>
      </c>
      <c r="J206">
        <v>2.1243569001284901</v>
      </c>
      <c r="K206">
        <v>61717.947338393402</v>
      </c>
      <c r="L206">
        <f t="shared" si="10"/>
        <v>1.5959235625139087E-4</v>
      </c>
      <c r="M206">
        <f t="shared" si="11"/>
        <v>1.5959235625139087E-4</v>
      </c>
    </row>
    <row r="207" spans="1:13" x14ac:dyDescent="0.35">
      <c r="A207" t="s">
        <v>181</v>
      </c>
      <c r="B207">
        <v>2016</v>
      </c>
      <c r="C207">
        <v>58.764032144566102</v>
      </c>
      <c r="D207">
        <v>14.348208931494</v>
      </c>
      <c r="E207">
        <v>40.073428354973302</v>
      </c>
      <c r="F207">
        <v>0.36179332363080002</v>
      </c>
      <c r="G207">
        <v>9.9050438388755406</v>
      </c>
      <c r="H207">
        <v>1.08338887003653E-2</v>
      </c>
      <c r="I207">
        <v>2.2531746484837201</v>
      </c>
      <c r="J207">
        <v>2.2155064334858698</v>
      </c>
      <c r="K207">
        <v>60359.2986724312</v>
      </c>
      <c r="L207">
        <f t="shared" si="10"/>
        <v>2.4430953403227024E-4</v>
      </c>
      <c r="M207">
        <f t="shared" si="11"/>
        <v>2.4430953403227024E-4</v>
      </c>
    </row>
    <row r="208" spans="1:13" x14ac:dyDescent="0.35">
      <c r="A208" t="s">
        <v>181</v>
      </c>
      <c r="B208">
        <v>2017</v>
      </c>
      <c r="C208">
        <v>55.942409950435099</v>
      </c>
      <c r="D208">
        <v>21.504378990748702</v>
      </c>
      <c r="E208">
        <v>67.131010308788504</v>
      </c>
      <c r="F208">
        <v>2.2204606329261698</v>
      </c>
      <c r="G208">
        <v>10.743502269027699</v>
      </c>
      <c r="H208">
        <v>2.1048434091614001</v>
      </c>
      <c r="I208">
        <v>0.161482365039473</v>
      </c>
      <c r="J208">
        <v>2.8289101104607401</v>
      </c>
      <c r="K208">
        <v>69861.241197049996</v>
      </c>
      <c r="L208">
        <f t="shared" si="10"/>
        <v>2.5850097245878965E-4</v>
      </c>
      <c r="M208">
        <f t="shared" si="11"/>
        <v>2.5850097245878965E-4</v>
      </c>
    </row>
    <row r="209" spans="1:13" x14ac:dyDescent="0.35">
      <c r="A209" t="s">
        <v>181</v>
      </c>
      <c r="B209">
        <v>2018</v>
      </c>
      <c r="C209">
        <v>74.839333380499696</v>
      </c>
      <c r="D209">
        <v>25.803922278646599</v>
      </c>
      <c r="E209">
        <v>60.554334968997097</v>
      </c>
      <c r="F209">
        <v>6.7567006147833899</v>
      </c>
      <c r="G209">
        <v>21.156059719027201</v>
      </c>
      <c r="H209">
        <v>6.8219900180159997E-4</v>
      </c>
      <c r="I209">
        <v>3.1463091765999298</v>
      </c>
      <c r="J209">
        <v>2.2864880743243701</v>
      </c>
      <c r="K209">
        <v>77658.789698772307</v>
      </c>
      <c r="L209">
        <f t="shared" si="10"/>
        <v>4.2939427607721083E-4</v>
      </c>
      <c r="M209">
        <f t="shared" si="11"/>
        <v>4.2939427607721083E-4</v>
      </c>
    </row>
    <row r="210" spans="1:13" x14ac:dyDescent="0.35">
      <c r="A210" t="s">
        <v>181</v>
      </c>
      <c r="B210">
        <v>2019</v>
      </c>
      <c r="C210">
        <v>75.601574216731706</v>
      </c>
      <c r="D210">
        <v>19.2979791072053</v>
      </c>
      <c r="E210">
        <v>56.343653581360599</v>
      </c>
      <c r="F210">
        <v>6.7115794878169294E-2</v>
      </c>
      <c r="G210">
        <v>17.920599821944801</v>
      </c>
      <c r="H210">
        <v>1.3518954348035901</v>
      </c>
      <c r="I210">
        <v>1.55931916521035</v>
      </c>
      <c r="J210">
        <v>3.0381787991916198</v>
      </c>
      <c r="K210">
        <v>73404.038726112805</v>
      </c>
      <c r="L210">
        <f t="shared" si="10"/>
        <v>3.261007082368225E-4</v>
      </c>
      <c r="M210">
        <f t="shared" si="11"/>
        <v>3.261007082368225E-4</v>
      </c>
    </row>
    <row r="211" spans="1:13" x14ac:dyDescent="0.35">
      <c r="A211" t="s">
        <v>181</v>
      </c>
      <c r="B211">
        <v>2020</v>
      </c>
      <c r="C211">
        <v>45.138739535356002</v>
      </c>
      <c r="D211">
        <v>20.076001435363601</v>
      </c>
      <c r="E211">
        <v>40.501260548313098</v>
      </c>
      <c r="F211">
        <v>0.32877718965237301</v>
      </c>
      <c r="G211">
        <v>16.992375283243501</v>
      </c>
      <c r="H211">
        <v>3.1232044528718799E-6</v>
      </c>
      <c r="I211">
        <v>1.88565703082082</v>
      </c>
      <c r="J211">
        <v>3.3265172530059899</v>
      </c>
      <c r="K211">
        <v>66225.749384199298</v>
      </c>
      <c r="L211">
        <f t="shared" si="10"/>
        <v>3.4025028164201234E-4</v>
      </c>
      <c r="M211">
        <f t="shared" si="11"/>
        <v>3.4025028164201234E-4</v>
      </c>
    </row>
    <row r="212" spans="1:13" x14ac:dyDescent="0.35">
      <c r="A212" t="s">
        <v>181</v>
      </c>
      <c r="B212">
        <v>2021</v>
      </c>
      <c r="C212">
        <v>61.989059802874699</v>
      </c>
      <c r="D212">
        <v>30.9189485536562</v>
      </c>
      <c r="E212">
        <v>81.708930428214302</v>
      </c>
      <c r="F212">
        <v>0.23261387681155901</v>
      </c>
      <c r="G212">
        <v>30.523939270939199</v>
      </c>
      <c r="H212">
        <v>2.6481292430196399</v>
      </c>
      <c r="I212">
        <v>2.1983708254299201</v>
      </c>
      <c r="J212">
        <v>6.62810945308832</v>
      </c>
      <c r="K212">
        <v>82688.611194742407</v>
      </c>
      <c r="L212">
        <f t="shared" si="10"/>
        <v>5.1072526263415852E-4</v>
      </c>
      <c r="M212">
        <f t="shared" si="11"/>
        <v>5.1072526263415852E-4</v>
      </c>
    </row>
    <row r="213" spans="1:13" x14ac:dyDescent="0.35">
      <c r="A213" t="s">
        <v>181</v>
      </c>
      <c r="B213">
        <v>2022</v>
      </c>
      <c r="C213">
        <v>58.526695313762197</v>
      </c>
      <c r="D213">
        <v>24.6606581595967</v>
      </c>
      <c r="E213">
        <v>46.071774265169097</v>
      </c>
      <c r="F213">
        <v>0.21945221662794301</v>
      </c>
      <c r="G213">
        <v>34.232135449901101</v>
      </c>
      <c r="H213">
        <v>3.8998893389136E-3</v>
      </c>
      <c r="I213">
        <v>3.3187535944979998</v>
      </c>
      <c r="J213">
        <v>5.2401517900686301</v>
      </c>
      <c r="K213">
        <v>89554.896055716701</v>
      </c>
      <c r="L213">
        <f t="shared" si="10"/>
        <v>4.8031313568465444E-4</v>
      </c>
      <c r="M213">
        <f t="shared" si="11"/>
        <v>4.8031313568465444E-4</v>
      </c>
    </row>
    <row r="214" spans="1:13" x14ac:dyDescent="0.35">
      <c r="A214" t="s">
        <v>181</v>
      </c>
      <c r="B214">
        <v>2023</v>
      </c>
      <c r="C214">
        <v>54.115766414844401</v>
      </c>
      <c r="D214">
        <v>24.4788766443973</v>
      </c>
      <c r="E214">
        <v>58.285116773873199</v>
      </c>
      <c r="F214">
        <v>7.8617951720837702</v>
      </c>
      <c r="G214">
        <v>54.163224145208197</v>
      </c>
      <c r="H214">
        <v>1.80032860428771</v>
      </c>
      <c r="I214">
        <v>1.74135453711483</v>
      </c>
      <c r="J214">
        <v>6.8159142917287801</v>
      </c>
      <c r="K214">
        <v>83593.647797234502</v>
      </c>
      <c r="L214">
        <f t="shared" si="10"/>
        <v>8.6588656743387014E-4</v>
      </c>
      <c r="M214">
        <f t="shared" si="11"/>
        <v>8.6588656743387014E-4</v>
      </c>
    </row>
    <row r="215" spans="1:13" x14ac:dyDescent="0.35">
      <c r="A215" t="s">
        <v>181</v>
      </c>
      <c r="B215">
        <v>2024</v>
      </c>
      <c r="C215">
        <v>48.6405990229091</v>
      </c>
      <c r="D215">
        <v>28.318788903405199</v>
      </c>
      <c r="E215">
        <v>41.061112166018098</v>
      </c>
      <c r="F215">
        <v>1.5377368843922001E-2</v>
      </c>
      <c r="G215">
        <v>47.793929688595298</v>
      </c>
      <c r="H215">
        <v>3.1139830089450702</v>
      </c>
      <c r="I215">
        <v>10.3085808638575</v>
      </c>
      <c r="J215">
        <v>15.809846507951701</v>
      </c>
      <c r="K215">
        <v>78388.266762617495</v>
      </c>
      <c r="L215">
        <f t="shared" si="10"/>
        <v>9.8282205513611177E-4</v>
      </c>
      <c r="M215">
        <f t="shared" si="11"/>
        <v>9.8282205513611177E-4</v>
      </c>
    </row>
    <row r="218" spans="1:13" x14ac:dyDescent="0.35">
      <c r="A218" t="s">
        <v>182</v>
      </c>
      <c r="B218">
        <v>2000</v>
      </c>
      <c r="C218">
        <v>1723.59530367866</v>
      </c>
      <c r="D218">
        <v>515.18356633170004</v>
      </c>
      <c r="E218">
        <v>6220.67494191278</v>
      </c>
      <c r="F218">
        <v>0.61158579190142404</v>
      </c>
      <c r="G218">
        <v>6.8873073687440396</v>
      </c>
      <c r="H218">
        <v>3.2855480417558501E-2</v>
      </c>
      <c r="I218">
        <v>1.1299131514998799</v>
      </c>
      <c r="J218">
        <v>2.2090963148617999</v>
      </c>
      <c r="K218">
        <v>78571.770737899904</v>
      </c>
      <c r="L218">
        <f t="shared" ref="L218:L242" si="12">SUM(F218:J218)/K218</f>
        <v>1.3835450067286163E-4</v>
      </c>
      <c r="M218">
        <f>(SUM(F218:J218)/K218)</f>
        <v>1.3835450067286163E-4</v>
      </c>
    </row>
    <row r="219" spans="1:13" x14ac:dyDescent="0.35">
      <c r="A219" t="s">
        <v>182</v>
      </c>
      <c r="B219">
        <v>2001</v>
      </c>
      <c r="C219">
        <v>1499.3517472838801</v>
      </c>
      <c r="D219">
        <v>452.731364676645</v>
      </c>
      <c r="E219">
        <v>6184.15416116289</v>
      </c>
      <c r="F219">
        <v>0.19952140242691699</v>
      </c>
      <c r="G219">
        <v>0.77667788499979395</v>
      </c>
      <c r="H219">
        <v>2.3658533751108799E-2</v>
      </c>
      <c r="I219">
        <v>4.19479402906006</v>
      </c>
      <c r="J219">
        <v>1.4384357838934001</v>
      </c>
      <c r="K219">
        <v>83395.921181904996</v>
      </c>
      <c r="L219">
        <f t="shared" si="12"/>
        <v>7.9537314776618922E-5</v>
      </c>
      <c r="M219">
        <f t="shared" ref="M219:M242" si="13">(SUM(F219:J219)/K219)</f>
        <v>7.9537314776618922E-5</v>
      </c>
    </row>
    <row r="220" spans="1:13" x14ac:dyDescent="0.35">
      <c r="A220" t="s">
        <v>182</v>
      </c>
      <c r="B220">
        <v>2002</v>
      </c>
      <c r="C220">
        <v>1487.49711825126</v>
      </c>
      <c r="D220">
        <v>599.74538730432403</v>
      </c>
      <c r="E220">
        <v>5318.7488590304702</v>
      </c>
      <c r="F220">
        <v>0.46323632908915502</v>
      </c>
      <c r="G220">
        <v>6.0528628593593599E-2</v>
      </c>
      <c r="H220">
        <v>6.1935270992502102E-2</v>
      </c>
      <c r="I220">
        <v>4.4010012672340197</v>
      </c>
      <c r="J220">
        <v>18.986083800955601</v>
      </c>
      <c r="K220">
        <v>95644.480417543702</v>
      </c>
      <c r="L220">
        <f t="shared" si="12"/>
        <v>2.5064473341493144E-4</v>
      </c>
      <c r="M220">
        <f t="shared" si="13"/>
        <v>2.5064473341493144E-4</v>
      </c>
    </row>
    <row r="221" spans="1:13" x14ac:dyDescent="0.35">
      <c r="A221" t="s">
        <v>182</v>
      </c>
      <c r="B221">
        <v>2003</v>
      </c>
      <c r="C221">
        <v>1830.14137475149</v>
      </c>
      <c r="D221">
        <v>584.02427732409501</v>
      </c>
      <c r="E221">
        <v>5538.8065520308201</v>
      </c>
      <c r="F221">
        <v>0.39566749443540999</v>
      </c>
      <c r="G221">
        <v>0.90736210639289105</v>
      </c>
      <c r="H221">
        <v>2.5220073816607302E-2</v>
      </c>
      <c r="I221">
        <v>0.62771451483386598</v>
      </c>
      <c r="J221">
        <v>17.269236880785499</v>
      </c>
      <c r="K221">
        <v>102041.727612549</v>
      </c>
      <c r="L221">
        <f t="shared" si="12"/>
        <v>1.8840528791576412E-4</v>
      </c>
      <c r="M221">
        <f t="shared" si="13"/>
        <v>1.8840528791576412E-4</v>
      </c>
    </row>
    <row r="222" spans="1:13" x14ac:dyDescent="0.35">
      <c r="A222" t="s">
        <v>182</v>
      </c>
      <c r="B222">
        <v>2004</v>
      </c>
      <c r="C222">
        <v>3051.4426294476498</v>
      </c>
      <c r="D222">
        <v>396.48388677152798</v>
      </c>
      <c r="E222">
        <v>5148.4851077909098</v>
      </c>
      <c r="F222">
        <v>6.7051026885160403E-2</v>
      </c>
      <c r="G222">
        <v>0.10951943876699199</v>
      </c>
      <c r="H222">
        <v>1.0246988709239201E-2</v>
      </c>
      <c r="I222">
        <v>1.2296016470056801</v>
      </c>
      <c r="J222">
        <v>21.498030812470201</v>
      </c>
      <c r="K222">
        <v>119539.133430357</v>
      </c>
      <c r="L222">
        <f t="shared" si="12"/>
        <v>1.9168994501024333E-4</v>
      </c>
      <c r="M222">
        <f t="shared" si="13"/>
        <v>1.9168994501024333E-4</v>
      </c>
    </row>
    <row r="223" spans="1:13" x14ac:dyDescent="0.35">
      <c r="A223" t="s">
        <v>182</v>
      </c>
      <c r="B223">
        <v>2005</v>
      </c>
      <c r="C223">
        <v>5408.5989392860902</v>
      </c>
      <c r="D223">
        <v>500.48115423604003</v>
      </c>
      <c r="E223">
        <v>4125.5321096644402</v>
      </c>
      <c r="F223">
        <v>0.17222732931184701</v>
      </c>
      <c r="G223">
        <v>2.0301180443487499</v>
      </c>
      <c r="H223">
        <v>4.7785243134043E-3</v>
      </c>
      <c r="I223">
        <v>1.11462165363272</v>
      </c>
      <c r="J223">
        <v>17.2102798801387</v>
      </c>
      <c r="K223">
        <v>126930.61377906</v>
      </c>
      <c r="L223">
        <f t="shared" si="12"/>
        <v>1.6175786770781871E-4</v>
      </c>
      <c r="M223">
        <f t="shared" si="13"/>
        <v>1.6175786770781871E-4</v>
      </c>
    </row>
    <row r="224" spans="1:13" x14ac:dyDescent="0.35">
      <c r="A224" t="s">
        <v>182</v>
      </c>
      <c r="B224">
        <v>2006</v>
      </c>
      <c r="C224">
        <v>6424.8028963166598</v>
      </c>
      <c r="D224">
        <v>692.403762848621</v>
      </c>
      <c r="E224">
        <v>4531.3628499382303</v>
      </c>
      <c r="F224">
        <v>0.229263181242846</v>
      </c>
      <c r="G224">
        <v>0.30131597711539898</v>
      </c>
      <c r="H224">
        <v>1.82272103684352E-2</v>
      </c>
      <c r="I224">
        <v>0.93162651582500999</v>
      </c>
      <c r="J224">
        <v>16.7937162103246</v>
      </c>
      <c r="K224">
        <v>130160.90436419399</v>
      </c>
      <c r="L224">
        <f t="shared" si="12"/>
        <v>1.4039660514146929E-4</v>
      </c>
      <c r="M224">
        <f t="shared" si="13"/>
        <v>1.4039660514146929E-4</v>
      </c>
    </row>
    <row r="225" spans="1:13" x14ac:dyDescent="0.35">
      <c r="A225" t="s">
        <v>182</v>
      </c>
      <c r="B225">
        <v>2007</v>
      </c>
      <c r="C225">
        <v>5994.3517594654004</v>
      </c>
      <c r="D225">
        <v>683.39244778858097</v>
      </c>
      <c r="E225">
        <v>3176.1957805403999</v>
      </c>
      <c r="F225">
        <v>0.80519478534328504</v>
      </c>
      <c r="G225">
        <v>11.771213819940099</v>
      </c>
      <c r="H225">
        <v>1.320945739898E-4</v>
      </c>
      <c r="I225">
        <v>1.02401100144789</v>
      </c>
      <c r="J225">
        <v>25.885994760839399</v>
      </c>
      <c r="K225">
        <v>145911.98713261599</v>
      </c>
      <c r="L225">
        <f t="shared" si="12"/>
        <v>2.7061893431864695E-4</v>
      </c>
      <c r="M225">
        <f t="shared" si="13"/>
        <v>2.7061893431864695E-4</v>
      </c>
    </row>
    <row r="226" spans="1:13" x14ac:dyDescent="0.35">
      <c r="A226" t="s">
        <v>182</v>
      </c>
      <c r="B226">
        <v>2008</v>
      </c>
      <c r="C226">
        <v>4839.7345251283996</v>
      </c>
      <c r="D226">
        <v>606.20636014785396</v>
      </c>
      <c r="E226">
        <v>2675.2538480979701</v>
      </c>
      <c r="F226">
        <v>1.41848663711336</v>
      </c>
      <c r="G226">
        <v>24.4169117692913</v>
      </c>
      <c r="H226">
        <v>8.5629006102515004E-3</v>
      </c>
      <c r="I226">
        <v>1.9145249204778101</v>
      </c>
      <c r="J226">
        <v>12.070331310392101</v>
      </c>
      <c r="K226">
        <v>147905.234376212</v>
      </c>
      <c r="L226">
        <f t="shared" si="12"/>
        <v>2.6928605810242102E-4</v>
      </c>
      <c r="M226">
        <f t="shared" si="13"/>
        <v>2.6928605810242102E-4</v>
      </c>
    </row>
    <row r="227" spans="1:13" x14ac:dyDescent="0.35">
      <c r="A227" t="s">
        <v>182</v>
      </c>
      <c r="B227">
        <v>2009</v>
      </c>
      <c r="C227">
        <v>2018.7334376649901</v>
      </c>
      <c r="D227">
        <v>453.79575837818197</v>
      </c>
      <c r="E227">
        <v>1734.6557951363</v>
      </c>
      <c r="F227">
        <v>0.200736926966123</v>
      </c>
      <c r="G227">
        <v>10.2321539415545</v>
      </c>
      <c r="H227">
        <v>3.3862464744337998E-3</v>
      </c>
      <c r="I227">
        <v>1.32236939698175</v>
      </c>
      <c r="J227">
        <v>8.6203829826669693</v>
      </c>
      <c r="K227">
        <v>134670.46187532699</v>
      </c>
      <c r="L227">
        <f t="shared" si="12"/>
        <v>1.5132516225800088E-4</v>
      </c>
      <c r="M227">
        <f t="shared" si="13"/>
        <v>1.5132516225800088E-4</v>
      </c>
    </row>
    <row r="228" spans="1:13" x14ac:dyDescent="0.35">
      <c r="A228" t="s">
        <v>182</v>
      </c>
      <c r="B228">
        <v>2010</v>
      </c>
      <c r="C228">
        <v>1554.79799543645</v>
      </c>
      <c r="D228">
        <v>377.28878703517802</v>
      </c>
      <c r="E228">
        <v>1166.4518831430601</v>
      </c>
      <c r="F228">
        <v>0.179350916581062</v>
      </c>
      <c r="G228">
        <v>2.27481755765114</v>
      </c>
      <c r="H228">
        <v>3.5507606416921998E-3</v>
      </c>
      <c r="I228">
        <v>2.5946926827687702</v>
      </c>
      <c r="J228">
        <v>10.911026972274</v>
      </c>
      <c r="K228">
        <v>131874.63498701001</v>
      </c>
      <c r="L228">
        <f t="shared" si="12"/>
        <v>1.210501086239147E-4</v>
      </c>
      <c r="M228">
        <f t="shared" si="13"/>
        <v>1.210501086239147E-4</v>
      </c>
    </row>
    <row r="229" spans="1:13" x14ac:dyDescent="0.35">
      <c r="A229" t="s">
        <v>182</v>
      </c>
      <c r="B229">
        <v>2011</v>
      </c>
      <c r="C229">
        <v>826.83974547634602</v>
      </c>
      <c r="D229">
        <v>403.15642486432898</v>
      </c>
      <c r="E229">
        <v>977.21730775081403</v>
      </c>
      <c r="F229">
        <v>3.96579531458694</v>
      </c>
      <c r="G229">
        <v>3.20254193888112</v>
      </c>
      <c r="H229">
        <v>8.9403053936590001E-4</v>
      </c>
      <c r="I229">
        <v>0.80439882304815202</v>
      </c>
      <c r="J229">
        <v>13.862342894595299</v>
      </c>
      <c r="K229">
        <v>145442.96842215399</v>
      </c>
      <c r="L229">
        <f t="shared" si="12"/>
        <v>1.5013426388734791E-4</v>
      </c>
      <c r="M229">
        <f t="shared" si="13"/>
        <v>1.5013426388734791E-4</v>
      </c>
    </row>
    <row r="230" spans="1:13" x14ac:dyDescent="0.35">
      <c r="A230" t="s">
        <v>182</v>
      </c>
      <c r="B230">
        <v>2012</v>
      </c>
      <c r="C230">
        <v>463.22659808159102</v>
      </c>
      <c r="D230">
        <v>332.64697376047098</v>
      </c>
      <c r="E230">
        <v>787.84631481230997</v>
      </c>
      <c r="F230">
        <v>0.183089212002471</v>
      </c>
      <c r="G230">
        <v>11.4405972620187</v>
      </c>
      <c r="H230">
        <v>2.1354302910262499E-2</v>
      </c>
      <c r="I230">
        <v>1.0414402035689401</v>
      </c>
      <c r="J230">
        <v>10.6403982751072</v>
      </c>
      <c r="K230">
        <v>128990.76379375999</v>
      </c>
      <c r="L230">
        <f t="shared" si="12"/>
        <v>1.8084146933887698E-4</v>
      </c>
      <c r="M230">
        <f t="shared" si="13"/>
        <v>1.8084146933887698E-4</v>
      </c>
    </row>
    <row r="231" spans="1:13" x14ac:dyDescent="0.35">
      <c r="A231" t="s">
        <v>182</v>
      </c>
      <c r="B231">
        <v>2013</v>
      </c>
      <c r="C231">
        <v>588.46730344736</v>
      </c>
      <c r="D231">
        <v>329.99646139123797</v>
      </c>
      <c r="E231">
        <v>917.25687225769695</v>
      </c>
      <c r="F231">
        <v>0.79988052139280896</v>
      </c>
      <c r="G231">
        <v>16.257469992982401</v>
      </c>
      <c r="H231">
        <v>2.8830627720513001E-3</v>
      </c>
      <c r="I231">
        <v>1.22366353175554</v>
      </c>
      <c r="J231">
        <v>16.951669363620699</v>
      </c>
      <c r="K231">
        <v>128507.89373315001</v>
      </c>
      <c r="L231">
        <f t="shared" si="12"/>
        <v>2.7418989953793089E-4</v>
      </c>
      <c r="M231">
        <f t="shared" si="13"/>
        <v>2.7418989953793089E-4</v>
      </c>
    </row>
    <row r="232" spans="1:13" x14ac:dyDescent="0.35">
      <c r="A232" t="s">
        <v>182</v>
      </c>
      <c r="B232">
        <v>2014</v>
      </c>
      <c r="C232">
        <v>720.29405946999702</v>
      </c>
      <c r="D232">
        <v>197.004674395953</v>
      </c>
      <c r="E232">
        <v>811.52614985854098</v>
      </c>
      <c r="F232">
        <v>1.6167065753996499</v>
      </c>
      <c r="G232">
        <v>21.530980040651301</v>
      </c>
      <c r="H232">
        <v>0.109915170226614</v>
      </c>
      <c r="I232">
        <v>1.2567389173311501</v>
      </c>
      <c r="J232">
        <v>30.066303547424098</v>
      </c>
      <c r="K232">
        <v>129611.060593467</v>
      </c>
      <c r="L232">
        <f t="shared" si="12"/>
        <v>4.2111100704768042E-4</v>
      </c>
      <c r="M232">
        <f t="shared" si="13"/>
        <v>4.2111100704768042E-4</v>
      </c>
    </row>
    <row r="233" spans="1:13" x14ac:dyDescent="0.35">
      <c r="A233" t="s">
        <v>182</v>
      </c>
      <c r="B233">
        <v>2015</v>
      </c>
      <c r="C233">
        <v>731.24774610639099</v>
      </c>
      <c r="D233">
        <v>174.329871402122</v>
      </c>
      <c r="E233">
        <v>724.98222896743403</v>
      </c>
      <c r="F233">
        <v>0.91742050014968501</v>
      </c>
      <c r="G233">
        <v>10.187578351731499</v>
      </c>
      <c r="H233">
        <v>4.2720158062466004E-3</v>
      </c>
      <c r="I233">
        <v>1.10346365200901</v>
      </c>
      <c r="J233">
        <v>36.900757663642501</v>
      </c>
      <c r="K233">
        <v>133979.201748861</v>
      </c>
      <c r="L233">
        <f t="shared" si="12"/>
        <v>3.6657549486972122E-4</v>
      </c>
      <c r="M233">
        <f t="shared" si="13"/>
        <v>3.6657549486972122E-4</v>
      </c>
    </row>
    <row r="234" spans="1:13" x14ac:dyDescent="0.35">
      <c r="A234" t="s">
        <v>182</v>
      </c>
      <c r="B234">
        <v>2016</v>
      </c>
      <c r="C234">
        <v>683.19991160937298</v>
      </c>
      <c r="D234">
        <v>139.64931400661899</v>
      </c>
      <c r="E234">
        <v>638.83391980625402</v>
      </c>
      <c r="F234">
        <v>0.74000119971357803</v>
      </c>
      <c r="G234">
        <v>9.2140465080382796</v>
      </c>
      <c r="H234">
        <v>6.7627850178069104E-2</v>
      </c>
      <c r="I234">
        <v>1.6581175612063701</v>
      </c>
      <c r="J234">
        <v>39.411677261174503</v>
      </c>
      <c r="K234">
        <v>145492.995191461</v>
      </c>
      <c r="L234">
        <f t="shared" si="12"/>
        <v>3.5116103227565801E-4</v>
      </c>
      <c r="M234">
        <f t="shared" si="13"/>
        <v>3.5116103227565801E-4</v>
      </c>
    </row>
    <row r="235" spans="1:13" x14ac:dyDescent="0.35">
      <c r="A235" t="s">
        <v>182</v>
      </c>
      <c r="B235">
        <v>2017</v>
      </c>
      <c r="C235">
        <v>722.84547681611605</v>
      </c>
      <c r="D235">
        <v>120.42061984748899</v>
      </c>
      <c r="E235">
        <v>653.74391663326696</v>
      </c>
      <c r="F235">
        <v>0.59977407989035603</v>
      </c>
      <c r="G235">
        <v>5.9515907453116901</v>
      </c>
      <c r="H235">
        <v>4.2494541163635002E-3</v>
      </c>
      <c r="I235">
        <v>1.7668757497682701</v>
      </c>
      <c r="J235">
        <v>40.720820203555597</v>
      </c>
      <c r="K235">
        <v>156153.45688362501</v>
      </c>
      <c r="L235">
        <f t="shared" si="12"/>
        <v>3.1407124255463851E-4</v>
      </c>
      <c r="M235">
        <f t="shared" si="13"/>
        <v>3.1407124255463851E-4</v>
      </c>
    </row>
    <row r="236" spans="1:13" x14ac:dyDescent="0.35">
      <c r="A236" t="s">
        <v>182</v>
      </c>
      <c r="B236">
        <v>2018</v>
      </c>
      <c r="C236">
        <v>811.094022813891</v>
      </c>
      <c r="D236">
        <v>126.42660375032</v>
      </c>
      <c r="E236">
        <v>947.61178195482501</v>
      </c>
      <c r="F236">
        <v>0.11392256578957601</v>
      </c>
      <c r="G236">
        <v>10.401453099756001</v>
      </c>
      <c r="H236">
        <v>4.6514590583025999E-3</v>
      </c>
      <c r="I236">
        <v>1.8451654073136801</v>
      </c>
      <c r="J236">
        <v>58.654605113808202</v>
      </c>
      <c r="K236">
        <v>183601.09993190799</v>
      </c>
      <c r="L236">
        <f t="shared" si="12"/>
        <v>3.8681575258571341E-4</v>
      </c>
      <c r="M236">
        <f t="shared" si="13"/>
        <v>3.8681575258571341E-4</v>
      </c>
    </row>
    <row r="237" spans="1:13" x14ac:dyDescent="0.35">
      <c r="A237" t="s">
        <v>182</v>
      </c>
      <c r="B237">
        <v>2019</v>
      </c>
      <c r="C237">
        <v>1026.01826251698</v>
      </c>
      <c r="D237">
        <v>78.550075064385496</v>
      </c>
      <c r="E237">
        <v>890.29641812457999</v>
      </c>
      <c r="F237">
        <v>1.8536045459743002E-2</v>
      </c>
      <c r="G237">
        <v>13.2161238634196</v>
      </c>
      <c r="I237">
        <v>1.6276561755971199</v>
      </c>
      <c r="J237">
        <v>68.374047669474706</v>
      </c>
      <c r="K237">
        <v>184337.38284126201</v>
      </c>
      <c r="L237">
        <f t="shared" si="12"/>
        <v>4.5154359073020086E-4</v>
      </c>
      <c r="M237">
        <f t="shared" si="13"/>
        <v>4.5154359073020086E-4</v>
      </c>
    </row>
    <row r="238" spans="1:13" x14ac:dyDescent="0.35">
      <c r="A238" t="s">
        <v>182</v>
      </c>
      <c r="B238">
        <v>2020</v>
      </c>
      <c r="C238">
        <v>972.611045082499</v>
      </c>
      <c r="D238">
        <v>126.526052675138</v>
      </c>
      <c r="E238">
        <v>686.54992740924604</v>
      </c>
      <c r="F238">
        <v>3.01599920443315E-2</v>
      </c>
      <c r="G238">
        <v>14.3532188616742</v>
      </c>
      <c r="I238">
        <v>2.2744313477462899</v>
      </c>
      <c r="J238">
        <v>58.517565133794299</v>
      </c>
      <c r="K238">
        <v>201656.27187216599</v>
      </c>
      <c r="L238">
        <f t="shared" si="12"/>
        <v>3.7278967144108621E-4</v>
      </c>
      <c r="M238">
        <f t="shared" si="13"/>
        <v>3.7278967144108621E-4</v>
      </c>
    </row>
    <row r="239" spans="1:13" x14ac:dyDescent="0.35">
      <c r="A239" t="s">
        <v>182</v>
      </c>
      <c r="B239">
        <v>2021</v>
      </c>
      <c r="C239">
        <v>697.60578943586995</v>
      </c>
      <c r="D239">
        <v>92.252321388461098</v>
      </c>
      <c r="E239">
        <v>744.60050163560902</v>
      </c>
      <c r="F239">
        <v>0.106695485378342</v>
      </c>
      <c r="G239">
        <v>15.128069855351701</v>
      </c>
      <c r="H239">
        <v>7.0369257901106E-2</v>
      </c>
      <c r="I239">
        <v>2.0736807475969101</v>
      </c>
      <c r="J239">
        <v>90.099762386290706</v>
      </c>
      <c r="K239">
        <v>220490.27094050599</v>
      </c>
      <c r="L239">
        <f t="shared" si="12"/>
        <v>4.8745269926907248E-4</v>
      </c>
      <c r="M239">
        <f t="shared" si="13"/>
        <v>4.8745269926907248E-4</v>
      </c>
    </row>
    <row r="240" spans="1:13" x14ac:dyDescent="0.35">
      <c r="A240" t="s">
        <v>182</v>
      </c>
      <c r="B240">
        <v>2022</v>
      </c>
      <c r="C240">
        <v>832.40404431273203</v>
      </c>
      <c r="D240">
        <v>79.618784467031404</v>
      </c>
      <c r="E240">
        <v>709.59884509095798</v>
      </c>
      <c r="F240">
        <v>0.47385994894554101</v>
      </c>
      <c r="G240">
        <v>19.307261803486501</v>
      </c>
      <c r="H240">
        <v>2.0362720030195199E-5</v>
      </c>
      <c r="I240">
        <v>2.37509750796705</v>
      </c>
      <c r="J240">
        <v>87.104323092189702</v>
      </c>
      <c r="K240">
        <v>239981.14609062899</v>
      </c>
      <c r="L240">
        <f t="shared" si="12"/>
        <v>4.5528811115039231E-4</v>
      </c>
      <c r="M240">
        <f t="shared" si="13"/>
        <v>4.5528811115039231E-4</v>
      </c>
    </row>
    <row r="241" spans="1:13" x14ac:dyDescent="0.35">
      <c r="A241" t="s">
        <v>182</v>
      </c>
      <c r="B241">
        <v>2023</v>
      </c>
      <c r="C241">
        <v>742.327202004985</v>
      </c>
      <c r="D241">
        <v>65.239348386426897</v>
      </c>
      <c r="E241">
        <v>697.47771976875401</v>
      </c>
      <c r="F241">
        <v>1.5879789031501099</v>
      </c>
      <c r="G241">
        <v>59.600499968394097</v>
      </c>
      <c r="H241">
        <v>7.7646617240002404E-5</v>
      </c>
      <c r="I241">
        <v>2.75830206274982</v>
      </c>
      <c r="J241">
        <v>108.777867278359</v>
      </c>
      <c r="K241">
        <v>238043.70467267401</v>
      </c>
      <c r="L241">
        <f t="shared" si="12"/>
        <v>7.2560089793921795E-4</v>
      </c>
      <c r="M241">
        <f t="shared" si="13"/>
        <v>7.2560089793921795E-4</v>
      </c>
    </row>
    <row r="242" spans="1:13" x14ac:dyDescent="0.35">
      <c r="A242" t="s">
        <v>182</v>
      </c>
      <c r="B242">
        <v>2024</v>
      </c>
      <c r="C242">
        <v>1245.0515960652899</v>
      </c>
      <c r="D242">
        <v>61.9202388200071</v>
      </c>
      <c r="E242">
        <v>751.46955927431895</v>
      </c>
      <c r="F242">
        <v>6.7017933057330996E-3</v>
      </c>
      <c r="G242">
        <v>103.671964458197</v>
      </c>
      <c r="H242">
        <v>1.698927982359E-3</v>
      </c>
      <c r="I242">
        <v>3.8940676932361802</v>
      </c>
      <c r="J242">
        <v>142.68671523665</v>
      </c>
      <c r="K242">
        <v>256918.420685149</v>
      </c>
      <c r="L242">
        <f t="shared" si="12"/>
        <v>9.7408799042893017E-4</v>
      </c>
      <c r="M242">
        <f t="shared" si="13"/>
        <v>9.7408799042893017E-4</v>
      </c>
    </row>
    <row r="245" spans="1:13" x14ac:dyDescent="0.35">
      <c r="A245" t="s">
        <v>183</v>
      </c>
      <c r="B245">
        <v>2000</v>
      </c>
      <c r="C245">
        <v>2.86703663274877</v>
      </c>
      <c r="D245">
        <v>3.2199947955510102</v>
      </c>
      <c r="E245">
        <v>36.266625886538399</v>
      </c>
      <c r="F245">
        <v>2.6529936053680599E-2</v>
      </c>
      <c r="G245">
        <v>4.6247010481922E-2</v>
      </c>
      <c r="H245">
        <v>7.6537432929214997E-3</v>
      </c>
      <c r="I245">
        <v>1.3982341158391301E-2</v>
      </c>
      <c r="J245">
        <v>0.356158983640808</v>
      </c>
      <c r="K245">
        <v>24124.937161911799</v>
      </c>
      <c r="L245">
        <f t="shared" ref="L245:L269" si="14">SUM(F245:J245)/K245</f>
        <v>1.8676608838554068E-5</v>
      </c>
      <c r="M245">
        <f>(SUM(F245:J245)/K245)</f>
        <v>1.8676608838554068E-5</v>
      </c>
    </row>
    <row r="246" spans="1:13" x14ac:dyDescent="0.35">
      <c r="A246" t="s">
        <v>183</v>
      </c>
      <c r="B246">
        <v>2001</v>
      </c>
      <c r="C246">
        <v>5.1085303971654401</v>
      </c>
      <c r="D246">
        <v>2.7445050519626402</v>
      </c>
      <c r="E246">
        <v>208.83394573494499</v>
      </c>
      <c r="F246">
        <v>3.7720167932743902E-2</v>
      </c>
      <c r="G246">
        <v>8.8637468949043993E-3</v>
      </c>
      <c r="H246">
        <v>1.4517514381766001E-3</v>
      </c>
      <c r="I246">
        <v>5.1450812294932702E-2</v>
      </c>
      <c r="J246">
        <v>0.319827184702555</v>
      </c>
      <c r="K246">
        <v>23794.419452858499</v>
      </c>
      <c r="L246">
        <f t="shared" si="14"/>
        <v>1.7622353177981786E-5</v>
      </c>
      <c r="M246">
        <f t="shared" ref="M246:M269" si="15">(SUM(F246:J246)/K246)</f>
        <v>1.7622353177981786E-5</v>
      </c>
    </row>
    <row r="247" spans="1:13" x14ac:dyDescent="0.35">
      <c r="A247" t="s">
        <v>183</v>
      </c>
      <c r="B247">
        <v>2002</v>
      </c>
      <c r="C247">
        <v>4.8617939989373999</v>
      </c>
      <c r="D247">
        <v>4.0825976863492803</v>
      </c>
      <c r="E247">
        <v>392.08345957968402</v>
      </c>
      <c r="F247">
        <v>7.7233918585009002E-3</v>
      </c>
      <c r="G247">
        <v>6.4298286317889001E-3</v>
      </c>
      <c r="H247">
        <v>2.6854784574697E-3</v>
      </c>
      <c r="I247">
        <v>8.0823501002775001E-3</v>
      </c>
      <c r="J247">
        <v>0.54087597251163699</v>
      </c>
      <c r="K247">
        <v>25936.941668511499</v>
      </c>
      <c r="L247">
        <f t="shared" si="14"/>
        <v>2.1814330648187969E-5</v>
      </c>
      <c r="M247">
        <f t="shared" si="15"/>
        <v>2.1814330648187969E-5</v>
      </c>
    </row>
    <row r="248" spans="1:13" x14ac:dyDescent="0.35">
      <c r="A248" t="s">
        <v>183</v>
      </c>
      <c r="B248">
        <v>2003</v>
      </c>
      <c r="C248">
        <v>7.4762500548011399</v>
      </c>
      <c r="D248">
        <v>3.53950313182263</v>
      </c>
      <c r="E248">
        <v>636.29777128729199</v>
      </c>
      <c r="F248">
        <v>2.1019694533304001E-3</v>
      </c>
      <c r="G248">
        <v>2.05783101504791E-2</v>
      </c>
      <c r="H248">
        <v>6.3738475551635004E-3</v>
      </c>
      <c r="I248">
        <v>1.54484660626123E-2</v>
      </c>
      <c r="J248">
        <v>0.65004972397129601</v>
      </c>
      <c r="K248">
        <v>31591.246480535701</v>
      </c>
      <c r="L248">
        <f t="shared" si="14"/>
        <v>2.1985593940423198E-5</v>
      </c>
      <c r="M248">
        <f t="shared" si="15"/>
        <v>2.1985593940423198E-5</v>
      </c>
    </row>
    <row r="249" spans="1:13" x14ac:dyDescent="0.35">
      <c r="A249" t="s">
        <v>183</v>
      </c>
      <c r="B249">
        <v>2004</v>
      </c>
      <c r="C249">
        <v>12.884054149881299</v>
      </c>
      <c r="D249">
        <v>7.3830534029030597</v>
      </c>
      <c r="E249">
        <v>1068.2704769997099</v>
      </c>
      <c r="F249">
        <v>4.9445893704403998E-3</v>
      </c>
      <c r="G249">
        <v>3.4632940588651302E-2</v>
      </c>
      <c r="H249">
        <v>4.8834474932498003E-3</v>
      </c>
      <c r="I249">
        <v>3.5681958073349798E-2</v>
      </c>
      <c r="J249">
        <v>0.87428907360052399</v>
      </c>
      <c r="K249">
        <v>41252.596862340703</v>
      </c>
      <c r="L249">
        <f t="shared" si="14"/>
        <v>2.3136289148320542E-5</v>
      </c>
      <c r="M249">
        <f t="shared" si="15"/>
        <v>2.3136289148320542E-5</v>
      </c>
    </row>
    <row r="250" spans="1:13" x14ac:dyDescent="0.35">
      <c r="A250" t="s">
        <v>183</v>
      </c>
      <c r="B250">
        <v>2005</v>
      </c>
      <c r="C250">
        <v>4.27237764212291</v>
      </c>
      <c r="D250">
        <v>35.334383183281702</v>
      </c>
      <c r="E250">
        <v>1021.0456606538399</v>
      </c>
      <c r="F250">
        <v>1.6175485653446699E-2</v>
      </c>
      <c r="G250">
        <v>2.4981534873577901E-2</v>
      </c>
      <c r="H250">
        <v>2.0941166269427E-3</v>
      </c>
      <c r="I250">
        <v>2.49420422105626E-2</v>
      </c>
      <c r="J250">
        <v>1.0160316703989001</v>
      </c>
      <c r="K250">
        <v>37758.144249351702</v>
      </c>
      <c r="L250">
        <f t="shared" si="14"/>
        <v>2.871499305165258E-5</v>
      </c>
      <c r="M250">
        <f t="shared" si="15"/>
        <v>2.871499305165258E-5</v>
      </c>
    </row>
    <row r="251" spans="1:13" x14ac:dyDescent="0.35">
      <c r="A251" t="s">
        <v>183</v>
      </c>
      <c r="B251">
        <v>2006</v>
      </c>
      <c r="C251">
        <v>16.545304444926899</v>
      </c>
      <c r="D251">
        <v>11.808349899509199</v>
      </c>
      <c r="E251">
        <v>871.11331468210199</v>
      </c>
      <c r="F251">
        <v>1.7986344105182E-2</v>
      </c>
      <c r="G251">
        <v>0.17289102544773099</v>
      </c>
      <c r="H251">
        <v>1.8815759249203999E-3</v>
      </c>
      <c r="I251">
        <v>2.6833127480965099E-2</v>
      </c>
      <c r="J251">
        <v>1.22335870993706</v>
      </c>
      <c r="K251">
        <v>44400.149837072699</v>
      </c>
      <c r="L251">
        <f t="shared" si="14"/>
        <v>3.2498781832736992E-5</v>
      </c>
      <c r="M251">
        <f t="shared" si="15"/>
        <v>3.2498781832736992E-5</v>
      </c>
    </row>
    <row r="252" spans="1:13" x14ac:dyDescent="0.35">
      <c r="A252" t="s">
        <v>183</v>
      </c>
      <c r="B252">
        <v>2007</v>
      </c>
      <c r="C252">
        <v>6.4125263642023196</v>
      </c>
      <c r="D252">
        <v>6.28701272481708</v>
      </c>
      <c r="E252">
        <v>368.95926577431601</v>
      </c>
      <c r="F252">
        <v>0.17701822629872699</v>
      </c>
      <c r="G252">
        <v>0.32709799791005301</v>
      </c>
      <c r="H252">
        <v>4.7194282763634202E-2</v>
      </c>
      <c r="I252">
        <v>0.72091565379701905</v>
      </c>
      <c r="J252">
        <v>1.96163115680116</v>
      </c>
      <c r="K252">
        <v>48913.944553696398</v>
      </c>
      <c r="L252">
        <f t="shared" si="14"/>
        <v>6.6113198333872921E-5</v>
      </c>
      <c r="M252">
        <f t="shared" si="15"/>
        <v>6.6113198333872921E-5</v>
      </c>
    </row>
    <row r="253" spans="1:13" x14ac:dyDescent="0.35">
      <c r="A253" t="s">
        <v>183</v>
      </c>
      <c r="B253">
        <v>2008</v>
      </c>
      <c r="C253">
        <v>6.8136641764197901</v>
      </c>
      <c r="D253">
        <v>8.1191293869562902</v>
      </c>
      <c r="E253">
        <v>308.81638976852702</v>
      </c>
      <c r="F253">
        <v>4.3779289126060997E-3</v>
      </c>
      <c r="G253">
        <v>0.47815701516442499</v>
      </c>
      <c r="H253">
        <v>1.28543315717577E-2</v>
      </c>
      <c r="I253">
        <v>0.11851096661558801</v>
      </c>
      <c r="J253">
        <v>0.53320930672786604</v>
      </c>
      <c r="K253">
        <v>53507.461510273599</v>
      </c>
      <c r="L253">
        <f t="shared" si="14"/>
        <v>2.1438310034050001E-5</v>
      </c>
      <c r="M253">
        <f t="shared" si="15"/>
        <v>2.1438310034050001E-5</v>
      </c>
    </row>
    <row r="254" spans="1:13" x14ac:dyDescent="0.35">
      <c r="A254" t="s">
        <v>183</v>
      </c>
      <c r="B254">
        <v>2009</v>
      </c>
      <c r="C254">
        <v>5.4762252660401796</v>
      </c>
      <c r="D254">
        <v>4.3532165313866402</v>
      </c>
      <c r="E254">
        <v>40.639209399406298</v>
      </c>
      <c r="F254">
        <v>8.4145323571033603E-2</v>
      </c>
      <c r="G254">
        <v>0.28922381202514602</v>
      </c>
      <c r="H254">
        <v>4.77590337591422E-2</v>
      </c>
      <c r="I254">
        <v>8.7376222739089501E-2</v>
      </c>
      <c r="J254">
        <v>2.3068692832794602</v>
      </c>
      <c r="K254">
        <v>42612.0313667378</v>
      </c>
      <c r="L254">
        <f t="shared" si="14"/>
        <v>6.6069924034917112E-5</v>
      </c>
      <c r="M254">
        <f t="shared" si="15"/>
        <v>6.6069924034917112E-5</v>
      </c>
    </row>
    <row r="255" spans="1:13" x14ac:dyDescent="0.35">
      <c r="A255" t="s">
        <v>183</v>
      </c>
      <c r="B255">
        <v>2010</v>
      </c>
      <c r="C255">
        <v>4.3216744519199999</v>
      </c>
      <c r="D255">
        <v>3.8764589396444702</v>
      </c>
      <c r="E255">
        <v>34.542058005849299</v>
      </c>
      <c r="F255">
        <v>0.30017726916563597</v>
      </c>
      <c r="G255">
        <v>0.85705062429541301</v>
      </c>
      <c r="H255">
        <v>4.0734047727198297E-2</v>
      </c>
      <c r="I255">
        <v>1.60516977771449</v>
      </c>
      <c r="J255">
        <v>0.40631363529065601</v>
      </c>
      <c r="K255">
        <v>47320.003952319799</v>
      </c>
      <c r="L255">
        <f t="shared" si="14"/>
        <v>6.7824283307906492E-5</v>
      </c>
      <c r="M255">
        <f t="shared" si="15"/>
        <v>6.7824283307906492E-5</v>
      </c>
    </row>
    <row r="256" spans="1:13" x14ac:dyDescent="0.35">
      <c r="A256" t="s">
        <v>183</v>
      </c>
      <c r="B256">
        <v>2011</v>
      </c>
      <c r="C256">
        <v>5.0342725865306699</v>
      </c>
      <c r="D256">
        <v>4.3088994718628602</v>
      </c>
      <c r="E256">
        <v>26.802474207378101</v>
      </c>
      <c r="F256">
        <v>1.74823400014666E-2</v>
      </c>
      <c r="G256">
        <v>0.85997296561447301</v>
      </c>
      <c r="H256">
        <v>1.47980501473934E-2</v>
      </c>
      <c r="I256">
        <v>0.52782168074504698</v>
      </c>
      <c r="J256">
        <v>1.87948844390022</v>
      </c>
      <c r="K256">
        <v>57802.473699055699</v>
      </c>
      <c r="L256">
        <f t="shared" si="14"/>
        <v>5.7083430331849347E-5</v>
      </c>
      <c r="M256">
        <f t="shared" si="15"/>
        <v>5.7083430331849347E-5</v>
      </c>
    </row>
    <row r="257" spans="1:13" x14ac:dyDescent="0.35">
      <c r="A257" t="s">
        <v>183</v>
      </c>
      <c r="B257">
        <v>2012</v>
      </c>
      <c r="C257">
        <v>8.7613116154204391</v>
      </c>
      <c r="D257">
        <v>6.05651433239629</v>
      </c>
      <c r="E257">
        <v>24.4673116617384</v>
      </c>
      <c r="F257">
        <v>1.0375529068542701E-2</v>
      </c>
      <c r="G257">
        <v>0.72978855475883098</v>
      </c>
      <c r="H257">
        <v>1.27409535395611E-2</v>
      </c>
      <c r="I257">
        <v>0.18046628740509599</v>
      </c>
      <c r="J257">
        <v>1.2948971225956201</v>
      </c>
      <c r="K257">
        <v>57476.919203399397</v>
      </c>
      <c r="L257">
        <f t="shared" si="14"/>
        <v>3.8768056434657734E-5</v>
      </c>
      <c r="M257">
        <f t="shared" si="15"/>
        <v>3.8768056434657734E-5</v>
      </c>
    </row>
    <row r="258" spans="1:13" x14ac:dyDescent="0.35">
      <c r="A258" t="s">
        <v>183</v>
      </c>
      <c r="B258">
        <v>2013</v>
      </c>
      <c r="C258">
        <v>7.13637717540957</v>
      </c>
      <c r="D258">
        <v>6.8337155108138798</v>
      </c>
      <c r="E258">
        <v>21.902168499235199</v>
      </c>
      <c r="F258">
        <v>6.4154952435194002E-3</v>
      </c>
      <c r="G258">
        <v>1.00980755323773</v>
      </c>
      <c r="H258">
        <v>1.1108564580917401E-2</v>
      </c>
      <c r="I258">
        <v>6.2885975774320493E-2</v>
      </c>
      <c r="J258">
        <v>0.91114994416302897</v>
      </c>
      <c r="K258">
        <v>61956.8805505575</v>
      </c>
      <c r="L258">
        <f t="shared" si="14"/>
        <v>3.2302587141493963E-5</v>
      </c>
      <c r="M258">
        <f t="shared" si="15"/>
        <v>3.2302587141493963E-5</v>
      </c>
    </row>
    <row r="259" spans="1:13" x14ac:dyDescent="0.35">
      <c r="A259" t="s">
        <v>183</v>
      </c>
      <c r="B259">
        <v>2014</v>
      </c>
      <c r="C259">
        <v>10.4712098248721</v>
      </c>
      <c r="D259">
        <v>5.3801167242392998</v>
      </c>
      <c r="E259">
        <v>19.605537436830598</v>
      </c>
      <c r="F259">
        <v>7.6429464038607606E-2</v>
      </c>
      <c r="G259">
        <v>5.1969006483373503</v>
      </c>
      <c r="H259">
        <v>5.0234025384350003E-4</v>
      </c>
      <c r="I259">
        <v>5.3970538591774503E-2</v>
      </c>
      <c r="J259">
        <v>1.0448482415735501</v>
      </c>
      <c r="K259">
        <v>62701.901588372202</v>
      </c>
      <c r="L259">
        <f t="shared" si="14"/>
        <v>1.0163409835048619E-4</v>
      </c>
      <c r="M259">
        <f t="shared" si="15"/>
        <v>1.0163409835048619E-4</v>
      </c>
    </row>
    <row r="260" spans="1:13" x14ac:dyDescent="0.35">
      <c r="A260" t="s">
        <v>183</v>
      </c>
      <c r="B260">
        <v>2015</v>
      </c>
      <c r="C260">
        <v>7.83848576849162</v>
      </c>
      <c r="D260">
        <v>5.8199514055683901</v>
      </c>
      <c r="E260">
        <v>12.739868615180299</v>
      </c>
      <c r="F260">
        <v>7.6326288217435003E-3</v>
      </c>
      <c r="G260">
        <v>0.89899067914137298</v>
      </c>
      <c r="H260">
        <v>4.1572313563365999E-3</v>
      </c>
      <c r="I260">
        <v>3.4479055050812099E-2</v>
      </c>
      <c r="J260">
        <v>2.0459002410670699</v>
      </c>
      <c r="K260">
        <v>55089.324320526197</v>
      </c>
      <c r="L260">
        <f t="shared" si="14"/>
        <v>5.4296542430505606E-5</v>
      </c>
      <c r="M260">
        <f t="shared" si="15"/>
        <v>5.4296542430505606E-5</v>
      </c>
    </row>
    <row r="261" spans="1:13" x14ac:dyDescent="0.35">
      <c r="A261" t="s">
        <v>183</v>
      </c>
      <c r="B261">
        <v>2016</v>
      </c>
      <c r="C261">
        <v>10.563011693818501</v>
      </c>
      <c r="D261">
        <v>4.2707278808785301</v>
      </c>
      <c r="E261">
        <v>12.2943975489669</v>
      </c>
      <c r="F261">
        <v>1.16727950115489E-2</v>
      </c>
      <c r="G261">
        <v>0.12597799150567801</v>
      </c>
      <c r="H261">
        <v>8.4538632202453404E-2</v>
      </c>
      <c r="I261">
        <v>1.87926047335608E-2</v>
      </c>
      <c r="J261">
        <v>1.5563032237585399</v>
      </c>
      <c r="K261">
        <v>54511.451311475597</v>
      </c>
      <c r="L261">
        <f t="shared" si="14"/>
        <v>3.2970783275282597E-5</v>
      </c>
      <c r="M261">
        <f t="shared" si="15"/>
        <v>3.2970783275282597E-5</v>
      </c>
    </row>
    <row r="262" spans="1:13" x14ac:dyDescent="0.35">
      <c r="A262" t="s">
        <v>183</v>
      </c>
      <c r="B262">
        <v>2017</v>
      </c>
      <c r="C262">
        <v>9.3258529869412499</v>
      </c>
      <c r="D262">
        <v>3.9083769299732798</v>
      </c>
      <c r="E262">
        <v>15.0153428180136</v>
      </c>
      <c r="F262">
        <v>1.6799544351260001E-4</v>
      </c>
      <c r="G262">
        <v>0.59085397282802499</v>
      </c>
      <c r="H262">
        <v>7.5797858127868998E-3</v>
      </c>
      <c r="I262">
        <v>3.88062529924324E-2</v>
      </c>
      <c r="J262">
        <v>1.43983609251662</v>
      </c>
      <c r="K262">
        <v>61155.596311296198</v>
      </c>
      <c r="L262">
        <f t="shared" si="14"/>
        <v>3.3966541492289958E-5</v>
      </c>
      <c r="M262">
        <f t="shared" si="15"/>
        <v>3.3966541492289958E-5</v>
      </c>
    </row>
    <row r="263" spans="1:13" x14ac:dyDescent="0.35">
      <c r="A263" t="s">
        <v>183</v>
      </c>
      <c r="B263">
        <v>2018</v>
      </c>
      <c r="C263">
        <v>8.4595691940329392</v>
      </c>
      <c r="D263">
        <v>3.7478825508492002</v>
      </c>
      <c r="E263">
        <v>17.026714990656998</v>
      </c>
      <c r="F263">
        <v>6.8602670626384003E-3</v>
      </c>
      <c r="G263">
        <v>0.93564435603766904</v>
      </c>
      <c r="H263">
        <v>2.4237932498033399E-5</v>
      </c>
      <c r="I263">
        <v>0.115072724354395</v>
      </c>
      <c r="J263">
        <v>1.8189540065265899</v>
      </c>
      <c r="K263">
        <v>70571.383920866603</v>
      </c>
      <c r="L263">
        <f t="shared" si="14"/>
        <v>4.076093498661358E-5</v>
      </c>
      <c r="M263">
        <f t="shared" si="15"/>
        <v>4.076093498661358E-5</v>
      </c>
    </row>
    <row r="264" spans="1:13" x14ac:dyDescent="0.35">
      <c r="A264" t="s">
        <v>183</v>
      </c>
      <c r="B264">
        <v>2019</v>
      </c>
      <c r="C264">
        <v>13.190002532128799</v>
      </c>
      <c r="D264">
        <v>4.6336546890656702</v>
      </c>
      <c r="E264">
        <v>33.326492920645698</v>
      </c>
      <c r="F264">
        <v>8.4588238969771296E-5</v>
      </c>
      <c r="G264">
        <v>0.161175582319073</v>
      </c>
      <c r="H264">
        <v>7.6022810559275003E-3</v>
      </c>
      <c r="I264">
        <v>1.9331386288686501E-2</v>
      </c>
      <c r="J264">
        <v>2.1300448353567498</v>
      </c>
      <c r="K264">
        <v>66199.968318425803</v>
      </c>
      <c r="L264">
        <f t="shared" si="14"/>
        <v>3.5018727835465721E-5</v>
      </c>
      <c r="M264">
        <f t="shared" si="15"/>
        <v>3.5018727835465721E-5</v>
      </c>
    </row>
    <row r="265" spans="1:13" x14ac:dyDescent="0.35">
      <c r="A265" t="s">
        <v>183</v>
      </c>
      <c r="B265">
        <v>2020</v>
      </c>
      <c r="C265">
        <v>20.951961700540899</v>
      </c>
      <c r="D265">
        <v>4.4276751658092603</v>
      </c>
      <c r="E265">
        <v>42.204254812470801</v>
      </c>
      <c r="F265">
        <v>7.9018736925343998E-3</v>
      </c>
      <c r="G265">
        <v>0.87682988602355005</v>
      </c>
      <c r="H265">
        <v>1.3029448147944E-3</v>
      </c>
      <c r="I265">
        <v>0.11851605537370501</v>
      </c>
      <c r="J265">
        <v>1.6917600313577901</v>
      </c>
      <c r="K265">
        <v>62206.045026033098</v>
      </c>
      <c r="L265">
        <f t="shared" si="14"/>
        <v>4.3344835540243293E-5</v>
      </c>
      <c r="M265">
        <f t="shared" si="15"/>
        <v>4.3344835540243293E-5</v>
      </c>
    </row>
    <row r="266" spans="1:13" x14ac:dyDescent="0.35">
      <c r="A266" t="s">
        <v>183</v>
      </c>
      <c r="B266">
        <v>2021</v>
      </c>
      <c r="C266">
        <v>35.309227745258703</v>
      </c>
      <c r="D266">
        <v>6.04378367670635</v>
      </c>
      <c r="E266">
        <v>70.1657890372677</v>
      </c>
      <c r="F266">
        <v>7.8801395240712507E-5</v>
      </c>
      <c r="G266">
        <v>0.90998297570834497</v>
      </c>
      <c r="H266">
        <v>5.1585046978594E-3</v>
      </c>
      <c r="I266">
        <v>2.6086920776834801E-2</v>
      </c>
      <c r="J266">
        <v>3.0163286439310002</v>
      </c>
      <c r="K266">
        <v>74836.188956798404</v>
      </c>
      <c r="L266">
        <f t="shared" si="14"/>
        <v>5.2883984362083871E-5</v>
      </c>
      <c r="M266">
        <f t="shared" si="15"/>
        <v>5.2883984362083871E-5</v>
      </c>
    </row>
    <row r="267" spans="1:13" x14ac:dyDescent="0.35">
      <c r="A267" t="s">
        <v>183</v>
      </c>
      <c r="B267">
        <v>2022</v>
      </c>
      <c r="C267">
        <v>22.762074602191198</v>
      </c>
      <c r="D267">
        <v>12.130512832438299</v>
      </c>
      <c r="E267">
        <v>49.527432312781798</v>
      </c>
      <c r="F267">
        <v>2.7559418782664002E-3</v>
      </c>
      <c r="G267">
        <v>0.81821887107187097</v>
      </c>
      <c r="H267">
        <v>4.0179740853119999E-4</v>
      </c>
      <c r="I267">
        <v>0.262633152930007</v>
      </c>
      <c r="J267">
        <v>3.17420991504865</v>
      </c>
      <c r="K267">
        <v>82890.583899526799</v>
      </c>
      <c r="L267">
        <f t="shared" si="14"/>
        <v>5.137157295813951E-5</v>
      </c>
      <c r="M267">
        <f t="shared" si="15"/>
        <v>5.137157295813951E-5</v>
      </c>
    </row>
    <row r="268" spans="1:13" x14ac:dyDescent="0.35">
      <c r="A268" t="s">
        <v>183</v>
      </c>
      <c r="B268">
        <v>2023</v>
      </c>
      <c r="C268">
        <v>18.252411798024799</v>
      </c>
      <c r="D268">
        <v>15.6115144199229</v>
      </c>
      <c r="E268">
        <v>44.454203691641901</v>
      </c>
      <c r="F268">
        <v>2.6549765950798099E-2</v>
      </c>
      <c r="G268">
        <v>3.1231678829337199</v>
      </c>
      <c r="H268">
        <v>1.6862483997548101E-2</v>
      </c>
      <c r="I268">
        <v>0.31524869727163801</v>
      </c>
      <c r="J268">
        <v>1.7843211558515999</v>
      </c>
      <c r="K268">
        <v>82417.672765094801</v>
      </c>
      <c r="L268">
        <f t="shared" si="14"/>
        <v>6.3895883119810716E-5</v>
      </c>
      <c r="M268">
        <f t="shared" si="15"/>
        <v>6.3895883119810716E-5</v>
      </c>
    </row>
    <row r="269" spans="1:13" x14ac:dyDescent="0.35">
      <c r="A269" t="s">
        <v>183</v>
      </c>
      <c r="B269">
        <v>2024</v>
      </c>
      <c r="C269">
        <v>18.943193998477</v>
      </c>
      <c r="D269">
        <v>7.9087063094532803</v>
      </c>
      <c r="E269">
        <v>51.526414807100402</v>
      </c>
      <c r="F269">
        <v>1.2782749928420001E-4</v>
      </c>
      <c r="G269">
        <v>2.5851265305801299</v>
      </c>
      <c r="H269">
        <v>4.668095896654E-4</v>
      </c>
      <c r="I269">
        <v>1.27597726983017E-2</v>
      </c>
      <c r="J269">
        <v>1.7986244289764399</v>
      </c>
      <c r="K269">
        <v>82613.326824987904</v>
      </c>
      <c r="L269">
        <f t="shared" si="14"/>
        <v>5.3225133744569604E-5</v>
      </c>
      <c r="M269">
        <f t="shared" si="15"/>
        <v>5.3225133744569604E-5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1166"/>
  <sheetViews>
    <sheetView topLeftCell="X1" workbookViewId="0">
      <selection activeCell="AK9" sqref="AK9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128</v>
      </c>
      <c r="E1" t="s">
        <v>129</v>
      </c>
      <c r="F1" t="s">
        <v>123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147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148</v>
      </c>
      <c r="AC3" t="s">
        <v>149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AA11" s="1" t="s">
        <v>181</v>
      </c>
      <c r="AB11" s="2">
        <f>AVERAGE(E743:E848)</f>
        <v>0.57037267357179189</v>
      </c>
      <c r="AC11" s="2">
        <f>AVERAGE(E823:E848)</f>
        <v>0.5865708812884457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AA12" s="1" t="s">
        <v>182</v>
      </c>
      <c r="AB12" s="2">
        <f>AVERAGE(E955:E1060)</f>
        <v>0.63328456531058652</v>
      </c>
      <c r="AC12" s="2">
        <f>AVERAGE(E1035:E1060)</f>
        <v>0.72076768278638115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AA13" s="1" t="s">
        <v>183</v>
      </c>
      <c r="AB13" s="2">
        <f>AVERAGE(E1060:E1166)</f>
        <v>0.45433252306800165</v>
      </c>
      <c r="AC13" s="2">
        <f>AVERAGE(E1141:E1166)</f>
        <v>0.39684417032587227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  <row r="743" spans="1:23" x14ac:dyDescent="0.35">
      <c r="A743" t="s">
        <v>181</v>
      </c>
      <c r="B743" t="s">
        <v>4</v>
      </c>
      <c r="C743">
        <v>38828.800000000003</v>
      </c>
      <c r="F743">
        <v>5832.3329999999996</v>
      </c>
      <c r="G743">
        <v>-3714.5931994258599</v>
      </c>
      <c r="H743">
        <v>-3714.5931994258599</v>
      </c>
      <c r="M743">
        <v>0</v>
      </c>
      <c r="N743">
        <v>0</v>
      </c>
    </row>
    <row r="744" spans="1:23" x14ac:dyDescent="0.35">
      <c r="A744" t="s">
        <v>181</v>
      </c>
      <c r="B744" t="s">
        <v>5</v>
      </c>
      <c r="C744">
        <v>39129</v>
      </c>
      <c r="F744">
        <v>5569.9409999999998</v>
      </c>
      <c r="G744">
        <v>-1919.831103877337</v>
      </c>
      <c r="H744">
        <v>-1919.831103877337</v>
      </c>
      <c r="M744">
        <v>0</v>
      </c>
      <c r="N744">
        <v>0</v>
      </c>
    </row>
    <row r="745" spans="1:23" x14ac:dyDescent="0.35">
      <c r="A745" t="s">
        <v>181</v>
      </c>
      <c r="B745" t="s">
        <v>6</v>
      </c>
      <c r="C745">
        <v>39737.599999999999</v>
      </c>
      <c r="F745">
        <v>13816.67</v>
      </c>
      <c r="G745">
        <v>6474.4940275934759</v>
      </c>
      <c r="H745">
        <v>6474.4940275934759</v>
      </c>
      <c r="M745">
        <v>0</v>
      </c>
      <c r="N745">
        <v>0</v>
      </c>
    </row>
    <row r="746" spans="1:23" x14ac:dyDescent="0.35">
      <c r="A746" t="s">
        <v>181</v>
      </c>
      <c r="B746" t="s">
        <v>7</v>
      </c>
      <c r="C746">
        <v>40190.6</v>
      </c>
      <c r="F746">
        <v>11881.05</v>
      </c>
      <c r="G746">
        <v>-3395.2229350538159</v>
      </c>
      <c r="H746">
        <v>-3395.2229350538159</v>
      </c>
      <c r="M746">
        <v>0</v>
      </c>
      <c r="N746">
        <v>0</v>
      </c>
    </row>
    <row r="747" spans="1:23" x14ac:dyDescent="0.35">
      <c r="A747" t="s">
        <v>181</v>
      </c>
      <c r="B747" t="s">
        <v>8</v>
      </c>
      <c r="C747">
        <v>40387.199999999997</v>
      </c>
      <c r="D747">
        <v>3.935066375638733</v>
      </c>
      <c r="F747">
        <v>22324.51</v>
      </c>
      <c r="G747">
        <v>9331.4609908810216</v>
      </c>
      <c r="H747">
        <v>9331.4609908810216</v>
      </c>
      <c r="M747">
        <v>0</v>
      </c>
      <c r="N747">
        <v>0</v>
      </c>
      <c r="Q747">
        <v>-2.590290839132809</v>
      </c>
      <c r="R747">
        <v>-24171.197920404269</v>
      </c>
      <c r="T747">
        <v>0</v>
      </c>
      <c r="U747">
        <v>0</v>
      </c>
    </row>
    <row r="748" spans="1:23" x14ac:dyDescent="0.35">
      <c r="A748" t="s">
        <v>181</v>
      </c>
      <c r="B748" t="s">
        <v>9</v>
      </c>
      <c r="C748">
        <v>40416.699999999997</v>
      </c>
      <c r="D748">
        <v>3.2379185835155009</v>
      </c>
      <c r="F748">
        <v>13179.21</v>
      </c>
      <c r="G748">
        <v>-9943.8528374191192</v>
      </c>
      <c r="H748">
        <v>-9943.8528374191192</v>
      </c>
      <c r="K748">
        <v>3.935066375638733</v>
      </c>
      <c r="M748">
        <v>0</v>
      </c>
      <c r="N748">
        <v>0</v>
      </c>
      <c r="Q748">
        <v>-2.075645243771806</v>
      </c>
      <c r="R748">
        <v>20639.910846755782</v>
      </c>
      <c r="T748">
        <v>0</v>
      </c>
      <c r="U748">
        <v>0</v>
      </c>
    </row>
    <row r="749" spans="1:23" x14ac:dyDescent="0.35">
      <c r="A749" t="s">
        <v>181</v>
      </c>
      <c r="B749" t="s">
        <v>10</v>
      </c>
      <c r="C749">
        <v>40692.800000000003</v>
      </c>
      <c r="D749">
        <v>2.375332987387385</v>
      </c>
      <c r="F749">
        <v>25155.95</v>
      </c>
      <c r="G749">
        <v>11353.658528725049</v>
      </c>
      <c r="H749">
        <v>11353.658528725049</v>
      </c>
      <c r="K749">
        <v>3.2379185835155009</v>
      </c>
      <c r="M749">
        <v>0</v>
      </c>
      <c r="N749">
        <v>0</v>
      </c>
      <c r="Q749">
        <v>-2.739570299199483</v>
      </c>
      <c r="R749">
        <v>-31104.145692548042</v>
      </c>
      <c r="T749">
        <v>0</v>
      </c>
      <c r="U749">
        <v>0</v>
      </c>
    </row>
    <row r="750" spans="1:23" x14ac:dyDescent="0.35">
      <c r="A750" t="s">
        <v>181</v>
      </c>
      <c r="B750" t="s">
        <v>11</v>
      </c>
      <c r="C750">
        <v>40559.699999999997</v>
      </c>
      <c r="D750">
        <v>0.91418253693600815</v>
      </c>
      <c r="F750">
        <v>23448.18</v>
      </c>
      <c r="G750">
        <v>-2327.5821782993439</v>
      </c>
      <c r="H750">
        <v>-2327.5821782993439</v>
      </c>
      <c r="K750">
        <v>2.375332987387385</v>
      </c>
      <c r="M750">
        <v>0</v>
      </c>
      <c r="N750">
        <v>0</v>
      </c>
      <c r="Q750">
        <v>-0.56002049196982384</v>
      </c>
      <c r="R750">
        <v>1303.493716591393</v>
      </c>
      <c r="T750">
        <v>0</v>
      </c>
      <c r="U750">
        <v>0</v>
      </c>
    </row>
    <row r="751" spans="1:23" x14ac:dyDescent="0.35">
      <c r="A751" t="s">
        <v>181</v>
      </c>
      <c r="B751" t="s">
        <v>12</v>
      </c>
      <c r="C751">
        <v>40843</v>
      </c>
      <c r="D751">
        <v>1.122254491113915</v>
      </c>
      <c r="F751">
        <v>22597.360000000001</v>
      </c>
      <c r="G751">
        <v>-922.17355643885821</v>
      </c>
      <c r="H751">
        <v>-922.17355643885821</v>
      </c>
      <c r="K751">
        <v>0.91418253693600815</v>
      </c>
      <c r="M751">
        <v>0</v>
      </c>
      <c r="N751">
        <v>0</v>
      </c>
      <c r="Q751">
        <v>3.4861328467105401E-3</v>
      </c>
      <c r="R751">
        <v>-3.214819525469379</v>
      </c>
      <c r="T751">
        <v>0</v>
      </c>
      <c r="U751">
        <v>0</v>
      </c>
    </row>
    <row r="752" spans="1:23" x14ac:dyDescent="0.35">
      <c r="A752" t="s">
        <v>181</v>
      </c>
      <c r="B752" t="s">
        <v>13</v>
      </c>
      <c r="C752">
        <v>41213.800000000003</v>
      </c>
      <c r="D752">
        <v>1.953008583666495</v>
      </c>
      <c r="F752">
        <v>17938.45</v>
      </c>
      <c r="G752">
        <v>-4851.7453407365683</v>
      </c>
      <c r="H752">
        <v>-4851.7453407365683</v>
      </c>
      <c r="K752">
        <v>1.122254491113915</v>
      </c>
      <c r="M752">
        <v>0</v>
      </c>
      <c r="N752">
        <v>0</v>
      </c>
      <c r="Q752">
        <v>-1.6948107818676541</v>
      </c>
      <c r="R752">
        <v>8222.7903143564927</v>
      </c>
      <c r="T752">
        <v>0</v>
      </c>
      <c r="U752">
        <v>0</v>
      </c>
    </row>
    <row r="753" spans="1:21" x14ac:dyDescent="0.35">
      <c r="A753" t="s">
        <v>181</v>
      </c>
      <c r="B753" t="s">
        <v>14</v>
      </c>
      <c r="C753">
        <v>41125.300000000003</v>
      </c>
      <c r="D753">
        <v>1.0572331269500039</v>
      </c>
      <c r="F753">
        <v>14136.45</v>
      </c>
      <c r="G753">
        <v>-4222.8378093282299</v>
      </c>
      <c r="H753">
        <v>-4222.8378093282299</v>
      </c>
      <c r="K753">
        <v>1.953008583666495</v>
      </c>
      <c r="M753">
        <v>0</v>
      </c>
      <c r="N753">
        <v>0</v>
      </c>
      <c r="Q753">
        <v>-1.6159922969010061</v>
      </c>
      <c r="R753">
        <v>6824.0733709367387</v>
      </c>
      <c r="T753">
        <v>0</v>
      </c>
      <c r="U753">
        <v>0</v>
      </c>
    </row>
    <row r="754" spans="1:21" x14ac:dyDescent="0.35">
      <c r="A754" t="s">
        <v>181</v>
      </c>
      <c r="B754" t="s">
        <v>15</v>
      </c>
      <c r="C754">
        <v>41608.800000000003</v>
      </c>
      <c r="D754">
        <v>2.5536720551781009</v>
      </c>
      <c r="F754">
        <v>27832.880000000001</v>
      </c>
      <c r="G754">
        <v>12885.617455236321</v>
      </c>
      <c r="H754">
        <v>12885.617455236321</v>
      </c>
      <c r="K754">
        <v>1.0572331269500039</v>
      </c>
      <c r="M754">
        <v>0</v>
      </c>
      <c r="N754">
        <v>0</v>
      </c>
      <c r="Q754">
        <v>-2.0388303852480352</v>
      </c>
      <c r="R754">
        <v>-26271.588400418281</v>
      </c>
      <c r="T754">
        <v>0</v>
      </c>
      <c r="U754">
        <v>0</v>
      </c>
    </row>
    <row r="755" spans="1:21" x14ac:dyDescent="0.35">
      <c r="A755" t="s">
        <v>181</v>
      </c>
      <c r="B755" t="s">
        <v>16</v>
      </c>
      <c r="C755">
        <v>41299.599999999999</v>
      </c>
      <c r="D755">
        <v>1.1117366696747011</v>
      </c>
      <c r="F755">
        <v>25718.62</v>
      </c>
      <c r="G755">
        <v>-2578.9762101676129</v>
      </c>
      <c r="H755">
        <v>-2578.9762101676129</v>
      </c>
      <c r="K755">
        <v>2.5536720551781009</v>
      </c>
      <c r="M755">
        <v>0</v>
      </c>
      <c r="N755">
        <v>0</v>
      </c>
      <c r="Q755">
        <v>-2.3606807393133189</v>
      </c>
      <c r="R755">
        <v>6088.1394664899444</v>
      </c>
      <c r="T755">
        <v>0</v>
      </c>
      <c r="U755">
        <v>0</v>
      </c>
    </row>
    <row r="756" spans="1:21" x14ac:dyDescent="0.35">
      <c r="A756" t="s">
        <v>181</v>
      </c>
      <c r="B756" t="s">
        <v>17</v>
      </c>
      <c r="C756">
        <v>41904.6</v>
      </c>
      <c r="D756">
        <v>1.662245437692591</v>
      </c>
      <c r="F756">
        <v>34454.82</v>
      </c>
      <c r="G756">
        <v>8892.3153268391106</v>
      </c>
      <c r="H756">
        <v>8892.3153268391106</v>
      </c>
      <c r="K756">
        <v>1.1117366696747011</v>
      </c>
      <c r="M756">
        <v>0</v>
      </c>
      <c r="N756">
        <v>0</v>
      </c>
      <c r="Q756">
        <v>-0.48627190398152359</v>
      </c>
      <c r="R756">
        <v>-4324.0831047861384</v>
      </c>
      <c r="T756">
        <v>0</v>
      </c>
      <c r="U756">
        <v>0</v>
      </c>
    </row>
    <row r="757" spans="1:21" x14ac:dyDescent="0.35">
      <c r="A757" t="s">
        <v>181</v>
      </c>
      <c r="B757" t="s">
        <v>18</v>
      </c>
      <c r="C757">
        <v>42405</v>
      </c>
      <c r="D757">
        <v>3.0642775921907668</v>
      </c>
      <c r="F757">
        <v>23886.34</v>
      </c>
      <c r="G757">
        <v>-10175.62221530782</v>
      </c>
      <c r="H757">
        <v>-10175.62221530782</v>
      </c>
      <c r="K757">
        <v>1.662245437692591</v>
      </c>
      <c r="M757">
        <v>0</v>
      </c>
      <c r="N757">
        <v>0</v>
      </c>
      <c r="Q757">
        <v>1.44264720229458</v>
      </c>
      <c r="R757">
        <v>-14679.832920520401</v>
      </c>
      <c r="T757">
        <v>0</v>
      </c>
      <c r="U757">
        <v>0</v>
      </c>
    </row>
    <row r="758" spans="1:21" x14ac:dyDescent="0.35">
      <c r="A758" t="s">
        <v>181</v>
      </c>
      <c r="B758" t="s">
        <v>19</v>
      </c>
      <c r="C758">
        <v>42496.1</v>
      </c>
      <c r="D758">
        <v>2.1100623656199868</v>
      </c>
      <c r="F758">
        <v>12058.21</v>
      </c>
      <c r="G758">
        <v>-11403.891117199109</v>
      </c>
      <c r="H758">
        <v>-11403.891117199109</v>
      </c>
      <c r="K758">
        <v>3.0642775921907668</v>
      </c>
      <c r="M758">
        <v>0</v>
      </c>
      <c r="N758">
        <v>0</v>
      </c>
      <c r="Q758">
        <v>1.433647638399026</v>
      </c>
      <c r="R758">
        <v>-16349.161568732139</v>
      </c>
      <c r="T758">
        <v>0</v>
      </c>
      <c r="U758">
        <v>0</v>
      </c>
    </row>
    <row r="759" spans="1:21" x14ac:dyDescent="0.35">
      <c r="A759" t="s">
        <v>181</v>
      </c>
      <c r="B759" t="s">
        <v>20</v>
      </c>
      <c r="C759">
        <v>43032.3</v>
      </c>
      <c r="D759">
        <v>4.1098181812630923</v>
      </c>
      <c r="F759">
        <v>16122.31</v>
      </c>
      <c r="G759">
        <v>3477.0160780143342</v>
      </c>
      <c r="H759">
        <v>3477.0160780143342</v>
      </c>
      <c r="K759">
        <v>2.1100623656199868</v>
      </c>
      <c r="M759">
        <v>0</v>
      </c>
      <c r="N759">
        <v>0</v>
      </c>
      <c r="Q759">
        <v>1.23441237704857</v>
      </c>
      <c r="R759">
        <v>4292.0716818977698</v>
      </c>
      <c r="T759">
        <v>0</v>
      </c>
      <c r="U759">
        <v>0</v>
      </c>
    </row>
    <row r="760" spans="1:21" x14ac:dyDescent="0.35">
      <c r="A760" t="s">
        <v>181</v>
      </c>
      <c r="B760" t="s">
        <v>21</v>
      </c>
      <c r="C760">
        <v>43383.5</v>
      </c>
      <c r="D760">
        <v>3.4683578381174658</v>
      </c>
      <c r="F760">
        <v>9975.3389999999999</v>
      </c>
      <c r="G760">
        <v>-7181.6860400218247</v>
      </c>
      <c r="H760">
        <v>-7181.6860400218247</v>
      </c>
      <c r="K760">
        <v>4.1098181812630923</v>
      </c>
      <c r="M760">
        <v>0</v>
      </c>
      <c r="N760">
        <v>0</v>
      </c>
      <c r="Q760">
        <v>0.63826285806666228</v>
      </c>
      <c r="R760">
        <v>-4583.8034576417786</v>
      </c>
      <c r="T760">
        <v>0</v>
      </c>
      <c r="U760">
        <v>0</v>
      </c>
    </row>
    <row r="761" spans="1:21" x14ac:dyDescent="0.35">
      <c r="A761" t="s">
        <v>181</v>
      </c>
      <c r="B761" t="s">
        <v>22</v>
      </c>
      <c r="C761">
        <v>43875.9</v>
      </c>
      <c r="D761">
        <v>3.4098914582494411</v>
      </c>
      <c r="F761">
        <v>14397.81</v>
      </c>
      <c r="G761">
        <v>3353.6931959349681</v>
      </c>
      <c r="H761">
        <v>3353.6931959349681</v>
      </c>
      <c r="K761">
        <v>3.4683578381174658</v>
      </c>
      <c r="M761">
        <v>0</v>
      </c>
      <c r="N761">
        <v>0</v>
      </c>
      <c r="Q761">
        <v>-0.52805491017564332</v>
      </c>
      <c r="R761">
        <v>-1770.934159336105</v>
      </c>
      <c r="T761">
        <v>0</v>
      </c>
      <c r="U761">
        <v>0</v>
      </c>
    </row>
    <row r="762" spans="1:21" x14ac:dyDescent="0.35">
      <c r="A762" t="s">
        <v>181</v>
      </c>
      <c r="B762" t="s">
        <v>23</v>
      </c>
      <c r="C762">
        <v>44547.8</v>
      </c>
      <c r="D762">
        <v>4.7150462967552098</v>
      </c>
      <c r="F762">
        <v>13202.73</v>
      </c>
      <c r="G762">
        <v>-2405.1200373209231</v>
      </c>
      <c r="H762">
        <v>-2405.1200373209231</v>
      </c>
      <c r="K762">
        <v>3.4098914582494411</v>
      </c>
      <c r="M762">
        <v>0</v>
      </c>
      <c r="N762">
        <v>0</v>
      </c>
      <c r="Q762">
        <v>-0.74075419195348624</v>
      </c>
      <c r="R762">
        <v>1781.6027497967989</v>
      </c>
      <c r="T762">
        <v>0</v>
      </c>
      <c r="U762">
        <v>0</v>
      </c>
    </row>
    <row r="763" spans="1:21" x14ac:dyDescent="0.35">
      <c r="A763" t="s">
        <v>181</v>
      </c>
      <c r="B763" t="s">
        <v>24</v>
      </c>
      <c r="C763">
        <v>44986.6</v>
      </c>
      <c r="D763">
        <v>4.4413671145244491</v>
      </c>
      <c r="F763">
        <v>11537.9</v>
      </c>
      <c r="G763">
        <v>-2694.6719418449161</v>
      </c>
      <c r="H763">
        <v>-2694.6719418449161</v>
      </c>
      <c r="K763">
        <v>4.7150462967552098</v>
      </c>
      <c r="M763">
        <v>0</v>
      </c>
      <c r="N763">
        <v>0</v>
      </c>
      <c r="Q763">
        <v>-0.72927339817162729</v>
      </c>
      <c r="R763">
        <v>1965.152563986979</v>
      </c>
      <c r="T763">
        <v>0</v>
      </c>
      <c r="U763">
        <v>0</v>
      </c>
    </row>
    <row r="764" spans="1:21" x14ac:dyDescent="0.35">
      <c r="A764" t="s">
        <v>181</v>
      </c>
      <c r="B764" t="s">
        <v>25</v>
      </c>
      <c r="C764">
        <v>44428.1</v>
      </c>
      <c r="D764">
        <v>2.3792967648972159</v>
      </c>
      <c r="F764">
        <v>11866.98</v>
      </c>
      <c r="G764">
        <v>-828.06583405836682</v>
      </c>
      <c r="H764">
        <v>-828.06583405836682</v>
      </c>
      <c r="K764">
        <v>4.4413671145244491</v>
      </c>
      <c r="M764">
        <v>0</v>
      </c>
      <c r="N764">
        <v>0</v>
      </c>
      <c r="Q764">
        <v>-0.70173904647913121</v>
      </c>
      <c r="R764">
        <v>581.08612881406486</v>
      </c>
      <c r="T764">
        <v>0</v>
      </c>
      <c r="U764">
        <v>0</v>
      </c>
    </row>
    <row r="765" spans="1:21" x14ac:dyDescent="0.35">
      <c r="A765" t="s">
        <v>181</v>
      </c>
      <c r="B765" t="s">
        <v>26</v>
      </c>
      <c r="C765">
        <v>45072.4</v>
      </c>
      <c r="D765">
        <v>2.690489138786516</v>
      </c>
      <c r="F765">
        <v>20193.73</v>
      </c>
      <c r="G765">
        <v>7096.9915636258847</v>
      </c>
      <c r="H765">
        <v>7096.9915636258847</v>
      </c>
      <c r="K765">
        <v>2.3792967648972159</v>
      </c>
      <c r="M765">
        <v>0</v>
      </c>
      <c r="N765">
        <v>0</v>
      </c>
      <c r="Q765">
        <v>0.37871915235157239</v>
      </c>
      <c r="R765">
        <v>2687.766629222655</v>
      </c>
      <c r="T765">
        <v>0</v>
      </c>
      <c r="U765">
        <v>0</v>
      </c>
    </row>
    <row r="766" spans="1:21" x14ac:dyDescent="0.35">
      <c r="A766" t="s">
        <v>181</v>
      </c>
      <c r="B766" t="s">
        <v>27</v>
      </c>
      <c r="C766">
        <v>45207.3</v>
      </c>
      <c r="D766">
        <v>1.469580824112626</v>
      </c>
      <c r="F766">
        <v>12165.63</v>
      </c>
      <c r="G766">
        <v>-8911.6409368498116</v>
      </c>
      <c r="H766">
        <v>-8911.6409368498116</v>
      </c>
      <c r="K766">
        <v>2.690489138786516</v>
      </c>
      <c r="M766">
        <v>0</v>
      </c>
      <c r="N766">
        <v>0</v>
      </c>
      <c r="Q766">
        <v>4.3091865022193733E-2</v>
      </c>
      <c r="R766">
        <v>-384.01922837698822</v>
      </c>
      <c r="T766">
        <v>0</v>
      </c>
      <c r="U766">
        <v>0</v>
      </c>
    </row>
    <row r="767" spans="1:21" x14ac:dyDescent="0.35">
      <c r="A767" t="s">
        <v>181</v>
      </c>
      <c r="B767" t="s">
        <v>28</v>
      </c>
      <c r="C767">
        <v>46356.5</v>
      </c>
      <c r="D767">
        <v>2.9996851856297071</v>
      </c>
      <c r="F767">
        <v>11552.83</v>
      </c>
      <c r="G767">
        <v>-1385.556303605184</v>
      </c>
      <c r="H767">
        <v>-1385.556303605184</v>
      </c>
      <c r="K767">
        <v>1.469580824112626</v>
      </c>
      <c r="M767">
        <v>0</v>
      </c>
      <c r="N767">
        <v>0</v>
      </c>
      <c r="Q767">
        <v>0.2825054819359436</v>
      </c>
      <c r="R767">
        <v>-391.42725129936719</v>
      </c>
      <c r="T767">
        <v>0</v>
      </c>
      <c r="U767">
        <v>0</v>
      </c>
    </row>
    <row r="768" spans="1:21" x14ac:dyDescent="0.35">
      <c r="A768" t="s">
        <v>181</v>
      </c>
      <c r="B768" t="s">
        <v>29</v>
      </c>
      <c r="C768">
        <v>46427.1</v>
      </c>
      <c r="D768">
        <v>4.4011188329371471</v>
      </c>
      <c r="F768">
        <v>8235.1579999999994</v>
      </c>
      <c r="G768">
        <v>-4527.5681324086381</v>
      </c>
      <c r="H768">
        <v>-4527.5681324086381</v>
      </c>
      <c r="K768">
        <v>2.9996851856297071</v>
      </c>
      <c r="M768">
        <v>0</v>
      </c>
      <c r="N768">
        <v>0</v>
      </c>
      <c r="Q768">
        <v>-0.103221318165129</v>
      </c>
      <c r="R768">
        <v>467.34155070965068</v>
      </c>
      <c r="T768">
        <v>0</v>
      </c>
      <c r="U768">
        <v>0</v>
      </c>
    </row>
    <row r="769" spans="1:21" x14ac:dyDescent="0.35">
      <c r="A769" t="s">
        <v>181</v>
      </c>
      <c r="B769" t="s">
        <v>30</v>
      </c>
      <c r="C769">
        <v>46871.199999999997</v>
      </c>
      <c r="D769">
        <v>3.9133328553805451</v>
      </c>
      <c r="F769">
        <v>11854.69</v>
      </c>
      <c r="G769">
        <v>2246.9163671678002</v>
      </c>
      <c r="H769">
        <v>2246.9163671678002</v>
      </c>
      <c r="K769">
        <v>4.4011188329371471</v>
      </c>
      <c r="M769">
        <v>0</v>
      </c>
      <c r="N769">
        <v>0</v>
      </c>
      <c r="Q769">
        <v>-0.39502266949665338</v>
      </c>
      <c r="R769">
        <v>-887.58290149434697</v>
      </c>
      <c r="T769">
        <v>0</v>
      </c>
      <c r="U769">
        <v>0</v>
      </c>
    </row>
    <row r="770" spans="1:21" x14ac:dyDescent="0.35">
      <c r="A770" t="s">
        <v>181</v>
      </c>
      <c r="B770" t="s">
        <v>31</v>
      </c>
      <c r="C770">
        <v>47263.5</v>
      </c>
      <c r="D770">
        <v>4.4479749194383622</v>
      </c>
      <c r="F770">
        <v>9051.4310000000005</v>
      </c>
      <c r="G770">
        <v>-4203.3719888323176</v>
      </c>
      <c r="H770">
        <v>-4203.3719888323176</v>
      </c>
      <c r="K770">
        <v>3.9133328553805451</v>
      </c>
      <c r="M770">
        <v>0</v>
      </c>
      <c r="N770">
        <v>0</v>
      </c>
      <c r="Q770">
        <v>-0.3407402449516021</v>
      </c>
      <c r="R770">
        <v>1432.258001097427</v>
      </c>
      <c r="T770">
        <v>0</v>
      </c>
      <c r="U770">
        <v>0</v>
      </c>
    </row>
    <row r="771" spans="1:21" x14ac:dyDescent="0.35">
      <c r="A771" t="s">
        <v>181</v>
      </c>
      <c r="B771" t="s">
        <v>32</v>
      </c>
      <c r="C771">
        <v>48200</v>
      </c>
      <c r="D771">
        <v>3.899750155232149</v>
      </c>
      <c r="F771">
        <v>13357.51</v>
      </c>
      <c r="G771">
        <v>2981.2693730277952</v>
      </c>
      <c r="H771">
        <v>2981.2693730277952</v>
      </c>
      <c r="K771">
        <v>4.4479749194383622</v>
      </c>
      <c r="M771">
        <v>0</v>
      </c>
      <c r="N771">
        <v>0</v>
      </c>
      <c r="Q771">
        <v>-0.47413419366953979</v>
      </c>
      <c r="R771">
        <v>-1413.521750292228</v>
      </c>
      <c r="T771">
        <v>0</v>
      </c>
      <c r="U771">
        <v>0</v>
      </c>
    </row>
    <row r="772" spans="1:21" x14ac:dyDescent="0.35">
      <c r="A772" t="s">
        <v>181</v>
      </c>
      <c r="B772" t="s">
        <v>33</v>
      </c>
      <c r="C772">
        <v>49027.5</v>
      </c>
      <c r="D772">
        <v>5.4498024708337249</v>
      </c>
      <c r="F772">
        <v>18459.61</v>
      </c>
      <c r="G772">
        <v>3803.4009892178929</v>
      </c>
      <c r="H772">
        <v>3803.4009892178929</v>
      </c>
      <c r="K772">
        <v>3.899750155232149</v>
      </c>
      <c r="M772">
        <v>0</v>
      </c>
      <c r="N772">
        <v>0</v>
      </c>
      <c r="Q772">
        <v>0.118245901441943</v>
      </c>
      <c r="R772">
        <v>449.73657851524729</v>
      </c>
      <c r="T772">
        <v>0</v>
      </c>
      <c r="U772">
        <v>0</v>
      </c>
    </row>
    <row r="773" spans="1:21" x14ac:dyDescent="0.35">
      <c r="A773" t="s">
        <v>181</v>
      </c>
      <c r="B773" t="s">
        <v>34</v>
      </c>
      <c r="C773">
        <v>49490.400000000001</v>
      </c>
      <c r="D773">
        <v>5.4375297034200756</v>
      </c>
      <c r="F773">
        <v>21867.71</v>
      </c>
      <c r="G773">
        <v>2532.642848660435</v>
      </c>
      <c r="H773">
        <v>2532.642848660435</v>
      </c>
      <c r="K773">
        <v>5.4498024708337249</v>
      </c>
      <c r="M773">
        <v>0</v>
      </c>
      <c r="N773">
        <v>0</v>
      </c>
      <c r="Q773">
        <v>2.4680943106314451E-2</v>
      </c>
      <c r="R773">
        <v>62.508014056402338</v>
      </c>
      <c r="T773">
        <v>0</v>
      </c>
      <c r="U773">
        <v>0</v>
      </c>
    </row>
    <row r="774" spans="1:21" x14ac:dyDescent="0.35">
      <c r="A774" t="s">
        <v>181</v>
      </c>
      <c r="B774" t="s">
        <v>35</v>
      </c>
      <c r="C774">
        <v>50129.3</v>
      </c>
      <c r="D774">
        <v>5.8867340066611904</v>
      </c>
      <c r="F774">
        <v>13843.68</v>
      </c>
      <c r="G774">
        <v>-8502.2952960938928</v>
      </c>
      <c r="H774">
        <v>-8502.2952960938928</v>
      </c>
      <c r="K774">
        <v>5.4375297034200756</v>
      </c>
      <c r="M774">
        <v>0</v>
      </c>
      <c r="N774">
        <v>0</v>
      </c>
      <c r="Q774">
        <v>-0.66790203808455351</v>
      </c>
      <c r="R774">
        <v>5678.7003566578232</v>
      </c>
      <c r="T774">
        <v>0</v>
      </c>
      <c r="U774">
        <v>0</v>
      </c>
    </row>
    <row r="775" spans="1:21" x14ac:dyDescent="0.35">
      <c r="A775" t="s">
        <v>181</v>
      </c>
      <c r="B775" t="s">
        <v>36</v>
      </c>
      <c r="C775">
        <v>50074.8</v>
      </c>
      <c r="D775">
        <v>3.815886647836487</v>
      </c>
      <c r="F775">
        <v>13176.87</v>
      </c>
      <c r="G775">
        <v>-1287.1085488489391</v>
      </c>
      <c r="H775">
        <v>-1287.1085488489391</v>
      </c>
      <c r="K775">
        <v>5.8867340066611904</v>
      </c>
      <c r="M775">
        <v>0</v>
      </c>
      <c r="N775">
        <v>0</v>
      </c>
      <c r="Q775">
        <v>-1.1725840439872679</v>
      </c>
      <c r="R775">
        <v>1509.2429472598731</v>
      </c>
      <c r="T775">
        <v>0</v>
      </c>
      <c r="U775">
        <v>0</v>
      </c>
    </row>
    <row r="776" spans="1:21" x14ac:dyDescent="0.35">
      <c r="A776" t="s">
        <v>181</v>
      </c>
      <c r="B776" t="s">
        <v>37</v>
      </c>
      <c r="C776">
        <v>49689.599999999999</v>
      </c>
      <c r="D776">
        <v>1.3414290499532759</v>
      </c>
      <c r="F776">
        <v>18019.05</v>
      </c>
      <c r="G776">
        <v>3782.8150578267828</v>
      </c>
      <c r="H776">
        <v>3782.8150578267828</v>
      </c>
      <c r="K776">
        <v>3.815886647836487</v>
      </c>
      <c r="M776">
        <v>0</v>
      </c>
      <c r="N776">
        <v>0</v>
      </c>
      <c r="Q776">
        <v>-1.1893066179515219</v>
      </c>
      <c r="R776">
        <v>-4498.9269827600619</v>
      </c>
      <c r="T776">
        <v>0</v>
      </c>
      <c r="U776">
        <v>0</v>
      </c>
    </row>
    <row r="777" spans="1:21" x14ac:dyDescent="0.35">
      <c r="A777" t="s">
        <v>181</v>
      </c>
      <c r="B777" t="s">
        <v>38</v>
      </c>
      <c r="C777">
        <v>49856.7</v>
      </c>
      <c r="D777">
        <v>0.73741792141448681</v>
      </c>
      <c r="F777">
        <v>14048.15</v>
      </c>
      <c r="G777">
        <v>-4873.0704452221198</v>
      </c>
      <c r="H777">
        <v>-4873.0704452221198</v>
      </c>
      <c r="K777">
        <v>1.3414290499532759</v>
      </c>
      <c r="M777">
        <v>0</v>
      </c>
      <c r="N777">
        <v>0</v>
      </c>
      <c r="Q777">
        <v>-1.73069222310857</v>
      </c>
      <c r="R777">
        <v>8433.7851222061363</v>
      </c>
      <c r="T777">
        <v>0</v>
      </c>
      <c r="U777">
        <v>0</v>
      </c>
    </row>
    <row r="778" spans="1:21" x14ac:dyDescent="0.35">
      <c r="A778" t="s">
        <v>181</v>
      </c>
      <c r="B778" t="s">
        <v>39</v>
      </c>
      <c r="C778">
        <v>48771.9</v>
      </c>
      <c r="D778">
        <v>-2.7451340144369949</v>
      </c>
      <c r="F778">
        <v>13245.42</v>
      </c>
      <c r="G778">
        <v>-1612.889016524221</v>
      </c>
      <c r="H778">
        <v>-1612.889016524221</v>
      </c>
      <c r="K778">
        <v>0.73741792141448681</v>
      </c>
      <c r="M778">
        <v>0</v>
      </c>
      <c r="N778">
        <v>0</v>
      </c>
      <c r="Q778">
        <v>-2.2291561214535229</v>
      </c>
      <c r="R778">
        <v>3595.38142441012</v>
      </c>
      <c r="T778">
        <v>0</v>
      </c>
      <c r="U778">
        <v>0</v>
      </c>
    </row>
    <row r="779" spans="1:21" x14ac:dyDescent="0.35">
      <c r="A779" t="s">
        <v>181</v>
      </c>
      <c r="B779" t="s">
        <v>40</v>
      </c>
      <c r="C779">
        <v>45602.3</v>
      </c>
      <c r="D779">
        <v>-9.355973369007101</v>
      </c>
      <c r="F779">
        <v>21794.11</v>
      </c>
      <c r="G779">
        <v>7502.5523747752904</v>
      </c>
      <c r="H779">
        <v>7502.5523747752904</v>
      </c>
      <c r="K779">
        <v>-2.7451340144369949</v>
      </c>
      <c r="M779">
        <v>0</v>
      </c>
      <c r="N779">
        <v>0</v>
      </c>
      <c r="Q779">
        <v>-1.4603397129986451</v>
      </c>
      <c r="R779">
        <v>-10956.27518173665</v>
      </c>
      <c r="T779">
        <v>0</v>
      </c>
      <c r="U779">
        <v>0</v>
      </c>
    </row>
    <row r="780" spans="1:21" x14ac:dyDescent="0.35">
      <c r="A780" t="s">
        <v>181</v>
      </c>
      <c r="B780" t="s">
        <v>41</v>
      </c>
      <c r="C780">
        <v>45408.4</v>
      </c>
      <c r="D780">
        <v>-9.0098545713120011</v>
      </c>
      <c r="F780">
        <v>18972.07</v>
      </c>
      <c r="G780">
        <v>-3571.395125890052</v>
      </c>
      <c r="H780">
        <v>-3571.395125890052</v>
      </c>
      <c r="K780">
        <v>-9.355973369007101</v>
      </c>
      <c r="M780">
        <v>0</v>
      </c>
      <c r="N780">
        <v>0</v>
      </c>
      <c r="Q780">
        <v>-1.2720259950430071</v>
      </c>
      <c r="R780">
        <v>4542.9074387020382</v>
      </c>
      <c r="T780">
        <v>0</v>
      </c>
      <c r="U780">
        <v>0</v>
      </c>
    </row>
    <row r="781" spans="1:21" x14ac:dyDescent="0.35">
      <c r="A781" t="s">
        <v>181</v>
      </c>
      <c r="B781" t="s">
        <v>42</v>
      </c>
      <c r="C781">
        <v>45842.7</v>
      </c>
      <c r="D781">
        <v>-8.3936919390697522</v>
      </c>
      <c r="F781">
        <v>14507.25</v>
      </c>
      <c r="G781">
        <v>-4886.0951899900501</v>
      </c>
      <c r="H781">
        <v>-4886.0951899900501</v>
      </c>
      <c r="K781">
        <v>-9.0098545713120011</v>
      </c>
      <c r="M781">
        <v>0</v>
      </c>
      <c r="N781">
        <v>0</v>
      </c>
      <c r="Q781">
        <v>-8.2153277278216391E-2</v>
      </c>
      <c r="R781">
        <v>401.40873295101198</v>
      </c>
      <c r="T781">
        <v>0</v>
      </c>
      <c r="U781">
        <v>0</v>
      </c>
    </row>
    <row r="782" spans="1:21" x14ac:dyDescent="0.35">
      <c r="A782" t="s">
        <v>181</v>
      </c>
      <c r="B782" t="s">
        <v>43</v>
      </c>
      <c r="C782">
        <v>45518.3</v>
      </c>
      <c r="D782">
        <v>-6.9039884439907357</v>
      </c>
      <c r="F782">
        <v>18951.79</v>
      </c>
      <c r="G782">
        <v>3701.552958534176</v>
      </c>
      <c r="H782">
        <v>3701.552958534176</v>
      </c>
      <c r="K782">
        <v>-8.3936919390697522</v>
      </c>
      <c r="M782">
        <v>0</v>
      </c>
      <c r="N782">
        <v>0</v>
      </c>
      <c r="Q782">
        <v>1.3283620587279359</v>
      </c>
      <c r="R782">
        <v>4917.0025084889376</v>
      </c>
      <c r="T782">
        <v>0</v>
      </c>
      <c r="U782">
        <v>0</v>
      </c>
    </row>
    <row r="783" spans="1:21" x14ac:dyDescent="0.35">
      <c r="A783" t="s">
        <v>181</v>
      </c>
      <c r="B783" t="s">
        <v>44</v>
      </c>
      <c r="C783">
        <v>45914.2</v>
      </c>
      <c r="D783">
        <v>0.68162835689005641</v>
      </c>
      <c r="F783">
        <v>19711.91</v>
      </c>
      <c r="G783">
        <v>-36.739168690150109</v>
      </c>
      <c r="H783">
        <v>-36.739168690150109</v>
      </c>
      <c r="K783">
        <v>-6.9039884439907357</v>
      </c>
      <c r="M783">
        <v>0</v>
      </c>
      <c r="N783">
        <v>0</v>
      </c>
      <c r="Q783">
        <v>1.1288768521043611</v>
      </c>
      <c r="R783">
        <v>-41.473997099867738</v>
      </c>
      <c r="T783">
        <v>0</v>
      </c>
      <c r="U783">
        <v>0</v>
      </c>
    </row>
    <row r="784" spans="1:21" x14ac:dyDescent="0.35">
      <c r="A784" t="s">
        <v>181</v>
      </c>
      <c r="B784" t="s">
        <v>45</v>
      </c>
      <c r="C784">
        <v>47228.7</v>
      </c>
      <c r="D784">
        <v>3.930464869168405</v>
      </c>
      <c r="F784">
        <v>21449.03</v>
      </c>
      <c r="G784">
        <v>1198.9148978520791</v>
      </c>
      <c r="H784">
        <v>1198.9148978520791</v>
      </c>
      <c r="K784">
        <v>0.68162835689005641</v>
      </c>
      <c r="M784">
        <v>0</v>
      </c>
      <c r="N784">
        <v>0</v>
      </c>
      <c r="Q784">
        <v>0.44036245811646829</v>
      </c>
      <c r="R784">
        <v>527.95711149059593</v>
      </c>
      <c r="T784">
        <v>0</v>
      </c>
      <c r="U784">
        <v>0</v>
      </c>
    </row>
    <row r="785" spans="1:21" x14ac:dyDescent="0.35">
      <c r="A785" t="s">
        <v>181</v>
      </c>
      <c r="B785" t="s">
        <v>46</v>
      </c>
      <c r="C785">
        <v>46996.3</v>
      </c>
      <c r="D785">
        <v>2.4852904011476888</v>
      </c>
      <c r="F785">
        <v>19653.439999999999</v>
      </c>
      <c r="G785">
        <v>-2226.0035218636149</v>
      </c>
      <c r="H785">
        <v>-2226.0035218636149</v>
      </c>
      <c r="K785">
        <v>3.930464869168405</v>
      </c>
      <c r="M785">
        <v>0</v>
      </c>
      <c r="N785">
        <v>0</v>
      </c>
      <c r="Q785">
        <v>-5.2102394283772953E-2</v>
      </c>
      <c r="R785">
        <v>115.9801131732053</v>
      </c>
      <c r="T785">
        <v>0</v>
      </c>
      <c r="U785">
        <v>0</v>
      </c>
    </row>
    <row r="786" spans="1:21" x14ac:dyDescent="0.35">
      <c r="A786" t="s">
        <v>181</v>
      </c>
      <c r="B786" t="s">
        <v>47</v>
      </c>
      <c r="C786">
        <v>48007.9</v>
      </c>
      <c r="D786">
        <v>5.3251137799626456</v>
      </c>
      <c r="F786">
        <v>14901.64</v>
      </c>
      <c r="G786">
        <v>-5163.8778878903649</v>
      </c>
      <c r="H786">
        <v>-5163.8778878903649</v>
      </c>
      <c r="K786">
        <v>2.4852904011476888</v>
      </c>
      <c r="M786">
        <v>0</v>
      </c>
      <c r="N786">
        <v>0</v>
      </c>
      <c r="Q786">
        <v>0.14376859840774781</v>
      </c>
      <c r="R786">
        <v>-742.40348629075902</v>
      </c>
      <c r="T786">
        <v>0</v>
      </c>
      <c r="U786">
        <v>0</v>
      </c>
    </row>
    <row r="787" spans="1:21" x14ac:dyDescent="0.35">
      <c r="A787" t="s">
        <v>181</v>
      </c>
      <c r="B787" t="s">
        <v>48</v>
      </c>
      <c r="C787">
        <v>48209.8</v>
      </c>
      <c r="D787">
        <v>4.8787882478271749</v>
      </c>
      <c r="F787">
        <v>13397.83</v>
      </c>
      <c r="G787">
        <v>-2196.1557660518852</v>
      </c>
      <c r="H787">
        <v>-2196.1557660518852</v>
      </c>
      <c r="K787">
        <v>5.3251137799626456</v>
      </c>
      <c r="M787">
        <v>0</v>
      </c>
      <c r="N787">
        <v>0</v>
      </c>
      <c r="Q787">
        <v>0.26963303118807541</v>
      </c>
      <c r="R787">
        <v>-592.15613616173937</v>
      </c>
      <c r="T787">
        <v>0</v>
      </c>
      <c r="U787">
        <v>0</v>
      </c>
    </row>
    <row r="788" spans="1:21" x14ac:dyDescent="0.35">
      <c r="A788" t="s">
        <v>181</v>
      </c>
      <c r="B788" t="s">
        <v>49</v>
      </c>
      <c r="C788">
        <v>48090.1</v>
      </c>
      <c r="D788">
        <v>1.8074576070849171</v>
      </c>
      <c r="F788">
        <v>14121</v>
      </c>
      <c r="G788">
        <v>-273.04318602130661</v>
      </c>
      <c r="H788">
        <v>-273.04318602130661</v>
      </c>
      <c r="K788">
        <v>4.8787882478271749</v>
      </c>
      <c r="M788">
        <v>0</v>
      </c>
      <c r="N788">
        <v>0</v>
      </c>
      <c r="Q788">
        <v>0.37314514557310768</v>
      </c>
      <c r="R788">
        <v>-101.8847393956656</v>
      </c>
      <c r="T788">
        <v>0</v>
      </c>
      <c r="U788">
        <v>0</v>
      </c>
    </row>
    <row r="789" spans="1:21" x14ac:dyDescent="0.35">
      <c r="A789" t="s">
        <v>181</v>
      </c>
      <c r="B789" t="s">
        <v>50</v>
      </c>
      <c r="C789">
        <v>48149.1</v>
      </c>
      <c r="D789">
        <v>2.423357127370616</v>
      </c>
      <c r="F789">
        <v>20227.560000000001</v>
      </c>
      <c r="G789">
        <v>5061.6006823259177</v>
      </c>
      <c r="H789">
        <v>5061.6006823259177</v>
      </c>
      <c r="K789">
        <v>1.8074576070849171</v>
      </c>
      <c r="M789">
        <v>0</v>
      </c>
      <c r="N789">
        <v>0</v>
      </c>
      <c r="Q789">
        <v>-0.35272141613040142</v>
      </c>
      <c r="R789">
        <v>-1785.3349605566029</v>
      </c>
      <c r="T789">
        <v>0</v>
      </c>
      <c r="U789">
        <v>0</v>
      </c>
    </row>
    <row r="790" spans="1:21" x14ac:dyDescent="0.35">
      <c r="A790" t="s">
        <v>181</v>
      </c>
      <c r="B790" t="s">
        <v>51</v>
      </c>
      <c r="C790">
        <v>48196.4</v>
      </c>
      <c r="D790">
        <v>0.39187487716536901</v>
      </c>
      <c r="F790">
        <v>19436.98</v>
      </c>
      <c r="G790">
        <v>-1556.8530311641989</v>
      </c>
      <c r="H790">
        <v>-1556.8530311641989</v>
      </c>
      <c r="K790">
        <v>2.423357127370616</v>
      </c>
      <c r="M790">
        <v>0</v>
      </c>
      <c r="N790">
        <v>0</v>
      </c>
      <c r="Q790">
        <v>-0.62931600166596691</v>
      </c>
      <c r="R790">
        <v>979.75252475379466</v>
      </c>
      <c r="T790">
        <v>0</v>
      </c>
      <c r="U790">
        <v>0</v>
      </c>
    </row>
    <row r="791" spans="1:21" x14ac:dyDescent="0.35">
      <c r="A791" t="s">
        <v>181</v>
      </c>
      <c r="B791" t="s">
        <v>52</v>
      </c>
      <c r="C791">
        <v>47902.400000000001</v>
      </c>
      <c r="D791">
        <v>-0.63967123462002207</v>
      </c>
      <c r="F791">
        <v>18629.88</v>
      </c>
      <c r="G791">
        <v>-1290.561426222474</v>
      </c>
      <c r="H791">
        <v>-1290.561426222474</v>
      </c>
      <c r="K791">
        <v>0.39187487716536901</v>
      </c>
      <c r="M791">
        <v>0</v>
      </c>
      <c r="N791">
        <v>0</v>
      </c>
      <c r="Q791">
        <v>-0.25279687608602741</v>
      </c>
      <c r="R791">
        <v>326.24989694616937</v>
      </c>
      <c r="T791">
        <v>0</v>
      </c>
      <c r="U791">
        <v>0</v>
      </c>
    </row>
    <row r="792" spans="1:21" x14ac:dyDescent="0.35">
      <c r="A792" t="s">
        <v>181</v>
      </c>
      <c r="B792" t="s">
        <v>53</v>
      </c>
      <c r="C792">
        <v>47400.2</v>
      </c>
      <c r="D792">
        <v>-1.444988662039127</v>
      </c>
      <c r="F792">
        <v>36827.879999999997</v>
      </c>
      <c r="G792">
        <v>17641.959197543922</v>
      </c>
      <c r="H792">
        <v>17641.959197543922</v>
      </c>
      <c r="K792">
        <v>-0.63967123462002207</v>
      </c>
      <c r="M792">
        <v>0</v>
      </c>
      <c r="N792">
        <v>0</v>
      </c>
      <c r="Q792">
        <v>-0.44984784149564461</v>
      </c>
      <c r="R792">
        <v>-7936.1972647693647</v>
      </c>
      <c r="T792">
        <v>0</v>
      </c>
      <c r="U792">
        <v>0</v>
      </c>
    </row>
    <row r="793" spans="1:21" x14ac:dyDescent="0.35">
      <c r="A793" t="s">
        <v>181</v>
      </c>
      <c r="B793" t="s">
        <v>54</v>
      </c>
      <c r="C793">
        <v>47233.1</v>
      </c>
      <c r="D793">
        <v>-1.9207528478450719</v>
      </c>
      <c r="F793">
        <v>25945.24</v>
      </c>
      <c r="G793">
        <v>-10760.52865517087</v>
      </c>
      <c r="H793">
        <v>-10760.52865517087</v>
      </c>
      <c r="K793">
        <v>-1.444988662039127</v>
      </c>
      <c r="M793">
        <v>0</v>
      </c>
      <c r="N793">
        <v>0</v>
      </c>
      <c r="Q793">
        <v>0.1014246042452151</v>
      </c>
      <c r="R793">
        <v>-1091.382360320003</v>
      </c>
      <c r="T793">
        <v>0</v>
      </c>
      <c r="U793">
        <v>0</v>
      </c>
    </row>
    <row r="794" spans="1:21" x14ac:dyDescent="0.35">
      <c r="A794" t="s">
        <v>181</v>
      </c>
      <c r="B794" t="s">
        <v>55</v>
      </c>
      <c r="C794">
        <v>47175</v>
      </c>
      <c r="D794">
        <v>-2.1420238215913181</v>
      </c>
      <c r="F794">
        <v>38752.269999999997</v>
      </c>
      <c r="G794">
        <v>13434.743327128041</v>
      </c>
      <c r="H794">
        <v>13434.743327128041</v>
      </c>
      <c r="K794">
        <v>-1.9207528478450719</v>
      </c>
      <c r="M794">
        <v>0</v>
      </c>
      <c r="N794">
        <v>0</v>
      </c>
      <c r="Q794">
        <v>-0.1023715941074996</v>
      </c>
      <c r="R794">
        <v>-1375.3360908231909</v>
      </c>
      <c r="T794">
        <v>0</v>
      </c>
      <c r="U794">
        <v>0</v>
      </c>
    </row>
    <row r="795" spans="1:21" x14ac:dyDescent="0.35">
      <c r="A795" t="s">
        <v>181</v>
      </c>
      <c r="B795" t="s">
        <v>56</v>
      </c>
      <c r="C795">
        <v>46765.8</v>
      </c>
      <c r="D795">
        <v>-2.4013440994976909</v>
      </c>
      <c r="F795">
        <v>31598.92</v>
      </c>
      <c r="G795">
        <v>-6578.8883624478913</v>
      </c>
      <c r="H795">
        <v>-6578.8883624478913</v>
      </c>
      <c r="K795">
        <v>-2.1420238215913181</v>
      </c>
      <c r="M795">
        <v>0</v>
      </c>
      <c r="N795">
        <v>0</v>
      </c>
      <c r="Q795">
        <v>-0.2737456821685994</v>
      </c>
      <c r="R795">
        <v>1800.9422826893581</v>
      </c>
      <c r="T795">
        <v>0</v>
      </c>
      <c r="U795">
        <v>0</v>
      </c>
    </row>
    <row r="796" spans="1:21" x14ac:dyDescent="0.35">
      <c r="A796" t="s">
        <v>181</v>
      </c>
      <c r="B796" t="s">
        <v>57</v>
      </c>
      <c r="C796">
        <v>46974</v>
      </c>
      <c r="D796">
        <v>-0.90321909475796769</v>
      </c>
      <c r="F796">
        <v>14113.9</v>
      </c>
      <c r="G796">
        <v>-16534.748271214699</v>
      </c>
      <c r="H796">
        <v>-16534.748271214699</v>
      </c>
      <c r="K796">
        <v>-2.4013440994976909</v>
      </c>
      <c r="M796">
        <v>0</v>
      </c>
      <c r="N796">
        <v>0</v>
      </c>
      <c r="Q796">
        <v>0.32639341217151729</v>
      </c>
      <c r="R796">
        <v>-5396.8329076388618</v>
      </c>
      <c r="T796">
        <v>0</v>
      </c>
      <c r="U796">
        <v>0</v>
      </c>
    </row>
    <row r="797" spans="1:21" x14ac:dyDescent="0.35">
      <c r="A797" t="s">
        <v>181</v>
      </c>
      <c r="B797" t="s">
        <v>58</v>
      </c>
      <c r="C797">
        <v>47099.1</v>
      </c>
      <c r="D797">
        <v>-0.28410254426570902</v>
      </c>
      <c r="F797">
        <v>15802.53</v>
      </c>
      <c r="G797">
        <v>1579.518846364859</v>
      </c>
      <c r="H797">
        <v>1579.518846364859</v>
      </c>
      <c r="K797">
        <v>-0.90321909475796769</v>
      </c>
      <c r="M797">
        <v>0</v>
      </c>
      <c r="N797">
        <v>0</v>
      </c>
      <c r="Q797">
        <v>0.49193158393283892</v>
      </c>
      <c r="R797">
        <v>777.01520794403552</v>
      </c>
      <c r="T797">
        <v>0</v>
      </c>
      <c r="U797">
        <v>0</v>
      </c>
    </row>
    <row r="798" spans="1:21" x14ac:dyDescent="0.35">
      <c r="A798" t="s">
        <v>181</v>
      </c>
      <c r="B798" t="s">
        <v>59</v>
      </c>
      <c r="C798">
        <v>47016</v>
      </c>
      <c r="D798">
        <v>-0.33761219442645912</v>
      </c>
      <c r="F798">
        <v>18492.009999999998</v>
      </c>
      <c r="G798">
        <v>1747.8482793999319</v>
      </c>
      <c r="H798">
        <v>1747.8482793999319</v>
      </c>
      <c r="K798">
        <v>-0.28410254426570902</v>
      </c>
      <c r="M798">
        <v>0</v>
      </c>
      <c r="N798">
        <v>0</v>
      </c>
      <c r="Q798">
        <v>0.73583906799649779</v>
      </c>
      <c r="R798">
        <v>1286.1350489129279</v>
      </c>
      <c r="T798">
        <v>0</v>
      </c>
      <c r="U798">
        <v>0</v>
      </c>
    </row>
    <row r="799" spans="1:21" x14ac:dyDescent="0.35">
      <c r="A799" t="s">
        <v>181</v>
      </c>
      <c r="B799" t="s">
        <v>60</v>
      </c>
      <c r="C799">
        <v>46613.9</v>
      </c>
      <c r="D799">
        <v>-0.32533866350484941</v>
      </c>
      <c r="F799">
        <v>19536.86</v>
      </c>
      <c r="G799">
        <v>296.42782514671848</v>
      </c>
      <c r="H799">
        <v>296.42782514671848</v>
      </c>
      <c r="K799">
        <v>-0.33761219442645912</v>
      </c>
      <c r="M799">
        <v>0</v>
      </c>
      <c r="N799">
        <v>0</v>
      </c>
      <c r="Q799">
        <v>0.62723651975329642</v>
      </c>
      <c r="R799">
        <v>185.93035740306641</v>
      </c>
      <c r="T799">
        <v>0</v>
      </c>
      <c r="U799">
        <v>0</v>
      </c>
    </row>
    <row r="800" spans="1:21" x14ac:dyDescent="0.35">
      <c r="A800" t="s">
        <v>181</v>
      </c>
      <c r="B800" t="s">
        <v>61</v>
      </c>
      <c r="C800">
        <v>46705</v>
      </c>
      <c r="D800">
        <v>-0.57430318290200966</v>
      </c>
      <c r="F800">
        <v>20086.099999999999</v>
      </c>
      <c r="G800">
        <v>-19.53534989586478</v>
      </c>
      <c r="H800">
        <v>-19.53534989586478</v>
      </c>
      <c r="K800">
        <v>-0.32533866350484941</v>
      </c>
      <c r="M800">
        <v>0</v>
      </c>
      <c r="N800">
        <v>0</v>
      </c>
      <c r="Q800">
        <v>0.65814978727284401</v>
      </c>
      <c r="R800">
        <v>-12.857186378263981</v>
      </c>
      <c r="T800">
        <v>0</v>
      </c>
      <c r="U800">
        <v>0</v>
      </c>
    </row>
    <row r="801" spans="1:22" x14ac:dyDescent="0.35">
      <c r="A801" t="s">
        <v>181</v>
      </c>
      <c r="B801" t="s">
        <v>62</v>
      </c>
      <c r="C801">
        <v>46842.6</v>
      </c>
      <c r="D801">
        <v>-0.54608472578292744</v>
      </c>
      <c r="F801">
        <v>14211.19</v>
      </c>
      <c r="G801">
        <v>-6368.2256188433221</v>
      </c>
      <c r="H801">
        <v>-6368.2256188433221</v>
      </c>
      <c r="K801">
        <v>-0.57430318290200966</v>
      </c>
      <c r="M801">
        <v>0</v>
      </c>
      <c r="N801">
        <v>0</v>
      </c>
      <c r="Q801">
        <v>0.52965390098050946</v>
      </c>
      <c r="R801">
        <v>-3372.955541344385</v>
      </c>
      <c r="T801">
        <v>0</v>
      </c>
      <c r="U801">
        <v>0</v>
      </c>
    </row>
    <row r="802" spans="1:22" x14ac:dyDescent="0.35">
      <c r="A802" t="s">
        <v>181</v>
      </c>
      <c r="B802" t="s">
        <v>63</v>
      </c>
      <c r="C802">
        <v>46794.400000000001</v>
      </c>
      <c r="D802">
        <v>-0.47244316660102992</v>
      </c>
      <c r="F802">
        <v>17252.02</v>
      </c>
      <c r="G802">
        <v>2343.4323165346868</v>
      </c>
      <c r="H802">
        <v>2343.4323165346868</v>
      </c>
      <c r="K802">
        <v>-0.54608472578292744</v>
      </c>
      <c r="M802">
        <v>0</v>
      </c>
      <c r="N802">
        <v>0</v>
      </c>
      <c r="Q802">
        <v>0.4900293855552974</v>
      </c>
      <c r="R802">
        <v>1148.35069816192</v>
      </c>
      <c r="T802">
        <v>0</v>
      </c>
      <c r="U802">
        <v>0</v>
      </c>
    </row>
    <row r="803" spans="1:22" x14ac:dyDescent="0.35">
      <c r="A803" t="s">
        <v>181</v>
      </c>
      <c r="B803" t="s">
        <v>64</v>
      </c>
      <c r="C803">
        <v>46408.3</v>
      </c>
      <c r="D803">
        <v>-0.44204573702367839</v>
      </c>
      <c r="E803">
        <v>-0.39022586343569138</v>
      </c>
      <c r="F803">
        <v>29838.2</v>
      </c>
      <c r="G803">
        <v>11706.8741061117</v>
      </c>
      <c r="H803">
        <v>11706.8741061117</v>
      </c>
      <c r="I803">
        <v>-3.3205128918031281</v>
      </c>
      <c r="J803">
        <v>1.3039846081124189E-3</v>
      </c>
      <c r="K803">
        <v>-0.47244316660102992</v>
      </c>
      <c r="L803">
        <v>15.2655836434795</v>
      </c>
      <c r="M803">
        <v>0</v>
      </c>
      <c r="N803">
        <v>0</v>
      </c>
      <c r="O803">
        <v>0</v>
      </c>
      <c r="P803">
        <v>0</v>
      </c>
      <c r="Q803">
        <v>0.24993671887184041</v>
      </c>
      <c r="R803">
        <v>2925.9777023272682</v>
      </c>
      <c r="S803">
        <v>3.8154298875148989</v>
      </c>
      <c r="T803">
        <v>0</v>
      </c>
      <c r="U803">
        <v>0</v>
      </c>
      <c r="V803">
        <v>0</v>
      </c>
    </row>
    <row r="804" spans="1:22" x14ac:dyDescent="0.35">
      <c r="A804" t="s">
        <v>181</v>
      </c>
      <c r="B804" t="s">
        <v>65</v>
      </c>
      <c r="C804">
        <v>47078.5</v>
      </c>
      <c r="D804">
        <v>0.79651958970004078</v>
      </c>
      <c r="E804">
        <v>0.15027501356869619</v>
      </c>
      <c r="F804">
        <v>25360.74</v>
      </c>
      <c r="G804">
        <v>-4702.6314541169268</v>
      </c>
      <c r="H804">
        <v>-4702.6314541169268</v>
      </c>
      <c r="I804">
        <v>-1.5876177815786729</v>
      </c>
      <c r="J804">
        <v>4.0108361869037941E-2</v>
      </c>
      <c r="K804">
        <v>-0.44204573702367839</v>
      </c>
      <c r="L804">
        <v>-188.61484409844181</v>
      </c>
      <c r="M804">
        <v>0</v>
      </c>
      <c r="N804">
        <v>0</v>
      </c>
      <c r="O804">
        <v>0</v>
      </c>
      <c r="P804">
        <v>0</v>
      </c>
      <c r="Q804">
        <v>-5.7611074526499169E-2</v>
      </c>
      <c r="R804">
        <v>270.92365117378938</v>
      </c>
      <c r="S804">
        <v>10.86630384015935</v>
      </c>
      <c r="T804">
        <v>0</v>
      </c>
      <c r="U804">
        <v>0</v>
      </c>
      <c r="V804">
        <v>0</v>
      </c>
    </row>
    <row r="805" spans="1:22" x14ac:dyDescent="0.35">
      <c r="A805" t="s">
        <v>181</v>
      </c>
      <c r="B805" t="s">
        <v>66</v>
      </c>
      <c r="C805">
        <v>47035.6</v>
      </c>
      <c r="D805">
        <v>0.41117164987862659</v>
      </c>
      <c r="E805">
        <v>0.53157491995890427</v>
      </c>
      <c r="F805">
        <v>21280.47</v>
      </c>
      <c r="G805">
        <v>-3835.168726222837</v>
      </c>
      <c r="H805">
        <v>-3835.168726222837</v>
      </c>
      <c r="I805">
        <v>-0.3651355037057547</v>
      </c>
      <c r="J805">
        <v>0.32513525952422978</v>
      </c>
      <c r="K805">
        <v>0.79651958970004078</v>
      </c>
      <c r="L805">
        <v>-1246.9485791196721</v>
      </c>
      <c r="M805">
        <v>0</v>
      </c>
      <c r="N805">
        <v>0</v>
      </c>
      <c r="O805">
        <v>0</v>
      </c>
      <c r="P805">
        <v>0</v>
      </c>
      <c r="Q805">
        <v>-0.43494893144090141</v>
      </c>
      <c r="R805">
        <v>1668.102539366186</v>
      </c>
      <c r="S805">
        <v>542.35895204985172</v>
      </c>
      <c r="T805">
        <v>0</v>
      </c>
      <c r="U805">
        <v>0</v>
      </c>
      <c r="V805">
        <v>0</v>
      </c>
    </row>
    <row r="806" spans="1:22" x14ac:dyDescent="0.35">
      <c r="A806" t="s">
        <v>181</v>
      </c>
      <c r="B806" t="s">
        <v>67</v>
      </c>
      <c r="C806">
        <v>47305.5</v>
      </c>
      <c r="D806">
        <v>1.0863030163428711</v>
      </c>
      <c r="E806">
        <v>0.56936520652200251</v>
      </c>
      <c r="F806">
        <v>18517.900000000001</v>
      </c>
      <c r="G806">
        <v>-2909.1155667876369</v>
      </c>
      <c r="H806">
        <v>-2909.1155667876369</v>
      </c>
      <c r="I806">
        <v>-0.2439763981699421</v>
      </c>
      <c r="J806">
        <v>0.3803759549647977</v>
      </c>
      <c r="K806">
        <v>0.41117164987862659</v>
      </c>
      <c r="L806">
        <v>-1106.557611819806</v>
      </c>
      <c r="M806">
        <v>0</v>
      </c>
      <c r="N806">
        <v>0</v>
      </c>
      <c r="O806">
        <v>0</v>
      </c>
      <c r="P806">
        <v>0</v>
      </c>
      <c r="Q806">
        <v>-0.36582701323540417</v>
      </c>
      <c r="R806">
        <v>1064.2330589545411</v>
      </c>
      <c r="S806">
        <v>404.80866610494149</v>
      </c>
      <c r="T806">
        <v>0</v>
      </c>
      <c r="U806">
        <v>0</v>
      </c>
      <c r="V806">
        <v>0</v>
      </c>
    </row>
    <row r="807" spans="1:22" x14ac:dyDescent="0.35">
      <c r="A807" t="s">
        <v>181</v>
      </c>
      <c r="B807" t="s">
        <v>68</v>
      </c>
      <c r="C807">
        <v>47856.9</v>
      </c>
      <c r="D807">
        <v>3.0736985584453289</v>
      </c>
      <c r="E807">
        <v>0.6081697135823888</v>
      </c>
      <c r="F807">
        <v>22826.080000000002</v>
      </c>
      <c r="G807">
        <v>3842.526243353896</v>
      </c>
      <c r="H807">
        <v>3842.526243353896</v>
      </c>
      <c r="I807">
        <v>-0.1195656092137794</v>
      </c>
      <c r="J807">
        <v>0.44050045938825511</v>
      </c>
      <c r="K807">
        <v>1.0863030163428711</v>
      </c>
      <c r="L807">
        <v>1692.634575408817</v>
      </c>
      <c r="M807">
        <v>0</v>
      </c>
      <c r="N807">
        <v>0</v>
      </c>
      <c r="O807">
        <v>0</v>
      </c>
      <c r="P807">
        <v>0</v>
      </c>
      <c r="Q807">
        <v>-0.34310314744503762</v>
      </c>
      <c r="R807">
        <v>-1318.3828482348781</v>
      </c>
      <c r="S807">
        <v>-580.74825029706005</v>
      </c>
      <c r="T807">
        <v>0</v>
      </c>
      <c r="U807">
        <v>0</v>
      </c>
      <c r="V807">
        <v>0</v>
      </c>
    </row>
    <row r="808" spans="1:22" x14ac:dyDescent="0.35">
      <c r="A808" t="s">
        <v>181</v>
      </c>
      <c r="B808" t="s">
        <v>69</v>
      </c>
      <c r="C808">
        <v>47847</v>
      </c>
      <c r="D808">
        <v>1.619199878691421</v>
      </c>
      <c r="E808">
        <v>0.62813997339812444</v>
      </c>
      <c r="F808">
        <v>18513.21</v>
      </c>
      <c r="G808">
        <v>-4750.2373136210626</v>
      </c>
      <c r="H808">
        <v>-4750.2373136210626</v>
      </c>
      <c r="I808">
        <v>-5.553913477695939E-2</v>
      </c>
      <c r="J808">
        <v>0.47225895005358609</v>
      </c>
      <c r="K808">
        <v>3.0736985584453289</v>
      </c>
      <c r="L808">
        <v>-2243.3420862360508</v>
      </c>
      <c r="M808">
        <v>0</v>
      </c>
      <c r="N808">
        <v>0</v>
      </c>
      <c r="O808">
        <v>0</v>
      </c>
      <c r="P808">
        <v>0</v>
      </c>
      <c r="Q808">
        <v>-0.21278257019647859</v>
      </c>
      <c r="R808">
        <v>1010.767704635506</v>
      </c>
      <c r="S808">
        <v>477.34409493923721</v>
      </c>
      <c r="T808">
        <v>0</v>
      </c>
      <c r="U808">
        <v>0</v>
      </c>
      <c r="V808">
        <v>0</v>
      </c>
    </row>
    <row r="809" spans="1:22" x14ac:dyDescent="0.35">
      <c r="A809" t="s">
        <v>181</v>
      </c>
      <c r="B809" t="s">
        <v>70</v>
      </c>
      <c r="C809">
        <v>48368.9</v>
      </c>
      <c r="D809">
        <v>2.7952283407177552</v>
      </c>
      <c r="E809">
        <v>0.62921871406756302</v>
      </c>
      <c r="F809">
        <v>30182.29</v>
      </c>
      <c r="G809">
        <v>11282.735474875861</v>
      </c>
      <c r="H809">
        <v>11282.735474875861</v>
      </c>
      <c r="I809">
        <v>-5.2080593799873801E-2</v>
      </c>
      <c r="J809">
        <v>0.47398322138255811</v>
      </c>
      <c r="K809">
        <v>1.619199878691421</v>
      </c>
      <c r="L809">
        <v>5347.8273063889264</v>
      </c>
      <c r="M809">
        <v>0</v>
      </c>
      <c r="N809">
        <v>0</v>
      </c>
      <c r="O809">
        <v>0</v>
      </c>
      <c r="P809">
        <v>0</v>
      </c>
      <c r="Q809">
        <v>0.72126716019730064</v>
      </c>
      <c r="R809">
        <v>8137.8665752210527</v>
      </c>
      <c r="S809">
        <v>3857.2122145047201</v>
      </c>
      <c r="T809">
        <v>0</v>
      </c>
      <c r="U809">
        <v>0</v>
      </c>
      <c r="V809">
        <v>0</v>
      </c>
    </row>
    <row r="810" spans="1:22" x14ac:dyDescent="0.35">
      <c r="A810" t="s">
        <v>181</v>
      </c>
      <c r="B810" t="s">
        <v>71</v>
      </c>
      <c r="C810">
        <v>48586</v>
      </c>
      <c r="D810">
        <v>2.670885575612405</v>
      </c>
      <c r="E810">
        <v>0.64884289376424131</v>
      </c>
      <c r="F810">
        <v>32031.3</v>
      </c>
      <c r="G810">
        <v>1702.312279079182</v>
      </c>
      <c r="H810">
        <v>1702.312279079182</v>
      </c>
      <c r="I810">
        <v>1.0836316209624259E-2</v>
      </c>
      <c r="J810">
        <v>0.50541794603768175</v>
      </c>
      <c r="K810">
        <v>2.7952283407177552</v>
      </c>
      <c r="L810">
        <v>860.37917560692517</v>
      </c>
      <c r="M810">
        <v>0</v>
      </c>
      <c r="N810">
        <v>0</v>
      </c>
      <c r="O810">
        <v>0</v>
      </c>
      <c r="P810">
        <v>0</v>
      </c>
      <c r="Q810">
        <v>0.67727676323416341</v>
      </c>
      <c r="R810">
        <v>1152.9365503885199</v>
      </c>
      <c r="S810">
        <v>582.71482320913617</v>
      </c>
      <c r="T810">
        <v>0</v>
      </c>
      <c r="U810">
        <v>0</v>
      </c>
      <c r="V810">
        <v>0</v>
      </c>
    </row>
    <row r="811" spans="1:22" x14ac:dyDescent="0.35">
      <c r="A811" t="s">
        <v>181</v>
      </c>
      <c r="B811" t="s">
        <v>72</v>
      </c>
      <c r="C811">
        <v>49057.9</v>
      </c>
      <c r="D811">
        <v>2.4785925055279892</v>
      </c>
      <c r="E811">
        <v>0.85328541309769135</v>
      </c>
      <c r="F811">
        <v>29910.11</v>
      </c>
      <c r="G811">
        <v>-1594.595393211242</v>
      </c>
      <c r="H811">
        <v>-1594.595393211242</v>
      </c>
      <c r="I811">
        <v>0.66629768019188518</v>
      </c>
      <c r="J811">
        <v>0.79126961377572702</v>
      </c>
      <c r="K811">
        <v>2.670885575612405</v>
      </c>
      <c r="L811">
        <v>-1261.7548809148129</v>
      </c>
      <c r="M811">
        <v>0</v>
      </c>
      <c r="N811">
        <v>0</v>
      </c>
      <c r="O811">
        <v>0</v>
      </c>
      <c r="P811">
        <v>0</v>
      </c>
      <c r="Q811">
        <v>0.94661641718932787</v>
      </c>
      <c r="R811">
        <v>-1509.4701779882339</v>
      </c>
      <c r="S811">
        <v>-1194.3978847427279</v>
      </c>
      <c r="T811">
        <v>0</v>
      </c>
      <c r="U811">
        <v>0</v>
      </c>
      <c r="V811">
        <v>0</v>
      </c>
    </row>
    <row r="812" spans="1:22" x14ac:dyDescent="0.35">
      <c r="A812" t="s">
        <v>181</v>
      </c>
      <c r="B812" t="s">
        <v>73</v>
      </c>
      <c r="C812">
        <v>49703</v>
      </c>
      <c r="D812">
        <v>3.8056873445171799</v>
      </c>
      <c r="E812">
        <v>0.82101751844928228</v>
      </c>
      <c r="F812">
        <v>16514.349999999999</v>
      </c>
      <c r="G812">
        <v>-12857.951240235971</v>
      </c>
      <c r="H812">
        <v>-12857.951240235971</v>
      </c>
      <c r="I812">
        <v>0.56284386682645005</v>
      </c>
      <c r="J812">
        <v>0.75504220790436882</v>
      </c>
      <c r="K812">
        <v>2.4785925055279892</v>
      </c>
      <c r="L812">
        <v>-9708.295893554483</v>
      </c>
      <c r="M812">
        <v>0</v>
      </c>
      <c r="N812">
        <v>0</v>
      </c>
      <c r="O812">
        <v>0</v>
      </c>
      <c r="P812">
        <v>0</v>
      </c>
      <c r="Q812">
        <v>0.95076477714732432</v>
      </c>
      <c r="R812">
        <v>-12224.887145494111</v>
      </c>
      <c r="S812">
        <v>-9230.3057817156114</v>
      </c>
      <c r="T812">
        <v>0</v>
      </c>
      <c r="U812">
        <v>0</v>
      </c>
      <c r="V812">
        <v>0</v>
      </c>
    </row>
    <row r="813" spans="1:22" x14ac:dyDescent="0.35">
      <c r="A813" t="s">
        <v>181</v>
      </c>
      <c r="B813" t="s">
        <v>74</v>
      </c>
      <c r="C813">
        <v>49935.4</v>
      </c>
      <c r="D813">
        <v>3.1873124868866349</v>
      </c>
      <c r="E813">
        <v>0.55441269825006712</v>
      </c>
      <c r="F813">
        <v>16325.61</v>
      </c>
      <c r="G813">
        <v>-289.78211110166382</v>
      </c>
      <c r="H813">
        <v>-289.78211110166382</v>
      </c>
      <c r="I813">
        <v>-0.29191550349320178</v>
      </c>
      <c r="J813">
        <v>0.35805155622472351</v>
      </c>
      <c r="K813">
        <v>3.8056873445171799</v>
      </c>
      <c r="L813">
        <v>-103.7569358460364</v>
      </c>
      <c r="M813">
        <v>0</v>
      </c>
      <c r="N813">
        <v>0</v>
      </c>
      <c r="O813">
        <v>0</v>
      </c>
      <c r="P813">
        <v>0</v>
      </c>
      <c r="Q813">
        <v>0.75560868905501355</v>
      </c>
      <c r="R813">
        <v>-218.96188108112241</v>
      </c>
      <c r="S813">
        <v>-78.399642274988722</v>
      </c>
      <c r="T813">
        <v>0</v>
      </c>
      <c r="U813">
        <v>0</v>
      </c>
      <c r="V813">
        <v>0</v>
      </c>
    </row>
    <row r="814" spans="1:22" x14ac:dyDescent="0.35">
      <c r="A814" t="s">
        <v>181</v>
      </c>
      <c r="B814" t="s">
        <v>75</v>
      </c>
      <c r="C814">
        <v>50328.6</v>
      </c>
      <c r="D814">
        <v>3.5238080425810359</v>
      </c>
      <c r="E814">
        <v>0.64890371119837631</v>
      </c>
      <c r="F814">
        <v>28396.560000000001</v>
      </c>
      <c r="G814">
        <v>11273.465479390619</v>
      </c>
      <c r="H814">
        <v>11273.465479390619</v>
      </c>
      <c r="I814">
        <v>1.103130245055885E-2</v>
      </c>
      <c r="J814">
        <v>0.50551542750364342</v>
      </c>
      <c r="K814">
        <v>3.1873124868866349</v>
      </c>
      <c r="L814">
        <v>5698.9107212617146</v>
      </c>
      <c r="M814">
        <v>0</v>
      </c>
      <c r="N814">
        <v>0</v>
      </c>
      <c r="O814">
        <v>0</v>
      </c>
      <c r="P814">
        <v>0</v>
      </c>
      <c r="Q814">
        <v>0.71253404204064785</v>
      </c>
      <c r="R814">
        <v>8032.7279258359076</v>
      </c>
      <c r="S814">
        <v>4060.6678914493941</v>
      </c>
      <c r="T814">
        <v>0</v>
      </c>
      <c r="U814">
        <v>0</v>
      </c>
      <c r="V814">
        <v>0</v>
      </c>
    </row>
    <row r="815" spans="1:22" x14ac:dyDescent="0.35">
      <c r="A815" t="s">
        <v>181</v>
      </c>
      <c r="B815" t="s">
        <v>76</v>
      </c>
      <c r="C815">
        <v>50437.599999999999</v>
      </c>
      <c r="D815">
        <v>2.7735695494707491</v>
      </c>
      <c r="E815">
        <v>0.5621858675941005</v>
      </c>
      <c r="F815">
        <v>13622.16</v>
      </c>
      <c r="G815">
        <v>-15104.230619776299</v>
      </c>
      <c r="H815">
        <v>-15104.230619776299</v>
      </c>
      <c r="I815">
        <v>-0.26699401359317199</v>
      </c>
      <c r="J815">
        <v>0.36958722529984628</v>
      </c>
      <c r="K815">
        <v>3.5238080425810359</v>
      </c>
      <c r="L815">
        <v>-5582.3306850521003</v>
      </c>
      <c r="M815">
        <v>0</v>
      </c>
      <c r="N815">
        <v>0</v>
      </c>
      <c r="O815">
        <v>0</v>
      </c>
      <c r="P815">
        <v>0</v>
      </c>
      <c r="Q815">
        <v>0.55981077105693366</v>
      </c>
      <c r="R815">
        <v>-8455.5109894787165</v>
      </c>
      <c r="S815">
        <v>-3125.0488450937969</v>
      </c>
      <c r="T815">
        <v>0</v>
      </c>
      <c r="U815">
        <v>0</v>
      </c>
      <c r="V815">
        <v>0</v>
      </c>
    </row>
    <row r="816" spans="1:22" x14ac:dyDescent="0.35">
      <c r="A816" t="s">
        <v>181</v>
      </c>
      <c r="B816" t="s">
        <v>77</v>
      </c>
      <c r="C816">
        <v>50338.400000000001</v>
      </c>
      <c r="D816">
        <v>1.270291187846724</v>
      </c>
      <c r="E816">
        <v>0.34362344950477092</v>
      </c>
      <c r="F816">
        <v>25653.23</v>
      </c>
      <c r="G816">
        <v>11737.80673016071</v>
      </c>
      <c r="H816">
        <v>11737.80673016071</v>
      </c>
      <c r="I816">
        <v>-0.96772506084873011</v>
      </c>
      <c r="J816">
        <v>0.12614856025947929</v>
      </c>
      <c r="K816">
        <v>2.7735695494707491</v>
      </c>
      <c r="L816">
        <v>1480.707419613801</v>
      </c>
      <c r="M816">
        <v>0</v>
      </c>
      <c r="N816">
        <v>0</v>
      </c>
      <c r="O816">
        <v>0</v>
      </c>
      <c r="P816">
        <v>0</v>
      </c>
      <c r="Q816">
        <v>0.45606477353429858</v>
      </c>
      <c r="R816">
        <v>5353.2001681801103</v>
      </c>
      <c r="S816">
        <v>675.29849399672355</v>
      </c>
      <c r="T816">
        <v>0</v>
      </c>
      <c r="U816">
        <v>0</v>
      </c>
      <c r="V816">
        <v>0</v>
      </c>
    </row>
    <row r="817" spans="1:22" x14ac:dyDescent="0.35">
      <c r="A817" t="s">
        <v>181</v>
      </c>
      <c r="B817" t="s">
        <v>78</v>
      </c>
      <c r="C817">
        <v>50289.2</v>
      </c>
      <c r="D817">
        <v>0.70601722456553762</v>
      </c>
      <c r="E817">
        <v>-0.36124342683803412</v>
      </c>
      <c r="F817">
        <v>28710.76</v>
      </c>
      <c r="G817">
        <v>2480.1654601144551</v>
      </c>
      <c r="H817">
        <v>2480.1654601144551</v>
      </c>
      <c r="I817">
        <v>-3.22759255661177</v>
      </c>
      <c r="J817">
        <v>1.569879794492665E-3</v>
      </c>
      <c r="K817">
        <v>1.270291187846724</v>
      </c>
      <c r="L817">
        <v>3.893561642832287</v>
      </c>
      <c r="M817">
        <v>0</v>
      </c>
      <c r="N817">
        <v>0</v>
      </c>
      <c r="O817">
        <v>0</v>
      </c>
      <c r="P817">
        <v>0</v>
      </c>
      <c r="Q817">
        <v>0.2015523696393379</v>
      </c>
      <c r="R817">
        <v>499.88322558370709</v>
      </c>
      <c r="S817">
        <v>0.7847565754496808</v>
      </c>
      <c r="T817">
        <v>0</v>
      </c>
      <c r="U817">
        <v>0</v>
      </c>
      <c r="V817">
        <v>0</v>
      </c>
    </row>
    <row r="818" spans="1:22" x14ac:dyDescent="0.35">
      <c r="A818" t="s">
        <v>181</v>
      </c>
      <c r="B818" t="s">
        <v>79</v>
      </c>
      <c r="C818">
        <v>50333.9</v>
      </c>
      <c r="D818">
        <v>1.0530237188437709E-2</v>
      </c>
      <c r="E818">
        <v>0.77555247523006809</v>
      </c>
      <c r="F818">
        <v>26443.05</v>
      </c>
      <c r="G818">
        <v>-2105.371652046339</v>
      </c>
      <c r="H818">
        <v>-2105.371652046339</v>
      </c>
      <c r="I818">
        <v>0.41707879144419452</v>
      </c>
      <c r="J818">
        <v>0.69723331052127335</v>
      </c>
      <c r="K818">
        <v>0.70601722456553762</v>
      </c>
      <c r="L818">
        <v>-1467.9352468339109</v>
      </c>
      <c r="M818">
        <v>0</v>
      </c>
      <c r="N818">
        <v>0</v>
      </c>
      <c r="O818">
        <v>0</v>
      </c>
      <c r="P818">
        <v>0</v>
      </c>
      <c r="Q818">
        <v>-0.50628935069016423</v>
      </c>
      <c r="R818">
        <v>1065.927246676019</v>
      </c>
      <c r="S818">
        <v>743.19998297474683</v>
      </c>
      <c r="T818">
        <v>0</v>
      </c>
      <c r="U818">
        <v>0</v>
      </c>
      <c r="V818">
        <v>0</v>
      </c>
    </row>
    <row r="819" spans="1:22" x14ac:dyDescent="0.35">
      <c r="A819" t="s">
        <v>181</v>
      </c>
      <c r="B819" t="s">
        <v>80</v>
      </c>
      <c r="C819">
        <v>50770.9</v>
      </c>
      <c r="D819">
        <v>0.65864271263190133</v>
      </c>
      <c r="E819">
        <v>0.82277789387702627</v>
      </c>
      <c r="F819">
        <v>36588.019999999997</v>
      </c>
      <c r="G819">
        <v>10374.885475181431</v>
      </c>
      <c r="H819">
        <v>10374.885475181431</v>
      </c>
      <c r="I819">
        <v>0.56848779100989233</v>
      </c>
      <c r="J819">
        <v>0.75712391955646452</v>
      </c>
      <c r="K819">
        <v>1.0530237188437709E-2</v>
      </c>
      <c r="L819">
        <v>7855.0739559187987</v>
      </c>
      <c r="M819">
        <v>0</v>
      </c>
      <c r="N819">
        <v>0</v>
      </c>
      <c r="O819">
        <v>0</v>
      </c>
      <c r="P819">
        <v>0</v>
      </c>
      <c r="Q819">
        <v>-0.1144428864513011</v>
      </c>
      <c r="R819">
        <v>-1187.331840381441</v>
      </c>
      <c r="S819">
        <v>-898.95733680378737</v>
      </c>
      <c r="T819">
        <v>0</v>
      </c>
      <c r="U819">
        <v>0</v>
      </c>
      <c r="V819">
        <v>0</v>
      </c>
    </row>
    <row r="820" spans="1:22" x14ac:dyDescent="0.35">
      <c r="A820" t="s">
        <v>181</v>
      </c>
      <c r="B820" t="s">
        <v>81</v>
      </c>
      <c r="C820">
        <v>51129.2</v>
      </c>
      <c r="D820">
        <v>1.5587557245584931</v>
      </c>
      <c r="E820">
        <v>0.84316170743394436</v>
      </c>
      <c r="F820">
        <v>40489.040000000001</v>
      </c>
      <c r="G820">
        <v>4415.4972307526914</v>
      </c>
      <c r="H820">
        <v>4415.4972307526914</v>
      </c>
      <c r="I820">
        <v>0.63384015646076941</v>
      </c>
      <c r="J820">
        <v>0.7803453971464297</v>
      </c>
      <c r="K820">
        <v>0.65864271263190133</v>
      </c>
      <c r="L820">
        <v>3445.6129401306689</v>
      </c>
      <c r="M820">
        <v>0</v>
      </c>
      <c r="N820">
        <v>0</v>
      </c>
      <c r="O820">
        <v>0</v>
      </c>
      <c r="P820">
        <v>0</v>
      </c>
      <c r="Q820">
        <v>5.3942955525292248E-2</v>
      </c>
      <c r="R820">
        <v>238.18497074054349</v>
      </c>
      <c r="S820">
        <v>185.8665455868402</v>
      </c>
      <c r="T820">
        <v>0</v>
      </c>
      <c r="U820">
        <v>0</v>
      </c>
      <c r="V820">
        <v>0</v>
      </c>
    </row>
    <row r="821" spans="1:22" x14ac:dyDescent="0.35">
      <c r="A821" t="s">
        <v>181</v>
      </c>
      <c r="B821" t="s">
        <v>82</v>
      </c>
      <c r="C821">
        <v>51158.7</v>
      </c>
      <c r="D821">
        <v>1.7142223588647461</v>
      </c>
      <c r="E821">
        <v>0.87532164416890335</v>
      </c>
      <c r="F821">
        <v>32800.980000000003</v>
      </c>
      <c r="G821">
        <v>-6497.529962925415</v>
      </c>
      <c r="H821">
        <v>-6497.529962925415</v>
      </c>
      <c r="I821">
        <v>0.73694784690894943</v>
      </c>
      <c r="J821">
        <v>0.81364879028816495</v>
      </c>
      <c r="K821">
        <v>1.5587557245584931</v>
      </c>
      <c r="L821">
        <v>-5286.7073941953686</v>
      </c>
      <c r="M821">
        <v>0</v>
      </c>
      <c r="N821">
        <v>0</v>
      </c>
      <c r="O821">
        <v>0</v>
      </c>
      <c r="P821">
        <v>0</v>
      </c>
      <c r="Q821">
        <v>0.13391076058320239</v>
      </c>
      <c r="R821">
        <v>-870.08917924748937</v>
      </c>
      <c r="S821">
        <v>-707.94700813754207</v>
      </c>
      <c r="T821">
        <v>0</v>
      </c>
      <c r="U821">
        <v>0</v>
      </c>
      <c r="V821">
        <v>0</v>
      </c>
    </row>
    <row r="822" spans="1:22" x14ac:dyDescent="0.35">
      <c r="A822" t="s">
        <v>181</v>
      </c>
      <c r="B822" t="s">
        <v>83</v>
      </c>
      <c r="C822">
        <v>51058.6</v>
      </c>
      <c r="D822">
        <v>1.4295186352780269</v>
      </c>
      <c r="E822">
        <v>0.87194054741041294</v>
      </c>
      <c r="F822">
        <v>52716.26</v>
      </c>
      <c r="G822">
        <v>21002.415296564999</v>
      </c>
      <c r="H822">
        <v>21002.415296564999</v>
      </c>
      <c r="I822">
        <v>0.72610774231475061</v>
      </c>
      <c r="J822">
        <v>0.81033916506786574</v>
      </c>
      <c r="K822">
        <v>1.7142223588647461</v>
      </c>
      <c r="L822">
        <v>17019.079675827052</v>
      </c>
      <c r="M822">
        <v>0</v>
      </c>
      <c r="N822">
        <v>0</v>
      </c>
      <c r="O822">
        <v>0</v>
      </c>
      <c r="P822">
        <v>0</v>
      </c>
      <c r="Q822">
        <v>1.154664102199092</v>
      </c>
      <c r="R822">
        <v>24250.735002420701</v>
      </c>
      <c r="S822">
        <v>19651.32035414366</v>
      </c>
      <c r="T822">
        <v>0</v>
      </c>
      <c r="U822">
        <v>0</v>
      </c>
      <c r="V822">
        <v>0</v>
      </c>
    </row>
    <row r="823" spans="1:22" x14ac:dyDescent="0.35">
      <c r="A823" t="s">
        <v>181</v>
      </c>
      <c r="B823" t="s">
        <v>84</v>
      </c>
      <c r="C823">
        <v>50950.5</v>
      </c>
      <c r="D823">
        <v>0.35312173569524902</v>
      </c>
      <c r="E823">
        <v>0.92123441011730101</v>
      </c>
      <c r="F823">
        <v>55684.71</v>
      </c>
      <c r="G823">
        <v>4447.7439987703037</v>
      </c>
      <c r="H823">
        <v>4447.7439987703037</v>
      </c>
      <c r="I823">
        <v>0.88414836219731285</v>
      </c>
      <c r="J823">
        <v>0.85424572420915368</v>
      </c>
      <c r="K823">
        <v>1.4295186352780269</v>
      </c>
      <c r="L823">
        <v>3799.4662933264549</v>
      </c>
      <c r="M823">
        <v>0</v>
      </c>
      <c r="N823">
        <v>0</v>
      </c>
      <c r="O823">
        <v>0</v>
      </c>
      <c r="P823">
        <v>0</v>
      </c>
      <c r="Q823">
        <v>-2.3185750070025012E-2</v>
      </c>
      <c r="R823">
        <v>-103.1242807309419</v>
      </c>
      <c r="S823">
        <v>-88.093475876551537</v>
      </c>
      <c r="T823">
        <v>0</v>
      </c>
      <c r="U823">
        <v>0</v>
      </c>
      <c r="V823">
        <v>0</v>
      </c>
    </row>
    <row r="824" spans="1:22" x14ac:dyDescent="0.35">
      <c r="A824" t="s">
        <v>181</v>
      </c>
      <c r="B824" t="s">
        <v>85</v>
      </c>
      <c r="C824">
        <v>47628.1</v>
      </c>
      <c r="D824">
        <v>-7.0932839385952144</v>
      </c>
      <c r="E824">
        <v>0.97525918278650325</v>
      </c>
      <c r="F824">
        <v>28914.37</v>
      </c>
      <c r="G824">
        <v>-24149.360667720372</v>
      </c>
      <c r="H824">
        <v>-24149.360667720372</v>
      </c>
      <c r="I824">
        <v>1.057356710920655</v>
      </c>
      <c r="J824">
        <v>0.89232504196676909</v>
      </c>
      <c r="K824">
        <v>0.35312173569524902</v>
      </c>
      <c r="L824">
        <v>-21549.07927129422</v>
      </c>
      <c r="M824">
        <v>0</v>
      </c>
      <c r="N824">
        <v>0</v>
      </c>
      <c r="O824">
        <v>0</v>
      </c>
      <c r="P824">
        <v>0</v>
      </c>
      <c r="Q824">
        <v>0.68203794677905016</v>
      </c>
      <c r="R824">
        <v>-16470.780365838749</v>
      </c>
      <c r="S824">
        <v>-14697.2897811725</v>
      </c>
      <c r="T824">
        <v>0</v>
      </c>
      <c r="U824">
        <v>0</v>
      </c>
      <c r="V824">
        <v>0</v>
      </c>
    </row>
    <row r="825" spans="1:22" x14ac:dyDescent="0.35">
      <c r="A825" t="s">
        <v>181</v>
      </c>
      <c r="B825" t="s">
        <v>86</v>
      </c>
      <c r="C825">
        <v>49981.8</v>
      </c>
      <c r="D825">
        <v>-2.327362674678954</v>
      </c>
      <c r="E825">
        <v>0.98002621789385214</v>
      </c>
      <c r="F825">
        <v>27497.73</v>
      </c>
      <c r="G825">
        <v>298.34674216415812</v>
      </c>
      <c r="H825">
        <v>298.34674216415812</v>
      </c>
      <c r="I825">
        <v>1.072640260271355</v>
      </c>
      <c r="J825">
        <v>0.89522693511666029</v>
      </c>
      <c r="K825">
        <v>-7.0932839385952144</v>
      </c>
      <c r="L825">
        <v>267.08803958965967</v>
      </c>
      <c r="M825">
        <v>0</v>
      </c>
      <c r="N825">
        <v>0</v>
      </c>
      <c r="O825">
        <v>0</v>
      </c>
      <c r="P825">
        <v>0</v>
      </c>
      <c r="Q825">
        <v>0.83483817885048084</v>
      </c>
      <c r="R825">
        <v>249.07125089429971</v>
      </c>
      <c r="S825">
        <v>222.97529256377669</v>
      </c>
      <c r="T825">
        <v>0</v>
      </c>
      <c r="U825">
        <v>0</v>
      </c>
      <c r="V825">
        <v>0</v>
      </c>
    </row>
    <row r="826" spans="1:22" x14ac:dyDescent="0.35">
      <c r="A826" t="s">
        <v>181</v>
      </c>
      <c r="B826" t="s">
        <v>87</v>
      </c>
      <c r="C826">
        <v>50474.2</v>
      </c>
      <c r="D826">
        <v>-1.1511678071480249</v>
      </c>
      <c r="E826">
        <v>0.96395414456059292</v>
      </c>
      <c r="F826">
        <v>22319.62</v>
      </c>
      <c r="G826">
        <v>-4896.0136572600422</v>
      </c>
      <c r="H826">
        <v>-4896.0136572600422</v>
      </c>
      <c r="I826">
        <v>1.021111727247074</v>
      </c>
      <c r="J826">
        <v>0.88515948057054217</v>
      </c>
      <c r="K826">
        <v>-2.327362674678954</v>
      </c>
      <c r="L826">
        <v>-4333.7529057265792</v>
      </c>
      <c r="M826">
        <v>0</v>
      </c>
      <c r="N826">
        <v>0</v>
      </c>
      <c r="O826">
        <v>0</v>
      </c>
      <c r="P826">
        <v>0</v>
      </c>
      <c r="Q826">
        <v>0.98106132946657298</v>
      </c>
      <c r="R826">
        <v>-4803.2896676780356</v>
      </c>
      <c r="S826">
        <v>-4251.6773872717413</v>
      </c>
      <c r="T826">
        <v>0</v>
      </c>
      <c r="U826">
        <v>0</v>
      </c>
      <c r="V826">
        <v>0</v>
      </c>
    </row>
    <row r="827" spans="1:22" x14ac:dyDescent="0.35">
      <c r="A827" t="s">
        <v>181</v>
      </c>
      <c r="B827" t="s">
        <v>88</v>
      </c>
      <c r="C827">
        <v>50135.5</v>
      </c>
      <c r="D827">
        <v>-1.612523316440861</v>
      </c>
      <c r="E827">
        <v>0.9525453901426002</v>
      </c>
      <c r="F827">
        <v>11888.73</v>
      </c>
      <c r="G827">
        <v>-10426.43013953445</v>
      </c>
      <c r="H827">
        <v>-10426.43013953445</v>
      </c>
      <c r="I827">
        <v>0.984534220001825</v>
      </c>
      <c r="J827">
        <v>0.87751101925754071</v>
      </c>
      <c r="K827">
        <v>-1.1511678071480249</v>
      </c>
      <c r="L827">
        <v>-9149.3073389604197</v>
      </c>
      <c r="M827">
        <v>0</v>
      </c>
      <c r="N827">
        <v>0</v>
      </c>
      <c r="O827">
        <v>0</v>
      </c>
      <c r="P827">
        <v>0</v>
      </c>
      <c r="Q827">
        <v>1.925417628516634</v>
      </c>
      <c r="R827">
        <v>-20075.232393156781</v>
      </c>
      <c r="S827">
        <v>-17616.237639151012</v>
      </c>
      <c r="T827">
        <v>0</v>
      </c>
      <c r="U827">
        <v>0</v>
      </c>
      <c r="V827">
        <v>0</v>
      </c>
    </row>
    <row r="828" spans="1:22" x14ac:dyDescent="0.35">
      <c r="A828" t="s">
        <v>181</v>
      </c>
      <c r="B828" t="s">
        <v>89</v>
      </c>
      <c r="C828">
        <v>50908.5</v>
      </c>
      <c r="D828">
        <v>6.660698052860516</v>
      </c>
      <c r="E828">
        <v>0.92117933254764095</v>
      </c>
      <c r="F828">
        <v>18072.810000000001</v>
      </c>
      <c r="G828">
        <v>5509.7133275447604</v>
      </c>
      <c r="H828">
        <v>5509.7133275447604</v>
      </c>
      <c r="I828">
        <v>0.8839717784854122</v>
      </c>
      <c r="J828">
        <v>0.85420174584332276</v>
      </c>
      <c r="K828">
        <v>-1.612523316440861</v>
      </c>
      <c r="L828">
        <v>4706.4067434849567</v>
      </c>
      <c r="M828">
        <v>0</v>
      </c>
      <c r="N828">
        <v>0</v>
      </c>
      <c r="O828">
        <v>0</v>
      </c>
      <c r="P828">
        <v>0</v>
      </c>
      <c r="Q828">
        <v>1.2914392661180589</v>
      </c>
      <c r="R828">
        <v>7115.460136245295</v>
      </c>
      <c r="S828">
        <v>6078.0384708592983</v>
      </c>
      <c r="T828">
        <v>0</v>
      </c>
      <c r="U828">
        <v>0</v>
      </c>
      <c r="V828">
        <v>0</v>
      </c>
    </row>
    <row r="829" spans="1:22" x14ac:dyDescent="0.35">
      <c r="A829" t="s">
        <v>181</v>
      </c>
      <c r="B829" t="s">
        <v>90</v>
      </c>
      <c r="C829">
        <v>51469.7</v>
      </c>
      <c r="D829">
        <v>2.9334345845569412</v>
      </c>
      <c r="E829">
        <v>0.90476823675518758</v>
      </c>
      <c r="F829">
        <v>21508.560000000001</v>
      </c>
      <c r="G829">
        <v>2469.4532050039338</v>
      </c>
      <c r="H829">
        <v>2469.4532050039338</v>
      </c>
      <c r="I829">
        <v>0.83135630853505227</v>
      </c>
      <c r="J829">
        <v>0.84060180363379522</v>
      </c>
      <c r="K829">
        <v>6.660698052860516</v>
      </c>
      <c r="L829">
        <v>2075.826818115564</v>
      </c>
      <c r="M829">
        <v>0</v>
      </c>
      <c r="N829">
        <v>0</v>
      </c>
      <c r="O829">
        <v>0</v>
      </c>
      <c r="P829">
        <v>0</v>
      </c>
      <c r="Q829">
        <v>0.86010558565475326</v>
      </c>
      <c r="R829">
        <v>2123.9904951369158</v>
      </c>
      <c r="S829">
        <v>1785.43024111313</v>
      </c>
      <c r="T829">
        <v>0</v>
      </c>
      <c r="U829">
        <v>0</v>
      </c>
      <c r="V829">
        <v>0</v>
      </c>
    </row>
    <row r="830" spans="1:22" x14ac:dyDescent="0.35">
      <c r="A830" t="s">
        <v>181</v>
      </c>
      <c r="B830" t="s">
        <v>91</v>
      </c>
      <c r="C830">
        <v>51848.6</v>
      </c>
      <c r="D830">
        <v>2.6865618703797081</v>
      </c>
      <c r="E830">
        <v>0.89392691851617434</v>
      </c>
      <c r="F830">
        <v>19802.650000000001</v>
      </c>
      <c r="G830">
        <v>-2218.2724663803642</v>
      </c>
      <c r="H830">
        <v>-2218.2724663803642</v>
      </c>
      <c r="I830">
        <v>0.79659805343490242</v>
      </c>
      <c r="J830">
        <v>0.83106529786598582</v>
      </c>
      <c r="K830">
        <v>2.9334345845569412</v>
      </c>
      <c r="L830">
        <v>-1843.529268020312</v>
      </c>
      <c r="M830">
        <v>0</v>
      </c>
      <c r="N830">
        <v>0</v>
      </c>
      <c r="O830">
        <v>0</v>
      </c>
      <c r="P830">
        <v>0</v>
      </c>
      <c r="Q830">
        <v>0.77558407043190081</v>
      </c>
      <c r="R830">
        <v>-1720.4567888022941</v>
      </c>
      <c r="S830">
        <v>-1429.811933651536</v>
      </c>
      <c r="T830">
        <v>0</v>
      </c>
      <c r="U830">
        <v>0</v>
      </c>
      <c r="V830">
        <v>0</v>
      </c>
    </row>
    <row r="831" spans="1:22" x14ac:dyDescent="0.35">
      <c r="A831" t="s">
        <v>181</v>
      </c>
      <c r="B831" t="s">
        <v>92</v>
      </c>
      <c r="C831">
        <v>51520.6</v>
      </c>
      <c r="D831">
        <v>2.7252387692155708</v>
      </c>
      <c r="E831">
        <v>0.87139703337224794</v>
      </c>
      <c r="F831">
        <v>26455.02</v>
      </c>
      <c r="G831">
        <v>6249.2545952329347</v>
      </c>
      <c r="H831">
        <v>6249.2545952329347</v>
      </c>
      <c r="I831">
        <v>0.72436518673501782</v>
      </c>
      <c r="J831">
        <v>0.80980296032030663</v>
      </c>
      <c r="K831">
        <v>2.6865618703797081</v>
      </c>
      <c r="L831">
        <v>5060.6648710149102</v>
      </c>
      <c r="M831">
        <v>0</v>
      </c>
      <c r="N831">
        <v>0</v>
      </c>
      <c r="O831">
        <v>0</v>
      </c>
      <c r="P831">
        <v>0</v>
      </c>
      <c r="Q831">
        <v>1.7771362023397699E-2</v>
      </c>
      <c r="R831">
        <v>111.0577657882662</v>
      </c>
      <c r="S831">
        <v>89.934907501897214</v>
      </c>
      <c r="T831">
        <v>0</v>
      </c>
      <c r="U831">
        <v>0</v>
      </c>
      <c r="V831">
        <v>0</v>
      </c>
    </row>
    <row r="832" spans="1:22" x14ac:dyDescent="0.35">
      <c r="A832" t="s">
        <v>181</v>
      </c>
      <c r="B832" t="s">
        <v>93</v>
      </c>
      <c r="C832">
        <v>51671.6</v>
      </c>
      <c r="D832">
        <v>1.4878403843206249</v>
      </c>
      <c r="E832">
        <v>0.83562205778513454</v>
      </c>
      <c r="F832">
        <v>29343.64</v>
      </c>
      <c r="G832">
        <v>2660.8418006622051</v>
      </c>
      <c r="H832">
        <v>2660.8418006622051</v>
      </c>
      <c r="I832">
        <v>0.60966735200272593</v>
      </c>
      <c r="J832">
        <v>0.77194644849829219</v>
      </c>
      <c r="K832">
        <v>2.7252387692155708</v>
      </c>
      <c r="L832">
        <v>2054.0273780369898</v>
      </c>
      <c r="M832">
        <v>0</v>
      </c>
      <c r="N832">
        <v>0</v>
      </c>
      <c r="O832">
        <v>0</v>
      </c>
      <c r="P832">
        <v>0</v>
      </c>
      <c r="Q832">
        <v>-1.0709612891570111</v>
      </c>
      <c r="R832">
        <v>-2849.658565080058</v>
      </c>
      <c r="S832">
        <v>-2199.783808746291</v>
      </c>
      <c r="T832">
        <v>0</v>
      </c>
      <c r="U832">
        <v>0</v>
      </c>
      <c r="V832">
        <v>0</v>
      </c>
    </row>
    <row r="833" spans="1:22" x14ac:dyDescent="0.35">
      <c r="A833" t="s">
        <v>181</v>
      </c>
      <c r="B833" t="s">
        <v>94</v>
      </c>
      <c r="C833">
        <v>51616.2</v>
      </c>
      <c r="D833">
        <v>0.28422916931703651</v>
      </c>
      <c r="E833">
        <v>0.83518753506855625</v>
      </c>
      <c r="F833">
        <v>24504.76</v>
      </c>
      <c r="G833">
        <v>-4610.2754712220849</v>
      </c>
      <c r="H833">
        <v>-4610.2754712220849</v>
      </c>
      <c r="I833">
        <v>0.60827423254099033</v>
      </c>
      <c r="J833">
        <v>0.77145557308460999</v>
      </c>
      <c r="K833">
        <v>1.4878403843206249</v>
      </c>
      <c r="L833">
        <v>-3556.6227057295541</v>
      </c>
      <c r="M833">
        <v>0</v>
      </c>
      <c r="N833">
        <v>0</v>
      </c>
      <c r="O833">
        <v>0</v>
      </c>
      <c r="P833">
        <v>0</v>
      </c>
      <c r="Q833">
        <v>-1.300534321994697</v>
      </c>
      <c r="R833">
        <v>5995.8214841745967</v>
      </c>
      <c r="S833">
        <v>4625.5098991869299</v>
      </c>
      <c r="T833">
        <v>0</v>
      </c>
      <c r="U833">
        <v>0</v>
      </c>
      <c r="V833">
        <v>0</v>
      </c>
    </row>
    <row r="834" spans="1:22" x14ac:dyDescent="0.35">
      <c r="A834" t="s">
        <v>181</v>
      </c>
      <c r="B834" t="s">
        <v>95</v>
      </c>
      <c r="C834">
        <v>51113.1</v>
      </c>
      <c r="D834">
        <v>-1.428710891337686</v>
      </c>
      <c r="E834">
        <v>0.82347302684200141</v>
      </c>
      <c r="F834">
        <v>26500.43</v>
      </c>
      <c r="G834">
        <v>2181.4839460196272</v>
      </c>
      <c r="H834">
        <v>2181.4839460196272</v>
      </c>
      <c r="I834">
        <v>0.57071645069799026</v>
      </c>
      <c r="J834">
        <v>0.75794262427778647</v>
      </c>
      <c r="K834">
        <v>0.28422916931703651</v>
      </c>
      <c r="L834">
        <v>1653.439666865977</v>
      </c>
      <c r="M834">
        <v>0</v>
      </c>
      <c r="N834">
        <v>0</v>
      </c>
      <c r="O834">
        <v>0</v>
      </c>
      <c r="P834">
        <v>0</v>
      </c>
      <c r="Q834">
        <v>-1.5964895050952459</v>
      </c>
      <c r="R834">
        <v>-3482.7162253540978</v>
      </c>
      <c r="S834">
        <v>-2639.6990754597118</v>
      </c>
      <c r="T834">
        <v>0</v>
      </c>
      <c r="U834">
        <v>0</v>
      </c>
      <c r="V834">
        <v>0</v>
      </c>
    </row>
    <row r="835" spans="1:22" x14ac:dyDescent="0.35">
      <c r="A835" t="s">
        <v>181</v>
      </c>
      <c r="B835" t="s">
        <v>96</v>
      </c>
      <c r="C835">
        <v>51164.1</v>
      </c>
      <c r="D835">
        <v>-0.6943613456523402</v>
      </c>
      <c r="E835">
        <v>0.66023696776915897</v>
      </c>
      <c r="F835">
        <v>26400.05</v>
      </c>
      <c r="G835">
        <v>-84.520772908697836</v>
      </c>
      <c r="H835">
        <v>-84.520772908697836</v>
      </c>
      <c r="I835">
        <v>4.7366756711568328E-2</v>
      </c>
      <c r="J835">
        <v>0.52366568215162446</v>
      </c>
      <c r="K835">
        <v>-1.428710891337686</v>
      </c>
      <c r="L835">
        <v>-44.260628201215788</v>
      </c>
      <c r="M835">
        <v>0</v>
      </c>
      <c r="N835">
        <v>0</v>
      </c>
      <c r="O835">
        <v>0</v>
      </c>
      <c r="P835">
        <v>0</v>
      </c>
      <c r="Q835">
        <v>-0.44066309386486302</v>
      </c>
      <c r="R835">
        <v>37.245185285796289</v>
      </c>
      <c r="S835">
        <v>19.504025359550159</v>
      </c>
      <c r="T835">
        <v>0</v>
      </c>
      <c r="U835">
        <v>0</v>
      </c>
      <c r="V835">
        <v>0</v>
      </c>
    </row>
    <row r="836" spans="1:22" x14ac:dyDescent="0.35">
      <c r="A836" t="s">
        <v>181</v>
      </c>
      <c r="B836" t="s">
        <v>97</v>
      </c>
      <c r="C836">
        <v>51205.2</v>
      </c>
      <c r="D836">
        <v>-0.90672181754695214</v>
      </c>
      <c r="E836">
        <v>0.54115951049742483</v>
      </c>
      <c r="F836">
        <v>30702.400000000001</v>
      </c>
      <c r="G836">
        <v>4416.8820192602216</v>
      </c>
      <c r="H836">
        <v>4416.8820192602216</v>
      </c>
      <c r="I836">
        <v>-0.33440643223827021</v>
      </c>
      <c r="J836">
        <v>0.33876271124410379</v>
      </c>
      <c r="K836">
        <v>-0.6943613456523402</v>
      </c>
      <c r="L836">
        <v>1496.274928089925</v>
      </c>
      <c r="M836">
        <v>0</v>
      </c>
      <c r="N836">
        <v>0</v>
      </c>
      <c r="O836">
        <v>0</v>
      </c>
      <c r="P836">
        <v>0</v>
      </c>
      <c r="Q836">
        <v>0.82898485994772031</v>
      </c>
      <c r="R836">
        <v>3661.5283221420391</v>
      </c>
      <c r="S836">
        <v>1240.3892617059121</v>
      </c>
      <c r="T836">
        <v>0</v>
      </c>
      <c r="U836">
        <v>0</v>
      </c>
      <c r="V836">
        <v>0</v>
      </c>
    </row>
    <row r="837" spans="1:22" x14ac:dyDescent="0.35">
      <c r="A837" t="s">
        <v>181</v>
      </c>
      <c r="B837" t="s">
        <v>98</v>
      </c>
      <c r="C837">
        <v>50473.3</v>
      </c>
      <c r="D837">
        <v>-2.2391093110712972</v>
      </c>
      <c r="E837">
        <v>0.55946186841103696</v>
      </c>
      <c r="F837">
        <v>17905.28</v>
      </c>
      <c r="G837">
        <v>-12517.608803376361</v>
      </c>
      <c r="H837">
        <v>-12517.608803376361</v>
      </c>
      <c r="I837">
        <v>-0.27572740342733493</v>
      </c>
      <c r="J837">
        <v>0.36552694859150631</v>
      </c>
      <c r="K837">
        <v>-0.90672181754695214</v>
      </c>
      <c r="L837">
        <v>-4575.5233495603388</v>
      </c>
      <c r="M837">
        <v>0</v>
      </c>
      <c r="N837">
        <v>0</v>
      </c>
      <c r="O837">
        <v>0</v>
      </c>
      <c r="P837">
        <v>0</v>
      </c>
      <c r="Q837">
        <v>0.93581637930232919</v>
      </c>
      <c r="R837">
        <v>-11714.18334789863</v>
      </c>
      <c r="S837">
        <v>-4281.8496943988221</v>
      </c>
      <c r="T837">
        <v>0</v>
      </c>
      <c r="U837">
        <v>0</v>
      </c>
      <c r="V837">
        <v>0</v>
      </c>
    </row>
    <row r="838" spans="1:22" x14ac:dyDescent="0.35">
      <c r="A838" t="s">
        <v>181</v>
      </c>
      <c r="B838" t="s">
        <v>99</v>
      </c>
      <c r="C838">
        <v>50423.3</v>
      </c>
      <c r="D838">
        <v>-1.35874545971376</v>
      </c>
      <c r="E838">
        <v>0.57328215951564387</v>
      </c>
      <c r="F838">
        <v>16655.52</v>
      </c>
      <c r="G838">
        <v>-1255.046474869388</v>
      </c>
      <c r="H838">
        <v>-1255.046474869388</v>
      </c>
      <c r="I838">
        <v>-0.23141828961093411</v>
      </c>
      <c r="J838">
        <v>0.38631312452445121</v>
      </c>
      <c r="K838">
        <v>-2.2391093110712972</v>
      </c>
      <c r="L838">
        <v>-484.84092513019158</v>
      </c>
      <c r="M838">
        <v>0</v>
      </c>
      <c r="N838">
        <v>0</v>
      </c>
      <c r="O838">
        <v>0</v>
      </c>
      <c r="P838">
        <v>0</v>
      </c>
      <c r="Q838">
        <v>1.243241761423685</v>
      </c>
      <c r="R838">
        <v>-1560.3261900852051</v>
      </c>
      <c r="S838">
        <v>-602.77448576914821</v>
      </c>
      <c r="T838">
        <v>0</v>
      </c>
      <c r="U838">
        <v>0</v>
      </c>
      <c r="V838">
        <v>0</v>
      </c>
    </row>
    <row r="839" spans="1:22" x14ac:dyDescent="0.35">
      <c r="A839" t="s">
        <v>181</v>
      </c>
      <c r="B839" t="s">
        <v>100</v>
      </c>
      <c r="C839">
        <v>50978.2</v>
      </c>
      <c r="D839">
        <v>-0.36400238737728652</v>
      </c>
      <c r="E839">
        <v>0.45675746128502892</v>
      </c>
      <c r="F839">
        <v>16042.91</v>
      </c>
      <c r="G839">
        <v>-1325.5086914047929</v>
      </c>
      <c r="H839">
        <v>-1325.5086914047929</v>
      </c>
      <c r="I839">
        <v>-0.60500710024032689</v>
      </c>
      <c r="J839">
        <v>0.2296985383516067</v>
      </c>
      <c r="K839">
        <v>-1.35874545971376</v>
      </c>
      <c r="L839">
        <v>-304.46740898803188</v>
      </c>
      <c r="M839">
        <v>0</v>
      </c>
      <c r="N839">
        <v>0</v>
      </c>
      <c r="O839">
        <v>0</v>
      </c>
      <c r="P839">
        <v>0</v>
      </c>
      <c r="Q839">
        <v>0.9946564719867147</v>
      </c>
      <c r="R839">
        <v>-1318.425798580419</v>
      </c>
      <c r="S839">
        <v>-302.84047885897201</v>
      </c>
      <c r="T839">
        <v>0</v>
      </c>
      <c r="U839">
        <v>0</v>
      </c>
      <c r="V839">
        <v>0</v>
      </c>
    </row>
    <row r="840" spans="1:22" x14ac:dyDescent="0.35">
      <c r="A840" t="s">
        <v>181</v>
      </c>
      <c r="B840" t="s">
        <v>101</v>
      </c>
      <c r="C840">
        <v>51113.1</v>
      </c>
      <c r="D840">
        <v>-0.1800264955033839</v>
      </c>
      <c r="E840">
        <v>0.2208649046275051</v>
      </c>
      <c r="F840">
        <v>15096.69</v>
      </c>
      <c r="G840">
        <v>-1747.62351995877</v>
      </c>
      <c r="H840">
        <v>-1747.62351995877</v>
      </c>
      <c r="I840">
        <v>-1.361300152410249</v>
      </c>
      <c r="J840">
        <v>6.1652862404211001E-2</v>
      </c>
      <c r="K840">
        <v>-0.36400238737728652</v>
      </c>
      <c r="L840">
        <v>-107.74599241038089</v>
      </c>
      <c r="M840">
        <v>0</v>
      </c>
      <c r="N840">
        <v>0</v>
      </c>
      <c r="O840">
        <v>0</v>
      </c>
      <c r="P840">
        <v>0</v>
      </c>
      <c r="Q840">
        <v>0.93784485872957635</v>
      </c>
      <c r="R840">
        <v>-1638.999733188218</v>
      </c>
      <c r="S840">
        <v>-101.0490250307917</v>
      </c>
      <c r="T840">
        <v>0</v>
      </c>
      <c r="U840">
        <v>0</v>
      </c>
      <c r="V840">
        <v>0</v>
      </c>
    </row>
    <row r="841" spans="1:22" x14ac:dyDescent="0.35">
      <c r="A841" t="s">
        <v>181</v>
      </c>
      <c r="B841" t="s">
        <v>102</v>
      </c>
      <c r="C841">
        <v>51499.199999999997</v>
      </c>
      <c r="D841">
        <v>2.0121789976361888</v>
      </c>
      <c r="E841">
        <v>-6.7366504499545413E-2</v>
      </c>
      <c r="F841">
        <v>19263.25</v>
      </c>
      <c r="G841">
        <v>3296.2288795207619</v>
      </c>
      <c r="H841">
        <v>3296.2288795207619</v>
      </c>
      <c r="I841">
        <v>-2.2853963393722472</v>
      </c>
      <c r="J841">
        <v>1.0243732342636541E-2</v>
      </c>
      <c r="K841">
        <v>-0.1800264955033839</v>
      </c>
      <c r="L841">
        <v>33.765686381879448</v>
      </c>
      <c r="M841">
        <v>0</v>
      </c>
      <c r="N841">
        <v>0</v>
      </c>
      <c r="O841">
        <v>0</v>
      </c>
      <c r="P841">
        <v>0</v>
      </c>
      <c r="Q841">
        <v>0.97090246708117733</v>
      </c>
      <c r="R841">
        <v>3200.3167511909328</v>
      </c>
      <c r="S841">
        <v>32.783188210856068</v>
      </c>
      <c r="T841">
        <v>0</v>
      </c>
      <c r="U841">
        <v>0</v>
      </c>
      <c r="V841">
        <v>0</v>
      </c>
    </row>
    <row r="842" spans="1:22" x14ac:dyDescent="0.35">
      <c r="A842" t="s">
        <v>181</v>
      </c>
      <c r="B842" t="s">
        <v>103</v>
      </c>
      <c r="C842">
        <v>51475</v>
      </c>
      <c r="D842">
        <v>2.0642883077683938</v>
      </c>
      <c r="E842">
        <v>0.18514787159562199</v>
      </c>
      <c r="F842">
        <v>26370.25</v>
      </c>
      <c r="G842">
        <v>6352.7743362205329</v>
      </c>
      <c r="H842">
        <v>6352.7743362205329</v>
      </c>
      <c r="I842">
        <v>-1.475812218025589</v>
      </c>
      <c r="J842">
        <v>4.9659792308205233E-2</v>
      </c>
      <c r="K842">
        <v>2.0121789976361888</v>
      </c>
      <c r="L842">
        <v>315.47745411760798</v>
      </c>
      <c r="M842">
        <v>0</v>
      </c>
      <c r="N842">
        <v>0</v>
      </c>
      <c r="O842">
        <v>0</v>
      </c>
      <c r="P842">
        <v>0</v>
      </c>
      <c r="Q842">
        <v>0.26849518317054971</v>
      </c>
      <c r="R842">
        <v>1705.689309044699</v>
      </c>
      <c r="S842">
        <v>84.704176829485846</v>
      </c>
      <c r="T842">
        <v>0</v>
      </c>
      <c r="U842">
        <v>0</v>
      </c>
      <c r="V842">
        <v>0</v>
      </c>
    </row>
    <row r="843" spans="1:22" x14ac:dyDescent="0.35">
      <c r="A843" t="s">
        <v>181</v>
      </c>
      <c r="B843" t="s">
        <v>104</v>
      </c>
      <c r="C843">
        <v>51614.400000000001</v>
      </c>
      <c r="D843">
        <v>1.2402612961513431</v>
      </c>
      <c r="E843">
        <v>-5.1907923992241978E-2</v>
      </c>
      <c r="F843">
        <v>48145.7</v>
      </c>
      <c r="G843">
        <v>21516.57673025272</v>
      </c>
      <c r="H843">
        <v>21516.57673025272</v>
      </c>
      <c r="I843">
        <v>-2.2358347203040512</v>
      </c>
      <c r="J843">
        <v>1.1299092649783489E-2</v>
      </c>
      <c r="K843">
        <v>2.0642883077683938</v>
      </c>
      <c r="L843">
        <v>243.11779398130079</v>
      </c>
      <c r="M843">
        <v>0</v>
      </c>
      <c r="N843">
        <v>0</v>
      </c>
      <c r="O843">
        <v>0</v>
      </c>
      <c r="P843">
        <v>0</v>
      </c>
      <c r="Q843">
        <v>-0.67853340145909358</v>
      </c>
      <c r="R843">
        <v>-14599.71599653396</v>
      </c>
      <c r="S843">
        <v>-164.96354370536321</v>
      </c>
      <c r="T843">
        <v>0</v>
      </c>
      <c r="U843">
        <v>0</v>
      </c>
      <c r="V843">
        <v>0</v>
      </c>
    </row>
    <row r="844" spans="1:22" x14ac:dyDescent="0.35">
      <c r="A844" t="s">
        <v>181</v>
      </c>
      <c r="B844" t="s">
        <v>105</v>
      </c>
      <c r="C844">
        <v>51645.7</v>
      </c>
      <c r="D844">
        <v>1.0366115004496459</v>
      </c>
      <c r="E844">
        <v>0.28582713314200409</v>
      </c>
      <c r="F844">
        <v>80038.14</v>
      </c>
      <c r="G844">
        <v>32860.236300339107</v>
      </c>
      <c r="H844">
        <v>32860.236300339107</v>
      </c>
      <c r="I844">
        <v>-1.153025322652397</v>
      </c>
      <c r="J844">
        <v>9.0623087388066223E-2</v>
      </c>
      <c r="K844">
        <v>1.2402612961513431</v>
      </c>
      <c r="L844">
        <v>2977.896065838137</v>
      </c>
      <c r="M844">
        <v>0</v>
      </c>
      <c r="N844">
        <v>0</v>
      </c>
      <c r="O844">
        <v>0</v>
      </c>
      <c r="P844">
        <v>0</v>
      </c>
      <c r="Q844">
        <v>-0.22102528661348839</v>
      </c>
      <c r="R844">
        <v>-7262.9431464694071</v>
      </c>
      <c r="S844">
        <v>-658.19033145705373</v>
      </c>
      <c r="T844">
        <v>0</v>
      </c>
      <c r="U844">
        <v>0</v>
      </c>
      <c r="V844">
        <v>0</v>
      </c>
    </row>
    <row r="845" spans="1:22" x14ac:dyDescent="0.35">
      <c r="A845" t="s">
        <v>181</v>
      </c>
      <c r="B845" t="s">
        <v>106</v>
      </c>
      <c r="C845">
        <v>51630.5</v>
      </c>
      <c r="D845">
        <v>0.25463095682891512</v>
      </c>
      <c r="E845">
        <v>0.2319319891223412</v>
      </c>
      <c r="F845">
        <v>106862.2</v>
      </c>
      <c r="G845">
        <v>30173.051455287681</v>
      </c>
      <c r="H845">
        <v>30173.051455287681</v>
      </c>
      <c r="I845">
        <v>-1.325818070102015</v>
      </c>
      <c r="J845">
        <v>6.5888238453345904E-2</v>
      </c>
      <c r="K845">
        <v>1.0366115004496459</v>
      </c>
      <c r="L845">
        <v>1988.049209151071</v>
      </c>
      <c r="M845">
        <v>0</v>
      </c>
      <c r="N845">
        <v>0</v>
      </c>
      <c r="O845">
        <v>0</v>
      </c>
      <c r="P845">
        <v>0</v>
      </c>
      <c r="Q845">
        <v>0.36452384546001992</v>
      </c>
      <c r="R845">
        <v>10998.796745744519</v>
      </c>
      <c r="S845">
        <v>724.69134268349967</v>
      </c>
      <c r="T845">
        <v>0</v>
      </c>
      <c r="U845">
        <v>0</v>
      </c>
      <c r="V845">
        <v>0</v>
      </c>
    </row>
    <row r="846" spans="1:22" x14ac:dyDescent="0.35">
      <c r="A846" t="s">
        <v>181</v>
      </c>
      <c r="B846" t="s">
        <v>107</v>
      </c>
      <c r="C846">
        <v>51821.8</v>
      </c>
      <c r="D846">
        <v>0.67146572401544224</v>
      </c>
      <c r="E846">
        <v>0.1956674455616231</v>
      </c>
      <c r="F846">
        <v>94947.06</v>
      </c>
      <c r="G846">
        <v>-5865.0461574176588</v>
      </c>
      <c r="H846">
        <v>-5865.0461574176588</v>
      </c>
      <c r="I846">
        <v>-1.4420855044106919</v>
      </c>
      <c r="J846">
        <v>5.2941616628721183E-2</v>
      </c>
      <c r="K846">
        <v>0.25463095682891512</v>
      </c>
      <c r="L846">
        <v>-310.50502517576001</v>
      </c>
      <c r="M846">
        <v>0</v>
      </c>
      <c r="N846">
        <v>0</v>
      </c>
      <c r="O846">
        <v>0</v>
      </c>
      <c r="P846">
        <v>0</v>
      </c>
      <c r="Q846">
        <v>0.79834583167292728</v>
      </c>
      <c r="R846">
        <v>-4682.3351523437068</v>
      </c>
      <c r="S846">
        <v>-247.89039256256541</v>
      </c>
      <c r="T846">
        <v>0</v>
      </c>
      <c r="U846">
        <v>0</v>
      </c>
      <c r="V846">
        <v>0</v>
      </c>
    </row>
    <row r="847" spans="1:22" x14ac:dyDescent="0.35">
      <c r="A847" t="s">
        <v>181</v>
      </c>
      <c r="B847" t="s">
        <v>108</v>
      </c>
      <c r="C847">
        <v>52255.199999999997</v>
      </c>
      <c r="D847">
        <v>1.233870410184734</v>
      </c>
      <c r="E847">
        <v>0.32504962792480557</v>
      </c>
      <c r="F847">
        <v>81871.73</v>
      </c>
      <c r="G847">
        <v>-6116.8052336188266</v>
      </c>
      <c r="H847">
        <v>-6116.8052336188266</v>
      </c>
      <c r="I847">
        <v>-1.0272744269339249</v>
      </c>
      <c r="J847">
        <v>0.1135935512301452</v>
      </c>
      <c r="K847">
        <v>0.67146572401544224</v>
      </c>
      <c r="L847">
        <v>-694.82962866990067</v>
      </c>
      <c r="M847">
        <v>0</v>
      </c>
      <c r="N847">
        <v>0</v>
      </c>
      <c r="O847">
        <v>0</v>
      </c>
      <c r="P847">
        <v>0</v>
      </c>
      <c r="Q847">
        <v>1.468003029688445</v>
      </c>
      <c r="R847">
        <v>-8979.4886149665726</v>
      </c>
      <c r="S847">
        <v>-1020.012000004711</v>
      </c>
      <c r="T847">
        <v>0</v>
      </c>
      <c r="U847">
        <v>0</v>
      </c>
      <c r="V847">
        <v>0</v>
      </c>
    </row>
    <row r="848" spans="1:22" x14ac:dyDescent="0.35">
      <c r="A848" t="s">
        <v>181</v>
      </c>
      <c r="B848" t="s">
        <v>109</v>
      </c>
      <c r="C848">
        <v>52451.8</v>
      </c>
      <c r="D848">
        <v>1.5487713214115031</v>
      </c>
      <c r="E848">
        <v>0.2561569161513928</v>
      </c>
      <c r="F848">
        <v>77922.84</v>
      </c>
      <c r="G848">
        <v>1879.7276364797731</v>
      </c>
      <c r="H848">
        <v>1879.7276364797731</v>
      </c>
      <c r="I848">
        <v>-1.2481507445153319</v>
      </c>
      <c r="J848">
        <v>7.6117866458197389E-2</v>
      </c>
      <c r="K848">
        <v>1.233870410184734</v>
      </c>
      <c r="L848">
        <v>143.08085721135029</v>
      </c>
      <c r="M848">
        <v>0</v>
      </c>
      <c r="N848">
        <v>0</v>
      </c>
      <c r="O848">
        <v>0</v>
      </c>
      <c r="P848">
        <v>0</v>
      </c>
      <c r="Q848">
        <v>2.4609860974146982</v>
      </c>
      <c r="R848">
        <v>4625.98358030291</v>
      </c>
      <c r="S848">
        <v>352.12000040331083</v>
      </c>
      <c r="T848">
        <v>0</v>
      </c>
      <c r="U848">
        <v>0</v>
      </c>
      <c r="V848">
        <v>0</v>
      </c>
    </row>
    <row r="849" spans="1:4" x14ac:dyDescent="0.35">
      <c r="A849" t="s">
        <v>181</v>
      </c>
      <c r="B849" t="s">
        <v>4</v>
      </c>
      <c r="C849">
        <v>38828.800000000003</v>
      </c>
    </row>
    <row r="850" spans="1:4" x14ac:dyDescent="0.35">
      <c r="A850" t="s">
        <v>181</v>
      </c>
      <c r="B850" t="s">
        <v>5</v>
      </c>
      <c r="C850">
        <v>39129</v>
      </c>
    </row>
    <row r="851" spans="1:4" x14ac:dyDescent="0.35">
      <c r="A851" t="s">
        <v>181</v>
      </c>
      <c r="B851" t="s">
        <v>6</v>
      </c>
      <c r="C851">
        <v>39737.599999999999</v>
      </c>
    </row>
    <row r="852" spans="1:4" x14ac:dyDescent="0.35">
      <c r="A852" t="s">
        <v>181</v>
      </c>
      <c r="B852" t="s">
        <v>7</v>
      </c>
      <c r="C852">
        <v>40190.6</v>
      </c>
    </row>
    <row r="853" spans="1:4" x14ac:dyDescent="0.35">
      <c r="A853" t="s">
        <v>181</v>
      </c>
      <c r="B853" t="s">
        <v>8</v>
      </c>
      <c r="C853">
        <v>40387.199999999997</v>
      </c>
      <c r="D853">
        <v>3.935066375638733</v>
      </c>
    </row>
    <row r="854" spans="1:4" x14ac:dyDescent="0.35">
      <c r="A854" t="s">
        <v>181</v>
      </c>
      <c r="B854" t="s">
        <v>9</v>
      </c>
      <c r="C854">
        <v>40416.699999999997</v>
      </c>
      <c r="D854">
        <v>3.2379185835155009</v>
      </c>
    </row>
    <row r="855" spans="1:4" x14ac:dyDescent="0.35">
      <c r="A855" t="s">
        <v>181</v>
      </c>
      <c r="B855" t="s">
        <v>10</v>
      </c>
      <c r="C855">
        <v>40692.800000000003</v>
      </c>
      <c r="D855">
        <v>2.375332987387385</v>
      </c>
    </row>
    <row r="856" spans="1:4" x14ac:dyDescent="0.35">
      <c r="A856" t="s">
        <v>181</v>
      </c>
      <c r="B856" t="s">
        <v>11</v>
      </c>
      <c r="C856">
        <v>40559.699999999997</v>
      </c>
      <c r="D856">
        <v>0.91418253693600815</v>
      </c>
    </row>
    <row r="857" spans="1:4" x14ac:dyDescent="0.35">
      <c r="A857" t="s">
        <v>181</v>
      </c>
      <c r="B857" t="s">
        <v>12</v>
      </c>
      <c r="C857">
        <v>40843</v>
      </c>
      <c r="D857">
        <v>1.122254491113915</v>
      </c>
    </row>
    <row r="858" spans="1:4" x14ac:dyDescent="0.35">
      <c r="A858" t="s">
        <v>181</v>
      </c>
      <c r="B858" t="s">
        <v>13</v>
      </c>
      <c r="C858">
        <v>41213.800000000003</v>
      </c>
      <c r="D858">
        <v>1.953008583666495</v>
      </c>
    </row>
    <row r="859" spans="1:4" x14ac:dyDescent="0.35">
      <c r="A859" t="s">
        <v>181</v>
      </c>
      <c r="B859" t="s">
        <v>14</v>
      </c>
      <c r="C859">
        <v>41125.300000000003</v>
      </c>
      <c r="D859">
        <v>1.0572331269500039</v>
      </c>
    </row>
    <row r="860" spans="1:4" x14ac:dyDescent="0.35">
      <c r="A860" t="s">
        <v>181</v>
      </c>
      <c r="B860" t="s">
        <v>15</v>
      </c>
      <c r="C860">
        <v>41608.800000000003</v>
      </c>
      <c r="D860">
        <v>2.5536720551781009</v>
      </c>
    </row>
    <row r="861" spans="1:4" x14ac:dyDescent="0.35">
      <c r="A861" t="s">
        <v>181</v>
      </c>
      <c r="B861" t="s">
        <v>16</v>
      </c>
      <c r="C861">
        <v>41299.599999999999</v>
      </c>
      <c r="D861">
        <v>1.1117366696747011</v>
      </c>
    </row>
    <row r="862" spans="1:4" x14ac:dyDescent="0.35">
      <c r="A862" t="s">
        <v>181</v>
      </c>
      <c r="B862" t="s">
        <v>17</v>
      </c>
      <c r="C862">
        <v>41904.6</v>
      </c>
      <c r="D862">
        <v>1.662245437692591</v>
      </c>
    </row>
    <row r="863" spans="1:4" x14ac:dyDescent="0.35">
      <c r="A863" t="s">
        <v>181</v>
      </c>
      <c r="B863" t="s">
        <v>18</v>
      </c>
      <c r="C863">
        <v>42405</v>
      </c>
      <c r="D863">
        <v>3.0642775921907668</v>
      </c>
    </row>
    <row r="864" spans="1:4" x14ac:dyDescent="0.35">
      <c r="A864" t="s">
        <v>181</v>
      </c>
      <c r="B864" t="s">
        <v>19</v>
      </c>
      <c r="C864">
        <v>42496.1</v>
      </c>
      <c r="D864">
        <v>2.1100623656199868</v>
      </c>
    </row>
    <row r="865" spans="1:4" x14ac:dyDescent="0.35">
      <c r="A865" t="s">
        <v>181</v>
      </c>
      <c r="B865" t="s">
        <v>20</v>
      </c>
      <c r="C865">
        <v>43032.3</v>
      </c>
      <c r="D865">
        <v>4.1098181812630923</v>
      </c>
    </row>
    <row r="866" spans="1:4" x14ac:dyDescent="0.35">
      <c r="A866" t="s">
        <v>181</v>
      </c>
      <c r="B866" t="s">
        <v>21</v>
      </c>
      <c r="C866">
        <v>43383.5</v>
      </c>
      <c r="D866">
        <v>3.4683578381174658</v>
      </c>
    </row>
    <row r="867" spans="1:4" x14ac:dyDescent="0.35">
      <c r="A867" t="s">
        <v>181</v>
      </c>
      <c r="B867" t="s">
        <v>22</v>
      </c>
      <c r="C867">
        <v>43875.9</v>
      </c>
      <c r="D867">
        <v>3.4098914582494411</v>
      </c>
    </row>
    <row r="868" spans="1:4" x14ac:dyDescent="0.35">
      <c r="A868" t="s">
        <v>181</v>
      </c>
      <c r="B868" t="s">
        <v>23</v>
      </c>
      <c r="C868">
        <v>44547.8</v>
      </c>
      <c r="D868">
        <v>4.7150462967552098</v>
      </c>
    </row>
    <row r="869" spans="1:4" x14ac:dyDescent="0.35">
      <c r="A869" t="s">
        <v>181</v>
      </c>
      <c r="B869" t="s">
        <v>24</v>
      </c>
      <c r="C869">
        <v>44986.6</v>
      </c>
      <c r="D869">
        <v>4.4413671145244491</v>
      </c>
    </row>
    <row r="870" spans="1:4" x14ac:dyDescent="0.35">
      <c r="A870" t="s">
        <v>181</v>
      </c>
      <c r="B870" t="s">
        <v>25</v>
      </c>
      <c r="C870">
        <v>44428.1</v>
      </c>
      <c r="D870">
        <v>2.3792967648972159</v>
      </c>
    </row>
    <row r="871" spans="1:4" x14ac:dyDescent="0.35">
      <c r="A871" t="s">
        <v>181</v>
      </c>
      <c r="B871" t="s">
        <v>26</v>
      </c>
      <c r="C871">
        <v>45072.4</v>
      </c>
      <c r="D871">
        <v>2.690489138786516</v>
      </c>
    </row>
    <row r="872" spans="1:4" x14ac:dyDescent="0.35">
      <c r="A872" t="s">
        <v>181</v>
      </c>
      <c r="B872" t="s">
        <v>27</v>
      </c>
      <c r="C872">
        <v>45207.3</v>
      </c>
      <c r="D872">
        <v>1.469580824112626</v>
      </c>
    </row>
    <row r="873" spans="1:4" x14ac:dyDescent="0.35">
      <c r="A873" t="s">
        <v>181</v>
      </c>
      <c r="B873" t="s">
        <v>28</v>
      </c>
      <c r="C873">
        <v>46356.5</v>
      </c>
      <c r="D873">
        <v>2.9996851856297071</v>
      </c>
    </row>
    <row r="874" spans="1:4" x14ac:dyDescent="0.35">
      <c r="A874" t="s">
        <v>181</v>
      </c>
      <c r="B874" t="s">
        <v>29</v>
      </c>
      <c r="C874">
        <v>46427.1</v>
      </c>
      <c r="D874">
        <v>4.4011188329371471</v>
      </c>
    </row>
    <row r="875" spans="1:4" x14ac:dyDescent="0.35">
      <c r="A875" t="s">
        <v>181</v>
      </c>
      <c r="B875" t="s">
        <v>30</v>
      </c>
      <c r="C875">
        <v>46871.199999999997</v>
      </c>
      <c r="D875">
        <v>3.9133328553805451</v>
      </c>
    </row>
    <row r="876" spans="1:4" x14ac:dyDescent="0.35">
      <c r="A876" t="s">
        <v>181</v>
      </c>
      <c r="B876" t="s">
        <v>31</v>
      </c>
      <c r="C876">
        <v>47263.5</v>
      </c>
      <c r="D876">
        <v>4.4479749194383622</v>
      </c>
    </row>
    <row r="877" spans="1:4" x14ac:dyDescent="0.35">
      <c r="A877" t="s">
        <v>181</v>
      </c>
      <c r="B877" t="s">
        <v>32</v>
      </c>
      <c r="C877">
        <v>48200</v>
      </c>
      <c r="D877">
        <v>3.899750155232149</v>
      </c>
    </row>
    <row r="878" spans="1:4" x14ac:dyDescent="0.35">
      <c r="A878" t="s">
        <v>181</v>
      </c>
      <c r="B878" t="s">
        <v>33</v>
      </c>
      <c r="C878">
        <v>49027.5</v>
      </c>
      <c r="D878">
        <v>5.4498024708337249</v>
      </c>
    </row>
    <row r="879" spans="1:4" x14ac:dyDescent="0.35">
      <c r="A879" t="s">
        <v>181</v>
      </c>
      <c r="B879" t="s">
        <v>34</v>
      </c>
      <c r="C879">
        <v>49490.400000000001</v>
      </c>
      <c r="D879">
        <v>5.4375297034200756</v>
      </c>
    </row>
    <row r="880" spans="1:4" x14ac:dyDescent="0.35">
      <c r="A880" t="s">
        <v>181</v>
      </c>
      <c r="B880" t="s">
        <v>35</v>
      </c>
      <c r="C880">
        <v>50129.3</v>
      </c>
      <c r="D880">
        <v>5.8867340066611904</v>
      </c>
    </row>
    <row r="881" spans="1:4" x14ac:dyDescent="0.35">
      <c r="A881" t="s">
        <v>181</v>
      </c>
      <c r="B881" t="s">
        <v>36</v>
      </c>
      <c r="C881">
        <v>50074.8</v>
      </c>
      <c r="D881">
        <v>3.815886647836487</v>
      </c>
    </row>
    <row r="882" spans="1:4" x14ac:dyDescent="0.35">
      <c r="A882" t="s">
        <v>181</v>
      </c>
      <c r="B882" t="s">
        <v>37</v>
      </c>
      <c r="C882">
        <v>49689.599999999999</v>
      </c>
      <c r="D882">
        <v>1.3414290499532759</v>
      </c>
    </row>
    <row r="883" spans="1:4" x14ac:dyDescent="0.35">
      <c r="A883" t="s">
        <v>181</v>
      </c>
      <c r="B883" t="s">
        <v>38</v>
      </c>
      <c r="C883">
        <v>49856.7</v>
      </c>
      <c r="D883">
        <v>0.73741792141448681</v>
      </c>
    </row>
    <row r="884" spans="1:4" x14ac:dyDescent="0.35">
      <c r="A884" t="s">
        <v>181</v>
      </c>
      <c r="B884" t="s">
        <v>39</v>
      </c>
      <c r="C884">
        <v>48771.9</v>
      </c>
      <c r="D884">
        <v>-2.7451340144369949</v>
      </c>
    </row>
    <row r="885" spans="1:4" x14ac:dyDescent="0.35">
      <c r="A885" t="s">
        <v>181</v>
      </c>
      <c r="B885" t="s">
        <v>40</v>
      </c>
      <c r="C885">
        <v>45602.3</v>
      </c>
      <c r="D885">
        <v>-9.355973369007101</v>
      </c>
    </row>
    <row r="886" spans="1:4" x14ac:dyDescent="0.35">
      <c r="A886" t="s">
        <v>181</v>
      </c>
      <c r="B886" t="s">
        <v>41</v>
      </c>
      <c r="C886">
        <v>45408.4</v>
      </c>
      <c r="D886">
        <v>-9.0098545713120011</v>
      </c>
    </row>
    <row r="887" spans="1:4" x14ac:dyDescent="0.35">
      <c r="A887" t="s">
        <v>181</v>
      </c>
      <c r="B887" t="s">
        <v>42</v>
      </c>
      <c r="C887">
        <v>45842.7</v>
      </c>
      <c r="D887">
        <v>-8.3936919390697522</v>
      </c>
    </row>
    <row r="888" spans="1:4" x14ac:dyDescent="0.35">
      <c r="A888" t="s">
        <v>181</v>
      </c>
      <c r="B888" t="s">
        <v>43</v>
      </c>
      <c r="C888">
        <v>45518.3</v>
      </c>
      <c r="D888">
        <v>-6.9039884439907357</v>
      </c>
    </row>
    <row r="889" spans="1:4" x14ac:dyDescent="0.35">
      <c r="A889" t="s">
        <v>181</v>
      </c>
      <c r="B889" t="s">
        <v>44</v>
      </c>
      <c r="C889">
        <v>45914.2</v>
      </c>
      <c r="D889">
        <v>0.68162835689005641</v>
      </c>
    </row>
    <row r="890" spans="1:4" x14ac:dyDescent="0.35">
      <c r="A890" t="s">
        <v>181</v>
      </c>
      <c r="B890" t="s">
        <v>45</v>
      </c>
      <c r="C890">
        <v>47228.7</v>
      </c>
      <c r="D890">
        <v>3.930464869168405</v>
      </c>
    </row>
    <row r="891" spans="1:4" x14ac:dyDescent="0.35">
      <c r="A891" t="s">
        <v>181</v>
      </c>
      <c r="B891" t="s">
        <v>46</v>
      </c>
      <c r="C891">
        <v>46996.3</v>
      </c>
      <c r="D891">
        <v>2.4852904011476888</v>
      </c>
    </row>
    <row r="892" spans="1:4" x14ac:dyDescent="0.35">
      <c r="A892" t="s">
        <v>181</v>
      </c>
      <c r="B892" t="s">
        <v>47</v>
      </c>
      <c r="C892">
        <v>48007.9</v>
      </c>
      <c r="D892">
        <v>5.3251137799626456</v>
      </c>
    </row>
    <row r="893" spans="1:4" x14ac:dyDescent="0.35">
      <c r="A893" t="s">
        <v>181</v>
      </c>
      <c r="B893" t="s">
        <v>48</v>
      </c>
      <c r="C893">
        <v>48209.8</v>
      </c>
      <c r="D893">
        <v>4.8787882478271749</v>
      </c>
    </row>
    <row r="894" spans="1:4" x14ac:dyDescent="0.35">
      <c r="A894" t="s">
        <v>181</v>
      </c>
      <c r="B894" t="s">
        <v>49</v>
      </c>
      <c r="C894">
        <v>48090.1</v>
      </c>
      <c r="D894">
        <v>1.8074576070849171</v>
      </c>
    </row>
    <row r="895" spans="1:4" x14ac:dyDescent="0.35">
      <c r="A895" t="s">
        <v>181</v>
      </c>
      <c r="B895" t="s">
        <v>50</v>
      </c>
      <c r="C895">
        <v>48149.1</v>
      </c>
      <c r="D895">
        <v>2.423357127370616</v>
      </c>
    </row>
    <row r="896" spans="1:4" x14ac:dyDescent="0.35">
      <c r="A896" t="s">
        <v>181</v>
      </c>
      <c r="B896" t="s">
        <v>51</v>
      </c>
      <c r="C896">
        <v>48196.4</v>
      </c>
      <c r="D896">
        <v>0.39187487716536901</v>
      </c>
    </row>
    <row r="897" spans="1:5" x14ac:dyDescent="0.35">
      <c r="A897" t="s">
        <v>181</v>
      </c>
      <c r="B897" t="s">
        <v>52</v>
      </c>
      <c r="C897">
        <v>47902.400000000001</v>
      </c>
      <c r="D897">
        <v>-0.63967123462002207</v>
      </c>
    </row>
    <row r="898" spans="1:5" x14ac:dyDescent="0.35">
      <c r="A898" t="s">
        <v>181</v>
      </c>
      <c r="B898" t="s">
        <v>53</v>
      </c>
      <c r="C898">
        <v>47400.2</v>
      </c>
      <c r="D898">
        <v>-1.444988662039127</v>
      </c>
    </row>
    <row r="899" spans="1:5" x14ac:dyDescent="0.35">
      <c r="A899" t="s">
        <v>181</v>
      </c>
      <c r="B899" t="s">
        <v>54</v>
      </c>
      <c r="C899">
        <v>47233.1</v>
      </c>
      <c r="D899">
        <v>-1.9207528478450719</v>
      </c>
    </row>
    <row r="900" spans="1:5" x14ac:dyDescent="0.35">
      <c r="A900" t="s">
        <v>181</v>
      </c>
      <c r="B900" t="s">
        <v>55</v>
      </c>
      <c r="C900">
        <v>47175</v>
      </c>
      <c r="D900">
        <v>-2.1420238215913181</v>
      </c>
    </row>
    <row r="901" spans="1:5" x14ac:dyDescent="0.35">
      <c r="A901" t="s">
        <v>181</v>
      </c>
      <c r="B901" t="s">
        <v>56</v>
      </c>
      <c r="C901">
        <v>46765.8</v>
      </c>
      <c r="D901">
        <v>-2.4013440994976909</v>
      </c>
    </row>
    <row r="902" spans="1:5" x14ac:dyDescent="0.35">
      <c r="A902" t="s">
        <v>181</v>
      </c>
      <c r="B902" t="s">
        <v>57</v>
      </c>
      <c r="C902">
        <v>46974</v>
      </c>
      <c r="D902">
        <v>-0.90321909475796769</v>
      </c>
    </row>
    <row r="903" spans="1:5" x14ac:dyDescent="0.35">
      <c r="A903" t="s">
        <v>181</v>
      </c>
      <c r="B903" t="s">
        <v>58</v>
      </c>
      <c r="C903">
        <v>47099.1</v>
      </c>
      <c r="D903">
        <v>-0.28410254426570902</v>
      </c>
    </row>
    <row r="904" spans="1:5" x14ac:dyDescent="0.35">
      <c r="A904" t="s">
        <v>181</v>
      </c>
      <c r="B904" t="s">
        <v>59</v>
      </c>
      <c r="C904">
        <v>47016</v>
      </c>
      <c r="D904">
        <v>-0.33761219442645912</v>
      </c>
    </row>
    <row r="905" spans="1:5" x14ac:dyDescent="0.35">
      <c r="A905" t="s">
        <v>181</v>
      </c>
      <c r="B905" t="s">
        <v>60</v>
      </c>
      <c r="C905">
        <v>46613.9</v>
      </c>
      <c r="D905">
        <v>-0.32533866350484941</v>
      </c>
    </row>
    <row r="906" spans="1:5" x14ac:dyDescent="0.35">
      <c r="A906" t="s">
        <v>181</v>
      </c>
      <c r="B906" t="s">
        <v>61</v>
      </c>
      <c r="C906">
        <v>46705</v>
      </c>
      <c r="D906">
        <v>-0.57430318290200966</v>
      </c>
    </row>
    <row r="907" spans="1:5" x14ac:dyDescent="0.35">
      <c r="A907" t="s">
        <v>181</v>
      </c>
      <c r="B907" t="s">
        <v>62</v>
      </c>
      <c r="C907">
        <v>46842.6</v>
      </c>
      <c r="D907">
        <v>-0.54608472578292744</v>
      </c>
    </row>
    <row r="908" spans="1:5" x14ac:dyDescent="0.35">
      <c r="A908" t="s">
        <v>181</v>
      </c>
      <c r="B908" t="s">
        <v>63</v>
      </c>
      <c r="C908">
        <v>46794.400000000001</v>
      </c>
      <c r="D908">
        <v>-0.47244316660102992</v>
      </c>
    </row>
    <row r="909" spans="1:5" x14ac:dyDescent="0.35">
      <c r="A909" t="s">
        <v>181</v>
      </c>
      <c r="B909" t="s">
        <v>64</v>
      </c>
      <c r="C909">
        <v>46408.3</v>
      </c>
      <c r="D909">
        <v>-0.44204573702367839</v>
      </c>
      <c r="E909">
        <v>-0.39022586343569138</v>
      </c>
    </row>
    <row r="910" spans="1:5" x14ac:dyDescent="0.35">
      <c r="A910" t="s">
        <v>181</v>
      </c>
      <c r="B910" t="s">
        <v>65</v>
      </c>
      <c r="C910">
        <v>47078.5</v>
      </c>
      <c r="D910">
        <v>0.79651958970004078</v>
      </c>
      <c r="E910">
        <v>0.15027501356869619</v>
      </c>
    </row>
    <row r="911" spans="1:5" x14ac:dyDescent="0.35">
      <c r="A911" t="s">
        <v>181</v>
      </c>
      <c r="B911" t="s">
        <v>66</v>
      </c>
      <c r="C911">
        <v>47035.6</v>
      </c>
      <c r="D911">
        <v>0.41117164987862659</v>
      </c>
      <c r="E911">
        <v>0.53157491995890427</v>
      </c>
    </row>
    <row r="912" spans="1:5" x14ac:dyDescent="0.35">
      <c r="A912" t="s">
        <v>181</v>
      </c>
      <c r="B912" t="s">
        <v>67</v>
      </c>
      <c r="C912">
        <v>47305.5</v>
      </c>
      <c r="D912">
        <v>1.0863030163428711</v>
      </c>
      <c r="E912">
        <v>0.56936520652200251</v>
      </c>
    </row>
    <row r="913" spans="1:5" x14ac:dyDescent="0.35">
      <c r="A913" t="s">
        <v>181</v>
      </c>
      <c r="B913" t="s">
        <v>68</v>
      </c>
      <c r="C913">
        <v>47856.9</v>
      </c>
      <c r="D913">
        <v>3.0736985584453289</v>
      </c>
      <c r="E913">
        <v>0.6081697135823888</v>
      </c>
    </row>
    <row r="914" spans="1:5" x14ac:dyDescent="0.35">
      <c r="A914" t="s">
        <v>181</v>
      </c>
      <c r="B914" t="s">
        <v>69</v>
      </c>
      <c r="C914">
        <v>47847</v>
      </c>
      <c r="D914">
        <v>1.619199878691421</v>
      </c>
      <c r="E914">
        <v>0.62813997339812444</v>
      </c>
    </row>
    <row r="915" spans="1:5" x14ac:dyDescent="0.35">
      <c r="A915" t="s">
        <v>181</v>
      </c>
      <c r="B915" t="s">
        <v>70</v>
      </c>
      <c r="C915">
        <v>48368.9</v>
      </c>
      <c r="D915">
        <v>2.7952283407177552</v>
      </c>
      <c r="E915">
        <v>0.62921871406756302</v>
      </c>
    </row>
    <row r="916" spans="1:5" x14ac:dyDescent="0.35">
      <c r="A916" t="s">
        <v>181</v>
      </c>
      <c r="B916" t="s">
        <v>71</v>
      </c>
      <c r="C916">
        <v>48586</v>
      </c>
      <c r="D916">
        <v>2.670885575612405</v>
      </c>
      <c r="E916">
        <v>0.64884289376424131</v>
      </c>
    </row>
    <row r="917" spans="1:5" x14ac:dyDescent="0.35">
      <c r="A917" t="s">
        <v>181</v>
      </c>
      <c r="B917" t="s">
        <v>72</v>
      </c>
      <c r="C917">
        <v>49057.9</v>
      </c>
      <c r="D917">
        <v>2.4785925055279892</v>
      </c>
      <c r="E917">
        <v>0.85328541309769135</v>
      </c>
    </row>
    <row r="918" spans="1:5" x14ac:dyDescent="0.35">
      <c r="A918" t="s">
        <v>181</v>
      </c>
      <c r="B918" t="s">
        <v>73</v>
      </c>
      <c r="C918">
        <v>49703</v>
      </c>
      <c r="D918">
        <v>3.8056873445171799</v>
      </c>
      <c r="E918">
        <v>0.82101751844928228</v>
      </c>
    </row>
    <row r="919" spans="1:5" x14ac:dyDescent="0.35">
      <c r="A919" t="s">
        <v>181</v>
      </c>
      <c r="B919" t="s">
        <v>74</v>
      </c>
      <c r="C919">
        <v>49935.4</v>
      </c>
      <c r="D919">
        <v>3.1873124868866349</v>
      </c>
      <c r="E919">
        <v>0.55441269825006712</v>
      </c>
    </row>
    <row r="920" spans="1:5" x14ac:dyDescent="0.35">
      <c r="A920" t="s">
        <v>181</v>
      </c>
      <c r="B920" t="s">
        <v>75</v>
      </c>
      <c r="C920">
        <v>50328.6</v>
      </c>
      <c r="D920">
        <v>3.5238080425810359</v>
      </c>
      <c r="E920">
        <v>0.64890371119837631</v>
      </c>
    </row>
    <row r="921" spans="1:5" x14ac:dyDescent="0.35">
      <c r="A921" t="s">
        <v>181</v>
      </c>
      <c r="B921" t="s">
        <v>76</v>
      </c>
      <c r="C921">
        <v>50437.599999999999</v>
      </c>
      <c r="D921">
        <v>2.7735695494707491</v>
      </c>
      <c r="E921">
        <v>0.5621858675941005</v>
      </c>
    </row>
    <row r="922" spans="1:5" x14ac:dyDescent="0.35">
      <c r="A922" t="s">
        <v>181</v>
      </c>
      <c r="B922" t="s">
        <v>77</v>
      </c>
      <c r="C922">
        <v>50338.400000000001</v>
      </c>
      <c r="D922">
        <v>1.270291187846724</v>
      </c>
      <c r="E922">
        <v>0.34362344950477092</v>
      </c>
    </row>
    <row r="923" spans="1:5" x14ac:dyDescent="0.35">
      <c r="A923" t="s">
        <v>181</v>
      </c>
      <c r="B923" t="s">
        <v>78</v>
      </c>
      <c r="C923">
        <v>50289.2</v>
      </c>
      <c r="D923">
        <v>0.70601722456553762</v>
      </c>
      <c r="E923">
        <v>-0.36124342683803412</v>
      </c>
    </row>
    <row r="924" spans="1:5" x14ac:dyDescent="0.35">
      <c r="A924" t="s">
        <v>181</v>
      </c>
      <c r="B924" t="s">
        <v>79</v>
      </c>
      <c r="C924">
        <v>50333.9</v>
      </c>
      <c r="D924">
        <v>1.0530237188437709E-2</v>
      </c>
      <c r="E924">
        <v>0.77555247523006809</v>
      </c>
    </row>
    <row r="925" spans="1:5" x14ac:dyDescent="0.35">
      <c r="A925" t="s">
        <v>181</v>
      </c>
      <c r="B925" t="s">
        <v>80</v>
      </c>
      <c r="C925">
        <v>50770.9</v>
      </c>
      <c r="D925">
        <v>0.65864271263190133</v>
      </c>
      <c r="E925">
        <v>0.82277789387702627</v>
      </c>
    </row>
    <row r="926" spans="1:5" x14ac:dyDescent="0.35">
      <c r="A926" t="s">
        <v>181</v>
      </c>
      <c r="B926" t="s">
        <v>81</v>
      </c>
      <c r="C926">
        <v>51129.2</v>
      </c>
      <c r="D926">
        <v>1.5587557245584931</v>
      </c>
      <c r="E926">
        <v>0.84316170743394436</v>
      </c>
    </row>
    <row r="927" spans="1:5" x14ac:dyDescent="0.35">
      <c r="A927" t="s">
        <v>181</v>
      </c>
      <c r="B927" t="s">
        <v>82</v>
      </c>
      <c r="C927">
        <v>51158.7</v>
      </c>
      <c r="D927">
        <v>1.7142223588647461</v>
      </c>
      <c r="E927">
        <v>0.87532164416890335</v>
      </c>
    </row>
    <row r="928" spans="1:5" x14ac:dyDescent="0.35">
      <c r="A928" t="s">
        <v>181</v>
      </c>
      <c r="B928" t="s">
        <v>83</v>
      </c>
      <c r="C928">
        <v>51058.6</v>
      </c>
      <c r="D928">
        <v>1.4295186352780269</v>
      </c>
      <c r="E928">
        <v>0.87194054741041294</v>
      </c>
    </row>
    <row r="929" spans="1:5" x14ac:dyDescent="0.35">
      <c r="A929" t="s">
        <v>181</v>
      </c>
      <c r="B929" t="s">
        <v>84</v>
      </c>
      <c r="C929">
        <v>50950.5</v>
      </c>
      <c r="D929">
        <v>0.35312173569524902</v>
      </c>
      <c r="E929">
        <v>0.92123441011730101</v>
      </c>
    </row>
    <row r="930" spans="1:5" x14ac:dyDescent="0.35">
      <c r="A930" t="s">
        <v>181</v>
      </c>
      <c r="B930" t="s">
        <v>85</v>
      </c>
      <c r="C930">
        <v>47628.1</v>
      </c>
      <c r="D930">
        <v>-7.0932839385952144</v>
      </c>
      <c r="E930">
        <v>0.97525918278650325</v>
      </c>
    </row>
    <row r="931" spans="1:5" x14ac:dyDescent="0.35">
      <c r="A931" t="s">
        <v>181</v>
      </c>
      <c r="B931" t="s">
        <v>86</v>
      </c>
      <c r="C931">
        <v>49981.8</v>
      </c>
      <c r="D931">
        <v>-2.327362674678954</v>
      </c>
      <c r="E931">
        <v>0.98002621789385214</v>
      </c>
    </row>
    <row r="932" spans="1:5" x14ac:dyDescent="0.35">
      <c r="A932" t="s">
        <v>181</v>
      </c>
      <c r="B932" t="s">
        <v>87</v>
      </c>
      <c r="C932">
        <v>50474.2</v>
      </c>
      <c r="D932">
        <v>-1.1511678071480249</v>
      </c>
      <c r="E932">
        <v>0.96395414456059292</v>
      </c>
    </row>
    <row r="933" spans="1:5" x14ac:dyDescent="0.35">
      <c r="A933" t="s">
        <v>181</v>
      </c>
      <c r="B933" t="s">
        <v>88</v>
      </c>
      <c r="C933">
        <v>50135.5</v>
      </c>
      <c r="D933">
        <v>-1.612523316440861</v>
      </c>
      <c r="E933">
        <v>0.9525453901426002</v>
      </c>
    </row>
    <row r="934" spans="1:5" x14ac:dyDescent="0.35">
      <c r="A934" t="s">
        <v>181</v>
      </c>
      <c r="B934" t="s">
        <v>89</v>
      </c>
      <c r="C934">
        <v>50908.5</v>
      </c>
      <c r="D934">
        <v>6.660698052860516</v>
      </c>
      <c r="E934">
        <v>0.92117933254764095</v>
      </c>
    </row>
    <row r="935" spans="1:5" x14ac:dyDescent="0.35">
      <c r="A935" t="s">
        <v>181</v>
      </c>
      <c r="B935" t="s">
        <v>90</v>
      </c>
      <c r="C935">
        <v>51469.7</v>
      </c>
      <c r="D935">
        <v>2.9334345845569412</v>
      </c>
      <c r="E935">
        <v>0.90476823675518758</v>
      </c>
    </row>
    <row r="936" spans="1:5" x14ac:dyDescent="0.35">
      <c r="A936" t="s">
        <v>181</v>
      </c>
      <c r="B936" t="s">
        <v>91</v>
      </c>
      <c r="C936">
        <v>51848.6</v>
      </c>
      <c r="D936">
        <v>2.6865618703797081</v>
      </c>
      <c r="E936">
        <v>0.89392691851617434</v>
      </c>
    </row>
    <row r="937" spans="1:5" x14ac:dyDescent="0.35">
      <c r="A937" t="s">
        <v>181</v>
      </c>
      <c r="B937" t="s">
        <v>92</v>
      </c>
      <c r="C937">
        <v>51520.6</v>
      </c>
      <c r="D937">
        <v>2.7252387692155708</v>
      </c>
      <c r="E937">
        <v>0.87139703337224794</v>
      </c>
    </row>
    <row r="938" spans="1:5" x14ac:dyDescent="0.35">
      <c r="A938" t="s">
        <v>181</v>
      </c>
      <c r="B938" t="s">
        <v>93</v>
      </c>
      <c r="C938">
        <v>51671.6</v>
      </c>
      <c r="D938">
        <v>1.4878403843206249</v>
      </c>
      <c r="E938">
        <v>0.83562205778513454</v>
      </c>
    </row>
    <row r="939" spans="1:5" x14ac:dyDescent="0.35">
      <c r="A939" t="s">
        <v>181</v>
      </c>
      <c r="B939" t="s">
        <v>94</v>
      </c>
      <c r="C939">
        <v>51616.2</v>
      </c>
      <c r="D939">
        <v>0.28422916931703651</v>
      </c>
      <c r="E939">
        <v>0.83518753506855625</v>
      </c>
    </row>
    <row r="940" spans="1:5" x14ac:dyDescent="0.35">
      <c r="A940" t="s">
        <v>181</v>
      </c>
      <c r="B940" t="s">
        <v>95</v>
      </c>
      <c r="C940">
        <v>51113.1</v>
      </c>
      <c r="D940">
        <v>-1.428710891337686</v>
      </c>
      <c r="E940">
        <v>0.82347302684200141</v>
      </c>
    </row>
    <row r="941" spans="1:5" x14ac:dyDescent="0.35">
      <c r="A941" t="s">
        <v>181</v>
      </c>
      <c r="B941" t="s">
        <v>96</v>
      </c>
      <c r="C941">
        <v>51164.1</v>
      </c>
      <c r="D941">
        <v>-0.6943613456523402</v>
      </c>
      <c r="E941">
        <v>0.66023696776915897</v>
      </c>
    </row>
    <row r="942" spans="1:5" x14ac:dyDescent="0.35">
      <c r="A942" t="s">
        <v>181</v>
      </c>
      <c r="B942" t="s">
        <v>97</v>
      </c>
      <c r="C942">
        <v>51205.2</v>
      </c>
      <c r="D942">
        <v>-0.90672181754695214</v>
      </c>
      <c r="E942">
        <v>0.54115951049742483</v>
      </c>
    </row>
    <row r="943" spans="1:5" x14ac:dyDescent="0.35">
      <c r="A943" t="s">
        <v>181</v>
      </c>
      <c r="B943" t="s">
        <v>98</v>
      </c>
      <c r="C943">
        <v>50473.3</v>
      </c>
      <c r="D943">
        <v>-2.2391093110712972</v>
      </c>
      <c r="E943">
        <v>0.55946186841103696</v>
      </c>
    </row>
    <row r="944" spans="1:5" x14ac:dyDescent="0.35">
      <c r="A944" t="s">
        <v>181</v>
      </c>
      <c r="B944" t="s">
        <v>99</v>
      </c>
      <c r="C944">
        <v>50423.3</v>
      </c>
      <c r="D944">
        <v>-1.35874545971376</v>
      </c>
      <c r="E944">
        <v>0.57328215951564387</v>
      </c>
    </row>
    <row r="945" spans="1:5" x14ac:dyDescent="0.35">
      <c r="A945" t="s">
        <v>181</v>
      </c>
      <c r="B945" t="s">
        <v>100</v>
      </c>
      <c r="C945">
        <v>50978.2</v>
      </c>
      <c r="D945">
        <v>-0.36400238737728652</v>
      </c>
      <c r="E945">
        <v>0.45675746128502892</v>
      </c>
    </row>
    <row r="946" spans="1:5" x14ac:dyDescent="0.35">
      <c r="A946" t="s">
        <v>181</v>
      </c>
      <c r="B946" t="s">
        <v>101</v>
      </c>
      <c r="C946">
        <v>51113.1</v>
      </c>
      <c r="D946">
        <v>-0.1800264955033839</v>
      </c>
      <c r="E946">
        <v>0.2208649046275051</v>
      </c>
    </row>
    <row r="947" spans="1:5" x14ac:dyDescent="0.35">
      <c r="A947" t="s">
        <v>181</v>
      </c>
      <c r="B947" t="s">
        <v>102</v>
      </c>
      <c r="C947">
        <v>51499.199999999997</v>
      </c>
      <c r="D947">
        <v>2.0121789976361888</v>
      </c>
      <c r="E947">
        <v>-6.7366504499545413E-2</v>
      </c>
    </row>
    <row r="948" spans="1:5" x14ac:dyDescent="0.35">
      <c r="A948" t="s">
        <v>181</v>
      </c>
      <c r="B948" t="s">
        <v>103</v>
      </c>
      <c r="C948">
        <v>51475</v>
      </c>
      <c r="D948">
        <v>2.0642883077683938</v>
      </c>
      <c r="E948">
        <v>0.18514787159562199</v>
      </c>
    </row>
    <row r="949" spans="1:5" x14ac:dyDescent="0.35">
      <c r="A949" t="s">
        <v>181</v>
      </c>
      <c r="B949" t="s">
        <v>104</v>
      </c>
      <c r="C949">
        <v>51614.400000000001</v>
      </c>
      <c r="D949">
        <v>1.2402612961513431</v>
      </c>
      <c r="E949">
        <v>-5.1907923992241978E-2</v>
      </c>
    </row>
    <row r="950" spans="1:5" x14ac:dyDescent="0.35">
      <c r="A950" t="s">
        <v>181</v>
      </c>
      <c r="B950" t="s">
        <v>105</v>
      </c>
      <c r="C950">
        <v>51645.7</v>
      </c>
      <c r="D950">
        <v>1.0366115004496459</v>
      </c>
      <c r="E950">
        <v>0.28582713314200409</v>
      </c>
    </row>
    <row r="951" spans="1:5" x14ac:dyDescent="0.35">
      <c r="A951" t="s">
        <v>181</v>
      </c>
      <c r="B951" t="s">
        <v>106</v>
      </c>
      <c r="C951">
        <v>51630.5</v>
      </c>
      <c r="D951">
        <v>0.25463095682891512</v>
      </c>
      <c r="E951">
        <v>0.2319319891223412</v>
      </c>
    </row>
    <row r="952" spans="1:5" x14ac:dyDescent="0.35">
      <c r="A952" t="s">
        <v>181</v>
      </c>
      <c r="B952" t="s">
        <v>107</v>
      </c>
      <c r="C952">
        <v>51821.8</v>
      </c>
      <c r="D952">
        <v>0.67146572401544224</v>
      </c>
      <c r="E952">
        <v>0.1956674455616231</v>
      </c>
    </row>
    <row r="953" spans="1:5" x14ac:dyDescent="0.35">
      <c r="A953" t="s">
        <v>181</v>
      </c>
      <c r="B953" t="s">
        <v>108</v>
      </c>
      <c r="C953">
        <v>52255.199999999997</v>
      </c>
      <c r="D953">
        <v>1.233870410184734</v>
      </c>
      <c r="E953">
        <v>0.32504962792480557</v>
      </c>
    </row>
    <row r="954" spans="1:5" x14ac:dyDescent="0.35">
      <c r="A954" t="s">
        <v>181</v>
      </c>
      <c r="B954" t="s">
        <v>109</v>
      </c>
      <c r="C954">
        <v>52451.8</v>
      </c>
      <c r="D954">
        <v>1.5487713214115031</v>
      </c>
      <c r="E954">
        <v>0.2561569161513928</v>
      </c>
    </row>
    <row r="955" spans="1:5" x14ac:dyDescent="0.35">
      <c r="A955" t="s">
        <v>182</v>
      </c>
      <c r="B955" t="s">
        <v>4</v>
      </c>
      <c r="C955">
        <v>30195.5</v>
      </c>
    </row>
    <row r="956" spans="1:5" x14ac:dyDescent="0.35">
      <c r="A956" t="s">
        <v>182</v>
      </c>
      <c r="B956" t="s">
        <v>5</v>
      </c>
      <c r="C956">
        <v>31302</v>
      </c>
    </row>
    <row r="957" spans="1:5" x14ac:dyDescent="0.35">
      <c r="A957" t="s">
        <v>182</v>
      </c>
      <c r="B957" t="s">
        <v>6</v>
      </c>
      <c r="C957">
        <v>31478.1</v>
      </c>
    </row>
    <row r="958" spans="1:5" x14ac:dyDescent="0.35">
      <c r="A958" t="s">
        <v>182</v>
      </c>
      <c r="B958" t="s">
        <v>7</v>
      </c>
      <c r="C958">
        <v>32313.4</v>
      </c>
    </row>
    <row r="959" spans="1:5" x14ac:dyDescent="0.35">
      <c r="A959" t="s">
        <v>182</v>
      </c>
      <c r="B959" t="s">
        <v>8</v>
      </c>
      <c r="C959">
        <v>32740.6</v>
      </c>
      <c r="D959">
        <v>8.0922991325823528</v>
      </c>
    </row>
    <row r="960" spans="1:5" x14ac:dyDescent="0.35">
      <c r="A960" t="s">
        <v>182</v>
      </c>
      <c r="B960" t="s">
        <v>9</v>
      </c>
      <c r="C960">
        <v>33391</v>
      </c>
      <c r="D960">
        <v>6.4604409325340413</v>
      </c>
    </row>
    <row r="961" spans="1:5" x14ac:dyDescent="0.35">
      <c r="A961" t="s">
        <v>182</v>
      </c>
      <c r="B961" t="s">
        <v>10</v>
      </c>
      <c r="C961">
        <v>32506.6</v>
      </c>
      <c r="D961">
        <v>3.2151079695171219</v>
      </c>
    </row>
    <row r="962" spans="1:5" x14ac:dyDescent="0.35">
      <c r="A962" t="s">
        <v>182</v>
      </c>
      <c r="B962" t="s">
        <v>11</v>
      </c>
      <c r="C962">
        <v>33556</v>
      </c>
      <c r="D962">
        <v>3.773368010522193</v>
      </c>
    </row>
    <row r="963" spans="1:5" x14ac:dyDescent="0.35">
      <c r="A963" t="s">
        <v>182</v>
      </c>
      <c r="B963" t="s">
        <v>12</v>
      </c>
      <c r="C963">
        <v>34824</v>
      </c>
      <c r="D963">
        <v>6.169090626845521</v>
      </c>
      <c r="E963">
        <v>0.44850364423961608</v>
      </c>
    </row>
    <row r="964" spans="1:5" x14ac:dyDescent="0.35">
      <c r="A964" t="s">
        <v>182</v>
      </c>
      <c r="B964" t="s">
        <v>13</v>
      </c>
      <c r="C964">
        <v>34882</v>
      </c>
      <c r="D964">
        <v>4.3684534252825769</v>
      </c>
      <c r="E964">
        <v>0.54561067208238057</v>
      </c>
    </row>
    <row r="965" spans="1:5" x14ac:dyDescent="0.35">
      <c r="A965" t="s">
        <v>182</v>
      </c>
      <c r="B965" t="s">
        <v>14</v>
      </c>
      <c r="C965">
        <v>34833.199999999997</v>
      </c>
      <c r="D965">
        <v>6.9127809336792394</v>
      </c>
      <c r="E965">
        <v>0.77551966134726114</v>
      </c>
    </row>
    <row r="966" spans="1:5" x14ac:dyDescent="0.35">
      <c r="A966" t="s">
        <v>182</v>
      </c>
      <c r="B966" t="s">
        <v>15</v>
      </c>
      <c r="C966">
        <v>35811.4</v>
      </c>
      <c r="D966">
        <v>6.5050593486892296</v>
      </c>
      <c r="E966">
        <v>0.86133341794178087</v>
      </c>
    </row>
    <row r="967" spans="1:5" x14ac:dyDescent="0.35">
      <c r="A967" t="s">
        <v>182</v>
      </c>
      <c r="B967" t="s">
        <v>16</v>
      </c>
      <c r="C967">
        <v>35297.699999999997</v>
      </c>
      <c r="D967">
        <v>1.3511001759157291</v>
      </c>
      <c r="E967">
        <v>0.86144997275881341</v>
      </c>
    </row>
    <row r="968" spans="1:5" x14ac:dyDescent="0.35">
      <c r="A968" t="s">
        <v>182</v>
      </c>
      <c r="B968" t="s">
        <v>17</v>
      </c>
      <c r="C968">
        <v>36109.599999999999</v>
      </c>
      <c r="D968">
        <v>3.458782111762043</v>
      </c>
      <c r="E968">
        <v>0.897293616566057</v>
      </c>
    </row>
    <row r="969" spans="1:5" x14ac:dyDescent="0.35">
      <c r="A969" t="s">
        <v>182</v>
      </c>
      <c r="B969" t="s">
        <v>18</v>
      </c>
      <c r="C969">
        <v>35400.699999999997</v>
      </c>
      <c r="D969">
        <v>1.6160638977291111</v>
      </c>
      <c r="E969">
        <v>0.8632328761172483</v>
      </c>
    </row>
    <row r="970" spans="1:5" x14ac:dyDescent="0.35">
      <c r="A970" t="s">
        <v>182</v>
      </c>
      <c r="B970" t="s">
        <v>19</v>
      </c>
      <c r="C970">
        <v>38094.699999999997</v>
      </c>
      <c r="D970">
        <v>6.1808886373804981</v>
      </c>
      <c r="E970">
        <v>0.83970399844787036</v>
      </c>
    </row>
    <row r="971" spans="1:5" x14ac:dyDescent="0.35">
      <c r="A971" t="s">
        <v>182</v>
      </c>
      <c r="B971" t="s">
        <v>20</v>
      </c>
      <c r="C971">
        <v>37853.1</v>
      </c>
      <c r="D971">
        <v>6.9895072766205004</v>
      </c>
      <c r="E971">
        <v>0.92061908608765153</v>
      </c>
    </row>
    <row r="972" spans="1:5" x14ac:dyDescent="0.35">
      <c r="A972" t="s">
        <v>182</v>
      </c>
      <c r="B972" t="s">
        <v>21</v>
      </c>
      <c r="C972">
        <v>39251.4</v>
      </c>
      <c r="D972">
        <v>8.3428354418013146</v>
      </c>
      <c r="E972">
        <v>0.92095871266624685</v>
      </c>
    </row>
    <row r="973" spans="1:5" x14ac:dyDescent="0.35">
      <c r="A973" t="s">
        <v>182</v>
      </c>
      <c r="B973" t="s">
        <v>22</v>
      </c>
      <c r="C973">
        <v>38016.5</v>
      </c>
      <c r="D973">
        <v>7.1288682055065626</v>
      </c>
      <c r="E973">
        <v>0.48623533893580317</v>
      </c>
    </row>
    <row r="974" spans="1:5" x14ac:dyDescent="0.35">
      <c r="A974" t="s">
        <v>182</v>
      </c>
      <c r="B974" t="s">
        <v>23</v>
      </c>
      <c r="C974">
        <v>39640.9</v>
      </c>
      <c r="D974">
        <v>3.9786248698353579</v>
      </c>
      <c r="E974">
        <v>0.57227206847345147</v>
      </c>
    </row>
    <row r="975" spans="1:5" x14ac:dyDescent="0.35">
      <c r="A975" t="s">
        <v>182</v>
      </c>
      <c r="B975" t="s">
        <v>24</v>
      </c>
      <c r="C975">
        <v>40278</v>
      </c>
      <c r="D975">
        <v>6.2092535409310781</v>
      </c>
      <c r="E975">
        <v>0.62576450964260077</v>
      </c>
    </row>
    <row r="976" spans="1:5" x14ac:dyDescent="0.35">
      <c r="A976" t="s">
        <v>182</v>
      </c>
      <c r="B976" t="s">
        <v>25</v>
      </c>
      <c r="C976">
        <v>41312.400000000001</v>
      </c>
      <c r="D976">
        <v>5.1175584651978756</v>
      </c>
      <c r="E976">
        <v>0.52965692458555313</v>
      </c>
    </row>
    <row r="977" spans="1:5" x14ac:dyDescent="0.35">
      <c r="A977" t="s">
        <v>182</v>
      </c>
      <c r="B977" t="s">
        <v>26</v>
      </c>
      <c r="C977">
        <v>40040.9</v>
      </c>
      <c r="D977">
        <v>5.1881155706291002</v>
      </c>
      <c r="E977">
        <v>0.54032470806190425</v>
      </c>
    </row>
    <row r="978" spans="1:5" x14ac:dyDescent="0.35">
      <c r="A978" t="s">
        <v>182</v>
      </c>
      <c r="B978" t="s">
        <v>27</v>
      </c>
      <c r="C978">
        <v>42087.9</v>
      </c>
      <c r="D978">
        <v>5.9898874908435049</v>
      </c>
      <c r="E978">
        <v>0.44043545450830668</v>
      </c>
    </row>
    <row r="979" spans="1:5" x14ac:dyDescent="0.35">
      <c r="A979" t="s">
        <v>182</v>
      </c>
      <c r="B979" t="s">
        <v>28</v>
      </c>
      <c r="C979">
        <v>42491.5</v>
      </c>
      <c r="D979">
        <v>5.349864174303459</v>
      </c>
      <c r="E979">
        <v>0.46095139460564089</v>
      </c>
    </row>
    <row r="980" spans="1:5" x14ac:dyDescent="0.35">
      <c r="A980" t="s">
        <v>182</v>
      </c>
      <c r="B980" t="s">
        <v>29</v>
      </c>
      <c r="C980">
        <v>43043</v>
      </c>
      <c r="D980">
        <v>4.1036918992557032</v>
      </c>
      <c r="E980">
        <v>0.56615648575146038</v>
      </c>
    </row>
    <row r="981" spans="1:5" x14ac:dyDescent="0.35">
      <c r="A981" t="s">
        <v>182</v>
      </c>
      <c r="B981" t="s">
        <v>30</v>
      </c>
      <c r="C981">
        <v>42744.6</v>
      </c>
      <c r="D981">
        <v>6.5341439897902669</v>
      </c>
      <c r="E981">
        <v>0.73213845465533511</v>
      </c>
    </row>
    <row r="982" spans="1:5" x14ac:dyDescent="0.35">
      <c r="A982" t="s">
        <v>182</v>
      </c>
      <c r="B982" t="s">
        <v>31</v>
      </c>
      <c r="C982">
        <v>43475.5</v>
      </c>
      <c r="D982">
        <v>3.2437272585242818</v>
      </c>
      <c r="E982">
        <v>0.65659654681216717</v>
      </c>
    </row>
    <row r="983" spans="1:5" x14ac:dyDescent="0.35">
      <c r="A983" t="s">
        <v>182</v>
      </c>
      <c r="B983" t="s">
        <v>32</v>
      </c>
      <c r="C983">
        <v>45780.7</v>
      </c>
      <c r="D983">
        <v>7.4558548999695402</v>
      </c>
      <c r="E983">
        <v>0.61454672700377189</v>
      </c>
    </row>
    <row r="984" spans="1:5" x14ac:dyDescent="0.35">
      <c r="A984" t="s">
        <v>182</v>
      </c>
      <c r="B984" t="s">
        <v>33</v>
      </c>
      <c r="C984">
        <v>45582.6</v>
      </c>
      <c r="D984">
        <v>5.7326448726554498</v>
      </c>
      <c r="E984">
        <v>0.49171122778649651</v>
      </c>
    </row>
    <row r="985" spans="1:5" x14ac:dyDescent="0.35">
      <c r="A985" t="s">
        <v>182</v>
      </c>
      <c r="B985" t="s">
        <v>34</v>
      </c>
      <c r="C985">
        <v>43555.7</v>
      </c>
      <c r="D985">
        <v>1.8797707160490511</v>
      </c>
      <c r="E985">
        <v>0.44803914442369352</v>
      </c>
    </row>
    <row r="986" spans="1:5" x14ac:dyDescent="0.35">
      <c r="A986" t="s">
        <v>182</v>
      </c>
      <c r="B986" t="s">
        <v>35</v>
      </c>
      <c r="C986">
        <v>45667</v>
      </c>
      <c r="D986">
        <v>4.9178375366671689</v>
      </c>
      <c r="E986">
        <v>0.60427143591863386</v>
      </c>
    </row>
    <row r="987" spans="1:5" x14ac:dyDescent="0.35">
      <c r="A987" t="s">
        <v>182</v>
      </c>
      <c r="B987" t="s">
        <v>36</v>
      </c>
      <c r="C987">
        <v>44821.9</v>
      </c>
      <c r="D987">
        <v>-2.1165745663745219</v>
      </c>
      <c r="E987">
        <v>0.62121943241917621</v>
      </c>
    </row>
    <row r="988" spans="1:5" x14ac:dyDescent="0.35">
      <c r="A988" t="s">
        <v>182</v>
      </c>
      <c r="B988" t="s">
        <v>37</v>
      </c>
      <c r="C988">
        <v>43778.8</v>
      </c>
      <c r="D988">
        <v>-4.0376382810291824</v>
      </c>
      <c r="E988">
        <v>0.36932791324927972</v>
      </c>
    </row>
    <row r="989" spans="1:5" x14ac:dyDescent="0.35">
      <c r="A989" t="s">
        <v>182</v>
      </c>
      <c r="B989" t="s">
        <v>38</v>
      </c>
      <c r="C989">
        <v>43206.1</v>
      </c>
      <c r="D989">
        <v>-0.80588897898110112</v>
      </c>
      <c r="E989">
        <v>0.53096653146952033</v>
      </c>
    </row>
    <row r="990" spans="1:5" x14ac:dyDescent="0.35">
      <c r="A990" t="s">
        <v>182</v>
      </c>
      <c r="B990" t="s">
        <v>39</v>
      </c>
      <c r="C990">
        <v>41269.800000000003</v>
      </c>
      <c r="D990">
        <v>-10.124493878590791</v>
      </c>
      <c r="E990">
        <v>0.71379199418372596</v>
      </c>
    </row>
    <row r="991" spans="1:5" x14ac:dyDescent="0.35">
      <c r="A991" t="s">
        <v>182</v>
      </c>
      <c r="B991" t="s">
        <v>40</v>
      </c>
      <c r="C991">
        <v>41698.400000000001</v>
      </c>
      <c r="D991">
        <v>-7.2234100499575389</v>
      </c>
      <c r="E991">
        <v>0.73387188360464362</v>
      </c>
    </row>
    <row r="992" spans="1:5" x14ac:dyDescent="0.35">
      <c r="A992" t="s">
        <v>182</v>
      </c>
      <c r="B992" t="s">
        <v>41</v>
      </c>
      <c r="C992">
        <v>41816.400000000001</v>
      </c>
      <c r="D992">
        <v>-4.5861074861566893</v>
      </c>
      <c r="E992">
        <v>0.75331441833984025</v>
      </c>
    </row>
    <row r="993" spans="1:5" x14ac:dyDescent="0.35">
      <c r="A993" t="s">
        <v>182</v>
      </c>
      <c r="B993" t="s">
        <v>42</v>
      </c>
      <c r="C993">
        <v>41018.9</v>
      </c>
      <c r="D993">
        <v>-5.1948752888015282</v>
      </c>
      <c r="E993">
        <v>0.83732701009222077</v>
      </c>
    </row>
    <row r="994" spans="1:5" x14ac:dyDescent="0.35">
      <c r="A994" t="s">
        <v>182</v>
      </c>
      <c r="B994" t="s">
        <v>43</v>
      </c>
      <c r="C994">
        <v>40151.300000000003</v>
      </c>
      <c r="D994">
        <v>-2.7476179168621209</v>
      </c>
      <c r="E994">
        <v>0.83709155850214101</v>
      </c>
    </row>
    <row r="995" spans="1:5" x14ac:dyDescent="0.35">
      <c r="A995" t="s">
        <v>182</v>
      </c>
      <c r="B995" t="s">
        <v>44</v>
      </c>
      <c r="C995">
        <v>41591.599999999999</v>
      </c>
      <c r="D995">
        <v>-0.25645349629936393</v>
      </c>
      <c r="E995">
        <v>0.85330328512685472</v>
      </c>
    </row>
    <row r="996" spans="1:5" x14ac:dyDescent="0.35">
      <c r="A996" t="s">
        <v>182</v>
      </c>
      <c r="B996" t="s">
        <v>45</v>
      </c>
      <c r="C996">
        <v>42050.1</v>
      </c>
      <c r="D996">
        <v>0.55731574560716624</v>
      </c>
      <c r="E996">
        <v>0.88109451896080127</v>
      </c>
    </row>
    <row r="997" spans="1:5" x14ac:dyDescent="0.35">
      <c r="A997" t="s">
        <v>182</v>
      </c>
      <c r="B997" t="s">
        <v>46</v>
      </c>
      <c r="C997">
        <v>42051.6</v>
      </c>
      <c r="D997">
        <v>2.4864499538175</v>
      </c>
      <c r="E997">
        <v>0.86205390994284492</v>
      </c>
    </row>
    <row r="998" spans="1:5" x14ac:dyDescent="0.35">
      <c r="A998" t="s">
        <v>182</v>
      </c>
      <c r="B998" t="s">
        <v>47</v>
      </c>
      <c r="C998">
        <v>41602.5</v>
      </c>
      <c r="D998">
        <v>3.5505443166442521</v>
      </c>
      <c r="E998">
        <v>0.63997350464192237</v>
      </c>
    </row>
    <row r="999" spans="1:5" x14ac:dyDescent="0.35">
      <c r="A999" t="s">
        <v>182</v>
      </c>
      <c r="B999" t="s">
        <v>48</v>
      </c>
      <c r="C999">
        <v>42649.8</v>
      </c>
      <c r="D999">
        <v>2.5124360793837832</v>
      </c>
      <c r="E999">
        <v>0.67062852714467425</v>
      </c>
    </row>
    <row r="1000" spans="1:5" x14ac:dyDescent="0.35">
      <c r="A1000" t="s">
        <v>182</v>
      </c>
      <c r="B1000" t="s">
        <v>49</v>
      </c>
      <c r="C1000">
        <v>43114.1</v>
      </c>
      <c r="D1000">
        <v>2.49883252433415</v>
      </c>
      <c r="E1000">
        <v>0.57409995007877246</v>
      </c>
    </row>
    <row r="1001" spans="1:5" x14ac:dyDescent="0.35">
      <c r="A1001" t="s">
        <v>182</v>
      </c>
      <c r="B1001" t="s">
        <v>50</v>
      </c>
      <c r="C1001">
        <v>42315.6</v>
      </c>
      <c r="D1001">
        <v>0.62583767549377589</v>
      </c>
      <c r="E1001">
        <v>0.53684879121177043</v>
      </c>
    </row>
    <row r="1002" spans="1:5" x14ac:dyDescent="0.35">
      <c r="A1002" t="s">
        <v>182</v>
      </c>
      <c r="B1002" t="s">
        <v>51</v>
      </c>
      <c r="C1002">
        <v>41890.699999999997</v>
      </c>
      <c r="D1002">
        <v>0.690358363604749</v>
      </c>
      <c r="E1002">
        <v>0.73628339163722267</v>
      </c>
    </row>
    <row r="1003" spans="1:5" x14ac:dyDescent="0.35">
      <c r="A1003" t="s">
        <v>182</v>
      </c>
      <c r="B1003" t="s">
        <v>52</v>
      </c>
      <c r="C1003">
        <v>41940.300000000003</v>
      </c>
      <c r="D1003">
        <v>-1.677540607090954</v>
      </c>
      <c r="E1003">
        <v>0.79744104350140388</v>
      </c>
    </row>
    <row r="1004" spans="1:5" x14ac:dyDescent="0.35">
      <c r="A1004" t="s">
        <v>182</v>
      </c>
      <c r="B1004" t="s">
        <v>53</v>
      </c>
      <c r="C1004">
        <v>43323.3</v>
      </c>
      <c r="D1004">
        <v>0.48405067360113557</v>
      </c>
      <c r="E1004">
        <v>0.75209648393952222</v>
      </c>
    </row>
    <row r="1005" spans="1:5" x14ac:dyDescent="0.35">
      <c r="A1005" t="s">
        <v>182</v>
      </c>
      <c r="B1005" t="s">
        <v>54</v>
      </c>
      <c r="C1005">
        <v>42029.9</v>
      </c>
      <c r="D1005">
        <v>-0.67745426292807476</v>
      </c>
      <c r="E1005">
        <v>0.82638087787686743</v>
      </c>
    </row>
    <row r="1006" spans="1:5" x14ac:dyDescent="0.35">
      <c r="A1006" t="s">
        <v>182</v>
      </c>
      <c r="B1006" t="s">
        <v>55</v>
      </c>
      <c r="C1006">
        <v>41764.699999999997</v>
      </c>
      <c r="D1006">
        <v>-0.30123601173451547</v>
      </c>
      <c r="E1006">
        <v>0.84229239506432119</v>
      </c>
    </row>
    <row r="1007" spans="1:5" x14ac:dyDescent="0.35">
      <c r="A1007" t="s">
        <v>182</v>
      </c>
      <c r="B1007" t="s">
        <v>56</v>
      </c>
      <c r="C1007">
        <v>42262.9</v>
      </c>
      <c r="D1007">
        <v>0.76624541206288621</v>
      </c>
      <c r="E1007">
        <v>0.91312896570589019</v>
      </c>
    </row>
    <row r="1008" spans="1:5" x14ac:dyDescent="0.35">
      <c r="A1008" t="s">
        <v>182</v>
      </c>
      <c r="B1008" t="s">
        <v>57</v>
      </c>
      <c r="C1008">
        <v>43045.8</v>
      </c>
      <c r="D1008">
        <v>-0.64259313780179028</v>
      </c>
      <c r="E1008">
        <v>0.87812585067533944</v>
      </c>
    </row>
    <row r="1009" spans="1:5" x14ac:dyDescent="0.35">
      <c r="A1009" t="s">
        <v>182</v>
      </c>
      <c r="B1009" t="s">
        <v>58</v>
      </c>
      <c r="C1009">
        <v>44364.2</v>
      </c>
      <c r="D1009">
        <v>5.4051568130822156</v>
      </c>
      <c r="E1009">
        <v>0.76893983063955618</v>
      </c>
    </row>
    <row r="1010" spans="1:5" x14ac:dyDescent="0.35">
      <c r="A1010" t="s">
        <v>182</v>
      </c>
      <c r="B1010" t="s">
        <v>59</v>
      </c>
      <c r="C1010">
        <v>43252.4</v>
      </c>
      <c r="D1010">
        <v>3.500123803371662</v>
      </c>
      <c r="E1010">
        <v>0.82306194950589939</v>
      </c>
    </row>
    <row r="1011" spans="1:5" x14ac:dyDescent="0.35">
      <c r="A1011" t="s">
        <v>182</v>
      </c>
      <c r="B1011" t="s">
        <v>60</v>
      </c>
      <c r="C1011">
        <v>46350.3</v>
      </c>
      <c r="D1011">
        <v>9.2318131838184847</v>
      </c>
      <c r="E1011">
        <v>0.80910189364001661</v>
      </c>
    </row>
    <row r="1012" spans="1:5" x14ac:dyDescent="0.35">
      <c r="A1012" t="s">
        <v>182</v>
      </c>
      <c r="B1012" t="s">
        <v>61</v>
      </c>
      <c r="C1012">
        <v>47503.8</v>
      </c>
      <c r="D1012">
        <v>9.8545042702017742</v>
      </c>
      <c r="E1012">
        <v>0.36518938315702348</v>
      </c>
    </row>
    <row r="1013" spans="1:5" x14ac:dyDescent="0.35">
      <c r="A1013" t="s">
        <v>182</v>
      </c>
      <c r="B1013" t="s">
        <v>62</v>
      </c>
      <c r="C1013">
        <v>47846.3</v>
      </c>
      <c r="D1013">
        <v>7.5560952043254064</v>
      </c>
      <c r="E1013">
        <v>0.39223474952992488</v>
      </c>
    </row>
    <row r="1014" spans="1:5" x14ac:dyDescent="0.35">
      <c r="A1014" t="s">
        <v>182</v>
      </c>
      <c r="B1014" t="s">
        <v>63</v>
      </c>
      <c r="C1014">
        <v>47602.5</v>
      </c>
      <c r="D1014">
        <v>9.5832557698816458</v>
      </c>
      <c r="E1014">
        <v>0.41104052874365782</v>
      </c>
    </row>
    <row r="1015" spans="1:5" x14ac:dyDescent="0.35">
      <c r="A1015" t="s">
        <v>182</v>
      </c>
      <c r="B1015" t="s">
        <v>64</v>
      </c>
      <c r="C1015">
        <v>59351</v>
      </c>
      <c r="D1015">
        <v>24.72412056305668</v>
      </c>
      <c r="E1015">
        <v>-0.3003944825370824</v>
      </c>
    </row>
    <row r="1016" spans="1:5" x14ac:dyDescent="0.35">
      <c r="A1016" t="s">
        <v>182</v>
      </c>
      <c r="B1016" t="s">
        <v>65</v>
      </c>
      <c r="C1016">
        <v>57819.1</v>
      </c>
      <c r="D1016">
        <v>19.650946307803601</v>
      </c>
      <c r="E1016">
        <v>-6.6761276269978104E-2</v>
      </c>
    </row>
    <row r="1017" spans="1:5" x14ac:dyDescent="0.35">
      <c r="A1017" t="s">
        <v>182</v>
      </c>
      <c r="B1017" t="s">
        <v>66</v>
      </c>
      <c r="C1017">
        <v>59258.9</v>
      </c>
      <c r="D1017">
        <v>21.392218976980971</v>
      </c>
      <c r="E1017">
        <v>0.20790171390719139</v>
      </c>
    </row>
    <row r="1018" spans="1:5" x14ac:dyDescent="0.35">
      <c r="A1018" t="s">
        <v>182</v>
      </c>
      <c r="B1018" t="s">
        <v>67</v>
      </c>
      <c r="C1018">
        <v>59337.3</v>
      </c>
      <c r="D1018">
        <v>22.035283245533751</v>
      </c>
      <c r="E1018">
        <v>0.26136311122391009</v>
      </c>
    </row>
    <row r="1019" spans="1:5" x14ac:dyDescent="0.35">
      <c r="A1019" t="s">
        <v>182</v>
      </c>
      <c r="B1019" t="s">
        <v>68</v>
      </c>
      <c r="C1019">
        <v>58393.599999999999</v>
      </c>
      <c r="D1019">
        <v>-1.626267532562617</v>
      </c>
      <c r="E1019">
        <v>0.14094645490045801</v>
      </c>
    </row>
    <row r="1020" spans="1:5" x14ac:dyDescent="0.35">
      <c r="A1020" t="s">
        <v>182</v>
      </c>
      <c r="B1020" t="s">
        <v>69</v>
      </c>
      <c r="C1020">
        <v>57906.7</v>
      </c>
      <c r="D1020">
        <v>0.15139237185026361</v>
      </c>
      <c r="E1020">
        <v>0.25546704500768902</v>
      </c>
    </row>
    <row r="1021" spans="1:5" x14ac:dyDescent="0.35">
      <c r="A1021" t="s">
        <v>182</v>
      </c>
      <c r="B1021" t="s">
        <v>70</v>
      </c>
      <c r="C1021">
        <v>58005.7</v>
      </c>
      <c r="D1021">
        <v>-2.1374698125434488</v>
      </c>
      <c r="E1021">
        <v>0.31557732511980963</v>
      </c>
    </row>
    <row r="1022" spans="1:5" x14ac:dyDescent="0.35">
      <c r="A1022" t="s">
        <v>182</v>
      </c>
      <c r="B1022" t="s">
        <v>71</v>
      </c>
      <c r="C1022">
        <v>64242.5</v>
      </c>
      <c r="D1022">
        <v>7.9426872122230403</v>
      </c>
      <c r="E1022">
        <v>0.32441574459073952</v>
      </c>
    </row>
    <row r="1023" spans="1:5" x14ac:dyDescent="0.35">
      <c r="A1023" t="s">
        <v>182</v>
      </c>
      <c r="B1023" t="s">
        <v>72</v>
      </c>
      <c r="C1023">
        <v>62873.4</v>
      </c>
      <c r="D1023">
        <v>7.3916885992243726</v>
      </c>
      <c r="E1023">
        <v>0.44403622086293898</v>
      </c>
    </row>
    <row r="1024" spans="1:5" x14ac:dyDescent="0.35">
      <c r="A1024" t="s">
        <v>182</v>
      </c>
      <c r="B1024" t="s">
        <v>73</v>
      </c>
      <c r="C1024">
        <v>63356.3</v>
      </c>
      <c r="D1024">
        <v>8.9941254699079227</v>
      </c>
      <c r="E1024">
        <v>0.47048486030081488</v>
      </c>
    </row>
    <row r="1025" spans="1:5" x14ac:dyDescent="0.35">
      <c r="A1025" t="s">
        <v>182</v>
      </c>
      <c r="B1025" t="s">
        <v>74</v>
      </c>
      <c r="C1025">
        <v>67131.899999999994</v>
      </c>
      <c r="D1025">
        <v>14.611805926251719</v>
      </c>
      <c r="E1025">
        <v>0.62501405247600528</v>
      </c>
    </row>
    <row r="1026" spans="1:5" x14ac:dyDescent="0.35">
      <c r="A1026" t="s">
        <v>182</v>
      </c>
      <c r="B1026" t="s">
        <v>75</v>
      </c>
      <c r="C1026">
        <v>69281</v>
      </c>
      <c r="D1026">
        <v>7.5505712885980856</v>
      </c>
      <c r="E1026">
        <v>0.64495234836398785</v>
      </c>
    </row>
    <row r="1027" spans="1:5" x14ac:dyDescent="0.35">
      <c r="A1027" t="s">
        <v>182</v>
      </c>
      <c r="B1027" t="s">
        <v>76</v>
      </c>
      <c r="C1027">
        <v>70023.199999999997</v>
      </c>
      <c r="D1027">
        <v>10.770343493045919</v>
      </c>
      <c r="E1027">
        <v>0.57702715588375908</v>
      </c>
    </row>
    <row r="1028" spans="1:5" x14ac:dyDescent="0.35">
      <c r="A1028" t="s">
        <v>182</v>
      </c>
      <c r="B1028" t="s">
        <v>77</v>
      </c>
      <c r="C1028">
        <v>70197.3</v>
      </c>
      <c r="D1028">
        <v>10.25354994172559</v>
      </c>
      <c r="E1028">
        <v>0.14428647010514739</v>
      </c>
    </row>
    <row r="1029" spans="1:5" x14ac:dyDescent="0.35">
      <c r="A1029" t="s">
        <v>182</v>
      </c>
      <c r="B1029" t="s">
        <v>78</v>
      </c>
      <c r="C1029">
        <v>71212.7</v>
      </c>
      <c r="D1029">
        <v>5.9011832456020414</v>
      </c>
      <c r="E1029">
        <v>-1.8226870054693339E-2</v>
      </c>
    </row>
    <row r="1030" spans="1:5" x14ac:dyDescent="0.35">
      <c r="A1030" t="s">
        <v>182</v>
      </c>
      <c r="B1030" t="s">
        <v>79</v>
      </c>
      <c r="C1030">
        <v>71507.199999999997</v>
      </c>
      <c r="D1030">
        <v>3.1627445600680408</v>
      </c>
      <c r="E1030">
        <v>0.67350579449626324</v>
      </c>
    </row>
    <row r="1031" spans="1:5" x14ac:dyDescent="0.35">
      <c r="A1031" t="s">
        <v>182</v>
      </c>
      <c r="B1031" t="s">
        <v>80</v>
      </c>
      <c r="C1031">
        <v>72370.399999999994</v>
      </c>
      <c r="D1031">
        <v>3.297076030442561</v>
      </c>
      <c r="E1031">
        <v>0.76289249385301761</v>
      </c>
    </row>
    <row r="1032" spans="1:5" x14ac:dyDescent="0.35">
      <c r="A1032" t="s">
        <v>182</v>
      </c>
      <c r="B1032" t="s">
        <v>81</v>
      </c>
      <c r="C1032">
        <v>73317.8</v>
      </c>
      <c r="D1032">
        <v>4.3493568312154176</v>
      </c>
      <c r="E1032">
        <v>0.78377270278628119</v>
      </c>
    </row>
    <row r="1033" spans="1:5" x14ac:dyDescent="0.35">
      <c r="A1033" t="s">
        <v>182</v>
      </c>
      <c r="B1033" t="s">
        <v>82</v>
      </c>
      <c r="C1033">
        <v>75286.600000000006</v>
      </c>
      <c r="D1033">
        <v>5.5630990824458282</v>
      </c>
      <c r="E1033">
        <v>0.80069432836927634</v>
      </c>
    </row>
    <row r="1034" spans="1:5" x14ac:dyDescent="0.35">
      <c r="A1034" t="s">
        <v>182</v>
      </c>
      <c r="B1034" t="s">
        <v>83</v>
      </c>
      <c r="C1034">
        <v>75953.399999999994</v>
      </c>
      <c r="D1034">
        <v>6.0321850402588311</v>
      </c>
      <c r="E1034">
        <v>0.84141580260146442</v>
      </c>
    </row>
    <row r="1035" spans="1:5" x14ac:dyDescent="0.35">
      <c r="A1035" t="s">
        <v>182</v>
      </c>
      <c r="B1035" t="s">
        <v>84</v>
      </c>
      <c r="C1035">
        <v>79101.600000000006</v>
      </c>
      <c r="D1035">
        <v>8.8935726114188132</v>
      </c>
      <c r="E1035">
        <v>0.9200929399046488</v>
      </c>
    </row>
    <row r="1036" spans="1:5" x14ac:dyDescent="0.35">
      <c r="A1036" t="s">
        <v>182</v>
      </c>
      <c r="B1036" t="s">
        <v>85</v>
      </c>
      <c r="C1036">
        <v>74686.100000000006</v>
      </c>
      <c r="D1036">
        <v>1.849058011447575</v>
      </c>
      <c r="E1036">
        <v>0.96083910077883494</v>
      </c>
    </row>
    <row r="1037" spans="1:5" x14ac:dyDescent="0.35">
      <c r="A1037" t="s">
        <v>182</v>
      </c>
      <c r="B1037" t="s">
        <v>86</v>
      </c>
      <c r="C1037">
        <v>84235.8</v>
      </c>
      <c r="D1037">
        <v>11.231784491020569</v>
      </c>
      <c r="E1037">
        <v>0.96458199140247103</v>
      </c>
    </row>
    <row r="1038" spans="1:5" x14ac:dyDescent="0.35">
      <c r="A1038" t="s">
        <v>182</v>
      </c>
      <c r="B1038" t="s">
        <v>87</v>
      </c>
      <c r="C1038">
        <v>80398.8</v>
      </c>
      <c r="D1038">
        <v>5.6879256366986439</v>
      </c>
      <c r="E1038">
        <v>0.97191847431389577</v>
      </c>
    </row>
    <row r="1039" spans="1:5" x14ac:dyDescent="0.35">
      <c r="A1039" t="s">
        <v>182</v>
      </c>
      <c r="B1039" t="s">
        <v>88</v>
      </c>
      <c r="C1039">
        <v>89481.8</v>
      </c>
      <c r="D1039">
        <v>12.330215051760559</v>
      </c>
      <c r="E1039">
        <v>0.9644727623687166</v>
      </c>
    </row>
    <row r="1040" spans="1:5" x14ac:dyDescent="0.35">
      <c r="A1040" t="s">
        <v>182</v>
      </c>
      <c r="B1040" t="s">
        <v>89</v>
      </c>
      <c r="C1040">
        <v>91789</v>
      </c>
      <c r="D1040">
        <v>20.619846755844002</v>
      </c>
      <c r="E1040">
        <v>0.96631503452225187</v>
      </c>
    </row>
    <row r="1041" spans="1:5" x14ac:dyDescent="0.35">
      <c r="A1041" t="s">
        <v>182</v>
      </c>
      <c r="B1041" t="s">
        <v>90</v>
      </c>
      <c r="C1041">
        <v>96103.9</v>
      </c>
      <c r="D1041">
        <v>13.180988884618341</v>
      </c>
      <c r="E1041">
        <v>0.92506134766095871</v>
      </c>
    </row>
    <row r="1042" spans="1:5" x14ac:dyDescent="0.35">
      <c r="A1042" t="s">
        <v>182</v>
      </c>
      <c r="B1042" t="s">
        <v>91</v>
      </c>
      <c r="C1042">
        <v>93024.9</v>
      </c>
      <c r="D1042">
        <v>14.586794855186231</v>
      </c>
      <c r="E1042">
        <v>0.88025899912144778</v>
      </c>
    </row>
    <row r="1043" spans="1:5" x14ac:dyDescent="0.35">
      <c r="A1043" t="s">
        <v>182</v>
      </c>
      <c r="B1043" t="s">
        <v>92</v>
      </c>
      <c r="C1043">
        <v>96250.3</v>
      </c>
      <c r="D1043">
        <v>7.2916837399462944</v>
      </c>
      <c r="E1043">
        <v>0.85268821980533593</v>
      </c>
    </row>
    <row r="1044" spans="1:5" x14ac:dyDescent="0.35">
      <c r="A1044" t="s">
        <v>182</v>
      </c>
      <c r="B1044" t="s">
        <v>93</v>
      </c>
      <c r="C1044">
        <v>99337.8</v>
      </c>
      <c r="D1044">
        <v>7.9033698530577539</v>
      </c>
      <c r="E1044">
        <v>0.85828435994569907</v>
      </c>
    </row>
    <row r="1045" spans="1:5" x14ac:dyDescent="0.35">
      <c r="A1045" t="s">
        <v>182</v>
      </c>
      <c r="B1045" t="s">
        <v>94</v>
      </c>
      <c r="C1045">
        <v>103702.8</v>
      </c>
      <c r="D1045">
        <v>7.6099217956165397</v>
      </c>
      <c r="E1045">
        <v>0.81993873662332084</v>
      </c>
    </row>
    <row r="1046" spans="1:5" x14ac:dyDescent="0.35">
      <c r="A1046" t="s">
        <v>182</v>
      </c>
      <c r="B1046" t="s">
        <v>95</v>
      </c>
      <c r="C1046">
        <v>101871.4</v>
      </c>
      <c r="D1046">
        <v>9.0844034261068245</v>
      </c>
      <c r="E1046">
        <v>0.76117047622836864</v>
      </c>
    </row>
    <row r="1047" spans="1:5" x14ac:dyDescent="0.35">
      <c r="A1047" t="s">
        <v>182</v>
      </c>
      <c r="B1047" t="s">
        <v>96</v>
      </c>
      <c r="C1047">
        <v>97070.5</v>
      </c>
      <c r="D1047">
        <v>0.8485428586730922</v>
      </c>
      <c r="E1047">
        <v>0.81296221016844505</v>
      </c>
    </row>
    <row r="1048" spans="1:5" x14ac:dyDescent="0.35">
      <c r="A1048" t="s">
        <v>182</v>
      </c>
      <c r="B1048" t="s">
        <v>97</v>
      </c>
      <c r="C1048">
        <v>97626</v>
      </c>
      <c r="D1048">
        <v>-1.738231188405073</v>
      </c>
      <c r="E1048">
        <v>0.8177682597550352</v>
      </c>
    </row>
    <row r="1049" spans="1:5" x14ac:dyDescent="0.35">
      <c r="A1049" t="s">
        <v>182</v>
      </c>
      <c r="B1049" t="s">
        <v>98</v>
      </c>
      <c r="C1049">
        <v>98745.7</v>
      </c>
      <c r="D1049">
        <v>-4.898125730592934</v>
      </c>
      <c r="E1049">
        <v>0.83179751755170839</v>
      </c>
    </row>
    <row r="1050" spans="1:5" x14ac:dyDescent="0.35">
      <c r="A1050" t="s">
        <v>182</v>
      </c>
      <c r="B1050" t="s">
        <v>99</v>
      </c>
      <c r="C1050">
        <v>93875.7</v>
      </c>
      <c r="D1050">
        <v>-8.1739666732467349</v>
      </c>
      <c r="E1050">
        <v>0.86772977288491915</v>
      </c>
    </row>
    <row r="1051" spans="1:5" x14ac:dyDescent="0.35">
      <c r="A1051" t="s">
        <v>182</v>
      </c>
      <c r="B1051" t="s">
        <v>100</v>
      </c>
      <c r="C1051">
        <v>96349.8</v>
      </c>
      <c r="D1051">
        <v>-0.74521995401014562</v>
      </c>
      <c r="E1051">
        <v>0.89479502378614739</v>
      </c>
    </row>
    <row r="1052" spans="1:5" x14ac:dyDescent="0.35">
      <c r="A1052" t="s">
        <v>182</v>
      </c>
      <c r="B1052" t="s">
        <v>101</v>
      </c>
      <c r="C1052">
        <v>96303.8</v>
      </c>
      <c r="D1052">
        <v>-1.363607333891474</v>
      </c>
      <c r="E1052">
        <v>0.59924661258743417</v>
      </c>
    </row>
    <row r="1053" spans="1:5" x14ac:dyDescent="0.35">
      <c r="A1053" t="s">
        <v>182</v>
      </c>
      <c r="B1053" t="s">
        <v>102</v>
      </c>
      <c r="C1053">
        <v>103618.8</v>
      </c>
      <c r="D1053">
        <v>4.8170922014319526</v>
      </c>
      <c r="E1053">
        <v>0.49655997951690339</v>
      </c>
    </row>
    <row r="1054" spans="1:5" x14ac:dyDescent="0.35">
      <c r="A1054" t="s">
        <v>182</v>
      </c>
      <c r="B1054" t="s">
        <v>103</v>
      </c>
      <c r="C1054">
        <v>105226.7</v>
      </c>
      <c r="D1054">
        <v>11.414550360176269</v>
      </c>
      <c r="E1054">
        <v>0.58187606058535168</v>
      </c>
    </row>
    <row r="1055" spans="1:5" x14ac:dyDescent="0.35">
      <c r="A1055" t="s">
        <v>182</v>
      </c>
      <c r="B1055" t="s">
        <v>104</v>
      </c>
      <c r="C1055">
        <v>112509.3</v>
      </c>
      <c r="D1055">
        <v>15.505056580165849</v>
      </c>
      <c r="E1055">
        <v>0.2330510306274948</v>
      </c>
    </row>
    <row r="1056" spans="1:5" x14ac:dyDescent="0.35">
      <c r="A1056" t="s">
        <v>182</v>
      </c>
      <c r="B1056" t="s">
        <v>105</v>
      </c>
      <c r="C1056">
        <v>107611.3</v>
      </c>
      <c r="D1056">
        <v>11.101788275465671</v>
      </c>
      <c r="E1056">
        <v>0.41711171734520108</v>
      </c>
    </row>
    <row r="1057" spans="1:5" x14ac:dyDescent="0.35">
      <c r="A1057" t="s">
        <v>182</v>
      </c>
      <c r="B1057" t="s">
        <v>106</v>
      </c>
      <c r="C1057">
        <v>108962.2</v>
      </c>
      <c r="D1057">
        <v>5.028225254943786</v>
      </c>
      <c r="E1057">
        <v>0.29787635456823658</v>
      </c>
    </row>
    <row r="1058" spans="1:5" x14ac:dyDescent="0.35">
      <c r="A1058" t="s">
        <v>182</v>
      </c>
      <c r="B1058" t="s">
        <v>107</v>
      </c>
      <c r="C1058">
        <v>105049</v>
      </c>
      <c r="D1058">
        <v>-0.16901624134620441</v>
      </c>
      <c r="E1058">
        <v>0.33564770774046421</v>
      </c>
    </row>
    <row r="1059" spans="1:5" x14ac:dyDescent="0.35">
      <c r="A1059" t="s">
        <v>182</v>
      </c>
      <c r="B1059" t="s">
        <v>108</v>
      </c>
      <c r="C1059">
        <v>97708.9</v>
      </c>
      <c r="D1059">
        <v>-14.10432348052635</v>
      </c>
      <c r="E1059">
        <v>0.17438067330629639</v>
      </c>
    </row>
    <row r="1060" spans="1:5" x14ac:dyDescent="0.35">
      <c r="A1060" t="s">
        <v>182</v>
      </c>
      <c r="B1060" t="s">
        <v>109</v>
      </c>
      <c r="C1060">
        <v>101539.8</v>
      </c>
      <c r="D1060">
        <v>-5.8074820950796608</v>
      </c>
      <c r="E1060">
        <v>0.53353438934632613</v>
      </c>
    </row>
    <row r="1061" spans="1:5" x14ac:dyDescent="0.35">
      <c r="A1061" t="s">
        <v>183</v>
      </c>
      <c r="B1061" t="s">
        <v>4</v>
      </c>
      <c r="C1061">
        <v>41631.699999999997</v>
      </c>
    </row>
    <row r="1062" spans="1:5" x14ac:dyDescent="0.35">
      <c r="A1062" t="s">
        <v>183</v>
      </c>
      <c r="B1062" t="s">
        <v>5</v>
      </c>
      <c r="C1062">
        <v>41355.599999999999</v>
      </c>
    </row>
    <row r="1063" spans="1:5" x14ac:dyDescent="0.35">
      <c r="A1063" t="s">
        <v>183</v>
      </c>
      <c r="B1063" t="s">
        <v>6</v>
      </c>
      <c r="C1063">
        <v>42014.3</v>
      </c>
    </row>
    <row r="1064" spans="1:5" x14ac:dyDescent="0.35">
      <c r="A1064" t="s">
        <v>183</v>
      </c>
      <c r="B1064" t="s">
        <v>7</v>
      </c>
      <c r="C1064">
        <v>42251.8</v>
      </c>
    </row>
    <row r="1065" spans="1:5" x14ac:dyDescent="0.35">
      <c r="A1065" t="s">
        <v>183</v>
      </c>
      <c r="B1065" t="s">
        <v>8</v>
      </c>
      <c r="C1065">
        <v>42100.4</v>
      </c>
      <c r="D1065">
        <v>1.11953455221049</v>
      </c>
    </row>
    <row r="1066" spans="1:5" x14ac:dyDescent="0.35">
      <c r="A1066" t="s">
        <v>183</v>
      </c>
      <c r="B1066" t="s">
        <v>9</v>
      </c>
      <c r="C1066">
        <v>42544.7</v>
      </c>
      <c r="D1066">
        <v>2.8347446356893471</v>
      </c>
    </row>
    <row r="1067" spans="1:5" x14ac:dyDescent="0.35">
      <c r="A1067" t="s">
        <v>183</v>
      </c>
      <c r="B1067" t="s">
        <v>10</v>
      </c>
      <c r="C1067">
        <v>42630.1</v>
      </c>
      <c r="D1067">
        <v>1.455054001528074</v>
      </c>
    </row>
    <row r="1068" spans="1:5" x14ac:dyDescent="0.35">
      <c r="A1068" t="s">
        <v>183</v>
      </c>
      <c r="B1068" t="s">
        <v>11</v>
      </c>
      <c r="C1068">
        <v>43228.9</v>
      </c>
      <c r="D1068">
        <v>2.286229661720927</v>
      </c>
    </row>
    <row r="1069" spans="1:5" x14ac:dyDescent="0.35">
      <c r="A1069" t="s">
        <v>183</v>
      </c>
      <c r="B1069" t="s">
        <v>12</v>
      </c>
      <c r="C1069">
        <v>43328.1</v>
      </c>
      <c r="D1069">
        <v>2.8744143432664382</v>
      </c>
    </row>
    <row r="1070" spans="1:5" x14ac:dyDescent="0.35">
      <c r="A1070" t="s">
        <v>183</v>
      </c>
      <c r="B1070" t="s">
        <v>13</v>
      </c>
      <c r="C1070">
        <v>43087.199999999997</v>
      </c>
      <c r="D1070">
        <v>1.2670681323318369</v>
      </c>
    </row>
    <row r="1071" spans="1:5" x14ac:dyDescent="0.35">
      <c r="A1071" t="s">
        <v>183</v>
      </c>
      <c r="B1071" t="s">
        <v>14</v>
      </c>
      <c r="C1071">
        <v>42859.6</v>
      </c>
      <c r="D1071">
        <v>0.53690807504681004</v>
      </c>
    </row>
    <row r="1072" spans="1:5" x14ac:dyDescent="0.35">
      <c r="A1072" t="s">
        <v>183</v>
      </c>
      <c r="B1072" t="s">
        <v>15</v>
      </c>
      <c r="C1072">
        <v>42543.8</v>
      </c>
      <c r="D1072">
        <v>-1.597511958898771</v>
      </c>
    </row>
    <row r="1073" spans="1:4" x14ac:dyDescent="0.35">
      <c r="A1073" t="s">
        <v>183</v>
      </c>
      <c r="B1073" t="s">
        <v>16</v>
      </c>
      <c r="C1073">
        <v>42614.7</v>
      </c>
      <c r="D1073">
        <v>-1.6602121088758319</v>
      </c>
    </row>
    <row r="1074" spans="1:4" x14ac:dyDescent="0.35">
      <c r="A1074" t="s">
        <v>183</v>
      </c>
      <c r="B1074" t="s">
        <v>17</v>
      </c>
      <c r="C1074">
        <v>42256.3</v>
      </c>
      <c r="D1074">
        <v>-1.9472514129526051</v>
      </c>
    </row>
    <row r="1075" spans="1:4" x14ac:dyDescent="0.35">
      <c r="A1075" t="s">
        <v>183</v>
      </c>
      <c r="B1075" t="s">
        <v>18</v>
      </c>
      <c r="C1075">
        <v>42614.5</v>
      </c>
      <c r="D1075">
        <v>-0.57350863431777221</v>
      </c>
    </row>
    <row r="1076" spans="1:4" x14ac:dyDescent="0.35">
      <c r="A1076" t="s">
        <v>183</v>
      </c>
      <c r="B1076" t="s">
        <v>19</v>
      </c>
      <c r="C1076">
        <v>42734.3</v>
      </c>
      <c r="D1076">
        <v>0.44677429932524731</v>
      </c>
    </row>
    <row r="1077" spans="1:4" x14ac:dyDescent="0.35">
      <c r="A1077" t="s">
        <v>183</v>
      </c>
      <c r="B1077" t="s">
        <v>20</v>
      </c>
      <c r="C1077">
        <v>43156.9</v>
      </c>
      <c r="D1077">
        <v>1.264304787098897</v>
      </c>
    </row>
    <row r="1078" spans="1:4" x14ac:dyDescent="0.35">
      <c r="A1078" t="s">
        <v>183</v>
      </c>
      <c r="B1078" t="s">
        <v>21</v>
      </c>
      <c r="C1078">
        <v>43424.6</v>
      </c>
      <c r="D1078">
        <v>2.7272645687856159</v>
      </c>
    </row>
    <row r="1079" spans="1:4" x14ac:dyDescent="0.35">
      <c r="A1079" t="s">
        <v>183</v>
      </c>
      <c r="B1079" t="s">
        <v>22</v>
      </c>
      <c r="C1079">
        <v>43446.9</v>
      </c>
      <c r="D1079">
        <v>1.9344931843432891</v>
      </c>
    </row>
    <row r="1080" spans="1:4" x14ac:dyDescent="0.35">
      <c r="A1080" t="s">
        <v>183</v>
      </c>
      <c r="B1080" t="s">
        <v>23</v>
      </c>
      <c r="C1080">
        <v>43236.2</v>
      </c>
      <c r="D1080">
        <v>1.167623085062738</v>
      </c>
    </row>
    <row r="1081" spans="1:4" x14ac:dyDescent="0.35">
      <c r="A1081" t="s">
        <v>183</v>
      </c>
      <c r="B1081" t="s">
        <v>24</v>
      </c>
      <c r="C1081">
        <v>43632.1</v>
      </c>
      <c r="D1081">
        <v>1.0950805950719289</v>
      </c>
    </row>
    <row r="1082" spans="1:4" x14ac:dyDescent="0.35">
      <c r="A1082" t="s">
        <v>183</v>
      </c>
      <c r="B1082" t="s">
        <v>25</v>
      </c>
      <c r="C1082">
        <v>43751.3</v>
      </c>
      <c r="D1082">
        <v>0.74952258469553057</v>
      </c>
    </row>
    <row r="1083" spans="1:4" x14ac:dyDescent="0.35">
      <c r="A1083" t="s">
        <v>183</v>
      </c>
      <c r="B1083" t="s">
        <v>26</v>
      </c>
      <c r="C1083">
        <v>43585.5</v>
      </c>
      <c r="D1083">
        <v>0.31850234433958602</v>
      </c>
    </row>
    <row r="1084" spans="1:4" x14ac:dyDescent="0.35">
      <c r="A1084" t="s">
        <v>183</v>
      </c>
      <c r="B1084" t="s">
        <v>27</v>
      </c>
      <c r="C1084">
        <v>43650.400000000001</v>
      </c>
      <c r="D1084">
        <v>0.95343387285271719</v>
      </c>
    </row>
    <row r="1085" spans="1:4" x14ac:dyDescent="0.35">
      <c r="A1085" t="s">
        <v>183</v>
      </c>
      <c r="B1085" t="s">
        <v>28</v>
      </c>
      <c r="C1085">
        <v>44024.1</v>
      </c>
      <c r="D1085">
        <v>0.89440932466943923</v>
      </c>
    </row>
    <row r="1086" spans="1:4" x14ac:dyDescent="0.35">
      <c r="A1086" t="s">
        <v>183</v>
      </c>
      <c r="B1086" t="s">
        <v>29</v>
      </c>
      <c r="C1086">
        <v>44419.9</v>
      </c>
      <c r="D1086">
        <v>1.5166240577689221</v>
      </c>
    </row>
    <row r="1087" spans="1:4" x14ac:dyDescent="0.35">
      <c r="A1087" t="s">
        <v>183</v>
      </c>
      <c r="B1087" t="s">
        <v>30</v>
      </c>
      <c r="C1087">
        <v>44361.7</v>
      </c>
      <c r="D1087">
        <v>1.765195832683192</v>
      </c>
    </row>
    <row r="1088" spans="1:4" x14ac:dyDescent="0.35">
      <c r="A1088" t="s">
        <v>183</v>
      </c>
      <c r="B1088" t="s">
        <v>31</v>
      </c>
      <c r="C1088">
        <v>44651.3</v>
      </c>
      <c r="D1088">
        <v>2.267097619360797</v>
      </c>
    </row>
    <row r="1089" spans="1:4" x14ac:dyDescent="0.35">
      <c r="A1089" t="s">
        <v>183</v>
      </c>
      <c r="B1089" t="s">
        <v>32</v>
      </c>
      <c r="C1089">
        <v>45180.9</v>
      </c>
      <c r="D1089">
        <v>2.5937219917018588</v>
      </c>
    </row>
    <row r="1090" spans="1:4" x14ac:dyDescent="0.35">
      <c r="A1090" t="s">
        <v>183</v>
      </c>
      <c r="B1090" t="s">
        <v>33</v>
      </c>
      <c r="C1090">
        <v>45309.4</v>
      </c>
      <c r="D1090">
        <v>1.982694925589352</v>
      </c>
    </row>
    <row r="1091" spans="1:4" x14ac:dyDescent="0.35">
      <c r="A1091" t="s">
        <v>183</v>
      </c>
      <c r="B1091" t="s">
        <v>34</v>
      </c>
      <c r="C1091">
        <v>45437.2</v>
      </c>
      <c r="D1091">
        <v>2.395466823480179</v>
      </c>
    </row>
    <row r="1092" spans="1:4" x14ac:dyDescent="0.35">
      <c r="A1092" t="s">
        <v>183</v>
      </c>
      <c r="B1092" t="s">
        <v>35</v>
      </c>
      <c r="C1092">
        <v>45977.5</v>
      </c>
      <c r="D1092">
        <v>2.9268724150788978</v>
      </c>
    </row>
    <row r="1093" spans="1:4" x14ac:dyDescent="0.35">
      <c r="A1093" t="s">
        <v>183</v>
      </c>
      <c r="B1093" t="s">
        <v>36</v>
      </c>
      <c r="C1093">
        <v>45967.3</v>
      </c>
      <c r="D1093">
        <v>1.725584297612649</v>
      </c>
    </row>
    <row r="1094" spans="1:4" x14ac:dyDescent="0.35">
      <c r="A1094" t="s">
        <v>183</v>
      </c>
      <c r="B1094" t="s">
        <v>37</v>
      </c>
      <c r="C1094">
        <v>45737</v>
      </c>
      <c r="D1094">
        <v>0.93930818554914386</v>
      </c>
    </row>
    <row r="1095" spans="1:4" x14ac:dyDescent="0.35">
      <c r="A1095" t="s">
        <v>183</v>
      </c>
      <c r="B1095" t="s">
        <v>38</v>
      </c>
      <c r="C1095">
        <v>45674.400000000001</v>
      </c>
      <c r="D1095">
        <v>0.52068130927771183</v>
      </c>
    </row>
    <row r="1096" spans="1:4" x14ac:dyDescent="0.35">
      <c r="A1096" t="s">
        <v>183</v>
      </c>
      <c r="B1096" t="s">
        <v>39</v>
      </c>
      <c r="C1096">
        <v>45107.1</v>
      </c>
      <c r="D1096">
        <v>-1.9112484334928139</v>
      </c>
    </row>
    <row r="1097" spans="1:4" x14ac:dyDescent="0.35">
      <c r="A1097" t="s">
        <v>183</v>
      </c>
      <c r="B1097" t="s">
        <v>40</v>
      </c>
      <c r="C1097">
        <v>43965.4</v>
      </c>
      <c r="D1097">
        <v>-4.4527313200471594</v>
      </c>
    </row>
    <row r="1098" spans="1:4" x14ac:dyDescent="0.35">
      <c r="A1098" t="s">
        <v>183</v>
      </c>
      <c r="B1098" t="s">
        <v>41</v>
      </c>
      <c r="C1098">
        <v>44012.6</v>
      </c>
      <c r="D1098">
        <v>-3.8431641776566519</v>
      </c>
    </row>
    <row r="1099" spans="1:4" x14ac:dyDescent="0.35">
      <c r="A1099" t="s">
        <v>183</v>
      </c>
      <c r="B1099" t="s">
        <v>42</v>
      </c>
      <c r="C1099">
        <v>44388.800000000003</v>
      </c>
      <c r="D1099">
        <v>-2.8550780523814199</v>
      </c>
    </row>
    <row r="1100" spans="1:4" x14ac:dyDescent="0.35">
      <c r="A1100" t="s">
        <v>183</v>
      </c>
      <c r="B1100" t="s">
        <v>43</v>
      </c>
      <c r="C1100">
        <v>44421.599999999999</v>
      </c>
      <c r="D1100">
        <v>-1.531382442759142</v>
      </c>
    </row>
    <row r="1101" spans="1:4" x14ac:dyDescent="0.35">
      <c r="A1101" t="s">
        <v>183</v>
      </c>
      <c r="B1101" t="s">
        <v>44</v>
      </c>
      <c r="C1101">
        <v>44817.1</v>
      </c>
      <c r="D1101">
        <v>1.9186802086130139</v>
      </c>
    </row>
    <row r="1102" spans="1:4" x14ac:dyDescent="0.35">
      <c r="A1102" t="s">
        <v>183</v>
      </c>
      <c r="B1102" t="s">
        <v>45</v>
      </c>
      <c r="C1102">
        <v>44972.4</v>
      </c>
      <c r="D1102">
        <v>2.1573011710770071</v>
      </c>
    </row>
    <row r="1103" spans="1:4" x14ac:dyDescent="0.35">
      <c r="A1103" t="s">
        <v>183</v>
      </c>
      <c r="B1103" t="s">
        <v>46</v>
      </c>
      <c r="C1103">
        <v>45137.599999999999</v>
      </c>
      <c r="D1103">
        <v>1.672841668892908</v>
      </c>
    </row>
    <row r="1104" spans="1:4" x14ac:dyDescent="0.35">
      <c r="A1104" t="s">
        <v>183</v>
      </c>
      <c r="B1104" t="s">
        <v>47</v>
      </c>
      <c r="C1104">
        <v>44933.2</v>
      </c>
      <c r="D1104">
        <v>1.145110481816441</v>
      </c>
    </row>
    <row r="1105" spans="1:4" x14ac:dyDescent="0.35">
      <c r="A1105" t="s">
        <v>183</v>
      </c>
      <c r="B1105" t="s">
        <v>48</v>
      </c>
      <c r="C1105">
        <v>44731.5</v>
      </c>
      <c r="D1105">
        <v>-0.19118115988971021</v>
      </c>
    </row>
    <row r="1106" spans="1:4" x14ac:dyDescent="0.35">
      <c r="A1106" t="s">
        <v>183</v>
      </c>
      <c r="B1106" t="s">
        <v>49</v>
      </c>
      <c r="C1106">
        <v>44417.5</v>
      </c>
      <c r="D1106">
        <v>-1.2415432343230679</v>
      </c>
    </row>
    <row r="1107" spans="1:4" x14ac:dyDescent="0.35">
      <c r="A1107" t="s">
        <v>183</v>
      </c>
      <c r="B1107" t="s">
        <v>50</v>
      </c>
      <c r="C1107">
        <v>44109.4</v>
      </c>
      <c r="D1107">
        <v>-2.304269038731166</v>
      </c>
    </row>
    <row r="1108" spans="1:4" x14ac:dyDescent="0.35">
      <c r="A1108" t="s">
        <v>183</v>
      </c>
      <c r="B1108" t="s">
        <v>51</v>
      </c>
      <c r="C1108">
        <v>43520</v>
      </c>
      <c r="D1108">
        <v>-3.1956339898956672</v>
      </c>
    </row>
    <row r="1109" spans="1:4" x14ac:dyDescent="0.35">
      <c r="A1109" t="s">
        <v>183</v>
      </c>
      <c r="B1109" t="s">
        <v>52</v>
      </c>
      <c r="C1109">
        <v>43288.3</v>
      </c>
      <c r="D1109">
        <v>-3.2795560779532331</v>
      </c>
    </row>
    <row r="1110" spans="1:4" x14ac:dyDescent="0.35">
      <c r="A1110" t="s">
        <v>183</v>
      </c>
      <c r="B1110" t="s">
        <v>53</v>
      </c>
      <c r="C1110">
        <v>42634.1</v>
      </c>
      <c r="D1110">
        <v>-4.0979133373863643</v>
      </c>
    </row>
    <row r="1111" spans="1:4" x14ac:dyDescent="0.35">
      <c r="A1111" t="s">
        <v>183</v>
      </c>
      <c r="B1111" t="s">
        <v>54</v>
      </c>
      <c r="C1111">
        <v>42194.3</v>
      </c>
      <c r="D1111">
        <v>-4.4387770837595886</v>
      </c>
    </row>
    <row r="1112" spans="1:4" x14ac:dyDescent="0.35">
      <c r="A1112" t="s">
        <v>183</v>
      </c>
      <c r="B1112" t="s">
        <v>55</v>
      </c>
      <c r="C1112">
        <v>41500.6</v>
      </c>
      <c r="D1112">
        <v>-4.751271758422269</v>
      </c>
    </row>
    <row r="1113" spans="1:4" x14ac:dyDescent="0.35">
      <c r="A1113" t="s">
        <v>183</v>
      </c>
      <c r="B1113" t="s">
        <v>56</v>
      </c>
      <c r="C1113">
        <v>41648.699999999997</v>
      </c>
      <c r="D1113">
        <v>-3.861223500279312</v>
      </c>
    </row>
    <row r="1114" spans="1:4" x14ac:dyDescent="0.35">
      <c r="A1114" t="s">
        <v>183</v>
      </c>
      <c r="B1114" t="s">
        <v>57</v>
      </c>
      <c r="C1114">
        <v>42005.2</v>
      </c>
      <c r="D1114">
        <v>-1.4860982410649191</v>
      </c>
    </row>
    <row r="1115" spans="1:4" x14ac:dyDescent="0.35">
      <c r="A1115" t="s">
        <v>183</v>
      </c>
      <c r="B1115" t="s">
        <v>58</v>
      </c>
      <c r="C1115">
        <v>41886.9</v>
      </c>
      <c r="D1115">
        <v>-0.73120119505229153</v>
      </c>
    </row>
    <row r="1116" spans="1:4" x14ac:dyDescent="0.35">
      <c r="A1116" t="s">
        <v>183</v>
      </c>
      <c r="B1116" t="s">
        <v>59</v>
      </c>
      <c r="C1116">
        <v>42407.3</v>
      </c>
      <c r="D1116">
        <v>2.161263226624738</v>
      </c>
    </row>
    <row r="1117" spans="1:4" x14ac:dyDescent="0.35">
      <c r="A1117" t="s">
        <v>183</v>
      </c>
      <c r="B1117" t="s">
        <v>60</v>
      </c>
      <c r="C1117">
        <v>42103.1</v>
      </c>
      <c r="D1117">
        <v>1.0851216541008459</v>
      </c>
    </row>
    <row r="1118" spans="1:4" x14ac:dyDescent="0.35">
      <c r="A1118" t="s">
        <v>183</v>
      </c>
      <c r="B1118" t="s">
        <v>61</v>
      </c>
      <c r="C1118">
        <v>42219.6</v>
      </c>
      <c r="D1118">
        <v>0.50911480490312166</v>
      </c>
    </row>
    <row r="1119" spans="1:4" x14ac:dyDescent="0.35">
      <c r="A1119" t="s">
        <v>183</v>
      </c>
      <c r="B1119" t="s">
        <v>62</v>
      </c>
      <c r="C1119">
        <v>42264.2</v>
      </c>
      <c r="D1119">
        <v>0.8967263132101031</v>
      </c>
    </row>
    <row r="1120" spans="1:4" x14ac:dyDescent="0.35">
      <c r="A1120" t="s">
        <v>183</v>
      </c>
      <c r="B1120" t="s">
        <v>63</v>
      </c>
      <c r="C1120">
        <v>42606.3</v>
      </c>
      <c r="D1120">
        <v>0.46816124353041938</v>
      </c>
    </row>
    <row r="1121" spans="1:5" x14ac:dyDescent="0.35">
      <c r="A1121" t="s">
        <v>183</v>
      </c>
      <c r="B1121" t="s">
        <v>64</v>
      </c>
      <c r="C1121">
        <v>42861.7</v>
      </c>
      <c r="D1121">
        <v>1.7857281099486659</v>
      </c>
    </row>
    <row r="1122" spans="1:5" x14ac:dyDescent="0.35">
      <c r="A1122" t="s">
        <v>183</v>
      </c>
      <c r="B1122" t="s">
        <v>65</v>
      </c>
      <c r="C1122">
        <v>42891.9</v>
      </c>
      <c r="D1122">
        <v>1.5798428725641289</v>
      </c>
      <c r="E1122">
        <v>0.14736964474342021</v>
      </c>
    </row>
    <row r="1123" spans="1:5" x14ac:dyDescent="0.35">
      <c r="A1123" t="s">
        <v>183</v>
      </c>
      <c r="B1123" t="s">
        <v>66</v>
      </c>
      <c r="C1123">
        <v>42962.9</v>
      </c>
      <c r="D1123">
        <v>1.639656056719033</v>
      </c>
      <c r="E1123">
        <v>0.24615589107035921</v>
      </c>
    </row>
    <row r="1124" spans="1:5" x14ac:dyDescent="0.35">
      <c r="A1124" t="s">
        <v>183</v>
      </c>
      <c r="B1124" t="s">
        <v>67</v>
      </c>
      <c r="C1124">
        <v>43166.5</v>
      </c>
      <c r="D1124">
        <v>1.3062601795151769</v>
      </c>
      <c r="E1124">
        <v>0.2233473082416737</v>
      </c>
    </row>
    <row r="1125" spans="1:5" x14ac:dyDescent="0.35">
      <c r="A1125" t="s">
        <v>183</v>
      </c>
      <c r="B1125" t="s">
        <v>68</v>
      </c>
      <c r="C1125">
        <v>43315.5</v>
      </c>
      <c r="D1125">
        <v>1.0531885339508329</v>
      </c>
      <c r="E1125">
        <v>6.7265876163183427E-2</v>
      </c>
    </row>
    <row r="1126" spans="1:5" x14ac:dyDescent="0.35">
      <c r="A1126" t="s">
        <v>183</v>
      </c>
      <c r="B1126" t="s">
        <v>69</v>
      </c>
      <c r="C1126">
        <v>43517.4</v>
      </c>
      <c r="D1126">
        <v>1.4477861197881841</v>
      </c>
      <c r="E1126">
        <v>0.12900548015873969</v>
      </c>
    </row>
    <row r="1127" spans="1:5" x14ac:dyDescent="0.35">
      <c r="A1127" t="s">
        <v>183</v>
      </c>
      <c r="B1127" t="s">
        <v>70</v>
      </c>
      <c r="C1127">
        <v>43998.7</v>
      </c>
      <c r="D1127">
        <v>2.382313544947412</v>
      </c>
      <c r="E1127">
        <v>0.22042637506553131</v>
      </c>
    </row>
    <row r="1128" spans="1:5" x14ac:dyDescent="0.35">
      <c r="A1128" t="s">
        <v>183</v>
      </c>
      <c r="B1128" t="s">
        <v>71</v>
      </c>
      <c r="C1128">
        <v>44496.3</v>
      </c>
      <c r="D1128">
        <v>3.0341308187784932</v>
      </c>
      <c r="E1128">
        <v>0.36447554943969018</v>
      </c>
    </row>
    <row r="1129" spans="1:5" x14ac:dyDescent="0.35">
      <c r="A1129" t="s">
        <v>183</v>
      </c>
      <c r="B1129" t="s">
        <v>72</v>
      </c>
      <c r="C1129">
        <v>44927.3</v>
      </c>
      <c r="D1129">
        <v>3.6535089176897411</v>
      </c>
      <c r="E1129">
        <v>0.78513100314212148</v>
      </c>
    </row>
    <row r="1130" spans="1:5" x14ac:dyDescent="0.35">
      <c r="A1130" t="s">
        <v>183</v>
      </c>
      <c r="B1130" t="s">
        <v>73</v>
      </c>
      <c r="C1130">
        <v>45056.2</v>
      </c>
      <c r="D1130">
        <v>3.4749741330214432</v>
      </c>
      <c r="E1130">
        <v>0.71317982668404856</v>
      </c>
    </row>
    <row r="1131" spans="1:5" x14ac:dyDescent="0.35">
      <c r="A1131" t="s">
        <v>183</v>
      </c>
      <c r="B1131" t="s">
        <v>74</v>
      </c>
      <c r="C1131">
        <v>45364.2</v>
      </c>
      <c r="D1131">
        <v>3.0563159698419602</v>
      </c>
      <c r="E1131">
        <v>0.63307720576626225</v>
      </c>
    </row>
    <row r="1132" spans="1:5" x14ac:dyDescent="0.35">
      <c r="A1132" t="s">
        <v>183</v>
      </c>
      <c r="B1132" t="s">
        <v>75</v>
      </c>
      <c r="C1132">
        <v>45791.7</v>
      </c>
      <c r="D1132">
        <v>2.86968123419437</v>
      </c>
      <c r="E1132">
        <v>0.63585449820021189</v>
      </c>
    </row>
    <row r="1133" spans="1:5" x14ac:dyDescent="0.35">
      <c r="A1133" t="s">
        <v>183</v>
      </c>
      <c r="B1133" t="s">
        <v>76</v>
      </c>
      <c r="C1133">
        <v>46060</v>
      </c>
      <c r="D1133">
        <v>2.4899266594900662</v>
      </c>
      <c r="E1133">
        <v>0.56763582858212847</v>
      </c>
    </row>
    <row r="1134" spans="1:5" x14ac:dyDescent="0.35">
      <c r="A1134" t="s">
        <v>183</v>
      </c>
      <c r="B1134" t="s">
        <v>77</v>
      </c>
      <c r="C1134">
        <v>46500.3</v>
      </c>
      <c r="D1134">
        <v>3.1548164739222559</v>
      </c>
      <c r="E1134">
        <v>0.3850210131760215</v>
      </c>
    </row>
    <row r="1135" spans="1:5" x14ac:dyDescent="0.35">
      <c r="A1135" t="s">
        <v>183</v>
      </c>
      <c r="B1135" t="s">
        <v>78</v>
      </c>
      <c r="C1135">
        <v>46812.3</v>
      </c>
      <c r="D1135">
        <v>3.1422741179501159</v>
      </c>
      <c r="E1135">
        <v>0.4736508875865531</v>
      </c>
    </row>
    <row r="1136" spans="1:5" x14ac:dyDescent="0.35">
      <c r="A1136" t="s">
        <v>183</v>
      </c>
      <c r="B1136" t="s">
        <v>79</v>
      </c>
      <c r="C1136">
        <v>47103.7</v>
      </c>
      <c r="D1136">
        <v>2.8248702210363241</v>
      </c>
      <c r="E1136">
        <v>0.870944635964919</v>
      </c>
    </row>
    <row r="1137" spans="1:5" x14ac:dyDescent="0.35">
      <c r="A1137" t="s">
        <v>183</v>
      </c>
      <c r="B1137" t="s">
        <v>80</v>
      </c>
      <c r="C1137">
        <v>47491.7</v>
      </c>
      <c r="D1137">
        <v>3.061006453769044</v>
      </c>
      <c r="E1137">
        <v>0.90093756931342406</v>
      </c>
    </row>
    <row r="1138" spans="1:5" x14ac:dyDescent="0.35">
      <c r="A1138" t="s">
        <v>183</v>
      </c>
      <c r="B1138" t="s">
        <v>81</v>
      </c>
      <c r="C1138">
        <v>47755.1</v>
      </c>
      <c r="D1138">
        <v>2.6627103320674399</v>
      </c>
      <c r="E1138">
        <v>0.91945935367667186</v>
      </c>
    </row>
    <row r="1139" spans="1:5" x14ac:dyDescent="0.35">
      <c r="A1139" t="s">
        <v>183</v>
      </c>
      <c r="B1139" t="s">
        <v>82</v>
      </c>
      <c r="C1139">
        <v>47952.2</v>
      </c>
      <c r="D1139">
        <v>2.4058692497952761</v>
      </c>
      <c r="E1139">
        <v>0.87676519279036569</v>
      </c>
    </row>
    <row r="1140" spans="1:5" x14ac:dyDescent="0.35">
      <c r="A1140" t="s">
        <v>183</v>
      </c>
      <c r="B1140" t="s">
        <v>83</v>
      </c>
      <c r="C1140">
        <v>48397.4</v>
      </c>
      <c r="D1140">
        <v>2.7094539071144021</v>
      </c>
      <c r="E1140">
        <v>0.8881101035437472</v>
      </c>
    </row>
    <row r="1141" spans="1:5" x14ac:dyDescent="0.35">
      <c r="A1141" t="s">
        <v>183</v>
      </c>
      <c r="B1141" t="s">
        <v>84</v>
      </c>
      <c r="C1141">
        <v>46338.2</v>
      </c>
      <c r="D1141">
        <v>-2.458828401231596</v>
      </c>
      <c r="E1141">
        <v>0.91603014238305014</v>
      </c>
    </row>
    <row r="1142" spans="1:5" x14ac:dyDescent="0.35">
      <c r="A1142" t="s">
        <v>183</v>
      </c>
      <c r="B1142" t="s">
        <v>85</v>
      </c>
      <c r="C1142">
        <v>39366.6</v>
      </c>
      <c r="D1142">
        <v>-19.31681264524055</v>
      </c>
      <c r="E1142">
        <v>0.94969578294875368</v>
      </c>
    </row>
    <row r="1143" spans="1:5" x14ac:dyDescent="0.35">
      <c r="A1143" t="s">
        <v>183</v>
      </c>
      <c r="B1143" t="s">
        <v>86</v>
      </c>
      <c r="C1143">
        <v>45008.9</v>
      </c>
      <c r="D1143">
        <v>-6.3344433410462369</v>
      </c>
      <c r="E1143">
        <v>0.9119204443882285</v>
      </c>
    </row>
    <row r="1144" spans="1:5" x14ac:dyDescent="0.35">
      <c r="A1144" t="s">
        <v>183</v>
      </c>
      <c r="B1144" t="s">
        <v>87</v>
      </c>
      <c r="C1144">
        <v>45162.8</v>
      </c>
      <c r="D1144">
        <v>-6.9172354140493857</v>
      </c>
      <c r="E1144">
        <v>0.90212654258353853</v>
      </c>
    </row>
    <row r="1145" spans="1:5" x14ac:dyDescent="0.35">
      <c r="A1145" t="s">
        <v>183</v>
      </c>
      <c r="B1145" t="s">
        <v>88</v>
      </c>
      <c r="C1145">
        <v>43846.3</v>
      </c>
      <c r="D1145">
        <v>-5.5276338223076644</v>
      </c>
      <c r="E1145">
        <v>0.89827635883464096</v>
      </c>
    </row>
    <row r="1146" spans="1:5" x14ac:dyDescent="0.35">
      <c r="A1146" t="s">
        <v>183</v>
      </c>
      <c r="B1146" t="s">
        <v>89</v>
      </c>
      <c r="C1146">
        <v>45872.4</v>
      </c>
      <c r="D1146">
        <v>15.294588796561319</v>
      </c>
      <c r="E1146">
        <v>0.89169433537923315</v>
      </c>
    </row>
    <row r="1147" spans="1:5" x14ac:dyDescent="0.35">
      <c r="A1147" t="s">
        <v>183</v>
      </c>
      <c r="B1147" t="s">
        <v>90</v>
      </c>
      <c r="C1147">
        <v>47501.7</v>
      </c>
      <c r="D1147">
        <v>5.3905251881200549</v>
      </c>
      <c r="E1147">
        <v>0.75505673789974215</v>
      </c>
    </row>
    <row r="1148" spans="1:5" x14ac:dyDescent="0.35">
      <c r="A1148" t="s">
        <v>183</v>
      </c>
      <c r="B1148" t="s">
        <v>91</v>
      </c>
      <c r="C1148">
        <v>48432.800000000003</v>
      </c>
      <c r="D1148">
        <v>6.9903531016657157</v>
      </c>
      <c r="E1148">
        <v>0.73673314290301684</v>
      </c>
    </row>
    <row r="1149" spans="1:5" x14ac:dyDescent="0.35">
      <c r="A1149" t="s">
        <v>183</v>
      </c>
      <c r="B1149" t="s">
        <v>92</v>
      </c>
      <c r="C1149">
        <v>49143.199999999997</v>
      </c>
      <c r="D1149">
        <v>11.40481483430967</v>
      </c>
      <c r="E1149">
        <v>7.0367161826732499E-2</v>
      </c>
    </row>
    <row r="1150" spans="1:5" x14ac:dyDescent="0.35">
      <c r="A1150" t="s">
        <v>183</v>
      </c>
      <c r="B1150" t="s">
        <v>93</v>
      </c>
      <c r="C1150">
        <v>49334.400000000001</v>
      </c>
      <c r="D1150">
        <v>7.2757977464598476</v>
      </c>
      <c r="E1150">
        <v>0.14936791268739669</v>
      </c>
    </row>
    <row r="1151" spans="1:5" x14ac:dyDescent="0.35">
      <c r="A1151" t="s">
        <v>183</v>
      </c>
      <c r="B1151" t="s">
        <v>94</v>
      </c>
      <c r="C1151">
        <v>49894</v>
      </c>
      <c r="D1151">
        <v>4.9135255173193171</v>
      </c>
      <c r="E1151">
        <v>0.40727058401958582</v>
      </c>
    </row>
    <row r="1152" spans="1:5" x14ac:dyDescent="0.35">
      <c r="A1152" t="s">
        <v>183</v>
      </c>
      <c r="B1152" t="s">
        <v>95</v>
      </c>
      <c r="C1152">
        <v>50251</v>
      </c>
      <c r="D1152">
        <v>3.6853177091118039</v>
      </c>
      <c r="E1152">
        <v>0.1878871301569674</v>
      </c>
    </row>
    <row r="1153" spans="1:5" x14ac:dyDescent="0.35">
      <c r="A1153" t="s">
        <v>183</v>
      </c>
      <c r="B1153" t="s">
        <v>96</v>
      </c>
      <c r="C1153">
        <v>50889.4</v>
      </c>
      <c r="D1153">
        <v>3.491616535771692</v>
      </c>
      <c r="E1153">
        <v>0.27522159174134248</v>
      </c>
    </row>
    <row r="1154" spans="1:5" x14ac:dyDescent="0.35">
      <c r="A1154" t="s">
        <v>183</v>
      </c>
      <c r="B1154" t="s">
        <v>97</v>
      </c>
      <c r="C1154">
        <v>51136.5</v>
      </c>
      <c r="D1154">
        <v>3.5876921459432691</v>
      </c>
      <c r="E1154">
        <v>0.2060280638582612</v>
      </c>
    </row>
    <row r="1155" spans="1:5" x14ac:dyDescent="0.35">
      <c r="A1155" t="s">
        <v>183</v>
      </c>
      <c r="B1155" t="s">
        <v>98</v>
      </c>
      <c r="C1155">
        <v>51188.800000000003</v>
      </c>
      <c r="D1155">
        <v>2.56200030691463</v>
      </c>
      <c r="E1155">
        <v>0.23213095448025059</v>
      </c>
    </row>
    <row r="1156" spans="1:5" x14ac:dyDescent="0.35">
      <c r="A1156" t="s">
        <v>183</v>
      </c>
      <c r="B1156" t="s">
        <v>99</v>
      </c>
      <c r="C1156">
        <v>51565.2</v>
      </c>
      <c r="D1156">
        <v>2.5816579121650691</v>
      </c>
      <c r="E1156">
        <v>0.28882928893140408</v>
      </c>
    </row>
    <row r="1157" spans="1:5" x14ac:dyDescent="0.35">
      <c r="A1157" t="s">
        <v>183</v>
      </c>
      <c r="B1157" t="s">
        <v>100</v>
      </c>
      <c r="C1157">
        <v>51933.599999999999</v>
      </c>
      <c r="D1157">
        <v>2.0311329147894521</v>
      </c>
      <c r="E1157">
        <v>0.40434559781894541</v>
      </c>
    </row>
    <row r="1158" spans="1:5" x14ac:dyDescent="0.35">
      <c r="A1158" t="s">
        <v>183</v>
      </c>
      <c r="B1158" t="s">
        <v>101</v>
      </c>
      <c r="C1158">
        <v>52204.4</v>
      </c>
      <c r="D1158">
        <v>2.066825458071416</v>
      </c>
      <c r="E1158">
        <v>0.58408173402993835</v>
      </c>
    </row>
    <row r="1159" spans="1:5" x14ac:dyDescent="0.35">
      <c r="A1159" t="s">
        <v>183</v>
      </c>
      <c r="B1159" t="s">
        <v>102</v>
      </c>
      <c r="C1159">
        <v>52279.9</v>
      </c>
      <c r="D1159">
        <v>2.1091217860648008</v>
      </c>
      <c r="E1159">
        <v>-6.563561309087719E-2</v>
      </c>
    </row>
    <row r="1160" spans="1:5" x14ac:dyDescent="0.35">
      <c r="A1160" t="s">
        <v>183</v>
      </c>
      <c r="B1160" t="s">
        <v>103</v>
      </c>
      <c r="C1160">
        <v>52897</v>
      </c>
      <c r="D1160">
        <v>2.5499600120753692</v>
      </c>
      <c r="E1160">
        <v>0.25794255991986548</v>
      </c>
    </row>
    <row r="1161" spans="1:5" x14ac:dyDescent="0.35">
      <c r="A1161" t="s">
        <v>183</v>
      </c>
      <c r="B1161" t="s">
        <v>104</v>
      </c>
      <c r="C1161">
        <v>52747.6</v>
      </c>
      <c r="D1161">
        <v>1.5552294147250401</v>
      </c>
      <c r="E1161">
        <v>-0.25733010113359489</v>
      </c>
    </row>
    <row r="1162" spans="1:5" x14ac:dyDescent="0.35">
      <c r="A1162" t="s">
        <v>183</v>
      </c>
      <c r="B1162" t="s">
        <v>105</v>
      </c>
      <c r="C1162">
        <v>53109</v>
      </c>
      <c r="D1162">
        <v>1.7179622887221071</v>
      </c>
      <c r="E1162">
        <v>0.1240281359458844</v>
      </c>
    </row>
    <row r="1163" spans="1:5" x14ac:dyDescent="0.35">
      <c r="A1163" t="s">
        <v>183</v>
      </c>
      <c r="B1163" t="s">
        <v>106</v>
      </c>
      <c r="C1163">
        <v>53427.5</v>
      </c>
      <c r="D1163">
        <v>2.1713618705369981</v>
      </c>
      <c r="E1163">
        <v>0.16740057513777151</v>
      </c>
    </row>
    <row r="1164" spans="1:5" x14ac:dyDescent="0.35">
      <c r="A1164" t="s">
        <v>183</v>
      </c>
      <c r="B1164" t="s">
        <v>107</v>
      </c>
      <c r="C1164">
        <v>53926.8</v>
      </c>
      <c r="D1164">
        <v>1.9280944931060311</v>
      </c>
      <c r="E1164">
        <v>0.1384657851179398</v>
      </c>
    </row>
    <row r="1165" spans="1:5" x14ac:dyDescent="0.35">
      <c r="A1165" t="s">
        <v>183</v>
      </c>
      <c r="B1165" t="s">
        <v>108</v>
      </c>
      <c r="C1165">
        <v>53993.2</v>
      </c>
      <c r="D1165">
        <v>2.3339839018217701</v>
      </c>
      <c r="E1165">
        <v>0.28080595551184018</v>
      </c>
    </row>
    <row r="1166" spans="1:5" x14ac:dyDescent="0.35">
      <c r="A1166" t="s">
        <v>183</v>
      </c>
      <c r="B1166" t="s">
        <v>109</v>
      </c>
      <c r="C1166">
        <v>54437.599999999999</v>
      </c>
      <c r="D1166">
        <v>2.4708686168784308</v>
      </c>
      <c r="E1166">
        <v>-9.4792375807177323E-2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docMetadata/LabelInfo.xml><?xml version="1.0" encoding="utf-8"?>
<clbl:labelList xmlns:clbl="http://schemas.microsoft.com/office/2020/mipLabelMetadata">
  <clbl:label id="{1ddf9560-f40a-4faa-b693-65e98d55b544}" enabled="1" method="Privileged" siteId="{9ecbd628-0072-405d-8567-32c6750b0d3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ict_inv</vt:lpstr>
      <vt:lpstr>ai_patent</vt:lpstr>
      <vt:lpstr>ai_inv</vt:lpstr>
      <vt:lpstr>hs_export</vt:lpstr>
      <vt:lpstr>Corr_exposure_data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 (EBO_CMA)</cp:lastModifiedBy>
  <dcterms:created xsi:type="dcterms:W3CDTF">2026-09-02T09:00:34Z</dcterms:created>
  <dcterms:modified xsi:type="dcterms:W3CDTF">2026-09-11T08:25:05Z</dcterms:modified>
</cp:coreProperties>
</file>