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8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9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0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2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3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4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5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6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lation_summary" sheetId="1" state="visible" r:id="rId1"/>
    <sheet name="data_ict_share_full" sheetId="2" state="visible" r:id="rId2"/>
    <sheet name="chart_ict_share_full" sheetId="3" state="visible" r:id="rId3"/>
    <sheet name="data_ict_share_since2021" sheetId="4" state="visible" r:id="rId4"/>
    <sheet name="chart_ict_share_since2021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1" sheetId="10" state="visible" r:id="rId10"/>
    <sheet name="chart_hs_export_share_since2021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1" sheetId="16" state="visible" r:id="rId16"/>
    <sheet name="chart_stock_corr_since2021" sheetId="17" state="visible" r:id="rId17"/>
    <sheet name="data_stock_corr_till2019" sheetId="18" state="visible" r:id="rId18"/>
    <sheet name="chart_stock_corr_till2019" sheetId="19" state="visible" r:id="rId19"/>
    <sheet name="data_time_trend_full" sheetId="20" state="visible" r:id="rId20"/>
    <sheet name="chart_time_trend_full" sheetId="21" state="visible" r:id="rId21"/>
    <sheet name="data_time_trend_since2021" sheetId="22" state="visible" r:id="rId22"/>
    <sheet name="chart_time_trend_since2021" sheetId="23" state="visible" r:id="rId23"/>
    <sheet name="data_time_trend_till2019" sheetId="24" state="visible" r:id="rId24"/>
    <sheet name="chart_time_trend_till2019" sheetId="25" state="visible" r:id="rId25"/>
    <sheet name="data_cluster_ict_share" sheetId="26" state="visible" r:id="rId26"/>
    <sheet name="chart_cluster_ict_share" sheetId="27" state="visible" r:id="rId27"/>
    <sheet name="data_cluster_hs_export" sheetId="28" state="visible" r:id="rId28"/>
    <sheet name="chart_cluster_hs_export" sheetId="29" state="visible" r:id="rId29"/>
    <sheet name="data_cluster_stock_corr" sheetId="30" state="visible" r:id="rId30"/>
    <sheet name="chart_cluster_stock_corr" sheetId="31" state="visible" r:id="rId31"/>
    <sheet name="data_ict_share_yrs" sheetId="32" state="visible" r:id="rId32"/>
    <sheet name="chart_ict_share_yrs" sheetId="33" state="visible" r:id="rId33"/>
    <sheet name="data_hs_export_share_yrs" sheetId="34" state="visible" r:id="rId34"/>
    <sheet name="chart_hs_export_share_yrs" sheetId="35" state="visible" r:id="rId35"/>
    <sheet name="data_stock_corr_yrs" sheetId="36" state="visible" r:id="rId36"/>
    <sheet name="chart_stock_corr_yrs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'data_ict_share_since2021'!$H$2:$H$169</f>
            </numRef>
          </xVal>
          <yVal>
            <numRef>
              <f>'data_ict_share_since2021'!$G$2:$G$169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'data_hs_export_share_full'!$H$2:$H$541</f>
            </numRef>
          </xVal>
          <yVal>
            <numRef>
              <f>'data_hs_export_share_full'!$G$2:$G$541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'data_hs_export_share_since2021'!$H$2:$H$161</f>
            </numRef>
          </xVal>
          <yVal>
            <numRef>
              <f>'data_hs_export_share_since2021'!$G$2:$G$161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'data_stock_corr_since2021'!$H$2:$H$221</f>
            </numRef>
          </xVal>
          <yVal>
            <numRef>
              <f>'data_stock_corr_since2021'!$G$2:$G$221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time (target year)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'data_time_trend_full'!$H$2:$H$601</f>
            </numRef>
          </xVal>
          <yVal>
            <numRef>
              <f>'data_time_trend_full'!$G$2:$G$601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time (target year)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'data_time_trend_since2021'!$H$2:$H$221</f>
            </numRef>
          </xVal>
          <yVal>
            <numRef>
              <f>'data_time_trend_since2021'!$G$2:$G$221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time (target year)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'data_time_trend_till2019'!$H$2:$H$341</f>
            </numRef>
          </xVal>
          <yVal>
            <numRef>
              <f>'data_time_trend_till2019'!$G$2:$G$341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0.0004)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'data_cluster_hs_export'!$D$2:$D$271</f>
            </numRef>
          </xVal>
          <yVal>
            <numRef>
              <f>'data_cluster_hs_export'!$G$2:$G$271</f>
            </numRef>
          </yVal>
        </ser>
        <ser>
          <idx val="1"/>
          <order val="1"/>
          <tx>
            <v>Above median (AI/ICT-related HS export share &gt; 0.0004)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'data_cluster_hs_export'!$D$272:$D$541</f>
            </numRef>
          </xVal>
          <yVal>
            <numRef>
              <f>'data_cluster_hs_export'!$G$272:$G$541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forecast only)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'data_ict_share_yrs'!$H$2:$H$23</f>
            </numRef>
          </xVal>
          <yVal>
            <numRef>
              <f>'data_ict_share_yrs'!$G$2:$G$23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forecast only)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'data_hs_export_share_yrs'!$H$2:$H$21</f>
            </numRef>
          </xVal>
          <yVal>
            <numRef>
              <f>'data_hs_export_share_yrs'!$G$2:$G$21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forecast only)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'data_stock_corr_yrs'!$H$2:$H$31</f>
            </numRef>
          </xVal>
          <yVal>
            <numRef>
              <f>'data_stock_corr_yrs'!$G$2:$G$31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explanatory_variable</t>
        </is>
      </c>
      <c r="B1" s="1" t="inlineStr">
        <is>
          <t>full sample</t>
        </is>
      </c>
      <c r="C1" s="1" t="inlineStr">
        <is>
          <t>since 2021</t>
        </is>
      </c>
      <c r="D1" s="1" t="inlineStr">
        <is>
          <t>through 2019</t>
        </is>
      </c>
    </row>
    <row r="2">
      <c r="A2" s="1" t="inlineStr">
        <is>
          <t>ICT investment share</t>
        </is>
      </c>
      <c r="B2" s="2">
        <f>CORREL('data_ict_share_full'!$G$2:$G$549,'data_ict_share_full'!$H$2:$H$549)</f>
        <v/>
      </c>
      <c r="C2" s="2">
        <f>CORREL('data_ict_share_since2021'!$G$2:$G$169,'data_ict_share_since2021'!$H$2:$H$169)</f>
        <v/>
      </c>
      <c r="D2" s="2">
        <f>CORREL('data_ict_share_till2019'!$G$2:$G$341,'data_ict_share_till2019'!$H$2:$H$341)</f>
        <v/>
      </c>
    </row>
    <row r="3">
      <c r="A3" s="1" t="inlineStr">
        <is>
          <t>AI/ICT-related HS export share</t>
        </is>
      </c>
      <c r="B3" s="2">
        <f>CORREL('data_hs_export_share_full'!$G$2:$G$541,'data_hs_export_share_full'!$H$2:$H$541)</f>
        <v/>
      </c>
      <c r="C3" s="2">
        <f>CORREL('data_hs_export_share_since2021'!$G$2:$G$161,'data_hs_export_share_since2021'!$H$2:$H$161)</f>
        <v/>
      </c>
      <c r="D3" s="2">
        <f>CORREL('data_hs_export_share_till2019'!$G$2:$G$341,'data_hs_export_share_till2019'!$H$2:$H$341)</f>
        <v/>
      </c>
    </row>
    <row r="4">
      <c r="A4" s="1" t="inlineStr">
        <is>
          <t>National vs. semiconductor index correlation (8Q rolling, annualized)</t>
        </is>
      </c>
      <c r="B4" s="2">
        <f>CORREL('data_stock_corr_full'!$G$2:$G$573,'data_stock_corr_full'!$H$2:$H$573)</f>
        <v/>
      </c>
      <c r="C4" s="2">
        <f>CORREL('data_stock_corr_since2021'!$G$2:$G$221,'data_stock_corr_since2021'!$H$2:$H$221)</f>
        <v/>
      </c>
      <c r="D4" s="2">
        <f>CORREL('data_stock_corr_till2019'!$G$2:$G$313,'data_stock_corr_till2019'!$H$2:$H$313)</f>
        <v/>
      </c>
    </row>
    <row r="5">
      <c r="A5" s="1" t="inlineStr">
        <is>
          <t>Target year (time)</t>
        </is>
      </c>
      <c r="B5" s="2">
        <f>CORREL('data_time_trend_full'!$G$2:$G$601,'data_time_trend_full'!$H$2:$H$601)</f>
        <v/>
      </c>
      <c r="C5" s="2">
        <f>CORREL('data_time_trend_since2021'!$G$2:$G$221,'data_time_trend_since2021'!$H$2:$H$221)</f>
        <v/>
      </c>
      <c r="D5" s="2">
        <f>CORREL('data_time_trend_till2019'!$G$2:$G$341,'data_time_trend_till2019'!$H$2:$H$341)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0.1559916018212551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0.1559916018212551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0.1559916018212551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0.1559916018212551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0.1560350039496388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0.1560350039496388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0.1560350039496388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0.1560350039496388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0.1673103527784183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0.1673103527784183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0.1673103527784183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0.1673103527784183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0.1749649540642542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0.1749649540642542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0.1749649540642542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0.1749649540642542</v>
      </c>
    </row>
    <row r="18">
      <c r="A18" t="inlineStr">
        <is>
          <t>BE</t>
        </is>
      </c>
      <c r="B18" t="inlineStr">
        <is>
          <t>Autumn2020</t>
        </is>
      </c>
      <c r="C18" t="inlineStr">
        <is>
          <t>Autumn</t>
        </is>
      </c>
      <c r="D18" t="n">
        <v>2021</v>
      </c>
      <c r="E18" t="n">
        <v>4.123904979564874</v>
      </c>
      <c r="F18" t="n">
        <v>6.066717579844368</v>
      </c>
      <c r="G18">
        <f>IF(OR(F18="",E18=""),"",F18-E18)</f>
        <v/>
      </c>
      <c r="H18" t="n">
        <v>0.1463749770714594</v>
      </c>
    </row>
    <row r="19">
      <c r="A19" t="inlineStr">
        <is>
          <t>BE</t>
        </is>
      </c>
      <c r="B19" t="inlineStr">
        <is>
          <t>Autumn2021</t>
        </is>
      </c>
      <c r="C19" t="inlineStr">
        <is>
          <t>Autumn</t>
        </is>
      </c>
      <c r="D19" t="n">
        <v>2021</v>
      </c>
      <c r="E19" t="n">
        <v>5.983602933941645</v>
      </c>
      <c r="F19" t="n">
        <v>6.066717579844368</v>
      </c>
      <c r="G19">
        <f>IF(OR(F19="",E19=""),"",F19-E19)</f>
        <v/>
      </c>
      <c r="H19" t="n">
        <v>0.1463749770714594</v>
      </c>
    </row>
    <row r="20">
      <c r="A20" t="inlineStr">
        <is>
          <t>BE</t>
        </is>
      </c>
      <c r="B20" t="inlineStr">
        <is>
          <t>Spring2020</t>
        </is>
      </c>
      <c r="C20" t="inlineStr">
        <is>
          <t>Spring</t>
        </is>
      </c>
      <c r="D20" t="n">
        <v>2021</v>
      </c>
      <c r="E20" t="n">
        <v>6.68991298414483</v>
      </c>
      <c r="F20" t="n">
        <v>6.066717579844368</v>
      </c>
      <c r="G20">
        <f>IF(OR(F20="",E20=""),"",F20-E20)</f>
        <v/>
      </c>
      <c r="H20" t="n">
        <v>0.1463749770714594</v>
      </c>
    </row>
    <row r="21">
      <c r="A21" t="inlineStr">
        <is>
          <t>BE</t>
        </is>
      </c>
      <c r="B21" t="inlineStr">
        <is>
          <t>Spring2021</t>
        </is>
      </c>
      <c r="C21" t="inlineStr">
        <is>
          <t>Spring</t>
        </is>
      </c>
      <c r="D21" t="n">
        <v>2021</v>
      </c>
      <c r="E21" t="n">
        <v>4.542307146368851</v>
      </c>
      <c r="F21" t="n">
        <v>6.066717579844368</v>
      </c>
      <c r="G21">
        <f>IF(OR(F21="",E21=""),"",F21-E21)</f>
        <v/>
      </c>
      <c r="H21" t="n">
        <v>0.1463749770714594</v>
      </c>
    </row>
    <row r="22">
      <c r="A22" t="inlineStr">
        <is>
          <t>BE</t>
        </is>
      </c>
      <c r="B22" t="inlineStr">
        <is>
          <t>Autumn2021</t>
        </is>
      </c>
      <c r="C22" t="inlineStr">
        <is>
          <t>Autumn</t>
        </is>
      </c>
      <c r="D22" t="n">
        <v>2022</v>
      </c>
      <c r="E22" t="n">
        <v>2.647136452938059</v>
      </c>
      <c r="F22" t="n">
        <v>3.945716681463399</v>
      </c>
      <c r="G22">
        <f>IF(OR(F22="",E22=""),"",F22-E22)</f>
        <v/>
      </c>
      <c r="H22" t="n">
        <v>0.1480621043667784</v>
      </c>
    </row>
    <row r="23">
      <c r="A23" t="inlineStr">
        <is>
          <t>BE</t>
        </is>
      </c>
      <c r="B23" t="inlineStr">
        <is>
          <t>Autumn2022</t>
        </is>
      </c>
      <c r="C23" t="inlineStr">
        <is>
          <t>Autumn</t>
        </is>
      </c>
      <c r="D23" t="n">
        <v>2022</v>
      </c>
      <c r="E23" t="n">
        <v>2.817114751231209</v>
      </c>
      <c r="F23" t="n">
        <v>3.945716681463399</v>
      </c>
      <c r="G23">
        <f>IF(OR(F23="",E23=""),"",F23-E23)</f>
        <v/>
      </c>
      <c r="H23" t="n">
        <v>0.1480621043667784</v>
      </c>
    </row>
    <row r="24">
      <c r="A24" t="inlineStr">
        <is>
          <t>BE</t>
        </is>
      </c>
      <c r="B24" t="inlineStr">
        <is>
          <t>Spring2021</t>
        </is>
      </c>
      <c r="C24" t="inlineStr">
        <is>
          <t>Spring</t>
        </is>
      </c>
      <c r="D24" t="n">
        <v>2022</v>
      </c>
      <c r="E24" t="n">
        <v>3.671117125209777</v>
      </c>
      <c r="F24" t="n">
        <v>3.945716681463399</v>
      </c>
      <c r="G24">
        <f>IF(OR(F24="",E24=""),"",F24-E24)</f>
        <v/>
      </c>
      <c r="H24" t="n">
        <v>0.1480621043667784</v>
      </c>
    </row>
    <row r="25">
      <c r="A25" t="inlineStr">
        <is>
          <t>BE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2.016579561869025</v>
      </c>
      <c r="F25" t="n">
        <v>3.945716681463399</v>
      </c>
      <c r="G25">
        <f>IF(OR(F25="",E25=""),"",F25-E25)</f>
        <v/>
      </c>
      <c r="H25" t="n">
        <v>0.1480621043667784</v>
      </c>
    </row>
    <row r="26">
      <c r="A26" t="inlineStr">
        <is>
          <t>BE</t>
        </is>
      </c>
      <c r="B26" t="inlineStr">
        <is>
          <t>Autumn2022</t>
        </is>
      </c>
      <c r="C26" t="inlineStr">
        <is>
          <t>Autumn</t>
        </is>
      </c>
      <c r="D26" t="n">
        <v>2023</v>
      </c>
      <c r="E26" t="n">
        <v>0.1608186912456899</v>
      </c>
      <c r="F26" t="n">
        <v>1.549182781075526</v>
      </c>
      <c r="G26">
        <f>IF(OR(F26="",E26=""),"",F26-E26)</f>
        <v/>
      </c>
      <c r="H26" t="n">
        <v>0.1469043606929681</v>
      </c>
    </row>
    <row r="27">
      <c r="A27" t="inlineStr">
        <is>
          <t>BE</t>
        </is>
      </c>
      <c r="B27" t="inlineStr">
        <is>
          <t>Autumn2023</t>
        </is>
      </c>
      <c r="C27" t="inlineStr">
        <is>
          <t>Autumn</t>
        </is>
      </c>
      <c r="D27" t="n">
        <v>2023</v>
      </c>
      <c r="E27" t="n">
        <v>1.44096095579862</v>
      </c>
      <c r="F27" t="n">
        <v>1.549182781075526</v>
      </c>
      <c r="G27">
        <f>IF(OR(F27="",E27=""),"",F27-E27)</f>
        <v/>
      </c>
      <c r="H27" t="n">
        <v>0.1469043606929681</v>
      </c>
    </row>
    <row r="28">
      <c r="A28" t="inlineStr">
        <is>
          <t>BE</t>
        </is>
      </c>
      <c r="B28" t="inlineStr">
        <is>
          <t>Spring2022</t>
        </is>
      </c>
      <c r="C28" t="inlineStr">
        <is>
          <t>Spring</t>
        </is>
      </c>
      <c r="D28" t="n">
        <v>2023</v>
      </c>
      <c r="E28" t="n">
        <v>1.776624080830547</v>
      </c>
      <c r="F28" t="n">
        <v>1.549182781075526</v>
      </c>
      <c r="G28">
        <f>IF(OR(F28="",E28=""),"",F28-E28)</f>
        <v/>
      </c>
      <c r="H28" t="n">
        <v>0.1469043606929681</v>
      </c>
    </row>
    <row r="29">
      <c r="A29" t="inlineStr">
        <is>
          <t>BE</t>
        </is>
      </c>
      <c r="B29" t="inlineStr">
        <is>
          <t>Spring2023</t>
        </is>
      </c>
      <c r="C29" t="inlineStr">
        <is>
          <t>Spring</t>
        </is>
      </c>
      <c r="D29" t="n">
        <v>2023</v>
      </c>
      <c r="E29" t="n">
        <v>1.233072806561886</v>
      </c>
      <c r="F29" t="n">
        <v>1.549182781075526</v>
      </c>
      <c r="G29">
        <f>IF(OR(F29="",E29=""),"",F29-E29)</f>
        <v/>
      </c>
      <c r="H29" t="n">
        <v>0.1469043606929681</v>
      </c>
    </row>
    <row r="30">
      <c r="A30" t="inlineStr">
        <is>
          <t>BE</t>
        </is>
      </c>
      <c r="B30" t="inlineStr">
        <is>
          <t>Autumn2023</t>
        </is>
      </c>
      <c r="C30" t="inlineStr">
        <is>
          <t>Autumn</t>
        </is>
      </c>
      <c r="D30" t="n">
        <v>2024</v>
      </c>
      <c r="E30" t="n">
        <v>1.366814397179428</v>
      </c>
      <c r="F30" t="n">
        <v>1.091758418498549</v>
      </c>
      <c r="G30">
        <f>IF(OR(F30="",E30=""),"",F30-E30)</f>
        <v/>
      </c>
      <c r="H30" t="n">
        <v>0.1644498226413965</v>
      </c>
    </row>
    <row r="31">
      <c r="A31" t="inlineStr">
        <is>
          <t>BE</t>
        </is>
      </c>
      <c r="B31" t="inlineStr">
        <is>
          <t>Autumn2024</t>
        </is>
      </c>
      <c r="C31" t="inlineStr">
        <is>
          <t>Autumn</t>
        </is>
      </c>
      <c r="D31" t="n">
        <v>2024</v>
      </c>
      <c r="E31" t="n">
        <v>1.144309940913812</v>
      </c>
      <c r="F31" t="n">
        <v>1.091758418498549</v>
      </c>
      <c r="G31">
        <f>IF(OR(F31="",E31=""),"",F31-E31)</f>
        <v/>
      </c>
      <c r="H31" t="n">
        <v>0.1644498226413965</v>
      </c>
    </row>
    <row r="32">
      <c r="A32" t="inlineStr">
        <is>
          <t>BE</t>
        </is>
      </c>
      <c r="B32" t="inlineStr">
        <is>
          <t>Spring2023</t>
        </is>
      </c>
      <c r="C32" t="inlineStr">
        <is>
          <t>Spring</t>
        </is>
      </c>
      <c r="D32" t="n">
        <v>2024</v>
      </c>
      <c r="E32" t="n">
        <v>1.361184496232393</v>
      </c>
      <c r="F32" t="n">
        <v>1.091758418498549</v>
      </c>
      <c r="G32">
        <f>IF(OR(F32="",E32=""),"",F32-E32)</f>
        <v/>
      </c>
      <c r="H32" t="n">
        <v>0.1644498226413965</v>
      </c>
    </row>
    <row r="33">
      <c r="A33" t="inlineStr">
        <is>
          <t>BE</t>
        </is>
      </c>
      <c r="B33" t="inlineStr">
        <is>
          <t>Spring2024</t>
        </is>
      </c>
      <c r="C33" t="inlineStr">
        <is>
          <t>Spring</t>
        </is>
      </c>
      <c r="D33" t="n">
        <v>2024</v>
      </c>
      <c r="E33" t="n">
        <v>1.27417313530005</v>
      </c>
      <c r="F33" t="n">
        <v>1.091758418498549</v>
      </c>
      <c r="G33">
        <f>IF(OR(F33="",E33=""),"",F33-E33)</f>
        <v/>
      </c>
      <c r="H33" t="n">
        <v>0.1644498226413965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2021</v>
      </c>
      <c r="E34" t="n">
        <v>3.516841814195537</v>
      </c>
      <c r="F34" t="n">
        <v>3.831452641785919</v>
      </c>
      <c r="G34">
        <f>IF(OR(F34="",E34=""),"",F34-E34)</f>
        <v/>
      </c>
      <c r="H34" t="n">
        <v>0.08372704253341454</v>
      </c>
    </row>
    <row r="35">
      <c r="A35" t="inlineStr">
        <is>
          <t>DE</t>
        </is>
      </c>
      <c r="B35" t="inlineStr">
        <is>
          <t>Autumn2021</t>
        </is>
      </c>
      <c r="C35" t="inlineStr">
        <is>
          <t>Autumn</t>
        </is>
      </c>
      <c r="D35" t="n">
        <v>2021</v>
      </c>
      <c r="E35" t="n">
        <v>2.734338923172808</v>
      </c>
      <c r="F35" t="n">
        <v>3.831452641785919</v>
      </c>
      <c r="G35">
        <f>IF(OR(F35="",E35=""),"",F35-E35)</f>
        <v/>
      </c>
      <c r="H35" t="n">
        <v>0.08372704253341454</v>
      </c>
    </row>
    <row r="36">
      <c r="A36" t="inlineStr">
        <is>
          <t>DE</t>
        </is>
      </c>
      <c r="B36" t="inlineStr">
        <is>
          <t>Spring2020</t>
        </is>
      </c>
      <c r="C36" t="inlineStr">
        <is>
          <t>Spring</t>
        </is>
      </c>
      <c r="D36" t="n">
        <v>2021</v>
      </c>
      <c r="E36" t="n">
        <v>5.872379539050265</v>
      </c>
      <c r="F36" t="n">
        <v>3.831452641785919</v>
      </c>
      <c r="G36">
        <f>IF(OR(F36="",E36=""),"",F36-E36)</f>
        <v/>
      </c>
      <c r="H36" t="n">
        <v>0.08372704253341454</v>
      </c>
    </row>
    <row r="37">
      <c r="A37" t="inlineStr">
        <is>
          <t>DE</t>
        </is>
      </c>
      <c r="B37" t="inlineStr">
        <is>
          <t>Spring2021</t>
        </is>
      </c>
      <c r="C37" t="inlineStr">
        <is>
          <t>Spring</t>
        </is>
      </c>
      <c r="D37" t="n">
        <v>2021</v>
      </c>
      <c r="E37" t="n">
        <v>3.405406776981335</v>
      </c>
      <c r="F37" t="n">
        <v>3.831452641785919</v>
      </c>
      <c r="G37">
        <f>IF(OR(F37="",E37=""),"",F37-E37)</f>
        <v/>
      </c>
      <c r="H37" t="n">
        <v>0.08372704253341454</v>
      </c>
    </row>
    <row r="38">
      <c r="A38" t="inlineStr">
        <is>
          <t>DE</t>
        </is>
      </c>
      <c r="B38" t="inlineStr">
        <is>
          <t>Autumn2021</t>
        </is>
      </c>
      <c r="C38" t="inlineStr">
        <is>
          <t>Autumn</t>
        </is>
      </c>
      <c r="D38" t="n">
        <v>2022</v>
      </c>
      <c r="E38" t="n">
        <v>4.592778443460088</v>
      </c>
      <c r="F38" t="n">
        <v>1.931834126476093</v>
      </c>
      <c r="G38">
        <f>IF(OR(F38="",E38=""),"",F38-E38)</f>
        <v/>
      </c>
      <c r="H38" t="n">
        <v>0.08452451407020597</v>
      </c>
    </row>
    <row r="39">
      <c r="A39" t="inlineStr">
        <is>
          <t>DE</t>
        </is>
      </c>
      <c r="B39" t="inlineStr">
        <is>
          <t>Autumn2022</t>
        </is>
      </c>
      <c r="C39" t="inlineStr">
        <is>
          <t>Autumn</t>
        </is>
      </c>
      <c r="D39" t="n">
        <v>2022</v>
      </c>
      <c r="E39" t="n">
        <v>1.55845355711639</v>
      </c>
      <c r="F39" t="n">
        <v>1.931834126476093</v>
      </c>
      <c r="G39">
        <f>IF(OR(F39="",E39=""),"",F39-E39)</f>
        <v/>
      </c>
      <c r="H39" t="n">
        <v>0.08452451407020597</v>
      </c>
    </row>
    <row r="40">
      <c r="A40" t="inlineStr">
        <is>
          <t>DE</t>
        </is>
      </c>
      <c r="B40" t="inlineStr">
        <is>
          <t>Spring2021</t>
        </is>
      </c>
      <c r="C40" t="inlineStr">
        <is>
          <t>Spring</t>
        </is>
      </c>
      <c r="D40" t="n">
        <v>2022</v>
      </c>
      <c r="E40" t="n">
        <v>4.054769973410322</v>
      </c>
      <c r="F40" t="n">
        <v>1.931834126476093</v>
      </c>
      <c r="G40">
        <f>IF(OR(F40="",E40=""),"",F40-E40)</f>
        <v/>
      </c>
      <c r="H40" t="n">
        <v>0.08452451407020597</v>
      </c>
    </row>
    <row r="41">
      <c r="A41" t="inlineStr">
        <is>
          <t>DE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1.557968342243976</v>
      </c>
      <c r="F41" t="n">
        <v>1.931834126476093</v>
      </c>
      <c r="G41">
        <f>IF(OR(F41="",E41=""),"",F41-E41)</f>
        <v/>
      </c>
      <c r="H41" t="n">
        <v>0.08452451407020597</v>
      </c>
    </row>
    <row r="42">
      <c r="A42" t="inlineStr">
        <is>
          <t>DE</t>
        </is>
      </c>
      <c r="B42" t="inlineStr">
        <is>
          <t>Autumn2022</t>
        </is>
      </c>
      <c r="C42" t="inlineStr">
        <is>
          <t>Autumn</t>
        </is>
      </c>
      <c r="D42" t="n">
        <v>2023</v>
      </c>
      <c r="E42" t="n">
        <v>-0.6259552448300343</v>
      </c>
      <c r="F42" t="n">
        <v>-0.8168910842708624</v>
      </c>
      <c r="G42">
        <f>IF(OR(F42="",E42=""),"",F42-E42)</f>
        <v/>
      </c>
      <c r="H42" t="n">
        <v>0.08112796275316141</v>
      </c>
    </row>
    <row r="43">
      <c r="A43" t="inlineStr">
        <is>
          <t>DE</t>
        </is>
      </c>
      <c r="B43" t="inlineStr">
        <is>
          <t>Autumn2023</t>
        </is>
      </c>
      <c r="C43" t="inlineStr">
        <is>
          <t>Autumn</t>
        </is>
      </c>
      <c r="D43" t="n">
        <v>2023</v>
      </c>
      <c r="E43" t="n">
        <v>-0.2733491870976157</v>
      </c>
      <c r="F43" t="n">
        <v>-0.8168910842708624</v>
      </c>
      <c r="G43">
        <f>IF(OR(F43="",E43=""),"",F43-E43)</f>
        <v/>
      </c>
      <c r="H43" t="n">
        <v>0.08112796275316141</v>
      </c>
    </row>
    <row r="44">
      <c r="A44" t="inlineStr">
        <is>
          <t>DE</t>
        </is>
      </c>
      <c r="B44" t="inlineStr">
        <is>
          <t>Spring2022</t>
        </is>
      </c>
      <c r="C44" t="inlineStr">
        <is>
          <t>Spring</t>
        </is>
      </c>
      <c r="D44" t="n">
        <v>2023</v>
      </c>
      <c r="E44" t="n">
        <v>2.409031659139682</v>
      </c>
      <c r="F44" t="n">
        <v>-0.8168910842708624</v>
      </c>
      <c r="G44">
        <f>IF(OR(F44="",E44=""),"",F44-E44)</f>
        <v/>
      </c>
      <c r="H44" t="n">
        <v>0.08112796275316141</v>
      </c>
    </row>
    <row r="45">
      <c r="A45" t="inlineStr">
        <is>
          <t>DE</t>
        </is>
      </c>
      <c r="B45" t="inlineStr">
        <is>
          <t>Spring2023</t>
        </is>
      </c>
      <c r="C45" t="inlineStr">
        <is>
          <t>Spring</t>
        </is>
      </c>
      <c r="D45" t="n">
        <v>2023</v>
      </c>
      <c r="E45" t="n">
        <v>0.1895730527823769</v>
      </c>
      <c r="F45" t="n">
        <v>-0.8168910842708624</v>
      </c>
      <c r="G45">
        <f>IF(OR(F45="",E45=""),"",F45-E45)</f>
        <v/>
      </c>
      <c r="H45" t="n">
        <v>0.08112796275316141</v>
      </c>
    </row>
    <row r="46">
      <c r="A46" t="inlineStr">
        <is>
          <t>DE</t>
        </is>
      </c>
      <c r="B46" t="inlineStr">
        <is>
          <t>Autumn2023</t>
        </is>
      </c>
      <c r="C46" t="inlineStr">
        <is>
          <t>Autumn</t>
        </is>
      </c>
      <c r="D46" t="n">
        <v>2024</v>
      </c>
      <c r="E46" t="n">
        <v>0.8045058451062292</v>
      </c>
      <c r="F46" t="n">
        <v>0.04052339456431485</v>
      </c>
      <c r="G46">
        <f>IF(OR(F46="",E46=""),"",F46-E46)</f>
        <v/>
      </c>
      <c r="H46" t="n">
        <v>0.08691676046971902</v>
      </c>
    </row>
    <row r="47">
      <c r="A47" t="inlineStr">
        <is>
          <t>DE</t>
        </is>
      </c>
      <c r="B47" t="inlineStr">
        <is>
          <t>Autumn2024</t>
        </is>
      </c>
      <c r="C47" t="inlineStr">
        <is>
          <t>Autumn</t>
        </is>
      </c>
      <c r="D47" t="n">
        <v>2024</v>
      </c>
      <c r="E47" t="n">
        <v>-0.1114510968873272</v>
      </c>
      <c r="F47" t="n">
        <v>0.04052339456431485</v>
      </c>
      <c r="G47">
        <f>IF(OR(F47="",E47=""),"",F47-E47)</f>
        <v/>
      </c>
      <c r="H47" t="n">
        <v>0.08691676046971902</v>
      </c>
    </row>
    <row r="48">
      <c r="A48" t="inlineStr">
        <is>
          <t>DE</t>
        </is>
      </c>
      <c r="B48" t="inlineStr">
        <is>
          <t>Spring2023</t>
        </is>
      </c>
      <c r="C48" t="inlineStr">
        <is>
          <t>Spring</t>
        </is>
      </c>
      <c r="D48" t="n">
        <v>2024</v>
      </c>
      <c r="E48" t="n">
        <v>1.358688832068133</v>
      </c>
      <c r="F48" t="n">
        <v>0.04052339456431485</v>
      </c>
      <c r="G48">
        <f>IF(OR(F48="",E48=""),"",F48-E48)</f>
        <v/>
      </c>
      <c r="H48" t="n">
        <v>0.08691676046971902</v>
      </c>
    </row>
    <row r="49">
      <c r="A49" t="inlineStr">
        <is>
          <t>DE</t>
        </is>
      </c>
      <c r="B49" t="inlineStr">
        <is>
          <t>Spring2024</t>
        </is>
      </c>
      <c r="C49" t="inlineStr">
        <is>
          <t>Spring</t>
        </is>
      </c>
      <c r="D49" t="n">
        <v>2024</v>
      </c>
      <c r="E49" t="n">
        <v>0.1275365656890015</v>
      </c>
      <c r="F49" t="n">
        <v>0.04052339456431485</v>
      </c>
      <c r="G49">
        <f>IF(OR(F49="",E49=""),"",F49-E49)</f>
        <v/>
      </c>
      <c r="H49" t="n">
        <v>0.08691676046971902</v>
      </c>
    </row>
    <row r="50">
      <c r="A50" t="inlineStr">
        <is>
          <t>ES</t>
        </is>
      </c>
      <c r="B50" t="inlineStr">
        <is>
          <t>Autumn2020</t>
        </is>
      </c>
      <c r="C50" t="inlineStr">
        <is>
          <t>Autumn</t>
        </is>
      </c>
      <c r="D50" t="n">
        <v>2021</v>
      </c>
      <c r="E50" t="n">
        <v>5.350853621568263</v>
      </c>
      <c r="F50" t="n">
        <v>6.469314314287704</v>
      </c>
      <c r="G50">
        <f>IF(OR(F50="",E50=""),"",F50-E50)</f>
        <v/>
      </c>
      <c r="H50" t="n">
        <v>0.1524242667094086</v>
      </c>
    </row>
    <row r="51">
      <c r="A51" t="inlineStr">
        <is>
          <t>ES</t>
        </is>
      </c>
      <c r="B51" t="inlineStr">
        <is>
          <t>Autumn2021</t>
        </is>
      </c>
      <c r="C51" t="inlineStr">
        <is>
          <t>Autumn</t>
        </is>
      </c>
      <c r="D51" t="n">
        <v>2021</v>
      </c>
      <c r="E51" t="n">
        <v>4.623451084710362</v>
      </c>
      <c r="F51" t="n">
        <v>6.469314314287704</v>
      </c>
      <c r="G51">
        <f>IF(OR(F51="",E51=""),"",F51-E51)</f>
        <v/>
      </c>
      <c r="H51" t="n">
        <v>0.1524242667094086</v>
      </c>
    </row>
    <row r="52">
      <c r="A52" t="inlineStr">
        <is>
          <t>ES</t>
        </is>
      </c>
      <c r="B52" t="inlineStr">
        <is>
          <t>Spring2020</t>
        </is>
      </c>
      <c r="C52" t="inlineStr">
        <is>
          <t>Spring</t>
        </is>
      </c>
      <c r="D52" t="n">
        <v>2021</v>
      </c>
      <c r="E52" t="n">
        <v>6.976175954197417</v>
      </c>
      <c r="F52" t="n">
        <v>6.469314314287704</v>
      </c>
      <c r="G52">
        <f>IF(OR(F52="",E52=""),"",F52-E52)</f>
        <v/>
      </c>
      <c r="H52" t="n">
        <v>0.1524242667094086</v>
      </c>
    </row>
    <row r="53">
      <c r="A53" t="inlineStr">
        <is>
          <t>ES</t>
        </is>
      </c>
      <c r="B53" t="inlineStr">
        <is>
          <t>Spring2021</t>
        </is>
      </c>
      <c r="C53" t="inlineStr">
        <is>
          <t>Spring</t>
        </is>
      </c>
      <c r="D53" t="n">
        <v>2021</v>
      </c>
      <c r="E53" t="n">
        <v>5.88125326449247</v>
      </c>
      <c r="F53" t="n">
        <v>6.469314314287704</v>
      </c>
      <c r="G53">
        <f>IF(OR(F53="",E53=""),"",F53-E53)</f>
        <v/>
      </c>
      <c r="H53" t="n">
        <v>0.1524242667094086</v>
      </c>
    </row>
    <row r="54">
      <c r="A54" t="inlineStr">
        <is>
          <t>ES</t>
        </is>
      </c>
      <c r="B54" t="inlineStr">
        <is>
          <t>Autumn2021</t>
        </is>
      </c>
      <c r="C54" t="inlineStr">
        <is>
          <t>Autumn</t>
        </is>
      </c>
      <c r="D54" t="n">
        <v>2022</v>
      </c>
      <c r="E54" t="n">
        <v>5.527823615283389</v>
      </c>
      <c r="F54" t="n">
        <v>6.175712557377276</v>
      </c>
      <c r="G54">
        <f>IF(OR(F54="",E54=""),"",F54-E54)</f>
        <v/>
      </c>
      <c r="H54" t="n">
        <v>0.144095214445351</v>
      </c>
    </row>
    <row r="55">
      <c r="A55" t="inlineStr">
        <is>
          <t>ES</t>
        </is>
      </c>
      <c r="B55" t="inlineStr">
        <is>
          <t>Autumn2022</t>
        </is>
      </c>
      <c r="C55" t="inlineStr">
        <is>
          <t>Autumn</t>
        </is>
      </c>
      <c r="D55" t="n">
        <v>2022</v>
      </c>
      <c r="E55" t="n">
        <v>4.547669246739372</v>
      </c>
      <c r="F55" t="n">
        <v>6.175712557377276</v>
      </c>
      <c r="G55">
        <f>IF(OR(F55="",E55=""),"",F55-E55)</f>
        <v/>
      </c>
      <c r="H55" t="n">
        <v>0.144095214445351</v>
      </c>
    </row>
    <row r="56">
      <c r="A56" t="inlineStr">
        <is>
          <t>ES</t>
        </is>
      </c>
      <c r="B56" t="inlineStr">
        <is>
          <t>Spring2021</t>
        </is>
      </c>
      <c r="C56" t="inlineStr">
        <is>
          <t>Spring</t>
        </is>
      </c>
      <c r="D56" t="n">
        <v>2022</v>
      </c>
      <c r="E56" t="n">
        <v>6.777991800115157</v>
      </c>
      <c r="F56" t="n">
        <v>6.175712557377276</v>
      </c>
      <c r="G56">
        <f>IF(OR(F56="",E56=""),"",F56-E56)</f>
        <v/>
      </c>
      <c r="H56" t="n">
        <v>0.144095214445351</v>
      </c>
    </row>
    <row r="57">
      <c r="A57" t="inlineStr">
        <is>
          <t>ES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4.026089481560913</v>
      </c>
      <c r="F57" t="n">
        <v>6.175712557377276</v>
      </c>
      <c r="G57">
        <f>IF(OR(F57="",E57=""),"",F57-E57)</f>
        <v/>
      </c>
      <c r="H57" t="n">
        <v>0.144095214445351</v>
      </c>
    </row>
    <row r="58">
      <c r="A58" t="inlineStr">
        <is>
          <t>ES</t>
        </is>
      </c>
      <c r="B58" t="inlineStr">
        <is>
          <t>Autumn2022</t>
        </is>
      </c>
      <c r="C58" t="inlineStr">
        <is>
          <t>Autumn</t>
        </is>
      </c>
      <c r="D58" t="n">
        <v>2023</v>
      </c>
      <c r="E58" t="n">
        <v>0.9550399603865944</v>
      </c>
      <c r="F58" t="n">
        <v>2.430978463969634</v>
      </c>
      <c r="G58">
        <f>IF(OR(F58="",E58=""),"",F58-E58)</f>
        <v/>
      </c>
      <c r="H58" t="n">
        <v>0.1497313467893739</v>
      </c>
    </row>
    <row r="59">
      <c r="A59" t="inlineStr">
        <is>
          <t>ES</t>
        </is>
      </c>
      <c r="B59" t="inlineStr">
        <is>
          <t>Autumn2023</t>
        </is>
      </c>
      <c r="C59" t="inlineStr">
        <is>
          <t>Autumn</t>
        </is>
      </c>
      <c r="D59" t="n">
        <v>2023</v>
      </c>
      <c r="E59" t="n">
        <v>2.365484497228709</v>
      </c>
      <c r="F59" t="n">
        <v>2.430978463969634</v>
      </c>
      <c r="G59">
        <f>IF(OR(F59="",E59=""),"",F59-E59)</f>
        <v/>
      </c>
      <c r="H59" t="n">
        <v>0.1497313467893739</v>
      </c>
    </row>
    <row r="60">
      <c r="A60" t="inlineStr">
        <is>
          <t>ES</t>
        </is>
      </c>
      <c r="B60" t="inlineStr">
        <is>
          <t>Spring2022</t>
        </is>
      </c>
      <c r="C60" t="inlineStr">
        <is>
          <t>Spring</t>
        </is>
      </c>
      <c r="D60" t="n">
        <v>2023</v>
      </c>
      <c r="E60" t="n">
        <v>3.37296849743105</v>
      </c>
      <c r="F60" t="n">
        <v>2.430978463969634</v>
      </c>
      <c r="G60">
        <f>IF(OR(F60="",E60=""),"",F60-E60)</f>
        <v/>
      </c>
      <c r="H60" t="n">
        <v>0.1497313467893739</v>
      </c>
    </row>
    <row r="61">
      <c r="A61" t="inlineStr">
        <is>
          <t>ES</t>
        </is>
      </c>
      <c r="B61" t="inlineStr">
        <is>
          <t>Spring2023</t>
        </is>
      </c>
      <c r="C61" t="inlineStr">
        <is>
          <t>Spring</t>
        </is>
      </c>
      <c r="D61" t="n">
        <v>2023</v>
      </c>
      <c r="E61" t="n">
        <v>1.936681176345667</v>
      </c>
      <c r="F61" t="n">
        <v>2.430978463969634</v>
      </c>
      <c r="G61">
        <f>IF(OR(F61="",E61=""),"",F61-E61)</f>
        <v/>
      </c>
      <c r="H61" t="n">
        <v>0.1497313467893739</v>
      </c>
    </row>
    <row r="62">
      <c r="A62" t="inlineStr">
        <is>
          <t>ES</t>
        </is>
      </c>
      <c r="B62" t="inlineStr">
        <is>
          <t>Autumn2023</t>
        </is>
      </c>
      <c r="C62" t="inlineStr">
        <is>
          <t>Autumn</t>
        </is>
      </c>
      <c r="D62" t="n">
        <v>2024</v>
      </c>
      <c r="E62" t="n">
        <v>1.660542743130144</v>
      </c>
      <c r="F62" t="n">
        <v>3.396903137344779</v>
      </c>
      <c r="G62">
        <f>IF(OR(F62="",E62=""),"",F62-E62)</f>
        <v/>
      </c>
      <c r="H62" t="n">
        <v>0.1495725835123897</v>
      </c>
    </row>
    <row r="63">
      <c r="A63" t="inlineStr">
        <is>
          <t>ES</t>
        </is>
      </c>
      <c r="B63" t="inlineStr">
        <is>
          <t>Autumn2024</t>
        </is>
      </c>
      <c r="C63" t="inlineStr">
        <is>
          <t>Autumn</t>
        </is>
      </c>
      <c r="D63" t="n">
        <v>2024</v>
      </c>
      <c r="E63" t="n">
        <v>2.966936931003072</v>
      </c>
      <c r="F63" t="n">
        <v>3.396903137344779</v>
      </c>
      <c r="G63">
        <f>IF(OR(F63="",E63=""),"",F63-E63)</f>
        <v/>
      </c>
      <c r="H63" t="n">
        <v>0.1495725835123897</v>
      </c>
    </row>
    <row r="64">
      <c r="A64" t="inlineStr">
        <is>
          <t>ES</t>
        </is>
      </c>
      <c r="B64" t="inlineStr">
        <is>
          <t>Spring2023</t>
        </is>
      </c>
      <c r="C64" t="inlineStr">
        <is>
          <t>Spring</t>
        </is>
      </c>
      <c r="D64" t="n">
        <v>2024</v>
      </c>
      <c r="E64" t="n">
        <v>1.964876847331687</v>
      </c>
      <c r="F64" t="n">
        <v>3.396903137344779</v>
      </c>
      <c r="G64">
        <f>IF(OR(F64="",E64=""),"",F64-E64)</f>
        <v/>
      </c>
      <c r="H64" t="n">
        <v>0.1495725835123897</v>
      </c>
    </row>
    <row r="65">
      <c r="A65" t="inlineStr">
        <is>
          <t>ES</t>
        </is>
      </c>
      <c r="B65" t="inlineStr">
        <is>
          <t>Spring2024</t>
        </is>
      </c>
      <c r="C65" t="inlineStr">
        <is>
          <t>Spring</t>
        </is>
      </c>
      <c r="D65" t="n">
        <v>2024</v>
      </c>
      <c r="E65" t="n">
        <v>2.144730461207822</v>
      </c>
      <c r="F65" t="n">
        <v>3.396903137344779</v>
      </c>
      <c r="G65">
        <f>IF(OR(F65="",E65=""),"",F65-E65)</f>
        <v/>
      </c>
      <c r="H65" t="n">
        <v>0.1495725835123897</v>
      </c>
    </row>
    <row r="66">
      <c r="A66" t="inlineStr">
        <is>
          <t>FI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2.900169440971712</v>
      </c>
      <c r="F66" t="n">
        <v>2.641572009022019</v>
      </c>
      <c r="G66">
        <f>IF(OR(F66="",E66=""),"",F66-E66)</f>
        <v/>
      </c>
      <c r="H66" t="n">
        <v>0.1058271604938272</v>
      </c>
    </row>
    <row r="67">
      <c r="A67" t="inlineStr">
        <is>
          <t>FI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3.40412762679374</v>
      </c>
      <c r="F67" t="n">
        <v>2.641572009022019</v>
      </c>
      <c r="G67">
        <f>IF(OR(F67="",E67=""),"",F67-E67)</f>
        <v/>
      </c>
      <c r="H67" t="n">
        <v>0.1058271604938272</v>
      </c>
    </row>
    <row r="68">
      <c r="A68" t="inlineStr">
        <is>
          <t>FI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3.673560818821353</v>
      </c>
      <c r="F68" t="n">
        <v>2.641572009022019</v>
      </c>
      <c r="G68">
        <f>IF(OR(F68="",E68=""),"",F68-E68)</f>
        <v/>
      </c>
      <c r="H68" t="n">
        <v>0.1058271604938272</v>
      </c>
    </row>
    <row r="69">
      <c r="A69" t="inlineStr">
        <is>
          <t>FI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2.739564988065335</v>
      </c>
      <c r="F69" t="n">
        <v>2.641572009022019</v>
      </c>
      <c r="G69">
        <f>IF(OR(F69="",E69=""),"",F69-E69)</f>
        <v/>
      </c>
      <c r="H69" t="n">
        <v>0.1058271604938272</v>
      </c>
    </row>
    <row r="70">
      <c r="A70" t="inlineStr">
        <is>
          <t>FI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2.827224586640664</v>
      </c>
      <c r="F70" t="n">
        <v>0.7600629155646718</v>
      </c>
      <c r="G70">
        <f>IF(OR(F70="",E70=""),"",F70-E70)</f>
        <v/>
      </c>
      <c r="H70" t="n">
        <v>0.09942108470444851</v>
      </c>
    </row>
    <row r="71">
      <c r="A71" t="inlineStr">
        <is>
          <t>FI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2.327853537647107</v>
      </c>
      <c r="F71" t="n">
        <v>0.7600629155646718</v>
      </c>
      <c r="G71">
        <f>IF(OR(F71="",E71=""),"",F71-E71)</f>
        <v/>
      </c>
      <c r="H71" t="n">
        <v>0.09942108470444851</v>
      </c>
    </row>
    <row r="72">
      <c r="A72" t="inlineStr">
        <is>
          <t>FI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2.751701241130511</v>
      </c>
      <c r="F72" t="n">
        <v>0.7600629155646718</v>
      </c>
      <c r="G72">
        <f>IF(OR(F72="",E72=""),"",F72-E72)</f>
        <v/>
      </c>
      <c r="H72" t="n">
        <v>0.09942108470444851</v>
      </c>
    </row>
    <row r="73">
      <c r="A73" t="inlineStr">
        <is>
          <t>FI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1.603112304026943</v>
      </c>
      <c r="F73" t="n">
        <v>0.7600629155646718</v>
      </c>
      <c r="G73">
        <f>IF(OR(F73="",E73=""),"",F73-E73)</f>
        <v/>
      </c>
      <c r="H73" t="n">
        <v>0.09942108470444851</v>
      </c>
    </row>
    <row r="74">
      <c r="A74" t="inlineStr">
        <is>
          <t>FI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0.2399878611282436</v>
      </c>
      <c r="F74" t="n">
        <v>-1.298005405307383</v>
      </c>
      <c r="G74">
        <f>IF(OR(F74="",E74=""),"",F74-E74)</f>
        <v/>
      </c>
      <c r="H74" t="n">
        <v>0.1132453544983484</v>
      </c>
    </row>
    <row r="75">
      <c r="A75" t="inlineStr">
        <is>
          <t>FI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0.1370597471564761</v>
      </c>
      <c r="F75" t="n">
        <v>-1.298005405307383</v>
      </c>
      <c r="G75">
        <f>IF(OR(F75="",E75=""),"",F75-E75)</f>
        <v/>
      </c>
      <c r="H75" t="n">
        <v>0.1132453544983484</v>
      </c>
    </row>
    <row r="76">
      <c r="A76" t="inlineStr">
        <is>
          <t>FI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1.664320363648697</v>
      </c>
      <c r="F76" t="n">
        <v>-1.298005405307383</v>
      </c>
      <c r="G76">
        <f>IF(OR(F76="",E76=""),"",F76-E76)</f>
        <v/>
      </c>
      <c r="H76" t="n">
        <v>0.1132453544983484</v>
      </c>
    </row>
    <row r="77">
      <c r="A77" t="inlineStr">
        <is>
          <t>FI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0.1978909161836295</v>
      </c>
      <c r="F77" t="n">
        <v>-1.298005405307383</v>
      </c>
      <c r="G77">
        <f>IF(OR(F77="",E77=""),"",F77-E77)</f>
        <v/>
      </c>
      <c r="H77" t="n">
        <v>0.1132453544983484</v>
      </c>
    </row>
    <row r="78">
      <c r="A78" t="inlineStr">
        <is>
          <t>FI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0.8259921956103033</v>
      </c>
      <c r="F78" t="n">
        <v>0.8814466149882676</v>
      </c>
      <c r="G78">
        <f>IF(OR(F78="",E78=""),"",F78-E78)</f>
        <v/>
      </c>
      <c r="H78" t="n">
        <v>0.1407195474875033</v>
      </c>
    </row>
    <row r="79">
      <c r="A79" t="inlineStr">
        <is>
          <t>FI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-0.2781603584441905</v>
      </c>
      <c r="F79" t="n">
        <v>0.8814466149882676</v>
      </c>
      <c r="G79">
        <f>IF(OR(F79="",E79=""),"",F79-E79)</f>
        <v/>
      </c>
      <c r="H79" t="n">
        <v>0.1407195474875033</v>
      </c>
    </row>
    <row r="80">
      <c r="A80" t="inlineStr">
        <is>
          <t>FI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1.375433393552461</v>
      </c>
      <c r="F80" t="n">
        <v>0.8814466149882676</v>
      </c>
      <c r="G80">
        <f>IF(OR(F80="",E80=""),"",F80-E80)</f>
        <v/>
      </c>
      <c r="H80" t="n">
        <v>0.1407195474875033</v>
      </c>
    </row>
    <row r="81">
      <c r="A81" t="inlineStr">
        <is>
          <t>FI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0.03957338592484039</v>
      </c>
      <c r="F81" t="n">
        <v>0.8814466149882676</v>
      </c>
      <c r="G81">
        <f>IF(OR(F81="",E81=""),"",F81-E81)</f>
        <v/>
      </c>
      <c r="H81" t="n">
        <v>0.1407195474875033</v>
      </c>
    </row>
    <row r="82">
      <c r="A82" t="inlineStr">
        <is>
          <t>FI</t>
        </is>
      </c>
      <c r="B82" t="inlineStr">
        <is>
          <t>Autumn2024</t>
        </is>
      </c>
      <c r="C82" t="inlineStr">
        <is>
          <t>Autumn</t>
        </is>
      </c>
      <c r="D82" t="n">
        <v>2025</v>
      </c>
      <c r="E82" t="n">
        <v>1.544507858030109</v>
      </c>
      <c r="F82" t="n">
        <v>0.7999014912137302</v>
      </c>
      <c r="G82">
        <f>IF(OR(F82="",E82=""),"",F82-E82)</f>
        <v/>
      </c>
      <c r="H82" t="n">
        <v>0.1453376309949951</v>
      </c>
    </row>
    <row r="83">
      <c r="A83" t="inlineStr">
        <is>
          <t>FI</t>
        </is>
      </c>
      <c r="B83" t="inlineStr">
        <is>
          <t>Autumn2025</t>
        </is>
      </c>
      <c r="C83" t="inlineStr">
        <is>
          <t>Autumn</t>
        </is>
      </c>
      <c r="D83" t="n">
        <v>2025</v>
      </c>
      <c r="E83" t="n">
        <v>0.07572023836193154</v>
      </c>
      <c r="F83" t="n">
        <v>0.7999014912137302</v>
      </c>
      <c r="G83">
        <f>IF(OR(F83="",E83=""),"",F83-E83)</f>
        <v/>
      </c>
      <c r="H83" t="n">
        <v>0.1453376309949951</v>
      </c>
    </row>
    <row r="84">
      <c r="A84" t="inlineStr">
        <is>
          <t>FI</t>
        </is>
      </c>
      <c r="B84" t="inlineStr">
        <is>
          <t>Spring2024</t>
        </is>
      </c>
      <c r="C84" t="inlineStr">
        <is>
          <t>Spring</t>
        </is>
      </c>
      <c r="D84" t="n">
        <v>2025</v>
      </c>
      <c r="E84" t="n">
        <v>1.36065626925197</v>
      </c>
      <c r="F84" t="n">
        <v>0.7999014912137302</v>
      </c>
      <c r="G84">
        <f>IF(OR(F84="",E84=""),"",F84-E84)</f>
        <v/>
      </c>
      <c r="H84" t="n">
        <v>0.1453376309949951</v>
      </c>
    </row>
    <row r="85">
      <c r="A85" t="inlineStr">
        <is>
          <t>FI</t>
        </is>
      </c>
      <c r="B85" t="inlineStr">
        <is>
          <t>Spring2025</t>
        </is>
      </c>
      <c r="C85" t="inlineStr">
        <is>
          <t>Spring</t>
        </is>
      </c>
      <c r="D85" t="n">
        <v>2025</v>
      </c>
      <c r="E85" t="n">
        <v>0.9759636250904258</v>
      </c>
      <c r="F85" t="n">
        <v>0.7999014912137302</v>
      </c>
      <c r="G85">
        <f>IF(OR(F85="",E85=""),"",F85-E85)</f>
        <v/>
      </c>
      <c r="H85" t="n">
        <v>0.1453376309949951</v>
      </c>
    </row>
    <row r="86">
      <c r="A86" t="inlineStr">
        <is>
          <t>FR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5.795265902617808</v>
      </c>
      <c r="F86" t="n">
        <v>6.570188477254643</v>
      </c>
      <c r="G86">
        <f>IF(OR(F86="",E86=""),"",F86-E86)</f>
        <v/>
      </c>
      <c r="H86" t="n">
        <v>0.1620723096779977</v>
      </c>
    </row>
    <row r="87">
      <c r="A87" t="inlineStr">
        <is>
          <t>FR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6.542579429206707</v>
      </c>
      <c r="F87" t="n">
        <v>6.570188477254643</v>
      </c>
      <c r="G87">
        <f>IF(OR(F87="",E87=""),"",F87-E87)</f>
        <v/>
      </c>
      <c r="H87" t="n">
        <v>0.1620723096779977</v>
      </c>
    </row>
    <row r="88">
      <c r="A88" t="inlineStr">
        <is>
          <t>FR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7.401134491337769</v>
      </c>
      <c r="F88" t="n">
        <v>6.570188477254643</v>
      </c>
      <c r="G88">
        <f>IF(OR(F88="",E88=""),"",F88-E88)</f>
        <v/>
      </c>
      <c r="H88" t="n">
        <v>0.1620723096779977</v>
      </c>
    </row>
    <row r="89">
      <c r="A89" t="inlineStr">
        <is>
          <t>FR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5.714702673402861</v>
      </c>
      <c r="F89" t="n">
        <v>6.570188477254643</v>
      </c>
      <c r="G89">
        <f>IF(OR(F89="",E89=""),"",F89-E89)</f>
        <v/>
      </c>
      <c r="H89" t="n">
        <v>0.1620723096779977</v>
      </c>
    </row>
    <row r="90">
      <c r="A90" t="inlineStr">
        <is>
          <t>FR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3.766147557940314</v>
      </c>
      <c r="F90" t="n">
        <v>2.761671160127166</v>
      </c>
      <c r="G90">
        <f>IF(OR(F90="",E90=""),"",F90-E90)</f>
        <v/>
      </c>
      <c r="H90" t="n">
        <v>0.1686231784194008</v>
      </c>
    </row>
    <row r="91">
      <c r="A91" t="inlineStr">
        <is>
          <t>FR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2.629458440119525</v>
      </c>
      <c r="F91" t="n">
        <v>2.761671160127166</v>
      </c>
      <c r="G91">
        <f>IF(OR(F91="",E91=""),"",F91-E91)</f>
        <v/>
      </c>
      <c r="H91" t="n">
        <v>0.1686231784194008</v>
      </c>
    </row>
    <row r="92">
      <c r="A92" t="inlineStr">
        <is>
          <t>FR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4.211477073724845</v>
      </c>
      <c r="F92" t="n">
        <v>2.761671160127166</v>
      </c>
      <c r="G92">
        <f>IF(OR(F92="",E92=""),"",F92-E92)</f>
        <v/>
      </c>
      <c r="H92" t="n">
        <v>0.1686231784194008</v>
      </c>
    </row>
    <row r="93">
      <c r="A93" t="inlineStr">
        <is>
          <t>FR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3.098952418316858</v>
      </c>
      <c r="F93" t="n">
        <v>2.761671160127166</v>
      </c>
      <c r="G93">
        <f>IF(OR(F93="",E93=""),"",F93-E93)</f>
        <v/>
      </c>
      <c r="H93" t="n">
        <v>0.1686231784194008</v>
      </c>
    </row>
    <row r="94">
      <c r="A94" t="inlineStr">
        <is>
          <t>FR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0.4395065145862631</v>
      </c>
      <c r="F94" t="n">
        <v>1.802247083175507</v>
      </c>
      <c r="G94">
        <f>IF(OR(F94="",E94=""),"",F94-E94)</f>
        <v/>
      </c>
      <c r="H94" t="n">
        <v>0.1734951056333827</v>
      </c>
    </row>
    <row r="95">
      <c r="A95" t="inlineStr">
        <is>
          <t>FR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1.002276295034399</v>
      </c>
      <c r="F95" t="n">
        <v>1.802247083175507</v>
      </c>
      <c r="G95">
        <f>IF(OR(F95="",E95=""),"",F95-E95)</f>
        <v/>
      </c>
      <c r="H95" t="n">
        <v>0.1734951056333827</v>
      </c>
    </row>
    <row r="96">
      <c r="A96" t="inlineStr">
        <is>
          <t>FR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1.769109124061696</v>
      </c>
      <c r="F96" t="n">
        <v>1.802247083175507</v>
      </c>
      <c r="G96">
        <f>IF(OR(F96="",E96=""),"",F96-E96)</f>
        <v/>
      </c>
      <c r="H96" t="n">
        <v>0.1734951056333827</v>
      </c>
    </row>
    <row r="97">
      <c r="A97" t="inlineStr">
        <is>
          <t>FR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0.7242602636413187</v>
      </c>
      <c r="F97" t="n">
        <v>1.802247083175507</v>
      </c>
      <c r="G97">
        <f>IF(OR(F97="",E97=""),"",F97-E97)</f>
        <v/>
      </c>
      <c r="H97" t="n">
        <v>0.1734951056333827</v>
      </c>
    </row>
    <row r="98">
      <c r="A98" t="inlineStr">
        <is>
          <t>FR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1.247095433006873</v>
      </c>
      <c r="F98" t="n">
        <v>1.414482884555374</v>
      </c>
      <c r="G98">
        <f>IF(OR(F98="",E98=""),"",F98-E98)</f>
        <v/>
      </c>
      <c r="H98" t="n">
        <v>0.1837235499122915</v>
      </c>
    </row>
    <row r="99">
      <c r="A99" t="inlineStr">
        <is>
          <t>FR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1.13903040986485</v>
      </c>
      <c r="F99" t="n">
        <v>1.414482884555374</v>
      </c>
      <c r="G99">
        <f>IF(OR(F99="",E99=""),"",F99-E99)</f>
        <v/>
      </c>
      <c r="H99" t="n">
        <v>0.1837235499122915</v>
      </c>
    </row>
    <row r="100">
      <c r="A100" t="inlineStr">
        <is>
          <t>FR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1.41860461240253</v>
      </c>
      <c r="F100" t="n">
        <v>1.414482884555374</v>
      </c>
      <c r="G100">
        <f>IF(OR(F100="",E100=""),"",F100-E100)</f>
        <v/>
      </c>
      <c r="H100" t="n">
        <v>0.1837235499122915</v>
      </c>
    </row>
    <row r="101">
      <c r="A101" t="inlineStr">
        <is>
          <t>FR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0.728519105148373</v>
      </c>
      <c r="F101" t="n">
        <v>1.414482884555374</v>
      </c>
      <c r="G101">
        <f>IF(OR(F101="",E101=""),"",F101-E101)</f>
        <v/>
      </c>
      <c r="H101" t="n">
        <v>0.1837235499122915</v>
      </c>
    </row>
    <row r="102">
      <c r="A102" t="inlineStr">
        <is>
          <t>IE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2.947813244873676</v>
      </c>
      <c r="F102" t="n">
        <v>15.1246997065809</v>
      </c>
      <c r="G102">
        <f>IF(OR(F102="",E102=""),"",F102-E102)</f>
        <v/>
      </c>
      <c r="H102" t="n">
        <v>0.1951538535348689</v>
      </c>
    </row>
    <row r="103">
      <c r="A103" t="inlineStr">
        <is>
          <t>IE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14.56298111140442</v>
      </c>
      <c r="F103" t="n">
        <v>15.1246997065809</v>
      </c>
      <c r="G103">
        <f>IF(OR(F103="",E103=""),"",F103-E103)</f>
        <v/>
      </c>
      <c r="H103" t="n">
        <v>0.1951538535348689</v>
      </c>
    </row>
    <row r="104">
      <c r="A104" t="inlineStr">
        <is>
          <t>IE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6.084441522850637</v>
      </c>
      <c r="F104" t="n">
        <v>15.1246997065809</v>
      </c>
      <c r="G104">
        <f>IF(OR(F104="",E104=""),"",F104-E104)</f>
        <v/>
      </c>
      <c r="H104" t="n">
        <v>0.1951538535348689</v>
      </c>
    </row>
    <row r="105">
      <c r="A105" t="inlineStr">
        <is>
          <t>IE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4.59932575419888</v>
      </c>
      <c r="F105" t="n">
        <v>15.1246997065809</v>
      </c>
      <c r="G105">
        <f>IF(OR(F105="",E105=""),"",F105-E105)</f>
        <v/>
      </c>
      <c r="H105" t="n">
        <v>0.1951538535348689</v>
      </c>
    </row>
    <row r="106">
      <c r="A106" t="inlineStr">
        <is>
          <t>IE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5.091872298073152</v>
      </c>
      <c r="F106" t="n">
        <v>7.989444336924596</v>
      </c>
      <c r="G106">
        <f>IF(OR(F106="",E106=""),"",F106-E106)</f>
        <v/>
      </c>
      <c r="H106" t="n">
        <v>0.2517824542919683</v>
      </c>
    </row>
    <row r="107">
      <c r="A107" t="inlineStr">
        <is>
          <t>IE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7.871083766264508</v>
      </c>
      <c r="F107" t="n">
        <v>7.989444336924596</v>
      </c>
      <c r="G107">
        <f>IF(OR(F107="",E107=""),"",F107-E107)</f>
        <v/>
      </c>
      <c r="H107" t="n">
        <v>0.2517824542919683</v>
      </c>
    </row>
    <row r="108">
      <c r="A108" t="inlineStr">
        <is>
          <t>IE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4.975986839927704</v>
      </c>
      <c r="F108" t="n">
        <v>7.989444336924596</v>
      </c>
      <c r="G108">
        <f>IF(OR(F108="",E108=""),"",F108-E108)</f>
        <v/>
      </c>
      <c r="H108" t="n">
        <v>0.2517824542919683</v>
      </c>
    </row>
    <row r="109">
      <c r="A109" t="inlineStr">
        <is>
          <t>IE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5.381686196249635</v>
      </c>
      <c r="F109" t="n">
        <v>7.989444336924596</v>
      </c>
      <c r="G109">
        <f>IF(OR(F109="",E109=""),"",F109-E109)</f>
        <v/>
      </c>
      <c r="H109" t="n">
        <v>0.2517824542919683</v>
      </c>
    </row>
    <row r="110">
      <c r="A110" t="inlineStr">
        <is>
          <t>IE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3.172255506856847</v>
      </c>
      <c r="F110" t="n">
        <v>-3.520510301376442</v>
      </c>
      <c r="G110">
        <f>IF(OR(F110="",E110=""),"",F110-E110)</f>
        <v/>
      </c>
      <c r="H110" t="n">
        <v>0.1937480426261468</v>
      </c>
    </row>
    <row r="111">
      <c r="A111" t="inlineStr">
        <is>
          <t>IE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-0.9349560050788241</v>
      </c>
      <c r="F111" t="n">
        <v>-3.520510301376442</v>
      </c>
      <c r="G111">
        <f>IF(OR(F111="",E111=""),"",F111-E111)</f>
        <v/>
      </c>
      <c r="H111" t="n">
        <v>0.1937480426261468</v>
      </c>
    </row>
    <row r="112">
      <c r="A112" t="inlineStr">
        <is>
          <t>IE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4.434831401716832</v>
      </c>
      <c r="F112" t="n">
        <v>-3.520510301376442</v>
      </c>
      <c r="G112">
        <f>IF(OR(F112="",E112=""),"",F112-E112)</f>
        <v/>
      </c>
      <c r="H112" t="n">
        <v>0.1937480426261468</v>
      </c>
    </row>
    <row r="113">
      <c r="A113" t="inlineStr">
        <is>
          <t>IE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5.517073045513365</v>
      </c>
      <c r="F113" t="n">
        <v>-3.520510301376442</v>
      </c>
      <c r="G113">
        <f>IF(OR(F113="",E113=""),"",F113-E113)</f>
        <v/>
      </c>
      <c r="H113" t="n">
        <v>0.1937480426261468</v>
      </c>
    </row>
    <row r="114">
      <c r="A114" t="inlineStr">
        <is>
          <t>IE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3.044064013446279</v>
      </c>
      <c r="F114" t="n">
        <v>3.620379562913446</v>
      </c>
      <c r="G114">
        <f>IF(OR(F114="",E114=""),"",F114-E114)</f>
        <v/>
      </c>
      <c r="H114" t="n">
        <v>0.09601202864587599</v>
      </c>
    </row>
    <row r="115">
      <c r="A115" t="inlineStr">
        <is>
          <t>IE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-0.5406263528774158</v>
      </c>
      <c r="F115" t="n">
        <v>3.620379562913446</v>
      </c>
      <c r="G115">
        <f>IF(OR(F115="",E115=""),"",F115-E115)</f>
        <v/>
      </c>
      <c r="H115" t="n">
        <v>0.09601202864587599</v>
      </c>
    </row>
    <row r="116">
      <c r="A116" t="inlineStr">
        <is>
          <t>IE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4.967945256214601</v>
      </c>
      <c r="F116" t="n">
        <v>3.620379562913446</v>
      </c>
      <c r="G116">
        <f>IF(OR(F116="",E116=""),"",F116-E116)</f>
        <v/>
      </c>
      <c r="H116" t="n">
        <v>0.09601202864587599</v>
      </c>
    </row>
    <row r="117">
      <c r="A117" t="inlineStr">
        <is>
          <t>IE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1.243712466321201</v>
      </c>
      <c r="F117" t="n">
        <v>3.620379562913446</v>
      </c>
      <c r="G117">
        <f>IF(OR(F117="",E117=""),"",F117-E117)</f>
        <v/>
      </c>
      <c r="H117" t="n">
        <v>0.09601202864587599</v>
      </c>
    </row>
    <row r="118">
      <c r="A118" t="inlineStr">
        <is>
          <t>IT</t>
        </is>
      </c>
      <c r="B118" t="inlineStr">
        <is>
          <t>Autumn2020</t>
        </is>
      </c>
      <c r="C118" t="inlineStr">
        <is>
          <t>Autumn</t>
        </is>
      </c>
      <c r="D118" t="n">
        <v>2021</v>
      </c>
      <c r="E118" t="n">
        <v>4.051033813756133</v>
      </c>
      <c r="F118" t="n">
        <v>8.437067175906481</v>
      </c>
      <c r="G118">
        <f>IF(OR(F118="",E118=""),"",F118-E118)</f>
        <v/>
      </c>
      <c r="H118" t="n">
        <v>0.1278578640516919</v>
      </c>
    </row>
    <row r="119">
      <c r="A119" t="inlineStr">
        <is>
          <t>IT</t>
        </is>
      </c>
      <c r="B119" t="inlineStr">
        <is>
          <t>Autumn2021</t>
        </is>
      </c>
      <c r="C119" t="inlineStr">
        <is>
          <t>Autumn</t>
        </is>
      </c>
      <c r="D119" t="n">
        <v>2021</v>
      </c>
      <c r="E119" t="n">
        <v>6.229273312894534</v>
      </c>
      <c r="F119" t="n">
        <v>8.437067175906481</v>
      </c>
      <c r="G119">
        <f>IF(OR(F119="",E119=""),"",F119-E119)</f>
        <v/>
      </c>
      <c r="H119" t="n">
        <v>0.1278578640516919</v>
      </c>
    </row>
    <row r="120">
      <c r="A120" t="inlineStr">
        <is>
          <t>IT</t>
        </is>
      </c>
      <c r="B120" t="inlineStr">
        <is>
          <t>Spring2020</t>
        </is>
      </c>
      <c r="C120" t="inlineStr">
        <is>
          <t>Spring</t>
        </is>
      </c>
      <c r="D120" t="n">
        <v>2021</v>
      </c>
      <c r="E120" t="n">
        <v>6.54965690288567</v>
      </c>
      <c r="F120" t="n">
        <v>8.437067175906481</v>
      </c>
      <c r="G120">
        <f>IF(OR(F120="",E120=""),"",F120-E120)</f>
        <v/>
      </c>
      <c r="H120" t="n">
        <v>0.1278578640516919</v>
      </c>
    </row>
    <row r="121">
      <c r="A121" t="inlineStr">
        <is>
          <t>IT</t>
        </is>
      </c>
      <c r="B121" t="inlineStr">
        <is>
          <t>Spring2021</t>
        </is>
      </c>
      <c r="C121" t="inlineStr">
        <is>
          <t>Spring</t>
        </is>
      </c>
      <c r="D121" t="n">
        <v>2021</v>
      </c>
      <c r="E121" t="n">
        <v>4.206872388548932</v>
      </c>
      <c r="F121" t="n">
        <v>8.437067175906481</v>
      </c>
      <c r="G121">
        <f>IF(OR(F121="",E121=""),"",F121-E121)</f>
        <v/>
      </c>
      <c r="H121" t="n">
        <v>0.1278578640516919</v>
      </c>
    </row>
    <row r="122">
      <c r="A122" t="inlineStr">
        <is>
          <t>IT</t>
        </is>
      </c>
      <c r="B122" t="inlineStr">
        <is>
          <t>Autumn2021</t>
        </is>
      </c>
      <c r="C122" t="inlineStr">
        <is>
          <t>Autumn</t>
        </is>
      </c>
      <c r="D122" t="n">
        <v>2022</v>
      </c>
      <c r="E122" t="n">
        <v>4.268919168787466</v>
      </c>
      <c r="F122" t="n">
        <v>4.854613486697751</v>
      </c>
      <c r="G122">
        <f>IF(OR(F122="",E122=""),"",F122-E122)</f>
        <v/>
      </c>
      <c r="H122" t="n">
        <v>0.1223286868385065</v>
      </c>
    </row>
    <row r="123">
      <c r="A123" t="inlineStr">
        <is>
          <t>IT</t>
        </is>
      </c>
      <c r="B123" t="inlineStr">
        <is>
          <t>Autumn2022</t>
        </is>
      </c>
      <c r="C123" t="inlineStr">
        <is>
          <t>Autumn</t>
        </is>
      </c>
      <c r="D123" t="n">
        <v>2022</v>
      </c>
      <c r="E123" t="n">
        <v>3.826892027953699</v>
      </c>
      <c r="F123" t="n">
        <v>4.854613486697751</v>
      </c>
      <c r="G123">
        <f>IF(OR(F123="",E123=""),"",F123-E123)</f>
        <v/>
      </c>
      <c r="H123" t="n">
        <v>0.1223286868385065</v>
      </c>
    </row>
    <row r="124">
      <c r="A124" t="inlineStr">
        <is>
          <t>IT</t>
        </is>
      </c>
      <c r="B124" t="inlineStr">
        <is>
          <t>Spring2021</t>
        </is>
      </c>
      <c r="C124" t="inlineStr">
        <is>
          <t>Spring</t>
        </is>
      </c>
      <c r="D124" t="n">
        <v>2022</v>
      </c>
      <c r="E124" t="n">
        <v>4.39345862826459</v>
      </c>
      <c r="F124" t="n">
        <v>4.854613486697751</v>
      </c>
      <c r="G124">
        <f>IF(OR(F124="",E124=""),"",F124-E124)</f>
        <v/>
      </c>
      <c r="H124" t="n">
        <v>0.1223286868385065</v>
      </c>
    </row>
    <row r="125">
      <c r="A125" t="inlineStr">
        <is>
          <t>IT</t>
        </is>
      </c>
      <c r="B125" t="inlineStr">
        <is>
          <t>Spring2022</t>
        </is>
      </c>
      <c r="C125" t="inlineStr">
        <is>
          <t>Spring</t>
        </is>
      </c>
      <c r="D125" t="n">
        <v>2022</v>
      </c>
      <c r="E125" t="n">
        <v>2.425654280482226</v>
      </c>
      <c r="F125" t="n">
        <v>4.854613486697751</v>
      </c>
      <c r="G125">
        <f>IF(OR(F125="",E125=""),"",F125-E125)</f>
        <v/>
      </c>
      <c r="H125" t="n">
        <v>0.1223286868385065</v>
      </c>
    </row>
    <row r="126">
      <c r="A126" t="inlineStr">
        <is>
          <t>IT</t>
        </is>
      </c>
      <c r="B126" t="inlineStr">
        <is>
          <t>Autumn2022</t>
        </is>
      </c>
      <c r="C126" t="inlineStr">
        <is>
          <t>Autumn</t>
        </is>
      </c>
      <c r="D126" t="n">
        <v>2023</v>
      </c>
      <c r="E126" t="n">
        <v>0.3147371586091685</v>
      </c>
      <c r="F126" t="n">
        <v>1.014274087639002</v>
      </c>
      <c r="G126">
        <f>IF(OR(F126="",E126=""),"",F126-E126)</f>
        <v/>
      </c>
      <c r="H126" t="n">
        <v>0.1070949889392518</v>
      </c>
    </row>
    <row r="127">
      <c r="A127" t="inlineStr">
        <is>
          <t>IT</t>
        </is>
      </c>
      <c r="B127" t="inlineStr">
        <is>
          <t>Autumn2023</t>
        </is>
      </c>
      <c r="C127" t="inlineStr">
        <is>
          <t>Autumn</t>
        </is>
      </c>
      <c r="D127" t="n">
        <v>2023</v>
      </c>
      <c r="E127" t="n">
        <v>0.6915731805126502</v>
      </c>
      <c r="F127" t="n">
        <v>1.014274087639002</v>
      </c>
      <c r="G127">
        <f>IF(OR(F127="",E127=""),"",F127-E127)</f>
        <v/>
      </c>
      <c r="H127" t="n">
        <v>0.1070949889392518</v>
      </c>
    </row>
    <row r="128">
      <c r="A128" t="inlineStr">
        <is>
          <t>IT</t>
        </is>
      </c>
      <c r="B128" t="inlineStr">
        <is>
          <t>Spring2022</t>
        </is>
      </c>
      <c r="C128" t="inlineStr">
        <is>
          <t>Spring</t>
        </is>
      </c>
      <c r="D128" t="n">
        <v>2023</v>
      </c>
      <c r="E128" t="n">
        <v>1.851291422718337</v>
      </c>
      <c r="F128" t="n">
        <v>1.014274087639002</v>
      </c>
      <c r="G128">
        <f>IF(OR(F128="",E128=""),"",F128-E128)</f>
        <v/>
      </c>
      <c r="H128" t="n">
        <v>0.1070949889392518</v>
      </c>
    </row>
    <row r="129">
      <c r="A129" t="inlineStr">
        <is>
          <t>IT</t>
        </is>
      </c>
      <c r="B129" t="inlineStr">
        <is>
          <t>Spring2023</t>
        </is>
      </c>
      <c r="C129" t="inlineStr">
        <is>
          <t>Spring</t>
        </is>
      </c>
      <c r="D129" t="n">
        <v>2023</v>
      </c>
      <c r="E129" t="n">
        <v>1.206598132351089</v>
      </c>
      <c r="F129" t="n">
        <v>1.014274087639002</v>
      </c>
      <c r="G129">
        <f>IF(OR(F129="",E129=""),"",F129-E129)</f>
        <v/>
      </c>
      <c r="H129" t="n">
        <v>0.1070949889392518</v>
      </c>
    </row>
    <row r="130">
      <c r="A130" t="inlineStr">
        <is>
          <t>IT</t>
        </is>
      </c>
      <c r="B130" t="inlineStr">
        <is>
          <t>Autumn2023</t>
        </is>
      </c>
      <c r="C130" t="inlineStr">
        <is>
          <t>Autumn</t>
        </is>
      </c>
      <c r="D130" t="n">
        <v>2024</v>
      </c>
      <c r="E130" t="n">
        <v>0.852195649426335</v>
      </c>
      <c r="F130" t="n">
        <v>0.5846325798952693</v>
      </c>
      <c r="G130">
        <f>IF(OR(F130="",E130=""),"",F130-E130)</f>
        <v/>
      </c>
      <c r="H130" t="n">
        <v>0.1181932096010781</v>
      </c>
    </row>
    <row r="131">
      <c r="A131" t="inlineStr">
        <is>
          <t>IT</t>
        </is>
      </c>
      <c r="B131" t="inlineStr">
        <is>
          <t>Autumn2024</t>
        </is>
      </c>
      <c r="C131" t="inlineStr">
        <is>
          <t>Autumn</t>
        </is>
      </c>
      <c r="D131" t="n">
        <v>2024</v>
      </c>
      <c r="E131" t="n">
        <v>0.6687507310409346</v>
      </c>
      <c r="F131" t="n">
        <v>0.5846325798952693</v>
      </c>
      <c r="G131">
        <f>IF(OR(F131="",E131=""),"",F131-E131)</f>
        <v/>
      </c>
      <c r="H131" t="n">
        <v>0.1181932096010781</v>
      </c>
    </row>
    <row r="132">
      <c r="A132" t="inlineStr">
        <is>
          <t>IT</t>
        </is>
      </c>
      <c r="B132" t="inlineStr">
        <is>
          <t>Spring2023</t>
        </is>
      </c>
      <c r="C132" t="inlineStr">
        <is>
          <t>Spring</t>
        </is>
      </c>
      <c r="D132" t="n">
        <v>2024</v>
      </c>
      <c r="E132" t="n">
        <v>1.088219792885559</v>
      </c>
      <c r="F132" t="n">
        <v>0.5846325798952693</v>
      </c>
      <c r="G132">
        <f>IF(OR(F132="",E132=""),"",F132-E132)</f>
        <v/>
      </c>
      <c r="H132" t="n">
        <v>0.1181932096010781</v>
      </c>
    </row>
    <row r="133">
      <c r="A133" t="inlineStr">
        <is>
          <t>IT</t>
        </is>
      </c>
      <c r="B133" t="inlineStr">
        <is>
          <t>Spring2024</t>
        </is>
      </c>
      <c r="C133" t="inlineStr">
        <is>
          <t>Spring</t>
        </is>
      </c>
      <c r="D133" t="n">
        <v>2024</v>
      </c>
      <c r="E133" t="n">
        <v>0.9364833821859708</v>
      </c>
      <c r="F133" t="n">
        <v>0.5846325798952693</v>
      </c>
      <c r="G133">
        <f>IF(OR(F133="",E133=""),"",F133-E133)</f>
        <v/>
      </c>
      <c r="H133" t="n">
        <v>0.1181932096010781</v>
      </c>
    </row>
    <row r="134">
      <c r="A134" t="inlineStr">
        <is>
          <t>IT</t>
        </is>
      </c>
      <c r="B134" t="inlineStr">
        <is>
          <t>Autumn2024</t>
        </is>
      </c>
      <c r="C134" t="inlineStr">
        <is>
          <t>Autumn</t>
        </is>
      </c>
      <c r="D134" t="n">
        <v>2025</v>
      </c>
      <c r="E134" t="n">
        <v>1.037649244631034</v>
      </c>
      <c r="F134" t="n">
        <v>0.6613584275917628</v>
      </c>
      <c r="G134">
        <f>IF(OR(F134="",E134=""),"",F134-E134)</f>
        <v/>
      </c>
      <c r="H134" t="n">
        <v>0.118071592713761</v>
      </c>
    </row>
    <row r="135">
      <c r="A135" t="inlineStr">
        <is>
          <t>IT</t>
        </is>
      </c>
      <c r="B135" t="inlineStr">
        <is>
          <t>Autumn2025</t>
        </is>
      </c>
      <c r="C135" t="inlineStr">
        <is>
          <t>Autumn</t>
        </is>
      </c>
      <c r="D135" t="n">
        <v>2025</v>
      </c>
      <c r="E135" t="n">
        <v>0.3598162212145484</v>
      </c>
      <c r="F135" t="n">
        <v>0.6613584275917628</v>
      </c>
      <c r="G135">
        <f>IF(OR(F135="",E135=""),"",F135-E135)</f>
        <v/>
      </c>
      <c r="H135" t="n">
        <v>0.118071592713761</v>
      </c>
    </row>
    <row r="136">
      <c r="A136" t="inlineStr">
        <is>
          <t>IT</t>
        </is>
      </c>
      <c r="B136" t="inlineStr">
        <is>
          <t>Spring2024</t>
        </is>
      </c>
      <c r="C136" t="inlineStr">
        <is>
          <t>Spring</t>
        </is>
      </c>
      <c r="D136" t="n">
        <v>2025</v>
      </c>
      <c r="E136" t="n">
        <v>1.097944905021642</v>
      </c>
      <c r="F136" t="n">
        <v>0.6613584275917628</v>
      </c>
      <c r="G136">
        <f>IF(OR(F136="",E136=""),"",F136-E136)</f>
        <v/>
      </c>
      <c r="H136" t="n">
        <v>0.118071592713761</v>
      </c>
    </row>
    <row r="137">
      <c r="A137" t="inlineStr">
        <is>
          <t>IT</t>
        </is>
      </c>
      <c r="B137" t="inlineStr">
        <is>
          <t>Spring2025</t>
        </is>
      </c>
      <c r="C137" t="inlineStr">
        <is>
          <t>Spring</t>
        </is>
      </c>
      <c r="D137" t="n">
        <v>2025</v>
      </c>
      <c r="E137" t="n">
        <v>0.6644793059721987</v>
      </c>
      <c r="F137" t="n">
        <v>0.6613584275917628</v>
      </c>
      <c r="G137">
        <f>IF(OR(F137="",E137=""),"",F137-E137)</f>
        <v/>
      </c>
      <c r="H137" t="n">
        <v>0.118071592713761</v>
      </c>
    </row>
    <row r="138">
      <c r="A138" t="inlineStr">
        <is>
          <t>NL</t>
        </is>
      </c>
      <c r="B138" t="inlineStr">
        <is>
          <t>Autumn2020</t>
        </is>
      </c>
      <c r="C138" t="inlineStr">
        <is>
          <t>Autumn</t>
        </is>
      </c>
      <c r="D138" t="n">
        <v>2021</v>
      </c>
      <c r="E138" t="n">
        <v>2.161323818880434</v>
      </c>
      <c r="F138" t="n">
        <v>6.01976435632946</v>
      </c>
      <c r="G138">
        <f>IF(OR(F138="",E138=""),"",F138-E138)</f>
        <v/>
      </c>
      <c r="H138" t="n">
        <v>0.1706059373729158</v>
      </c>
    </row>
    <row r="139">
      <c r="A139" t="inlineStr">
        <is>
          <t>NL</t>
        </is>
      </c>
      <c r="B139" t="inlineStr">
        <is>
          <t>Autumn2021</t>
        </is>
      </c>
      <c r="C139" t="inlineStr">
        <is>
          <t>Autumn</t>
        </is>
      </c>
      <c r="D139" t="n">
        <v>2021</v>
      </c>
      <c r="E139" t="n">
        <v>3.972824818052256</v>
      </c>
      <c r="F139" t="n">
        <v>6.01976435632946</v>
      </c>
      <c r="G139">
        <f>IF(OR(F139="",E139=""),"",F139-E139)</f>
        <v/>
      </c>
      <c r="H139" t="n">
        <v>0.1706059373729158</v>
      </c>
    </row>
    <row r="140">
      <c r="A140" t="inlineStr">
        <is>
          <t>NL</t>
        </is>
      </c>
      <c r="B140" t="inlineStr">
        <is>
          <t>Spring2020</t>
        </is>
      </c>
      <c r="C140" t="inlineStr">
        <is>
          <t>Spring</t>
        </is>
      </c>
      <c r="D140" t="n">
        <v>2021</v>
      </c>
      <c r="E140" t="n">
        <v>4.963640025345617</v>
      </c>
      <c r="F140" t="n">
        <v>6.01976435632946</v>
      </c>
      <c r="G140">
        <f>IF(OR(F140="",E140=""),"",F140-E140)</f>
        <v/>
      </c>
      <c r="H140" t="n">
        <v>0.1706059373729158</v>
      </c>
    </row>
    <row r="141">
      <c r="A141" t="inlineStr">
        <is>
          <t>NL</t>
        </is>
      </c>
      <c r="B141" t="inlineStr">
        <is>
          <t>Spring2021</t>
        </is>
      </c>
      <c r="C141" t="inlineStr">
        <is>
          <t>Spring</t>
        </is>
      </c>
      <c r="D141" t="n">
        <v>2021</v>
      </c>
      <c r="E141" t="n">
        <v>2.338236916434577</v>
      </c>
      <c r="F141" t="n">
        <v>6.01976435632946</v>
      </c>
      <c r="G141">
        <f>IF(OR(F141="",E141=""),"",F141-E141)</f>
        <v/>
      </c>
      <c r="H141" t="n">
        <v>0.1706059373729158</v>
      </c>
    </row>
    <row r="142">
      <c r="A142" t="inlineStr">
        <is>
          <t>NL</t>
        </is>
      </c>
      <c r="B142" t="inlineStr">
        <is>
          <t>Autumn2021</t>
        </is>
      </c>
      <c r="C142" t="inlineStr">
        <is>
          <t>Autumn</t>
        </is>
      </c>
      <c r="D142" t="n">
        <v>2022</v>
      </c>
      <c r="E142" t="n">
        <v>3.348977083556104</v>
      </c>
      <c r="F142" t="n">
        <v>4.889291210402315</v>
      </c>
      <c r="G142">
        <f>IF(OR(F142="",E142=""),"",F142-E142)</f>
        <v/>
      </c>
      <c r="H142" t="n">
        <v>0.1723953161408304</v>
      </c>
    </row>
    <row r="143">
      <c r="A143" t="inlineStr">
        <is>
          <t>NL</t>
        </is>
      </c>
      <c r="B143" t="inlineStr">
        <is>
          <t>Autumn2022</t>
        </is>
      </c>
      <c r="C143" t="inlineStr">
        <is>
          <t>Autumn</t>
        </is>
      </c>
      <c r="D143" t="n">
        <v>2022</v>
      </c>
      <c r="E143" t="n">
        <v>4.649019663074072</v>
      </c>
      <c r="F143" t="n">
        <v>4.889291210402315</v>
      </c>
      <c r="G143">
        <f>IF(OR(F143="",E143=""),"",F143-E143)</f>
        <v/>
      </c>
      <c r="H143" t="n">
        <v>0.1723953161408304</v>
      </c>
    </row>
    <row r="144">
      <c r="A144" t="inlineStr">
        <is>
          <t>NL</t>
        </is>
      </c>
      <c r="B144" t="inlineStr">
        <is>
          <t>Spring2021</t>
        </is>
      </c>
      <c r="C144" t="inlineStr">
        <is>
          <t>Spring</t>
        </is>
      </c>
      <c r="D144" t="n">
        <v>2022</v>
      </c>
      <c r="E144" t="n">
        <v>3.579048671287688</v>
      </c>
      <c r="F144" t="n">
        <v>4.889291210402315</v>
      </c>
      <c r="G144">
        <f>IF(OR(F144="",E144=""),"",F144-E144)</f>
        <v/>
      </c>
      <c r="H144" t="n">
        <v>0.1723953161408304</v>
      </c>
    </row>
    <row r="145">
      <c r="A145" t="inlineStr">
        <is>
          <t>NL</t>
        </is>
      </c>
      <c r="B145" t="inlineStr">
        <is>
          <t>Spring2022</t>
        </is>
      </c>
      <c r="C145" t="inlineStr">
        <is>
          <t>Spring</t>
        </is>
      </c>
      <c r="D145" t="n">
        <v>2022</v>
      </c>
      <c r="E145" t="n">
        <v>3.271330674458595</v>
      </c>
      <c r="F145" t="n">
        <v>4.889291210402315</v>
      </c>
      <c r="G145">
        <f>IF(OR(F145="",E145=""),"",F145-E145)</f>
        <v/>
      </c>
      <c r="H145" t="n">
        <v>0.1723953161408304</v>
      </c>
    </row>
    <row r="146">
      <c r="A146" t="inlineStr">
        <is>
          <t>NL</t>
        </is>
      </c>
      <c r="B146" t="inlineStr">
        <is>
          <t>Autumn2022</t>
        </is>
      </c>
      <c r="C146" t="inlineStr">
        <is>
          <t>Autumn</t>
        </is>
      </c>
      <c r="D146" t="n">
        <v>2023</v>
      </c>
      <c r="E146" t="n">
        <v>0.6485732352807583</v>
      </c>
      <c r="F146" t="n">
        <v>-0.5846935562217797</v>
      </c>
      <c r="G146">
        <f>IF(OR(F146="",E146=""),"",F146-E146)</f>
        <v/>
      </c>
      <c r="H146" t="n">
        <v>0.1685535768609739</v>
      </c>
    </row>
    <row r="147">
      <c r="A147" t="inlineStr">
        <is>
          <t>NL</t>
        </is>
      </c>
      <c r="B147" t="inlineStr">
        <is>
          <t>Autumn2023</t>
        </is>
      </c>
      <c r="C147" t="inlineStr">
        <is>
          <t>Autumn</t>
        </is>
      </c>
      <c r="D147" t="n">
        <v>2023</v>
      </c>
      <c r="E147" t="n">
        <v>0.5799247285826814</v>
      </c>
      <c r="F147" t="n">
        <v>-0.5846935562217797</v>
      </c>
      <c r="G147">
        <f>IF(OR(F147="",E147=""),"",F147-E147)</f>
        <v/>
      </c>
      <c r="H147" t="n">
        <v>0.1685535768609739</v>
      </c>
    </row>
    <row r="148">
      <c r="A148" t="inlineStr">
        <is>
          <t>NL</t>
        </is>
      </c>
      <c r="B148" t="inlineStr">
        <is>
          <t>Spring2022</t>
        </is>
      </c>
      <c r="C148" t="inlineStr">
        <is>
          <t>Spring</t>
        </is>
      </c>
      <c r="D148" t="n">
        <v>2023</v>
      </c>
      <c r="E148" t="n">
        <v>1.568250017019501</v>
      </c>
      <c r="F148" t="n">
        <v>-0.5846935562217797</v>
      </c>
      <c r="G148">
        <f>IF(OR(F148="",E148=""),"",F148-E148)</f>
        <v/>
      </c>
      <c r="H148" t="n">
        <v>0.1685535768609739</v>
      </c>
    </row>
    <row r="149">
      <c r="A149" t="inlineStr">
        <is>
          <t>NL</t>
        </is>
      </c>
      <c r="B149" t="inlineStr">
        <is>
          <t>Spring2023</t>
        </is>
      </c>
      <c r="C149" t="inlineStr">
        <is>
          <t>Spring</t>
        </is>
      </c>
      <c r="D149" t="n">
        <v>2023</v>
      </c>
      <c r="E149" t="n">
        <v>1.800994175168302</v>
      </c>
      <c r="F149" t="n">
        <v>-0.5846935562217797</v>
      </c>
      <c r="G149">
        <f>IF(OR(F149="",E149=""),"",F149-E149)</f>
        <v/>
      </c>
      <c r="H149" t="n">
        <v>0.1685535768609739</v>
      </c>
    </row>
    <row r="150">
      <c r="A150" t="inlineStr">
        <is>
          <t>NL</t>
        </is>
      </c>
      <c r="B150" t="inlineStr">
        <is>
          <t>Autumn2023</t>
        </is>
      </c>
      <c r="C150" t="inlineStr">
        <is>
          <t>Autumn</t>
        </is>
      </c>
      <c r="D150" t="n">
        <v>2024</v>
      </c>
      <c r="E150" t="n">
        <v>1.090974188365412</v>
      </c>
      <c r="F150" t="n">
        <v>1.058640812818894</v>
      </c>
      <c r="G150">
        <f>IF(OR(F150="",E150=""),"",F150-E150)</f>
        <v/>
      </c>
      <c r="H150" t="n">
        <v>0.16819795598684</v>
      </c>
    </row>
    <row r="151">
      <c r="A151" t="inlineStr">
        <is>
          <t>NL</t>
        </is>
      </c>
      <c r="B151" t="inlineStr">
        <is>
          <t>Autumn2024</t>
        </is>
      </c>
      <c r="C151" t="inlineStr">
        <is>
          <t>Autumn</t>
        </is>
      </c>
      <c r="D151" t="n">
        <v>2024</v>
      </c>
      <c r="E151" t="n">
        <v>0.8413433186627683</v>
      </c>
      <c r="F151" t="n">
        <v>1.058640812818894</v>
      </c>
      <c r="G151">
        <f>IF(OR(F151="",E151=""),"",F151-E151)</f>
        <v/>
      </c>
      <c r="H151" t="n">
        <v>0.16819795598684</v>
      </c>
    </row>
    <row r="152">
      <c r="A152" t="inlineStr">
        <is>
          <t>NL</t>
        </is>
      </c>
      <c r="B152" t="inlineStr">
        <is>
          <t>Spring2023</t>
        </is>
      </c>
      <c r="C152" t="inlineStr">
        <is>
          <t>Spring</t>
        </is>
      </c>
      <c r="D152" t="n">
        <v>2024</v>
      </c>
      <c r="E152" t="n">
        <v>1.181076174566176</v>
      </c>
      <c r="F152" t="n">
        <v>1.058640812818894</v>
      </c>
      <c r="G152">
        <f>IF(OR(F152="",E152=""),"",F152-E152)</f>
        <v/>
      </c>
      <c r="H152" t="n">
        <v>0.16819795598684</v>
      </c>
    </row>
    <row r="153">
      <c r="A153" t="inlineStr">
        <is>
          <t>NL</t>
        </is>
      </c>
      <c r="B153" t="inlineStr">
        <is>
          <t>Spring2024</t>
        </is>
      </c>
      <c r="C153" t="inlineStr">
        <is>
          <t>Spring</t>
        </is>
      </c>
      <c r="D153" t="n">
        <v>2024</v>
      </c>
      <c r="E153" t="n">
        <v>0.7604211807421546</v>
      </c>
      <c r="F153" t="n">
        <v>1.058640812818894</v>
      </c>
      <c r="G153">
        <f>IF(OR(F153="",E153=""),"",F153-E153)</f>
        <v/>
      </c>
      <c r="H153" t="n">
        <v>0.16819795598684</v>
      </c>
    </row>
    <row r="154">
      <c r="A154" t="inlineStr">
        <is>
          <t>PT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5.360660936400219</v>
      </c>
      <c r="F154" t="n">
        <v>5.40983730275</v>
      </c>
      <c r="G154">
        <f>IF(OR(F154="",E154=""),"",F154-E154)</f>
        <v/>
      </c>
      <c r="H154" t="n">
        <v>0.1519339817111497</v>
      </c>
    </row>
    <row r="155">
      <c r="A155" t="inlineStr">
        <is>
          <t>PT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4.542806460139137</v>
      </c>
      <c r="F155" t="n">
        <v>5.40983730275</v>
      </c>
      <c r="G155">
        <f>IF(OR(F155="",E155=""),"",F155-E155)</f>
        <v/>
      </c>
      <c r="H155" t="n">
        <v>0.1519339817111497</v>
      </c>
    </row>
    <row r="156">
      <c r="A156" t="inlineStr">
        <is>
          <t>PT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5.817909162111334</v>
      </c>
      <c r="F156" t="n">
        <v>5.40983730275</v>
      </c>
      <c r="G156">
        <f>IF(OR(F156="",E156=""),"",F156-E156)</f>
        <v/>
      </c>
      <c r="H156" t="n">
        <v>0.1519339817111497</v>
      </c>
    </row>
    <row r="157">
      <c r="A157" t="inlineStr">
        <is>
          <t>PT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3.94410787739945</v>
      </c>
      <c r="F157" t="n">
        <v>5.40983730275</v>
      </c>
      <c r="G157">
        <f>IF(OR(F157="",E157=""),"",F157-E157)</f>
        <v/>
      </c>
      <c r="H157" t="n">
        <v>0.1519339817111497</v>
      </c>
    </row>
    <row r="158">
      <c r="A158" t="inlineStr">
        <is>
          <t>PT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5.321265722881097</v>
      </c>
      <c r="F158" t="n">
        <v>6.752612450243378</v>
      </c>
      <c r="G158">
        <f>IF(OR(F158="",E158=""),"",F158-E158)</f>
        <v/>
      </c>
      <c r="H158" t="n">
        <v>0.1446147531674699</v>
      </c>
    </row>
    <row r="159">
      <c r="A159" t="inlineStr">
        <is>
          <t>PT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6.586125160880973</v>
      </c>
      <c r="F159" t="n">
        <v>6.752612450243378</v>
      </c>
      <c r="G159">
        <f>IF(OR(F159="",E159=""),"",F159-E159)</f>
        <v/>
      </c>
      <c r="H159" t="n">
        <v>0.1446147531674699</v>
      </c>
    </row>
    <row r="160">
      <c r="A160" t="inlineStr">
        <is>
          <t>PT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5.098879235126508</v>
      </c>
      <c r="F160" t="n">
        <v>6.752612450243378</v>
      </c>
      <c r="G160">
        <f>IF(OR(F160="",E160=""),"",F160-E160)</f>
        <v/>
      </c>
      <c r="H160" t="n">
        <v>0.1446147531674699</v>
      </c>
    </row>
    <row r="161">
      <c r="A161" t="inlineStr">
        <is>
          <t>PT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5.805468708187478</v>
      </c>
      <c r="F161" t="n">
        <v>6.752612450243378</v>
      </c>
      <c r="G161">
        <f>IF(OR(F161="",E161=""),"",F161-E161)</f>
        <v/>
      </c>
      <c r="H161" t="n">
        <v>0.1446147531674699</v>
      </c>
    </row>
    <row r="162">
      <c r="A162" t="inlineStr">
        <is>
          <t>PT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0.7169614077881192</v>
      </c>
      <c r="F162" t="n">
        <v>3.052920210484774</v>
      </c>
      <c r="G162">
        <f>IF(OR(F162="",E162=""),"",F162-E162)</f>
        <v/>
      </c>
      <c r="H162" t="n">
        <v>0.1370731416665011</v>
      </c>
    </row>
    <row r="163">
      <c r="A163" t="inlineStr">
        <is>
          <t>PT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2.226883105497079</v>
      </c>
      <c r="F163" t="n">
        <v>3.052920210484774</v>
      </c>
      <c r="G163">
        <f>IF(OR(F163="",E163=""),"",F163-E163)</f>
        <v/>
      </c>
      <c r="H163" t="n">
        <v>0.1370731416665011</v>
      </c>
    </row>
    <row r="164">
      <c r="A164" t="inlineStr">
        <is>
          <t>PT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2.660491887007432</v>
      </c>
      <c r="F164" t="n">
        <v>3.052920210484774</v>
      </c>
      <c r="G164">
        <f>IF(OR(F164="",E164=""),"",F164-E164)</f>
        <v/>
      </c>
      <c r="H164" t="n">
        <v>0.1370731416665011</v>
      </c>
    </row>
    <row r="165">
      <c r="A165" t="inlineStr">
        <is>
          <t>PT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2.43876145125812</v>
      </c>
      <c r="F165" t="n">
        <v>3.052920210484774</v>
      </c>
      <c r="G165">
        <f>IF(OR(F165="",E165=""),"",F165-E165)</f>
        <v/>
      </c>
      <c r="H165" t="n">
        <v>0.1370731416665011</v>
      </c>
    </row>
    <row r="166">
      <c r="A166" t="inlineStr">
        <is>
          <t>PT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1.313347790478825</v>
      </c>
      <c r="F166" t="n">
        <v>2.190407278036138</v>
      </c>
      <c r="G166">
        <f>IF(OR(F166="",E166=""),"",F166-E166)</f>
        <v/>
      </c>
      <c r="H166" t="n">
        <v>0.08678238101271167</v>
      </c>
    </row>
    <row r="167">
      <c r="A167" t="inlineStr">
        <is>
          <t>PT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1.651473269423054</v>
      </c>
      <c r="F167" t="n">
        <v>2.190407278036138</v>
      </c>
      <c r="G167">
        <f>IF(OR(F167="",E167=""),"",F167-E167)</f>
        <v/>
      </c>
      <c r="H167" t="n">
        <v>0.08678238101271167</v>
      </c>
    </row>
    <row r="168">
      <c r="A168" t="inlineStr">
        <is>
          <t>PT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1.756916125884089</v>
      </c>
      <c r="F168" t="n">
        <v>2.190407278036138</v>
      </c>
      <c r="G168">
        <f>IF(OR(F168="",E168=""),"",F168-E168)</f>
        <v/>
      </c>
      <c r="H168" t="n">
        <v>0.08678238101271167</v>
      </c>
    </row>
    <row r="169">
      <c r="A169" t="inlineStr">
        <is>
          <t>PT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1.734179743438991</v>
      </c>
      <c r="F169" t="n">
        <v>2.190407278036138</v>
      </c>
      <c r="G169">
        <f>IF(OR(F169="",E169=""),"",F169-E169)</f>
        <v/>
      </c>
      <c r="H169" t="n">
        <v>0.08678238101271167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0.003430106067615103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0.003430106067615103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0.002941327462807491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0.002941327462807491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0.002941327462807491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0.002941327462807491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0.002680125065045206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0.002680125065045206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0.002680125065045206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0.002680125065045206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0.002858646131144403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0.002858646131144403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0.002858646131144403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0.002858646131144403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0.003623667777585765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0.003623667777585765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0.003623667777585765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0.003623667777585765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0.003438438068527427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0.003438438068527427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0.003438438068527427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0.003438438068527427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0.003549318871635101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0.003549318871635101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0.003549318871635101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0.003549318871635101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0.004307699399854103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0.004307699399854103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0.004307699399854103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0.004307699399854103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0.004488110344736434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0.004488110344736434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0.004488110344736434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0.004488110344736434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0.006606120127496323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0.006606120127496323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0.006606120127496323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0.006606120127496323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0.007001327795131728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0.007001327795131728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0.007001327795131728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0.007001327795131728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0.007081061579358835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0.007081061579358835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0.007081061579358835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0.007081061579358835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0.008340484800612514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0.008340484800612514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0.008340484800612514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0.008340484800612514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0.009417169553275298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0.009417169553275298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0.009417169553275298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0.009417169553275298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0.0003841529634689243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0.0003841529634689243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0.0001390264361000922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0.0001390264361000922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0.0001390264361000922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0.0001390264361000922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0.000111779330140243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0.000111779330140243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0.000111779330140243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0.000111779330140243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0.0001231751469036109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0.0001231751469036109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0.0001231751469036109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0.0001231751469036109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0.0001345258605471943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0.0001345258605471943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0.0001345258605471943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0.0001345258605471943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0.0006513467572015561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0.0006513467572015561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0.0006513467572015561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0.0006513467572015561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0.001315653038820061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0.001315653038820061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0.001315653038820061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0.001315653038820061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0.0008732508120770123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0.0008732508120770123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0.0008732508120770123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0.0008732508120770123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0.0002502099458267251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0.0002502099458267251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0.0002502099458267251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0.0002502099458267251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0.0001645254597392064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0.0001645254597392064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0.0001645254597392064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0.0001645254597392064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0.0001303991852963366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0.0001303991852963366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0.0001303991852963366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0.0001303991852963366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0.0001077045685150238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0.0001077045685150238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0.0001077045685150238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0.0001077045685150238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0.0002378470134432856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0.0002378470134432856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0.0002378470134432856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0.0002378470134432856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0.0002230486855862554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0.0002230486855862554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0.0002230486855862554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0.0002230486855862554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0.003124358001628617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0.003124358001628617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0.001632220780761479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0.001632220780761479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0.001632220780761479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0.001632220780761479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0.00140158663664389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0.00140158663664389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0.00140158663664389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0.00140158663664389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0.001692686298776073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0.001692686298776073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0.001692686298776073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0.001692686298776073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0.001793760568655381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0.001793760568655381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0.001793760568655381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0.001793760568655381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0.001948682866075438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0.001948682866075438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0.001948682866075438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0.001948682866075438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0.002165982249223189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0.002165982249223189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0.002165982249223189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0.002165982249223189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0.002592886630570088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0.002592886630570088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0.002592886630570088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0.002592886630570088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0.002899026218331452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0.002899026218331452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0.002899026218331452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0.002899026218331452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0.003227788043993982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0.003227788043993982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0.003227788043993982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0.003227788043993982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0.003455324015661036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0.003455324015661036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0.003455324015661036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0.003455324015661036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0.003666465859182284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0.003666465859182284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0.003666465859182284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0.003666465859182284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0.004714622271698554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0.004714622271698554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0.004714622271698554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0.004714622271698554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0.005260769765883383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0.005260769765883383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0.005260769765883383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0.005260769765883383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9.057990567226861e-05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9.057990567226861e-05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3.503918839643609e-05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3.503918839643609e-05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3.503918839643609e-05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3.503918839643609e-05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3.982044200799853e-05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3.982044200799853e-05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3.982044200799853e-05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3.982044200799853e-05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2.587438725908248e-05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2.587438725908248e-05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2.587438725908248e-05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2.587438725908248e-05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2.526664787077954e-05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2.526664787077954e-05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2.526664787077954e-05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2.526664787077954e-05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4.160857451933271e-05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4.160857451933271e-05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4.160857451933271e-05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4.160857451933271e-05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5.515369387842226e-05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5.515369387842226e-05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5.515369387842226e-05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5.515369387842226e-05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6.668823513724901e-05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6.668823513724901e-05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6.668823513724901e-05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6.668823513724901e-05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4.16343961259382e-05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4.16343961259382e-05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4.16343961259382e-05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4.16343961259382e-05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3.57150244245127e-05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3.57150244245127e-05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3.57150244245127e-05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3.57150244245127e-05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3.558884613179242e-05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3.558884613179242e-05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3.558884613179242e-05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3.558884613179242e-05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2.844404131730766e-05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2.844404131730766e-05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2.844404131730766e-05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2.844404131730766e-05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6.229279340805835e-05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6.229279340805835e-05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6.229279340805835e-05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6.229279340805835e-05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7.682895081699989e-05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7.682895081699989e-05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7.682895081699989e-05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7.682895081699989e-05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0.0002208059966333934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0.0002208059966333934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0.0002406941715906578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0.0002406941715906578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0.0002406941715906578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0.0002406941715906578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0.0001594746327182085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0.0001594746327182085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0.0001594746327182085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0.0001594746327182085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0.0001851830272816686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0.0001851830272816686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0.0001851830272816686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0.0001851830272816686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0.0001597196130332002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0.0001597196130332002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0.0001597196130332002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0.0001597196130332002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0.0002443095340322702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0.0002443095340322702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0.0002443095340322702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0.0002443095340322702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0.0002585009724587897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0.0002585009724587897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0.0002585009724587897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0.0002585009724587897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0.0004293942760772108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0.0004293942760772108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0.0004293942760772108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0.0004293942760772108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0.0003261007082368225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0.0003261007082368225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0.0003261007082368225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0.0003261007082368225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0.0003402502816420123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0.0003402502816420123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0.0003402502816420123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0.0003402502816420123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0.0005107252626341585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0.0005107252626341585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0.0005107252626341585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0.0005107252626341585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0.0004803131356846544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0.0004803131356846544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0.0004803131356846544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0.0004803131356846544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0.0008658865674338701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0.0008658865674338701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0.0008658865674338701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0.0008658865674338701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0.0009828220551361118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0.0009828220551361118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0.0009828220551361118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0.0009828220551361118</v>
      </c>
    </row>
    <row r="272">
      <c r="A272" t="inlineStr">
        <is>
          <t>FR</t>
        </is>
      </c>
      <c r="B272" t="inlineStr">
        <is>
          <t>Autumn2011</t>
        </is>
      </c>
      <c r="C272" t="inlineStr">
        <is>
          <t>Autumn</t>
        </is>
      </c>
      <c r="D272" t="n">
        <v>2011</v>
      </c>
      <c r="E272" t="n">
        <v>1.615941053821723</v>
      </c>
      <c r="F272" t="n">
        <v>2.452065940467038</v>
      </c>
      <c r="G272">
        <f>IF(OR(F272="",E272=""),"",F272-E272)</f>
        <v/>
      </c>
      <c r="H272" t="n">
        <v>0.000424521823558062</v>
      </c>
    </row>
    <row r="273">
      <c r="A273" t="inlineStr">
        <is>
          <t>FR</t>
        </is>
      </c>
      <c r="B273" t="inlineStr">
        <is>
          <t>Spring2011</t>
        </is>
      </c>
      <c r="C273" t="inlineStr">
        <is>
          <t>Spring</t>
        </is>
      </c>
      <c r="D273" t="n">
        <v>2011</v>
      </c>
      <c r="E273" t="n">
        <v>1.772093590386237</v>
      </c>
      <c r="F273" t="n">
        <v>2.452065940467038</v>
      </c>
      <c r="G273">
        <f>IF(OR(F273="",E273=""),"",F273-E273)</f>
        <v/>
      </c>
      <c r="H273" t="n">
        <v>0.000424521823558062</v>
      </c>
    </row>
    <row r="274">
      <c r="A274" t="inlineStr">
        <is>
          <t>FR</t>
        </is>
      </c>
      <c r="B274" t="inlineStr">
        <is>
          <t>Autumn2011</t>
        </is>
      </c>
      <c r="C274" t="inlineStr">
        <is>
          <t>Autumn</t>
        </is>
      </c>
      <c r="D274" t="n">
        <v>2012</v>
      </c>
      <c r="E274" t="n">
        <v>0.5516730832740402</v>
      </c>
      <c r="F274" t="n">
        <v>0.226946609537066</v>
      </c>
      <c r="G274">
        <f>IF(OR(F274="",E274=""),"",F274-E274)</f>
        <v/>
      </c>
      <c r="H274" t="n">
        <v>0.0003504166350459876</v>
      </c>
    </row>
    <row r="275">
      <c r="A275" t="inlineStr">
        <is>
          <t>FR</t>
        </is>
      </c>
      <c r="B275" t="inlineStr">
        <is>
          <t>Autumn2012</t>
        </is>
      </c>
      <c r="C275" t="inlineStr">
        <is>
          <t>Autumn</t>
        </is>
      </c>
      <c r="D275" t="n">
        <v>2012</v>
      </c>
      <c r="E275" t="n">
        <v>0.191602674222735</v>
      </c>
      <c r="F275" t="n">
        <v>0.226946609537066</v>
      </c>
      <c r="G275">
        <f>IF(OR(F275="",E275=""),"",F275-E275)</f>
        <v/>
      </c>
      <c r="H275" t="n">
        <v>0.0003504166350459876</v>
      </c>
    </row>
    <row r="276">
      <c r="A276" t="inlineStr">
        <is>
          <t>FR</t>
        </is>
      </c>
      <c r="B276" t="inlineStr">
        <is>
          <t>Spring2011</t>
        </is>
      </c>
      <c r="C276" t="inlineStr">
        <is>
          <t>Spring</t>
        </is>
      </c>
      <c r="D276" t="n">
        <v>2012</v>
      </c>
      <c r="E276" t="n">
        <v>2.040883011076966</v>
      </c>
      <c r="F276" t="n">
        <v>0.226946609537066</v>
      </c>
      <c r="G276">
        <f>IF(OR(F276="",E276=""),"",F276-E276)</f>
        <v/>
      </c>
      <c r="H276" t="n">
        <v>0.0003504166350459876</v>
      </c>
    </row>
    <row r="277">
      <c r="A277" t="inlineStr">
        <is>
          <t>FR</t>
        </is>
      </c>
      <c r="B277" t="inlineStr">
        <is>
          <t>Spring2012</t>
        </is>
      </c>
      <c r="C277" t="inlineStr">
        <is>
          <t>Spring</t>
        </is>
      </c>
      <c r="D277" t="n">
        <v>2012</v>
      </c>
      <c r="E277" t="n">
        <v>0.4730801711129162</v>
      </c>
      <c r="F277" t="n">
        <v>0.226946609537066</v>
      </c>
      <c r="G277">
        <f>IF(OR(F277="",E277=""),"",F277-E277)</f>
        <v/>
      </c>
      <c r="H277" t="n">
        <v>0.0003504166350459876</v>
      </c>
    </row>
    <row r="278">
      <c r="A278" t="inlineStr">
        <is>
          <t>FR</t>
        </is>
      </c>
      <c r="B278" t="inlineStr">
        <is>
          <t>Autumn2012</t>
        </is>
      </c>
      <c r="C278" t="inlineStr">
        <is>
          <t>Autumn</t>
        </is>
      </c>
      <c r="D278" t="n">
        <v>2013</v>
      </c>
      <c r="E278" t="n">
        <v>0.3804781682092306</v>
      </c>
      <c r="F278" t="n">
        <v>0.9263481598437984</v>
      </c>
      <c r="G278">
        <f>IF(OR(F278="",E278=""),"",F278-E278)</f>
        <v/>
      </c>
      <c r="H278" t="n">
        <v>0.0003223172017899923</v>
      </c>
    </row>
    <row r="279">
      <c r="A279" t="inlineStr">
        <is>
          <t>FR</t>
        </is>
      </c>
      <c r="B279" t="inlineStr">
        <is>
          <t>Autumn2013</t>
        </is>
      </c>
      <c r="C279" t="inlineStr">
        <is>
          <t>Autumn</t>
        </is>
      </c>
      <c r="D279" t="n">
        <v>2013</v>
      </c>
      <c r="E279" t="n">
        <v>0.2199216508387281</v>
      </c>
      <c r="F279" t="n">
        <v>0.9263481598437984</v>
      </c>
      <c r="G279">
        <f>IF(OR(F279="",E279=""),"",F279-E279)</f>
        <v/>
      </c>
      <c r="H279" t="n">
        <v>0.0003223172017899923</v>
      </c>
    </row>
    <row r="280">
      <c r="A280" t="inlineStr">
        <is>
          <t>FR</t>
        </is>
      </c>
      <c r="B280" t="inlineStr">
        <is>
          <t>Spring2012</t>
        </is>
      </c>
      <c r="C280" t="inlineStr">
        <is>
          <t>Spring</t>
        </is>
      </c>
      <c r="D280" t="n">
        <v>2013</v>
      </c>
      <c r="E280" t="n">
        <v>1.336994479620457</v>
      </c>
      <c r="F280" t="n">
        <v>0.9263481598437984</v>
      </c>
      <c r="G280">
        <f>IF(OR(F280="",E280=""),"",F280-E280)</f>
        <v/>
      </c>
      <c r="H280" t="n">
        <v>0.0003223172017899923</v>
      </c>
    </row>
    <row r="281">
      <c r="A281" t="inlineStr">
        <is>
          <t>FR</t>
        </is>
      </c>
      <c r="B281" t="inlineStr">
        <is>
          <t>Spring2013</t>
        </is>
      </c>
      <c r="C281" t="inlineStr">
        <is>
          <t>Spring</t>
        </is>
      </c>
      <c r="D281" t="n">
        <v>2013</v>
      </c>
      <c r="E281" t="n">
        <v>-0.09629369242994956</v>
      </c>
      <c r="F281" t="n">
        <v>0.9263481598437984</v>
      </c>
      <c r="G281">
        <f>IF(OR(F281="",E281=""),"",F281-E281)</f>
        <v/>
      </c>
      <c r="H281" t="n">
        <v>0.0003223172017899923</v>
      </c>
    </row>
    <row r="282">
      <c r="A282" t="inlineStr">
        <is>
          <t>FR</t>
        </is>
      </c>
      <c r="B282" t="inlineStr">
        <is>
          <t>Autumn2013</t>
        </is>
      </c>
      <c r="C282" t="inlineStr">
        <is>
          <t>Autumn</t>
        </is>
      </c>
      <c r="D282" t="n">
        <v>2014</v>
      </c>
      <c r="E282" t="n">
        <v>0.910192166389745</v>
      </c>
      <c r="F282" t="n">
        <v>0.9928179291028251</v>
      </c>
      <c r="G282">
        <f>IF(OR(F282="",E282=""),"",F282-E282)</f>
        <v/>
      </c>
      <c r="H282" t="n">
        <v>0.0002868207033714324</v>
      </c>
    </row>
    <row r="283">
      <c r="A283" t="inlineStr">
        <is>
          <t>FR</t>
        </is>
      </c>
      <c r="B283" t="inlineStr">
        <is>
          <t>Autumn2014</t>
        </is>
      </c>
      <c r="C283" t="inlineStr">
        <is>
          <t>Autumn</t>
        </is>
      </c>
      <c r="D283" t="n">
        <v>2014</v>
      </c>
      <c r="E283" t="n">
        <v>0.3181188410146474</v>
      </c>
      <c r="F283" t="n">
        <v>0.9928179291028251</v>
      </c>
      <c r="G283">
        <f>IF(OR(F283="",E283=""),"",F283-E283)</f>
        <v/>
      </c>
      <c r="H283" t="n">
        <v>0.0002868207033714324</v>
      </c>
    </row>
    <row r="284">
      <c r="A284" t="inlineStr">
        <is>
          <t>FR</t>
        </is>
      </c>
      <c r="B284" t="inlineStr">
        <is>
          <t>Spring2013</t>
        </is>
      </c>
      <c r="C284" t="inlineStr">
        <is>
          <t>Spring</t>
        </is>
      </c>
      <c r="D284" t="n">
        <v>2014</v>
      </c>
      <c r="E284" t="n">
        <v>1.095437649770115</v>
      </c>
      <c r="F284" t="n">
        <v>0.9928179291028251</v>
      </c>
      <c r="G284">
        <f>IF(OR(F284="",E284=""),"",F284-E284)</f>
        <v/>
      </c>
      <c r="H284" t="n">
        <v>0.0002868207033714324</v>
      </c>
    </row>
    <row r="285">
      <c r="A285" t="inlineStr">
        <is>
          <t>FR</t>
        </is>
      </c>
      <c r="B285" t="inlineStr">
        <is>
          <t>Spring2014</t>
        </is>
      </c>
      <c r="C285" t="inlineStr">
        <is>
          <t>Spring</t>
        </is>
      </c>
      <c r="D285" t="n">
        <v>2014</v>
      </c>
      <c r="E285" t="n">
        <v>0.9756234805015973</v>
      </c>
      <c r="F285" t="n">
        <v>0.9928179291028251</v>
      </c>
      <c r="G285">
        <f>IF(OR(F285="",E285=""),"",F285-E285)</f>
        <v/>
      </c>
      <c r="H285" t="n">
        <v>0.0002868207033714324</v>
      </c>
    </row>
    <row r="286">
      <c r="A286" t="inlineStr">
        <is>
          <t>FR</t>
        </is>
      </c>
      <c r="B286" t="inlineStr">
        <is>
          <t>Autumn2014</t>
        </is>
      </c>
      <c r="C286" t="inlineStr">
        <is>
          <t>Autumn</t>
        </is>
      </c>
      <c r="D286" t="n">
        <v>2015</v>
      </c>
      <c r="E286" t="n">
        <v>0.6949712075725589</v>
      </c>
      <c r="F286" t="n">
        <v>0.9935247504241893</v>
      </c>
      <c r="G286">
        <f>IF(OR(F286="",E286=""),"",F286-E286)</f>
        <v/>
      </c>
      <c r="H286" t="n">
        <v>0.0004369880048209471</v>
      </c>
    </row>
    <row r="287">
      <c r="A287" t="inlineStr">
        <is>
          <t>FR</t>
        </is>
      </c>
      <c r="B287" t="inlineStr">
        <is>
          <t>Autumn2015</t>
        </is>
      </c>
      <c r="C287" t="inlineStr">
        <is>
          <t>Autumn</t>
        </is>
      </c>
      <c r="D287" t="n">
        <v>2015</v>
      </c>
      <c r="E287" t="n">
        <v>1.082939648847692</v>
      </c>
      <c r="F287" t="n">
        <v>0.9935247504241893</v>
      </c>
      <c r="G287">
        <f>IF(OR(F287="",E287=""),"",F287-E287)</f>
        <v/>
      </c>
      <c r="H287" t="n">
        <v>0.0004369880048209471</v>
      </c>
    </row>
    <row r="288">
      <c r="A288" t="inlineStr">
        <is>
          <t>FR</t>
        </is>
      </c>
      <c r="B288" t="inlineStr">
        <is>
          <t>Spring2014</t>
        </is>
      </c>
      <c r="C288" t="inlineStr">
        <is>
          <t>Spring</t>
        </is>
      </c>
      <c r="D288" t="n">
        <v>2015</v>
      </c>
      <c r="E288" t="n">
        <v>1.473252431746119</v>
      </c>
      <c r="F288" t="n">
        <v>0.9935247504241893</v>
      </c>
      <c r="G288">
        <f>IF(OR(F288="",E288=""),"",F288-E288)</f>
        <v/>
      </c>
      <c r="H288" t="n">
        <v>0.0004369880048209471</v>
      </c>
    </row>
    <row r="289">
      <c r="A289" t="inlineStr">
        <is>
          <t>FR</t>
        </is>
      </c>
      <c r="B289" t="inlineStr">
        <is>
          <t>Spring2015</t>
        </is>
      </c>
      <c r="C289" t="inlineStr">
        <is>
          <t>Spring</t>
        </is>
      </c>
      <c r="D289" t="n">
        <v>2015</v>
      </c>
      <c r="E289" t="n">
        <v>1.081963871443703</v>
      </c>
      <c r="F289" t="n">
        <v>0.9935247504241893</v>
      </c>
      <c r="G289">
        <f>IF(OR(F289="",E289=""),"",F289-E289)</f>
        <v/>
      </c>
      <c r="H289" t="n">
        <v>0.0004369880048209471</v>
      </c>
    </row>
    <row r="290">
      <c r="A290" t="inlineStr">
        <is>
          <t>FR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1.429394342330759</v>
      </c>
      <c r="F290" t="n">
        <v>0.7341997048160207</v>
      </c>
      <c r="G290">
        <f>IF(OR(F290="",E290=""),"",F290-E290)</f>
        <v/>
      </c>
      <c r="H290" t="n">
        <v>0.0004070565583372327</v>
      </c>
    </row>
    <row r="291">
      <c r="A291" t="inlineStr">
        <is>
          <t>FR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1.254473785454957</v>
      </c>
      <c r="F291" t="n">
        <v>0.7341997048160207</v>
      </c>
      <c r="G291">
        <f>IF(OR(F291="",E291=""),"",F291-E291)</f>
        <v/>
      </c>
      <c r="H291" t="n">
        <v>0.0004070565583372327</v>
      </c>
    </row>
    <row r="292">
      <c r="A292" t="inlineStr">
        <is>
          <t>FR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1.6816047146198</v>
      </c>
      <c r="F292" t="n">
        <v>0.7341997048160207</v>
      </c>
      <c r="G292">
        <f>IF(OR(F292="",E292=""),"",F292-E292)</f>
        <v/>
      </c>
      <c r="H292" t="n">
        <v>0.0004070565583372327</v>
      </c>
    </row>
    <row r="293">
      <c r="A293" t="inlineStr">
        <is>
          <t>FR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1.331417785335498</v>
      </c>
      <c r="F293" t="n">
        <v>0.7341997048160207</v>
      </c>
      <c r="G293">
        <f>IF(OR(F293="",E293=""),"",F293-E293)</f>
        <v/>
      </c>
      <c r="H293" t="n">
        <v>0.0004070565583372327</v>
      </c>
    </row>
    <row r="294">
      <c r="A294" t="inlineStr">
        <is>
          <t>FR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1.356833169672989</v>
      </c>
      <c r="F294" t="n">
        <v>2.244141458746893</v>
      </c>
      <c r="G294">
        <f>IF(OR(F294="",E294=""),"",F294-E294)</f>
        <v/>
      </c>
      <c r="H294" t="n">
        <v>0.0004653402003036945</v>
      </c>
    </row>
    <row r="295">
      <c r="A295" t="inlineStr">
        <is>
          <t>FR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1.610830541644881</v>
      </c>
      <c r="F295" t="n">
        <v>2.244141458746893</v>
      </c>
      <c r="G295">
        <f>IF(OR(F295="",E295=""),"",F295-E295)</f>
        <v/>
      </c>
      <c r="H295" t="n">
        <v>0.0004653402003036945</v>
      </c>
    </row>
    <row r="296">
      <c r="A296" t="inlineStr">
        <is>
          <t>FR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1.686145619472357</v>
      </c>
      <c r="F296" t="n">
        <v>2.244141458746893</v>
      </c>
      <c r="G296">
        <f>IF(OR(F296="",E296=""),"",F296-E296)</f>
        <v/>
      </c>
      <c r="H296" t="n">
        <v>0.0004653402003036945</v>
      </c>
    </row>
    <row r="297">
      <c r="A297" t="inlineStr">
        <is>
          <t>FR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1.353609964652547</v>
      </c>
      <c r="F297" t="n">
        <v>2.244141458746893</v>
      </c>
      <c r="G297">
        <f>IF(OR(F297="",E297=""),"",F297-E297)</f>
        <v/>
      </c>
      <c r="H297" t="n">
        <v>0.0004653402003036945</v>
      </c>
    </row>
    <row r="298">
      <c r="A298" t="inlineStr">
        <is>
          <t>FR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1.745757461080699</v>
      </c>
      <c r="F298" t="n">
        <v>1.572013768554752</v>
      </c>
      <c r="G298">
        <f>IF(OR(F298="",E298=""),"",F298-E298)</f>
        <v/>
      </c>
      <c r="H298" t="n">
        <v>0.0004741618381988007</v>
      </c>
    </row>
    <row r="299">
      <c r="A299" t="inlineStr">
        <is>
          <t>FR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1.666432466177237</v>
      </c>
      <c r="F299" t="n">
        <v>1.572013768554752</v>
      </c>
      <c r="G299">
        <f>IF(OR(F299="",E299=""),"",F299-E299)</f>
        <v/>
      </c>
      <c r="H299" t="n">
        <v>0.0004741618381988007</v>
      </c>
    </row>
    <row r="300">
      <c r="A300" t="inlineStr">
        <is>
          <t>FR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1.72584962487905</v>
      </c>
      <c r="F300" t="n">
        <v>1.572013768554752</v>
      </c>
      <c r="G300">
        <f>IF(OR(F300="",E300=""),"",F300-E300)</f>
        <v/>
      </c>
      <c r="H300" t="n">
        <v>0.0004741618381988007</v>
      </c>
    </row>
    <row r="301">
      <c r="A301" t="inlineStr">
        <is>
          <t>FR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1.989603282667241</v>
      </c>
      <c r="F301" t="n">
        <v>1.572013768554752</v>
      </c>
      <c r="G301">
        <f>IF(OR(F301="",E301=""),"",F301-E301)</f>
        <v/>
      </c>
      <c r="H301" t="n">
        <v>0.0004741618381988007</v>
      </c>
    </row>
    <row r="302">
      <c r="A302" t="inlineStr">
        <is>
          <t>FR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1.641202261320762</v>
      </c>
      <c r="F302" t="n">
        <v>2.079618940333049</v>
      </c>
      <c r="G302">
        <f>IF(OR(F302="",E302=""),"",F302-E302)</f>
        <v/>
      </c>
      <c r="H302" t="n">
        <v>0.0003646358917262959</v>
      </c>
    </row>
    <row r="303">
      <c r="A303" t="inlineStr">
        <is>
          <t>FR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1.287008245416965</v>
      </c>
      <c r="F303" t="n">
        <v>2.079618940333049</v>
      </c>
      <c r="G303">
        <f>IF(OR(F303="",E303=""),"",F303-E303)</f>
        <v/>
      </c>
      <c r="H303" t="n">
        <v>0.0003646358917262959</v>
      </c>
    </row>
    <row r="304">
      <c r="A304" t="inlineStr">
        <is>
          <t>FR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1.837933157898797</v>
      </c>
      <c r="F304" t="n">
        <v>2.079618940333049</v>
      </c>
      <c r="G304">
        <f>IF(OR(F304="",E304=""),"",F304-E304)</f>
        <v/>
      </c>
      <c r="H304" t="n">
        <v>0.0003646358917262959</v>
      </c>
    </row>
    <row r="305">
      <c r="A305" t="inlineStr">
        <is>
          <t>FR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1.333589129915191</v>
      </c>
      <c r="F305" t="n">
        <v>2.079618940333049</v>
      </c>
      <c r="G305">
        <f>IF(OR(F305="",E305=""),"",F305-E305)</f>
        <v/>
      </c>
      <c r="H305" t="n">
        <v>0.0003646358917262959</v>
      </c>
    </row>
    <row r="306">
      <c r="A306" t="inlineStr">
        <is>
          <t>FR</t>
        </is>
      </c>
      <c r="B306" t="inlineStr">
        <is>
          <t>Autumn2019</t>
        </is>
      </c>
      <c r="C306" t="inlineStr">
        <is>
          <t>Autumn</t>
        </is>
      </c>
      <c r="D306" t="n">
        <v>2020</v>
      </c>
      <c r="E306" t="n">
        <v>1.285387661815784</v>
      </c>
      <c r="F306" t="n">
        <v>-7.912013894217821</v>
      </c>
      <c r="G306">
        <f>IF(OR(F306="",E306=""),"",F306-E306)</f>
        <v/>
      </c>
      <c r="H306" t="n">
        <v>0.0003873936970994312</v>
      </c>
    </row>
    <row r="307">
      <c r="A307" t="inlineStr">
        <is>
          <t>FR</t>
        </is>
      </c>
      <c r="B307" t="inlineStr">
        <is>
          <t>Autumn2020</t>
        </is>
      </c>
      <c r="C307" t="inlineStr">
        <is>
          <t>Autumn</t>
        </is>
      </c>
      <c r="D307" t="n">
        <v>2020</v>
      </c>
      <c r="E307" t="n">
        <v>-9.351142600997642</v>
      </c>
      <c r="F307" t="n">
        <v>-7.912013894217821</v>
      </c>
      <c r="G307">
        <f>IF(OR(F307="",E307=""),"",F307-E307)</f>
        <v/>
      </c>
      <c r="H307" t="n">
        <v>0.0003873936970994312</v>
      </c>
    </row>
    <row r="308">
      <c r="A308" t="inlineStr">
        <is>
          <t>FR</t>
        </is>
      </c>
      <c r="B308" t="inlineStr">
        <is>
          <t>Spring2019</t>
        </is>
      </c>
      <c r="C308" t="inlineStr">
        <is>
          <t>Spring</t>
        </is>
      </c>
      <c r="D308" t="n">
        <v>2020</v>
      </c>
      <c r="E308" t="n">
        <v>1.503749975943047</v>
      </c>
      <c r="F308" t="n">
        <v>-7.912013894217821</v>
      </c>
      <c r="G308">
        <f>IF(OR(F308="",E308=""),"",F308-E308)</f>
        <v/>
      </c>
      <c r="H308" t="n">
        <v>0.0003873936970994312</v>
      </c>
    </row>
    <row r="309">
      <c r="A309" t="inlineStr">
        <is>
          <t>FR</t>
        </is>
      </c>
      <c r="B309" t="inlineStr">
        <is>
          <t>Spring2020</t>
        </is>
      </c>
      <c r="C309" t="inlineStr">
        <is>
          <t>Spring</t>
        </is>
      </c>
      <c r="D309" t="n">
        <v>2020</v>
      </c>
      <c r="E309" t="n">
        <v>-8.248298085436833</v>
      </c>
      <c r="F309" t="n">
        <v>-7.912013894217821</v>
      </c>
      <c r="G309">
        <f>IF(OR(F309="",E309=""),"",F309-E309)</f>
        <v/>
      </c>
      <c r="H309" t="n">
        <v>0.0003873936970994312</v>
      </c>
    </row>
    <row r="310">
      <c r="A310" t="inlineStr">
        <is>
          <t>FR</t>
        </is>
      </c>
      <c r="B310" t="inlineStr">
        <is>
          <t>Autumn2020</t>
        </is>
      </c>
      <c r="C310" t="inlineStr">
        <is>
          <t>Autumn</t>
        </is>
      </c>
      <c r="D310" t="n">
        <v>2021</v>
      </c>
      <c r="E310" t="n">
        <v>5.795265902617808</v>
      </c>
      <c r="F310" t="n">
        <v>6.570188477254643</v>
      </c>
      <c r="G310">
        <f>IF(OR(F310="",E310=""),"",F310-E310)</f>
        <v/>
      </c>
      <c r="H310" t="n">
        <v>0.0004322148502679736</v>
      </c>
    </row>
    <row r="311">
      <c r="A311" t="inlineStr">
        <is>
          <t>FR</t>
        </is>
      </c>
      <c r="B311" t="inlineStr">
        <is>
          <t>Autumn2021</t>
        </is>
      </c>
      <c r="C311" t="inlineStr">
        <is>
          <t>Autumn</t>
        </is>
      </c>
      <c r="D311" t="n">
        <v>2021</v>
      </c>
      <c r="E311" t="n">
        <v>6.542579429206707</v>
      </c>
      <c r="F311" t="n">
        <v>6.570188477254643</v>
      </c>
      <c r="G311">
        <f>IF(OR(F311="",E311=""),"",F311-E311)</f>
        <v/>
      </c>
      <c r="H311" t="n">
        <v>0.0004322148502679736</v>
      </c>
    </row>
    <row r="312">
      <c r="A312" t="inlineStr">
        <is>
          <t>FR</t>
        </is>
      </c>
      <c r="B312" t="inlineStr">
        <is>
          <t>Spring2020</t>
        </is>
      </c>
      <c r="C312" t="inlineStr">
        <is>
          <t>Spring</t>
        </is>
      </c>
      <c r="D312" t="n">
        <v>2021</v>
      </c>
      <c r="E312" t="n">
        <v>7.401134491337769</v>
      </c>
      <c r="F312" t="n">
        <v>6.570188477254643</v>
      </c>
      <c r="G312">
        <f>IF(OR(F312="",E312=""),"",F312-E312)</f>
        <v/>
      </c>
      <c r="H312" t="n">
        <v>0.0004322148502679736</v>
      </c>
    </row>
    <row r="313">
      <c r="A313" t="inlineStr">
        <is>
          <t>FR</t>
        </is>
      </c>
      <c r="B313" t="inlineStr">
        <is>
          <t>Spring2021</t>
        </is>
      </c>
      <c r="C313" t="inlineStr">
        <is>
          <t>Spring</t>
        </is>
      </c>
      <c r="D313" t="n">
        <v>2021</v>
      </c>
      <c r="E313" t="n">
        <v>5.714702673402861</v>
      </c>
      <c r="F313" t="n">
        <v>6.570188477254643</v>
      </c>
      <c r="G313">
        <f>IF(OR(F313="",E313=""),"",F313-E313)</f>
        <v/>
      </c>
      <c r="H313" t="n">
        <v>0.0004322148502679736</v>
      </c>
    </row>
    <row r="314">
      <c r="A314" t="inlineStr">
        <is>
          <t>FR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3.766147557940314</v>
      </c>
      <c r="F314" t="n">
        <v>2.761671160127166</v>
      </c>
      <c r="G314">
        <f>IF(OR(F314="",E314=""),"",F314-E314)</f>
        <v/>
      </c>
      <c r="H314" t="n">
        <v>0.0007348831804684841</v>
      </c>
    </row>
    <row r="315">
      <c r="A315" t="inlineStr">
        <is>
          <t>FR</t>
        </is>
      </c>
      <c r="B315" t="inlineStr">
        <is>
          <t>Autumn2022</t>
        </is>
      </c>
      <c r="C315" t="inlineStr">
        <is>
          <t>Autumn</t>
        </is>
      </c>
      <c r="D315" t="n">
        <v>2022</v>
      </c>
      <c r="E315" t="n">
        <v>2.629458440119525</v>
      </c>
      <c r="F315" t="n">
        <v>2.761671160127166</v>
      </c>
      <c r="G315">
        <f>IF(OR(F315="",E315=""),"",F315-E315)</f>
        <v/>
      </c>
      <c r="H315" t="n">
        <v>0.0007348831804684841</v>
      </c>
    </row>
    <row r="316">
      <c r="A316" t="inlineStr">
        <is>
          <t>FR</t>
        </is>
      </c>
      <c r="B316" t="inlineStr">
        <is>
          <t>Spring2021</t>
        </is>
      </c>
      <c r="C316" t="inlineStr">
        <is>
          <t>Spring</t>
        </is>
      </c>
      <c r="D316" t="n">
        <v>2022</v>
      </c>
      <c r="E316" t="n">
        <v>4.211477073724845</v>
      </c>
      <c r="F316" t="n">
        <v>2.761671160127166</v>
      </c>
      <c r="G316">
        <f>IF(OR(F316="",E316=""),"",F316-E316)</f>
        <v/>
      </c>
      <c r="H316" t="n">
        <v>0.0007348831804684841</v>
      </c>
    </row>
    <row r="317">
      <c r="A317" t="inlineStr">
        <is>
          <t>FR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3.098952418316858</v>
      </c>
      <c r="F317" t="n">
        <v>2.761671160127166</v>
      </c>
      <c r="G317">
        <f>IF(OR(F317="",E317=""),"",F317-E317)</f>
        <v/>
      </c>
      <c r="H317" t="n">
        <v>0.0007348831804684841</v>
      </c>
    </row>
    <row r="318">
      <c r="A318" t="inlineStr">
        <is>
          <t>FR</t>
        </is>
      </c>
      <c r="B318" t="inlineStr">
        <is>
          <t>Autumn2022</t>
        </is>
      </c>
      <c r="C318" t="inlineStr">
        <is>
          <t>Autumn</t>
        </is>
      </c>
      <c r="D318" t="n">
        <v>2023</v>
      </c>
      <c r="E318" t="n">
        <v>0.4395065145862631</v>
      </c>
      <c r="F318" t="n">
        <v>1.802247083175507</v>
      </c>
      <c r="G318">
        <f>IF(OR(F318="",E318=""),"",F318-E318)</f>
        <v/>
      </c>
      <c r="H318" t="n">
        <v>0.0006534637938468001</v>
      </c>
    </row>
    <row r="319">
      <c r="A319" t="inlineStr">
        <is>
          <t>FR</t>
        </is>
      </c>
      <c r="B319" t="inlineStr">
        <is>
          <t>Autumn2023</t>
        </is>
      </c>
      <c r="C319" t="inlineStr">
        <is>
          <t>Autumn</t>
        </is>
      </c>
      <c r="D319" t="n">
        <v>2023</v>
      </c>
      <c r="E319" t="n">
        <v>1.002276295034399</v>
      </c>
      <c r="F319" t="n">
        <v>1.802247083175507</v>
      </c>
      <c r="G319">
        <f>IF(OR(F319="",E319=""),"",F319-E319)</f>
        <v/>
      </c>
      <c r="H319" t="n">
        <v>0.0006534637938468001</v>
      </c>
    </row>
    <row r="320">
      <c r="A320" t="inlineStr">
        <is>
          <t>FR</t>
        </is>
      </c>
      <c r="B320" t="inlineStr">
        <is>
          <t>Spring2022</t>
        </is>
      </c>
      <c r="C320" t="inlineStr">
        <is>
          <t>Spring</t>
        </is>
      </c>
      <c r="D320" t="n">
        <v>2023</v>
      </c>
      <c r="E320" t="n">
        <v>1.769109124061696</v>
      </c>
      <c r="F320" t="n">
        <v>1.802247083175507</v>
      </c>
      <c r="G320">
        <f>IF(OR(F320="",E320=""),"",F320-E320)</f>
        <v/>
      </c>
      <c r="H320" t="n">
        <v>0.0006534637938468001</v>
      </c>
    </row>
    <row r="321">
      <c r="A321" t="inlineStr">
        <is>
          <t>FR</t>
        </is>
      </c>
      <c r="B321" t="inlineStr">
        <is>
          <t>Spring2023</t>
        </is>
      </c>
      <c r="C321" t="inlineStr">
        <is>
          <t>Spring</t>
        </is>
      </c>
      <c r="D321" t="n">
        <v>2023</v>
      </c>
      <c r="E321" t="n">
        <v>0.7242602636413187</v>
      </c>
      <c r="F321" t="n">
        <v>1.802247083175507</v>
      </c>
      <c r="G321">
        <f>IF(OR(F321="",E321=""),"",F321-E321)</f>
        <v/>
      </c>
      <c r="H321" t="n">
        <v>0.0006534637938468001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2024</v>
      </c>
      <c r="E322" t="n">
        <v>1.247095433006873</v>
      </c>
      <c r="F322" t="n">
        <v>1.414482884555374</v>
      </c>
      <c r="G322">
        <f>IF(OR(F322="",E322=""),"",F322-E322)</f>
        <v/>
      </c>
      <c r="H322" t="n">
        <v>0.0005830168350468545</v>
      </c>
    </row>
    <row r="323">
      <c r="A323" t="inlineStr">
        <is>
          <t>FR</t>
        </is>
      </c>
      <c r="B323" t="inlineStr">
        <is>
          <t>Autumn2024</t>
        </is>
      </c>
      <c r="C323" t="inlineStr">
        <is>
          <t>Autumn</t>
        </is>
      </c>
      <c r="D323" t="n">
        <v>2024</v>
      </c>
      <c r="E323" t="n">
        <v>1.13903040986485</v>
      </c>
      <c r="F323" t="n">
        <v>1.414482884555374</v>
      </c>
      <c r="G323">
        <f>IF(OR(F323="",E323=""),"",F323-E323)</f>
        <v/>
      </c>
      <c r="H323" t="n">
        <v>0.0005830168350468545</v>
      </c>
    </row>
    <row r="324">
      <c r="A324" t="inlineStr">
        <is>
          <t>FR</t>
        </is>
      </c>
      <c r="B324" t="inlineStr">
        <is>
          <t>Spring2023</t>
        </is>
      </c>
      <c r="C324" t="inlineStr">
        <is>
          <t>Spring</t>
        </is>
      </c>
      <c r="D324" t="n">
        <v>2024</v>
      </c>
      <c r="E324" t="n">
        <v>1.41860461240253</v>
      </c>
      <c r="F324" t="n">
        <v>1.414482884555374</v>
      </c>
      <c r="G324">
        <f>IF(OR(F324="",E324=""),"",F324-E324)</f>
        <v/>
      </c>
      <c r="H324" t="n">
        <v>0.0005830168350468545</v>
      </c>
    </row>
    <row r="325">
      <c r="A325" t="inlineStr">
        <is>
          <t>FR</t>
        </is>
      </c>
      <c r="B325" t="inlineStr">
        <is>
          <t>Spring2024</t>
        </is>
      </c>
      <c r="C325" t="inlineStr">
        <is>
          <t>Spring</t>
        </is>
      </c>
      <c r="D325" t="n">
        <v>2024</v>
      </c>
      <c r="E325" t="n">
        <v>0.728519105148373</v>
      </c>
      <c r="F325" t="n">
        <v>1.414482884555374</v>
      </c>
      <c r="G325">
        <f>IF(OR(F325="",E325=""),"",F325-E325)</f>
        <v/>
      </c>
      <c r="H325" t="n">
        <v>0.0005830168350468545</v>
      </c>
    </row>
    <row r="326">
      <c r="A326" t="inlineStr">
        <is>
          <t>IE</t>
        </is>
      </c>
      <c r="B326" t="inlineStr">
        <is>
          <t>Autumn2011</t>
        </is>
      </c>
      <c r="C326" t="inlineStr">
        <is>
          <t>Autumn</t>
        </is>
      </c>
      <c r="D326" t="n">
        <v>2011</v>
      </c>
      <c r="E326" t="n">
        <v>1.085473342594079</v>
      </c>
      <c r="F326" t="n">
        <v>1.585963389687955</v>
      </c>
      <c r="G326">
        <f>IF(OR(F326="",E326=""),"",F326-E326)</f>
        <v/>
      </c>
      <c r="H326" t="n">
        <v>0.0001501342638873479</v>
      </c>
    </row>
    <row r="327">
      <c r="A327" t="inlineStr">
        <is>
          <t>IE</t>
        </is>
      </c>
      <c r="B327" t="inlineStr">
        <is>
          <t>Spring2011</t>
        </is>
      </c>
      <c r="C327" t="inlineStr">
        <is>
          <t>Spring</t>
        </is>
      </c>
      <c r="D327" t="n">
        <v>2011</v>
      </c>
      <c r="E327" t="n">
        <v>0.6446375206867305</v>
      </c>
      <c r="F327" t="n">
        <v>1.585963389687955</v>
      </c>
      <c r="G327">
        <f>IF(OR(F327="",E327=""),"",F327-E327)</f>
        <v/>
      </c>
      <c r="H327" t="n">
        <v>0.0001501342638873479</v>
      </c>
    </row>
    <row r="328">
      <c r="A328" t="inlineStr">
        <is>
          <t>IE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1.090113097409695</v>
      </c>
      <c r="F328" t="n">
        <v>-0.537950489164068</v>
      </c>
      <c r="G328">
        <f>IF(OR(F328="",E328=""),"",F328-E328)</f>
        <v/>
      </c>
      <c r="H328" t="n">
        <v>0.000180841469338877</v>
      </c>
    </row>
    <row r="329">
      <c r="A329" t="inlineStr">
        <is>
          <t>IE</t>
        </is>
      </c>
      <c r="B329" t="inlineStr">
        <is>
          <t>Autumn2012</t>
        </is>
      </c>
      <c r="C329" t="inlineStr">
        <is>
          <t>Autumn</t>
        </is>
      </c>
      <c r="D329" t="n">
        <v>2012</v>
      </c>
      <c r="E329" t="n">
        <v>0.4312747664570127</v>
      </c>
      <c r="F329" t="n">
        <v>-0.537950489164068</v>
      </c>
      <c r="G329">
        <f>IF(OR(F329="",E329=""),"",F329-E329)</f>
        <v/>
      </c>
      <c r="H329" t="n">
        <v>0.000180841469338877</v>
      </c>
    </row>
    <row r="330">
      <c r="A330" t="inlineStr">
        <is>
          <t>IE</t>
        </is>
      </c>
      <c r="B330" t="inlineStr">
        <is>
          <t>Spring2011</t>
        </is>
      </c>
      <c r="C330" t="inlineStr">
        <is>
          <t>Spring</t>
        </is>
      </c>
      <c r="D330" t="n">
        <v>2012</v>
      </c>
      <c r="E330" t="n">
        <v>1.915684733449208</v>
      </c>
      <c r="F330" t="n">
        <v>-0.537950489164068</v>
      </c>
      <c r="G330">
        <f>IF(OR(F330="",E330=""),"",F330-E330)</f>
        <v/>
      </c>
      <c r="H330" t="n">
        <v>0.000180841469338877</v>
      </c>
    </row>
    <row r="331">
      <c r="A331" t="inlineStr">
        <is>
          <t>IE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0.5344829059463763</v>
      </c>
      <c r="F331" t="n">
        <v>-0.537950489164068</v>
      </c>
      <c r="G331">
        <f>IF(OR(F331="",E331=""),"",F331-E331)</f>
        <v/>
      </c>
      <c r="H331" t="n">
        <v>0.000180841469338877</v>
      </c>
    </row>
    <row r="332">
      <c r="A332" t="inlineStr">
        <is>
          <t>IE</t>
        </is>
      </c>
      <c r="B332" t="inlineStr">
        <is>
          <t>Autumn2012</t>
        </is>
      </c>
      <c r="C332" t="inlineStr">
        <is>
          <t>Autumn</t>
        </is>
      </c>
      <c r="D332" t="n">
        <v>2013</v>
      </c>
      <c r="E332" t="n">
        <v>1.055742969234341</v>
      </c>
      <c r="F332" t="n">
        <v>2.260800070139938</v>
      </c>
      <c r="G332">
        <f>IF(OR(F332="",E332=""),"",F332-E332)</f>
        <v/>
      </c>
      <c r="H332" t="n">
        <v>0.0002741898995379309</v>
      </c>
    </row>
    <row r="333">
      <c r="A333" t="inlineStr">
        <is>
          <t>IE</t>
        </is>
      </c>
      <c r="B333" t="inlineStr">
        <is>
          <t>Autumn2013</t>
        </is>
      </c>
      <c r="C333" t="inlineStr">
        <is>
          <t>Autumn</t>
        </is>
      </c>
      <c r="D333" t="n">
        <v>2013</v>
      </c>
      <c r="E333" t="n">
        <v>0.3040213185534935</v>
      </c>
      <c r="F333" t="n">
        <v>2.260800070139938</v>
      </c>
      <c r="G333">
        <f>IF(OR(F333="",E333=""),"",F333-E333)</f>
        <v/>
      </c>
      <c r="H333" t="n">
        <v>0.0002741898995379309</v>
      </c>
    </row>
    <row r="334">
      <c r="A334" t="inlineStr">
        <is>
          <t>IE</t>
        </is>
      </c>
      <c r="B334" t="inlineStr">
        <is>
          <t>Spring2012</t>
        </is>
      </c>
      <c r="C334" t="inlineStr">
        <is>
          <t>Spring</t>
        </is>
      </c>
      <c r="D334" t="n">
        <v>2013</v>
      </c>
      <c r="E334" t="n">
        <v>1.906065155664627</v>
      </c>
      <c r="F334" t="n">
        <v>2.260800070139938</v>
      </c>
      <c r="G334">
        <f>IF(OR(F334="",E334=""),"",F334-E334)</f>
        <v/>
      </c>
      <c r="H334" t="n">
        <v>0.0002741898995379309</v>
      </c>
    </row>
    <row r="335">
      <c r="A335" t="inlineStr">
        <is>
          <t>IE</t>
        </is>
      </c>
      <c r="B335" t="inlineStr">
        <is>
          <t>Spring2013</t>
        </is>
      </c>
      <c r="C335" t="inlineStr">
        <is>
          <t>Spring</t>
        </is>
      </c>
      <c r="D335" t="n">
        <v>2013</v>
      </c>
      <c r="E335" t="n">
        <v>1.069987927348115</v>
      </c>
      <c r="F335" t="n">
        <v>2.260800070139938</v>
      </c>
      <c r="G335">
        <f>IF(OR(F335="",E335=""),"",F335-E335)</f>
        <v/>
      </c>
      <c r="H335" t="n">
        <v>0.0002741898995379309</v>
      </c>
    </row>
    <row r="336">
      <c r="A336" t="inlineStr">
        <is>
          <t>IE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1.703044407164489</v>
      </c>
      <c r="F336" t="n">
        <v>9.050420993593926</v>
      </c>
      <c r="G336">
        <f>IF(OR(F336="",E336=""),"",F336-E336)</f>
        <v/>
      </c>
      <c r="H336" t="n">
        <v>0.0004153917249743678</v>
      </c>
    </row>
    <row r="337">
      <c r="A337" t="inlineStr">
        <is>
          <t>IE</t>
        </is>
      </c>
      <c r="B337" t="inlineStr">
        <is>
          <t>Autumn2014</t>
        </is>
      </c>
      <c r="C337" t="inlineStr">
        <is>
          <t>Autumn</t>
        </is>
      </c>
      <c r="D337" t="n">
        <v>2014</v>
      </c>
      <c r="E337" t="n">
        <v>4.615191020582277</v>
      </c>
      <c r="F337" t="n">
        <v>9.050420993593926</v>
      </c>
      <c r="G337">
        <f>IF(OR(F337="",E337=""),"",F337-E337)</f>
        <v/>
      </c>
      <c r="H337" t="n">
        <v>0.0004153917249743678</v>
      </c>
    </row>
    <row r="338">
      <c r="A338" t="inlineStr">
        <is>
          <t>IE</t>
        </is>
      </c>
      <c r="B338" t="inlineStr">
        <is>
          <t>Spring2013</t>
        </is>
      </c>
      <c r="C338" t="inlineStr">
        <is>
          <t>Spring</t>
        </is>
      </c>
      <c r="D338" t="n">
        <v>2014</v>
      </c>
      <c r="E338" t="n">
        <v>2.176261060739271</v>
      </c>
      <c r="F338" t="n">
        <v>9.050420993593926</v>
      </c>
      <c r="G338">
        <f>IF(OR(F338="",E338=""),"",F338-E338)</f>
        <v/>
      </c>
      <c r="H338" t="n">
        <v>0.0004153917249743678</v>
      </c>
    </row>
    <row r="339">
      <c r="A339" t="inlineStr">
        <is>
          <t>IE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1.740487538042057</v>
      </c>
      <c r="F339" t="n">
        <v>9.050420993593926</v>
      </c>
      <c r="G339">
        <f>IF(OR(F339="",E339=""),"",F339-E339)</f>
        <v/>
      </c>
      <c r="H339" t="n">
        <v>0.0004153917249743678</v>
      </c>
    </row>
    <row r="340">
      <c r="A340" t="inlineStr">
        <is>
          <t>IE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3.622166591088383</v>
      </c>
      <c r="F340" t="n">
        <v>21.95074465450742</v>
      </c>
      <c r="G340">
        <f>IF(OR(F340="",E340=""),"",F340-E340)</f>
        <v/>
      </c>
      <c r="H340" t="n">
        <v>0.0003665754948697212</v>
      </c>
    </row>
    <row r="341">
      <c r="A341" t="inlineStr">
        <is>
          <t>IE</t>
        </is>
      </c>
      <c r="B341" t="inlineStr">
        <is>
          <t>Autumn2015</t>
        </is>
      </c>
      <c r="C341" t="inlineStr">
        <is>
          <t>Autumn</t>
        </is>
      </c>
      <c r="D341" t="n">
        <v>2015</v>
      </c>
      <c r="E341" t="n">
        <v>6.044934494316778</v>
      </c>
      <c r="F341" t="n">
        <v>21.95074465450742</v>
      </c>
      <c r="G341">
        <f>IF(OR(F341="",E341=""),"",F341-E341)</f>
        <v/>
      </c>
      <c r="H341" t="n">
        <v>0.0003665754948697212</v>
      </c>
    </row>
    <row r="342">
      <c r="A342" t="inlineStr">
        <is>
          <t>IE</t>
        </is>
      </c>
      <c r="B342" t="inlineStr">
        <is>
          <t>Spring2014</t>
        </is>
      </c>
      <c r="C342" t="inlineStr">
        <is>
          <t>Spring</t>
        </is>
      </c>
      <c r="D342" t="n">
        <v>2015</v>
      </c>
      <c r="E342" t="n">
        <v>2.99572233370986</v>
      </c>
      <c r="F342" t="n">
        <v>21.95074465450742</v>
      </c>
      <c r="G342">
        <f>IF(OR(F342="",E342=""),"",F342-E342)</f>
        <v/>
      </c>
      <c r="H342" t="n">
        <v>0.0003665754948697212</v>
      </c>
    </row>
    <row r="343">
      <c r="A343" t="inlineStr">
        <is>
          <t>IE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3.607041892993634</v>
      </c>
      <c r="F343" t="n">
        <v>21.95074465450742</v>
      </c>
      <c r="G343">
        <f>IF(OR(F343="",E343=""),"",F343-E343)</f>
        <v/>
      </c>
      <c r="H343" t="n">
        <v>0.0003665754948697212</v>
      </c>
    </row>
    <row r="344">
      <c r="A344" t="inlineStr">
        <is>
          <t>IE</t>
        </is>
      </c>
      <c r="B344" t="inlineStr">
        <is>
          <t>Autumn2015</t>
        </is>
      </c>
      <c r="C344" t="inlineStr">
        <is>
          <t>Autumn</t>
        </is>
      </c>
      <c r="D344" t="n">
        <v>2016</v>
      </c>
      <c r="E344" t="n">
        <v>4.484124334232487</v>
      </c>
      <c r="F344" t="n">
        <v>1.172546278585649</v>
      </c>
      <c r="G344">
        <f>IF(OR(F344="",E344=""),"",F344-E344)</f>
        <v/>
      </c>
      <c r="H344" t="n">
        <v>0.000351161032275658</v>
      </c>
    </row>
    <row r="345">
      <c r="A345" t="inlineStr">
        <is>
          <t>IE</t>
        </is>
      </c>
      <c r="B345" t="inlineStr">
        <is>
          <t>Autumn2016</t>
        </is>
      </c>
      <c r="C345" t="inlineStr">
        <is>
          <t>Autumn</t>
        </is>
      </c>
      <c r="D345" t="n">
        <v>2016</v>
      </c>
      <c r="E345" t="n">
        <v>4.088441116262898</v>
      </c>
      <c r="F345" t="n">
        <v>1.172546278585649</v>
      </c>
      <c r="G345">
        <f>IF(OR(F345="",E345=""),"",F345-E345)</f>
        <v/>
      </c>
      <c r="H345" t="n">
        <v>0.000351161032275658</v>
      </c>
    </row>
    <row r="346">
      <c r="A346" t="inlineStr">
        <is>
          <t>IE</t>
        </is>
      </c>
      <c r="B346" t="inlineStr">
        <is>
          <t>Spring2015</t>
        </is>
      </c>
      <c r="C346" t="inlineStr">
        <is>
          <t>Spring</t>
        </is>
      </c>
      <c r="D346" t="n">
        <v>2016</v>
      </c>
      <c r="E346" t="n">
        <v>3.476457466822014</v>
      </c>
      <c r="F346" t="n">
        <v>1.172546278585649</v>
      </c>
      <c r="G346">
        <f>IF(OR(F346="",E346=""),"",F346-E346)</f>
        <v/>
      </c>
      <c r="H346" t="n">
        <v>0.000351161032275658</v>
      </c>
    </row>
    <row r="347">
      <c r="A347" t="inlineStr">
        <is>
          <t>IE</t>
        </is>
      </c>
      <c r="B347" t="inlineStr">
        <is>
          <t>Spring2016</t>
        </is>
      </c>
      <c r="C347" t="inlineStr">
        <is>
          <t>Spring</t>
        </is>
      </c>
      <c r="D347" t="n">
        <v>2016</v>
      </c>
      <c r="E347" t="n">
        <v>4.868709807176286</v>
      </c>
      <c r="F347" t="n">
        <v>1.172546278585649</v>
      </c>
      <c r="G347">
        <f>IF(OR(F347="",E347=""),"",F347-E347)</f>
        <v/>
      </c>
      <c r="H347" t="n">
        <v>0.000351161032275658</v>
      </c>
    </row>
    <row r="348">
      <c r="A348" t="inlineStr">
        <is>
          <t>IE</t>
        </is>
      </c>
      <c r="B348" t="inlineStr">
        <is>
          <t>Autumn2016</t>
        </is>
      </c>
      <c r="C348" t="inlineStr">
        <is>
          <t>Autumn</t>
        </is>
      </c>
      <c r="D348" t="n">
        <v>2017</v>
      </c>
      <c r="E348" t="n">
        <v>3.60142096481646</v>
      </c>
      <c r="F348" t="n">
        <v>9.624294995761334</v>
      </c>
      <c r="G348">
        <f>IF(OR(F348="",E348=""),"",F348-E348)</f>
        <v/>
      </c>
      <c r="H348" t="n">
        <v>0.0003140712425546385</v>
      </c>
    </row>
    <row r="349">
      <c r="A349" t="inlineStr">
        <is>
          <t>IE</t>
        </is>
      </c>
      <c r="B349" t="inlineStr">
        <is>
          <t>Autumn2017</t>
        </is>
      </c>
      <c r="C349" t="inlineStr">
        <is>
          <t>Autumn</t>
        </is>
      </c>
      <c r="D349" t="n">
        <v>2017</v>
      </c>
      <c r="E349" t="n">
        <v>4.826302521879056</v>
      </c>
      <c r="F349" t="n">
        <v>9.624294995761334</v>
      </c>
      <c r="G349">
        <f>IF(OR(F349="",E349=""),"",F349-E349)</f>
        <v/>
      </c>
      <c r="H349" t="n">
        <v>0.0003140712425546385</v>
      </c>
    </row>
    <row r="350">
      <c r="A350" t="inlineStr">
        <is>
          <t>IE</t>
        </is>
      </c>
      <c r="B350" t="inlineStr">
        <is>
          <t>Spring2016</t>
        </is>
      </c>
      <c r="C350" t="inlineStr">
        <is>
          <t>Spring</t>
        </is>
      </c>
      <c r="D350" t="n">
        <v>2017</v>
      </c>
      <c r="E350" t="n">
        <v>3.671798756063094</v>
      </c>
      <c r="F350" t="n">
        <v>9.624294995761334</v>
      </c>
      <c r="G350">
        <f>IF(OR(F350="",E350=""),"",F350-E350)</f>
        <v/>
      </c>
      <c r="H350" t="n">
        <v>0.0003140712425546385</v>
      </c>
    </row>
    <row r="351">
      <c r="A351" t="inlineStr">
        <is>
          <t>IE</t>
        </is>
      </c>
      <c r="B351" t="inlineStr">
        <is>
          <t>Spring2017</t>
        </is>
      </c>
      <c r="C351" t="inlineStr">
        <is>
          <t>Spring</t>
        </is>
      </c>
      <c r="D351" t="n">
        <v>2017</v>
      </c>
      <c r="E351" t="n">
        <v>3.95094524465267</v>
      </c>
      <c r="F351" t="n">
        <v>9.624294995761334</v>
      </c>
      <c r="G351">
        <f>IF(OR(F351="",E351=""),"",F351-E351)</f>
        <v/>
      </c>
      <c r="H351" t="n">
        <v>0.0003140712425546385</v>
      </c>
    </row>
    <row r="352">
      <c r="A352" t="inlineStr">
        <is>
          <t>IE</t>
        </is>
      </c>
      <c r="B352" t="inlineStr">
        <is>
          <t>Autumn2017</t>
        </is>
      </c>
      <c r="C352" t="inlineStr">
        <is>
          <t>Autumn</t>
        </is>
      </c>
      <c r="D352" t="n">
        <v>2018</v>
      </c>
      <c r="E352" t="n">
        <v>3.905545251583953</v>
      </c>
      <c r="F352" t="n">
        <v>7.444687452116322</v>
      </c>
      <c r="G352">
        <f>IF(OR(F352="",E352=""),"",F352-E352)</f>
        <v/>
      </c>
      <c r="H352" t="n">
        <v>0.0003868157525857134</v>
      </c>
    </row>
    <row r="353">
      <c r="A353" t="inlineStr">
        <is>
          <t>IE</t>
        </is>
      </c>
      <c r="B353" t="inlineStr">
        <is>
          <t>Autumn2018</t>
        </is>
      </c>
      <c r="C353" t="inlineStr">
        <is>
          <t>Autumn</t>
        </is>
      </c>
      <c r="D353" t="n">
        <v>2018</v>
      </c>
      <c r="E353" t="n">
        <v>7.811776008276849</v>
      </c>
      <c r="F353" t="n">
        <v>7.444687452116322</v>
      </c>
      <c r="G353">
        <f>IF(OR(F353="",E353=""),"",F353-E353)</f>
        <v/>
      </c>
      <c r="H353" t="n">
        <v>0.0003868157525857134</v>
      </c>
    </row>
    <row r="354">
      <c r="A354" t="inlineStr">
        <is>
          <t>IE</t>
        </is>
      </c>
      <c r="B354" t="inlineStr">
        <is>
          <t>Spring2017</t>
        </is>
      </c>
      <c r="C354" t="inlineStr">
        <is>
          <t>Spring</t>
        </is>
      </c>
      <c r="D354" t="n">
        <v>2018</v>
      </c>
      <c r="E354" t="n">
        <v>3.64322712666465</v>
      </c>
      <c r="F354" t="n">
        <v>7.444687452116322</v>
      </c>
      <c r="G354">
        <f>IF(OR(F354="",E354=""),"",F354-E354)</f>
        <v/>
      </c>
      <c r="H354" t="n">
        <v>0.0003868157525857134</v>
      </c>
    </row>
    <row r="355">
      <c r="A355" t="inlineStr">
        <is>
          <t>IE</t>
        </is>
      </c>
      <c r="B355" t="inlineStr">
        <is>
          <t>Spring2018</t>
        </is>
      </c>
      <c r="C355" t="inlineStr">
        <is>
          <t>Spring</t>
        </is>
      </c>
      <c r="D355" t="n">
        <v>2018</v>
      </c>
      <c r="E355" t="n">
        <v>5.680892802553816</v>
      </c>
      <c r="F355" t="n">
        <v>7.444687452116322</v>
      </c>
      <c r="G355">
        <f>IF(OR(F355="",E355=""),"",F355-E355)</f>
        <v/>
      </c>
      <c r="H355" t="n">
        <v>0.0003868157525857134</v>
      </c>
    </row>
    <row r="356">
      <c r="A356" t="inlineStr">
        <is>
          <t>IE</t>
        </is>
      </c>
      <c r="B356" t="inlineStr">
        <is>
          <t>Autumn2018</t>
        </is>
      </c>
      <c r="C356" t="inlineStr">
        <is>
          <t>Autumn</t>
        </is>
      </c>
      <c r="D356" t="n">
        <v>2019</v>
      </c>
      <c r="E356" t="n">
        <v>4.529975693716137</v>
      </c>
      <c r="F356" t="n">
        <v>4.823763826344694</v>
      </c>
      <c r="G356">
        <f>IF(OR(F356="",E356=""),"",F356-E356)</f>
        <v/>
      </c>
      <c r="H356" t="n">
        <v>0.0004515435907302009</v>
      </c>
    </row>
    <row r="357">
      <c r="A357" t="inlineStr">
        <is>
          <t>IE</t>
        </is>
      </c>
      <c r="B357" t="inlineStr">
        <is>
          <t>Autumn2019</t>
        </is>
      </c>
      <c r="C357" t="inlineStr">
        <is>
          <t>Autumn</t>
        </is>
      </c>
      <c r="D357" t="n">
        <v>2019</v>
      </c>
      <c r="E357" t="n">
        <v>5.63559357923733</v>
      </c>
      <c r="F357" t="n">
        <v>4.823763826344694</v>
      </c>
      <c r="G357">
        <f>IF(OR(F357="",E357=""),"",F357-E357)</f>
        <v/>
      </c>
      <c r="H357" t="n">
        <v>0.0004515435907302009</v>
      </c>
    </row>
    <row r="358">
      <c r="A358" t="inlineStr">
        <is>
          <t>IE</t>
        </is>
      </c>
      <c r="B358" t="inlineStr">
        <is>
          <t>Spring2018</t>
        </is>
      </c>
      <c r="C358" t="inlineStr">
        <is>
          <t>Spring</t>
        </is>
      </c>
      <c r="D358" t="n">
        <v>2019</v>
      </c>
      <c r="E358" t="n">
        <v>4.058674421459818</v>
      </c>
      <c r="F358" t="n">
        <v>4.823763826344694</v>
      </c>
      <c r="G358">
        <f>IF(OR(F358="",E358=""),"",F358-E358)</f>
        <v/>
      </c>
      <c r="H358" t="n">
        <v>0.0004515435907302009</v>
      </c>
    </row>
    <row r="359">
      <c r="A359" t="inlineStr">
        <is>
          <t>IE</t>
        </is>
      </c>
      <c r="B359" t="inlineStr">
        <is>
          <t>Spring2019</t>
        </is>
      </c>
      <c r="C359" t="inlineStr">
        <is>
          <t>Spring</t>
        </is>
      </c>
      <c r="D359" t="n">
        <v>2019</v>
      </c>
      <c r="E359" t="n">
        <v>3.759569376747196</v>
      </c>
      <c r="F359" t="n">
        <v>4.823763826344694</v>
      </c>
      <c r="G359">
        <f>IF(OR(F359="",E359=""),"",F359-E359)</f>
        <v/>
      </c>
      <c r="H359" t="n">
        <v>0.0004515435907302009</v>
      </c>
    </row>
    <row r="360">
      <c r="A360" t="inlineStr">
        <is>
          <t>IE</t>
        </is>
      </c>
      <c r="B360" t="inlineStr">
        <is>
          <t>Autumn2019</t>
        </is>
      </c>
      <c r="C360" t="inlineStr">
        <is>
          <t>Autumn</t>
        </is>
      </c>
      <c r="D360" t="n">
        <v>2020</v>
      </c>
      <c r="E360" t="n">
        <v>3.528571869780794</v>
      </c>
      <c r="F360" t="n">
        <v>6.986381430371383</v>
      </c>
      <c r="G360">
        <f>IF(OR(F360="",E360=""),"",F360-E360)</f>
        <v/>
      </c>
      <c r="H360" t="n">
        <v>0.0003727896714410862</v>
      </c>
    </row>
    <row r="361">
      <c r="A361" t="inlineStr">
        <is>
          <t>IE</t>
        </is>
      </c>
      <c r="B361" t="inlineStr">
        <is>
          <t>Autumn2020</t>
        </is>
      </c>
      <c r="C361" t="inlineStr">
        <is>
          <t>Autumn</t>
        </is>
      </c>
      <c r="D361" t="n">
        <v>2020</v>
      </c>
      <c r="E361" t="n">
        <v>-2.337399617191471</v>
      </c>
      <c r="F361" t="n">
        <v>6.986381430371383</v>
      </c>
      <c r="G361">
        <f>IF(OR(F361="",E361=""),"",F361-E361)</f>
        <v/>
      </c>
      <c r="H361" t="n">
        <v>0.0003727896714410862</v>
      </c>
    </row>
    <row r="362">
      <c r="A362" t="inlineStr">
        <is>
          <t>IE</t>
        </is>
      </c>
      <c r="B362" t="inlineStr">
        <is>
          <t>Spring2019</t>
        </is>
      </c>
      <c r="C362" t="inlineStr">
        <is>
          <t>Spring</t>
        </is>
      </c>
      <c r="D362" t="n">
        <v>2020</v>
      </c>
      <c r="E362" t="n">
        <v>3.367615623428599</v>
      </c>
      <c r="F362" t="n">
        <v>6.986381430371383</v>
      </c>
      <c r="G362">
        <f>IF(OR(F362="",E362=""),"",F362-E362)</f>
        <v/>
      </c>
      <c r="H362" t="n">
        <v>0.0003727896714410862</v>
      </c>
    </row>
    <row r="363">
      <c r="A363" t="inlineStr">
        <is>
          <t>IE</t>
        </is>
      </c>
      <c r="B363" t="inlineStr">
        <is>
          <t>Spring2020</t>
        </is>
      </c>
      <c r="C363" t="inlineStr">
        <is>
          <t>Spring</t>
        </is>
      </c>
      <c r="D363" t="n">
        <v>2020</v>
      </c>
      <c r="E363" t="n">
        <v>-7.947048013854707</v>
      </c>
      <c r="F363" t="n">
        <v>6.986381430371383</v>
      </c>
      <c r="G363">
        <f>IF(OR(F363="",E363=""),"",F363-E363)</f>
        <v/>
      </c>
      <c r="H363" t="n">
        <v>0.0003727896714410862</v>
      </c>
    </row>
    <row r="364">
      <c r="A364" t="inlineStr">
        <is>
          <t>IE</t>
        </is>
      </c>
      <c r="B364" t="inlineStr">
        <is>
          <t>Autumn2020</t>
        </is>
      </c>
      <c r="C364" t="inlineStr">
        <is>
          <t>Autumn</t>
        </is>
      </c>
      <c r="D364" t="n">
        <v>2021</v>
      </c>
      <c r="E364" t="n">
        <v>2.947813244873676</v>
      </c>
      <c r="F364" t="n">
        <v>15.1246997065809</v>
      </c>
      <c r="G364">
        <f>IF(OR(F364="",E364=""),"",F364-E364)</f>
        <v/>
      </c>
      <c r="H364" t="n">
        <v>0.0004786603355250339</v>
      </c>
    </row>
    <row r="365">
      <c r="A365" t="inlineStr">
        <is>
          <t>IE</t>
        </is>
      </c>
      <c r="B365" t="inlineStr">
        <is>
          <t>Autumn2021</t>
        </is>
      </c>
      <c r="C365" t="inlineStr">
        <is>
          <t>Autumn</t>
        </is>
      </c>
      <c r="D365" t="n">
        <v>2021</v>
      </c>
      <c r="E365" t="n">
        <v>14.56298111140442</v>
      </c>
      <c r="F365" t="n">
        <v>15.1246997065809</v>
      </c>
      <c r="G365">
        <f>IF(OR(F365="",E365=""),"",F365-E365)</f>
        <v/>
      </c>
      <c r="H365" t="n">
        <v>0.0004786603355250339</v>
      </c>
    </row>
    <row r="366">
      <c r="A366" t="inlineStr">
        <is>
          <t>IE</t>
        </is>
      </c>
      <c r="B366" t="inlineStr">
        <is>
          <t>Spring2020</t>
        </is>
      </c>
      <c r="C366" t="inlineStr">
        <is>
          <t>Spring</t>
        </is>
      </c>
      <c r="D366" t="n">
        <v>2021</v>
      </c>
      <c r="E366" t="n">
        <v>6.084441522850637</v>
      </c>
      <c r="F366" t="n">
        <v>15.1246997065809</v>
      </c>
      <c r="G366">
        <f>IF(OR(F366="",E366=""),"",F366-E366)</f>
        <v/>
      </c>
      <c r="H366" t="n">
        <v>0.0004786603355250339</v>
      </c>
    </row>
    <row r="367">
      <c r="A367" t="inlineStr">
        <is>
          <t>IE</t>
        </is>
      </c>
      <c r="B367" t="inlineStr">
        <is>
          <t>Spring2021</t>
        </is>
      </c>
      <c r="C367" t="inlineStr">
        <is>
          <t>Spring</t>
        </is>
      </c>
      <c r="D367" t="n">
        <v>2021</v>
      </c>
      <c r="E367" t="n">
        <v>4.59932575419888</v>
      </c>
      <c r="F367" t="n">
        <v>15.1246997065809</v>
      </c>
      <c r="G367">
        <f>IF(OR(F367="",E367=""),"",F367-E367)</f>
        <v/>
      </c>
      <c r="H367" t="n">
        <v>0.0004786603355250339</v>
      </c>
    </row>
    <row r="368">
      <c r="A368" t="inlineStr">
        <is>
          <t>IE</t>
        </is>
      </c>
      <c r="B368" t="inlineStr">
        <is>
          <t>Autumn2021</t>
        </is>
      </c>
      <c r="C368" t="inlineStr">
        <is>
          <t>Autumn</t>
        </is>
      </c>
      <c r="D368" t="n">
        <v>2022</v>
      </c>
      <c r="E368" t="n">
        <v>5.091872298073152</v>
      </c>
      <c r="F368" t="n">
        <v>7.989444336924596</v>
      </c>
      <c r="G368">
        <f>IF(OR(F368="",E368=""),"",F368-E368)</f>
        <v/>
      </c>
      <c r="H368" t="n">
        <v>0.0004671934033553036</v>
      </c>
    </row>
    <row r="369">
      <c r="A369" t="inlineStr">
        <is>
          <t>IE</t>
        </is>
      </c>
      <c r="B369" t="inlineStr">
        <is>
          <t>Autumn2022</t>
        </is>
      </c>
      <c r="C369" t="inlineStr">
        <is>
          <t>Autumn</t>
        </is>
      </c>
      <c r="D369" t="n">
        <v>2022</v>
      </c>
      <c r="E369" t="n">
        <v>7.871083766264508</v>
      </c>
      <c r="F369" t="n">
        <v>7.989444336924596</v>
      </c>
      <c r="G369">
        <f>IF(OR(F369="",E369=""),"",F369-E369)</f>
        <v/>
      </c>
      <c r="H369" t="n">
        <v>0.0004671934033553036</v>
      </c>
    </row>
    <row r="370">
      <c r="A370" t="inlineStr">
        <is>
          <t>IE</t>
        </is>
      </c>
      <c r="B370" t="inlineStr">
        <is>
          <t>Spring2021</t>
        </is>
      </c>
      <c r="C370" t="inlineStr">
        <is>
          <t>Spring</t>
        </is>
      </c>
      <c r="D370" t="n">
        <v>2022</v>
      </c>
      <c r="E370" t="n">
        <v>4.975986839927704</v>
      </c>
      <c r="F370" t="n">
        <v>7.989444336924596</v>
      </c>
      <c r="G370">
        <f>IF(OR(F370="",E370=""),"",F370-E370)</f>
        <v/>
      </c>
      <c r="H370" t="n">
        <v>0.0004671934033553036</v>
      </c>
    </row>
    <row r="371">
      <c r="A371" t="inlineStr">
        <is>
          <t>IE</t>
        </is>
      </c>
      <c r="B371" t="inlineStr">
        <is>
          <t>Spring2022</t>
        </is>
      </c>
      <c r="C371" t="inlineStr">
        <is>
          <t>Spring</t>
        </is>
      </c>
      <c r="D371" t="n">
        <v>2022</v>
      </c>
      <c r="E371" t="n">
        <v>5.381686196249635</v>
      </c>
      <c r="F371" t="n">
        <v>7.989444336924596</v>
      </c>
      <c r="G371">
        <f>IF(OR(F371="",E371=""),"",F371-E371)</f>
        <v/>
      </c>
      <c r="H371" t="n">
        <v>0.0004671934033553036</v>
      </c>
    </row>
    <row r="372">
      <c r="A372" t="inlineStr">
        <is>
          <t>IE</t>
        </is>
      </c>
      <c r="B372" t="inlineStr">
        <is>
          <t>Autumn2022</t>
        </is>
      </c>
      <c r="C372" t="inlineStr">
        <is>
          <t>Autumn</t>
        </is>
      </c>
      <c r="D372" t="n">
        <v>2023</v>
      </c>
      <c r="E372" t="n">
        <v>3.172255506856847</v>
      </c>
      <c r="F372" t="n">
        <v>-3.520510301376442</v>
      </c>
      <c r="G372">
        <f>IF(OR(F372="",E372=""),"",F372-E372)</f>
        <v/>
      </c>
      <c r="H372" t="n">
        <v>0.000725600897939218</v>
      </c>
    </row>
    <row r="373">
      <c r="A373" t="inlineStr">
        <is>
          <t>IE</t>
        </is>
      </c>
      <c r="B373" t="inlineStr">
        <is>
          <t>Autumn2023</t>
        </is>
      </c>
      <c r="C373" t="inlineStr">
        <is>
          <t>Autumn</t>
        </is>
      </c>
      <c r="D373" t="n">
        <v>2023</v>
      </c>
      <c r="E373" t="n">
        <v>-0.9349560050788241</v>
      </c>
      <c r="F373" t="n">
        <v>-3.520510301376442</v>
      </c>
      <c r="G373">
        <f>IF(OR(F373="",E373=""),"",F373-E373)</f>
        <v/>
      </c>
      <c r="H373" t="n">
        <v>0.000725600897939218</v>
      </c>
    </row>
    <row r="374">
      <c r="A374" t="inlineStr">
        <is>
          <t>IE</t>
        </is>
      </c>
      <c r="B374" t="inlineStr">
        <is>
          <t>Spring2022</t>
        </is>
      </c>
      <c r="C374" t="inlineStr">
        <is>
          <t>Spring</t>
        </is>
      </c>
      <c r="D374" t="n">
        <v>2023</v>
      </c>
      <c r="E374" t="n">
        <v>4.434831401716832</v>
      </c>
      <c r="F374" t="n">
        <v>-3.520510301376442</v>
      </c>
      <c r="G374">
        <f>IF(OR(F374="",E374=""),"",F374-E374)</f>
        <v/>
      </c>
      <c r="H374" t="n">
        <v>0.000725600897939218</v>
      </c>
    </row>
    <row r="375">
      <c r="A375" t="inlineStr">
        <is>
          <t>IE</t>
        </is>
      </c>
      <c r="B375" t="inlineStr">
        <is>
          <t>Spring2023</t>
        </is>
      </c>
      <c r="C375" t="inlineStr">
        <is>
          <t>Spring</t>
        </is>
      </c>
      <c r="D375" t="n">
        <v>2023</v>
      </c>
      <c r="E375" t="n">
        <v>5.517073045513365</v>
      </c>
      <c r="F375" t="n">
        <v>-3.520510301376442</v>
      </c>
      <c r="G375">
        <f>IF(OR(F375="",E375=""),"",F375-E375)</f>
        <v/>
      </c>
      <c r="H375" t="n">
        <v>0.000725600897939218</v>
      </c>
    </row>
    <row r="376">
      <c r="A376" t="inlineStr">
        <is>
          <t>IE</t>
        </is>
      </c>
      <c r="B376" t="inlineStr">
        <is>
          <t>Autumn2023</t>
        </is>
      </c>
      <c r="C376" t="inlineStr">
        <is>
          <t>Autumn</t>
        </is>
      </c>
      <c r="D376" t="n">
        <v>2024</v>
      </c>
      <c r="E376" t="n">
        <v>3.044064013446279</v>
      </c>
      <c r="F376" t="n">
        <v>3.620379562913446</v>
      </c>
      <c r="G376">
        <f>IF(OR(F376="",E376=""),"",F376-E376)</f>
        <v/>
      </c>
      <c r="H376" t="n">
        <v>0.0009740879904289302</v>
      </c>
    </row>
    <row r="377">
      <c r="A377" t="inlineStr">
        <is>
          <t>IE</t>
        </is>
      </c>
      <c r="B377" t="inlineStr">
        <is>
          <t>Autumn2024</t>
        </is>
      </c>
      <c r="C377" t="inlineStr">
        <is>
          <t>Autumn</t>
        </is>
      </c>
      <c r="D377" t="n">
        <v>2024</v>
      </c>
      <c r="E377" t="n">
        <v>-0.5406263528774158</v>
      </c>
      <c r="F377" t="n">
        <v>3.620379562913446</v>
      </c>
      <c r="G377">
        <f>IF(OR(F377="",E377=""),"",F377-E377)</f>
        <v/>
      </c>
      <c r="H377" t="n">
        <v>0.0009740879904289302</v>
      </c>
    </row>
    <row r="378">
      <c r="A378" t="inlineStr">
        <is>
          <t>IE</t>
        </is>
      </c>
      <c r="B378" t="inlineStr">
        <is>
          <t>Spring2023</t>
        </is>
      </c>
      <c r="C378" t="inlineStr">
        <is>
          <t>Spring</t>
        </is>
      </c>
      <c r="D378" t="n">
        <v>2024</v>
      </c>
      <c r="E378" t="n">
        <v>4.967945256214601</v>
      </c>
      <c r="F378" t="n">
        <v>3.620379562913446</v>
      </c>
      <c r="G378">
        <f>IF(OR(F378="",E378=""),"",F378-E378)</f>
        <v/>
      </c>
      <c r="H378" t="n">
        <v>0.0009740879904289302</v>
      </c>
    </row>
    <row r="379">
      <c r="A379" t="inlineStr">
        <is>
          <t>IE</t>
        </is>
      </c>
      <c r="B379" t="inlineStr">
        <is>
          <t>Spring2024</t>
        </is>
      </c>
      <c r="C379" t="inlineStr">
        <is>
          <t>Spring</t>
        </is>
      </c>
      <c r="D379" t="n">
        <v>2024</v>
      </c>
      <c r="E379" t="n">
        <v>1.243712466321201</v>
      </c>
      <c r="F379" t="n">
        <v>3.620379562913446</v>
      </c>
      <c r="G379">
        <f>IF(OR(F379="",E379=""),"",F379-E379)</f>
        <v/>
      </c>
      <c r="H379" t="n">
        <v>0.0009740879904289302</v>
      </c>
    </row>
    <row r="380">
      <c r="A380" t="inlineStr">
        <is>
          <t>IT</t>
        </is>
      </c>
      <c r="B380" t="inlineStr">
        <is>
          <t>Autumn2011</t>
        </is>
      </c>
      <c r="C380" t="inlineStr">
        <is>
          <t>Autumn</t>
        </is>
      </c>
      <c r="D380" t="n">
        <v>2011</v>
      </c>
      <c r="E380" t="n">
        <v>0.5399906638770879</v>
      </c>
      <c r="F380" t="n">
        <v>0.8533116278384609</v>
      </c>
      <c r="G380">
        <f>IF(OR(F380="",E380=""),"",F380-E380)</f>
        <v/>
      </c>
      <c r="H380" t="n">
        <v>0.001953468073068516</v>
      </c>
    </row>
    <row r="381">
      <c r="A381" t="inlineStr">
        <is>
          <t>IT</t>
        </is>
      </c>
      <c r="B381" t="inlineStr">
        <is>
          <t>Spring2011</t>
        </is>
      </c>
      <c r="C381" t="inlineStr">
        <is>
          <t>Spring</t>
        </is>
      </c>
      <c r="D381" t="n">
        <v>2011</v>
      </c>
      <c r="E381" t="n">
        <v>0.9597439809230224</v>
      </c>
      <c r="F381" t="n">
        <v>0.8533116278384609</v>
      </c>
      <c r="G381">
        <f>IF(OR(F381="",E381=""),"",F381-E381)</f>
        <v/>
      </c>
      <c r="H381" t="n">
        <v>0.001953468073068516</v>
      </c>
    </row>
    <row r="382">
      <c r="A382" t="inlineStr">
        <is>
          <t>IT</t>
        </is>
      </c>
      <c r="B382" t="inlineStr">
        <is>
          <t>Autumn2011</t>
        </is>
      </c>
      <c r="C382" t="inlineStr">
        <is>
          <t>Autumn</t>
        </is>
      </c>
      <c r="D382" t="n">
        <v>2012</v>
      </c>
      <c r="E382" t="n">
        <v>0.0571283527944999</v>
      </c>
      <c r="F382" t="n">
        <v>-3.226554523422377</v>
      </c>
      <c r="G382">
        <f>IF(OR(F382="",E382=""),"",F382-E382)</f>
        <v/>
      </c>
      <c r="H382" t="n">
        <v>0.0003528745100217031</v>
      </c>
    </row>
    <row r="383">
      <c r="A383" t="inlineStr">
        <is>
          <t>IT</t>
        </is>
      </c>
      <c r="B383" t="inlineStr">
        <is>
          <t>Autumn2012</t>
        </is>
      </c>
      <c r="C383" t="inlineStr">
        <is>
          <t>Autumn</t>
        </is>
      </c>
      <c r="D383" t="n">
        <v>2012</v>
      </c>
      <c r="E383" t="n">
        <v>-2.286799196516742</v>
      </c>
      <c r="F383" t="n">
        <v>-3.226554523422377</v>
      </c>
      <c r="G383">
        <f>IF(OR(F383="",E383=""),"",F383-E383)</f>
        <v/>
      </c>
      <c r="H383" t="n">
        <v>0.0003528745100217031</v>
      </c>
    </row>
    <row r="384">
      <c r="A384" t="inlineStr">
        <is>
          <t>IT</t>
        </is>
      </c>
      <c r="B384" t="inlineStr">
        <is>
          <t>Spring2011</t>
        </is>
      </c>
      <c r="C384" t="inlineStr">
        <is>
          <t>Spring</t>
        </is>
      </c>
      <c r="D384" t="n">
        <v>2012</v>
      </c>
      <c r="E384" t="n">
        <v>1.314970893331791</v>
      </c>
      <c r="F384" t="n">
        <v>-3.226554523422377</v>
      </c>
      <c r="G384">
        <f>IF(OR(F384="",E384=""),"",F384-E384)</f>
        <v/>
      </c>
      <c r="H384" t="n">
        <v>0.0003528745100217031</v>
      </c>
    </row>
    <row r="385">
      <c r="A385" t="inlineStr">
        <is>
          <t>IT</t>
        </is>
      </c>
      <c r="B385" t="inlineStr">
        <is>
          <t>Spring2012</t>
        </is>
      </c>
      <c r="C385" t="inlineStr">
        <is>
          <t>Spring</t>
        </is>
      </c>
      <c r="D385" t="n">
        <v>2012</v>
      </c>
      <c r="E385" t="n">
        <v>-1.40660916214409</v>
      </c>
      <c r="F385" t="n">
        <v>-3.226554523422377</v>
      </c>
      <c r="G385">
        <f>IF(OR(F385="",E385=""),"",F385-E385)</f>
        <v/>
      </c>
      <c r="H385" t="n">
        <v>0.0003528745100217031</v>
      </c>
    </row>
    <row r="386">
      <c r="A386" t="inlineStr">
        <is>
          <t>IT</t>
        </is>
      </c>
      <c r="B386" t="inlineStr">
        <is>
          <t>Autumn2012</t>
        </is>
      </c>
      <c r="C386" t="inlineStr">
        <is>
          <t>Autumn</t>
        </is>
      </c>
      <c r="D386" t="n">
        <v>2013</v>
      </c>
      <c r="E386" t="n">
        <v>-0.5402720524954496</v>
      </c>
      <c r="F386" t="n">
        <v>-1.843520911707673</v>
      </c>
      <c r="G386">
        <f>IF(OR(F386="",E386=""),"",F386-E386)</f>
        <v/>
      </c>
      <c r="H386" t="n">
        <v>0.0003011088462783783</v>
      </c>
    </row>
    <row r="387">
      <c r="A387" t="inlineStr">
        <is>
          <t>IT</t>
        </is>
      </c>
      <c r="B387" t="inlineStr">
        <is>
          <t>Autumn2013</t>
        </is>
      </c>
      <c r="C387" t="inlineStr">
        <is>
          <t>Autumn</t>
        </is>
      </c>
      <c r="D387" t="n">
        <v>2013</v>
      </c>
      <c r="E387" t="n">
        <v>-1.829892955077694</v>
      </c>
      <c r="F387" t="n">
        <v>-1.843520911707673</v>
      </c>
      <c r="G387">
        <f>IF(OR(F387="",E387=""),"",F387-E387)</f>
        <v/>
      </c>
      <c r="H387" t="n">
        <v>0.0003011088462783783</v>
      </c>
    </row>
    <row r="388">
      <c r="A388" t="inlineStr">
        <is>
          <t>IT</t>
        </is>
      </c>
      <c r="B388" t="inlineStr">
        <is>
          <t>Spring2012</t>
        </is>
      </c>
      <c r="C388" t="inlineStr">
        <is>
          <t>Spring</t>
        </is>
      </c>
      <c r="D388" t="n">
        <v>2013</v>
      </c>
      <c r="E388" t="n">
        <v>0.4438755981541975</v>
      </c>
      <c r="F388" t="n">
        <v>-1.843520911707673</v>
      </c>
      <c r="G388">
        <f>IF(OR(F388="",E388=""),"",F388-E388)</f>
        <v/>
      </c>
      <c r="H388" t="n">
        <v>0.0003011088462783783</v>
      </c>
    </row>
    <row r="389">
      <c r="A389" t="inlineStr">
        <is>
          <t>IT</t>
        </is>
      </c>
      <c r="B389" t="inlineStr">
        <is>
          <t>Spring2013</t>
        </is>
      </c>
      <c r="C389" t="inlineStr">
        <is>
          <t>Spring</t>
        </is>
      </c>
      <c r="D389" t="n">
        <v>2013</v>
      </c>
      <c r="E389" t="n">
        <v>-1.340985418159535</v>
      </c>
      <c r="F389" t="n">
        <v>-1.843520911707673</v>
      </c>
      <c r="G389">
        <f>IF(OR(F389="",E389=""),"",F389-E389)</f>
        <v/>
      </c>
      <c r="H389" t="n">
        <v>0.0003011088462783783</v>
      </c>
    </row>
    <row r="390">
      <c r="A390" t="inlineStr">
        <is>
          <t>IT</t>
        </is>
      </c>
      <c r="B390" t="inlineStr">
        <is>
          <t>Autumn2013</t>
        </is>
      </c>
      <c r="C390" t="inlineStr">
        <is>
          <t>Autumn</t>
        </is>
      </c>
      <c r="D390" t="n">
        <v>2014</v>
      </c>
      <c r="E390" t="n">
        <v>0.710825923549363</v>
      </c>
      <c r="F390" t="n">
        <v>0.07523394739152882</v>
      </c>
      <c r="G390">
        <f>IF(OR(F390="",E390=""),"",F390-E390)</f>
        <v/>
      </c>
      <c r="H390" t="n">
        <v>0.0003222174792008529</v>
      </c>
    </row>
    <row r="391">
      <c r="A391" t="inlineStr">
        <is>
          <t>IT</t>
        </is>
      </c>
      <c r="B391" t="inlineStr">
        <is>
          <t>Autumn2014</t>
        </is>
      </c>
      <c r="C391" t="inlineStr">
        <is>
          <t>Autumn</t>
        </is>
      </c>
      <c r="D391" t="n">
        <v>2014</v>
      </c>
      <c r="E391" t="n">
        <v>-0.3946109668130138</v>
      </c>
      <c r="F391" t="n">
        <v>0.07523394739152882</v>
      </c>
      <c r="G391">
        <f>IF(OR(F391="",E391=""),"",F391-E391)</f>
        <v/>
      </c>
      <c r="H391" t="n">
        <v>0.0003222174792008529</v>
      </c>
    </row>
    <row r="392">
      <c r="A392" t="inlineStr">
        <is>
          <t>IT</t>
        </is>
      </c>
      <c r="B392" t="inlineStr">
        <is>
          <t>Spring2013</t>
        </is>
      </c>
      <c r="C392" t="inlineStr">
        <is>
          <t>Spring</t>
        </is>
      </c>
      <c r="D392" t="n">
        <v>2014</v>
      </c>
      <c r="E392" t="n">
        <v>0.7176354855105593</v>
      </c>
      <c r="F392" t="n">
        <v>0.07523394739152882</v>
      </c>
      <c r="G392">
        <f>IF(OR(F392="",E392=""),"",F392-E392)</f>
        <v/>
      </c>
      <c r="H392" t="n">
        <v>0.0003222174792008529</v>
      </c>
    </row>
    <row r="393">
      <c r="A393" t="inlineStr">
        <is>
          <t>IT</t>
        </is>
      </c>
      <c r="B393" t="inlineStr">
        <is>
          <t>Spring2014</t>
        </is>
      </c>
      <c r="C393" t="inlineStr">
        <is>
          <t>Spring</t>
        </is>
      </c>
      <c r="D393" t="n">
        <v>2014</v>
      </c>
      <c r="E393" t="n">
        <v>0.5709673189879583</v>
      </c>
      <c r="F393" t="n">
        <v>0.07523394739152882</v>
      </c>
      <c r="G393">
        <f>IF(OR(F393="",E393=""),"",F393-E393)</f>
        <v/>
      </c>
      <c r="H393" t="n">
        <v>0.0003222174792008529</v>
      </c>
    </row>
    <row r="394">
      <c r="A394" t="inlineStr">
        <is>
          <t>IT</t>
        </is>
      </c>
      <c r="B394" t="inlineStr">
        <is>
          <t>Autumn2014</t>
        </is>
      </c>
      <c r="C394" t="inlineStr">
        <is>
          <t>Autumn</t>
        </is>
      </c>
      <c r="D394" t="n">
        <v>2015</v>
      </c>
      <c r="E394" t="n">
        <v>0.6287297389490742</v>
      </c>
      <c r="F394" t="n">
        <v>0.7428515339022007</v>
      </c>
      <c r="G394">
        <f>IF(OR(F394="",E394=""),"",F394-E394)</f>
        <v/>
      </c>
      <c r="H394" t="n">
        <v>0.0002940679432833707</v>
      </c>
    </row>
    <row r="395">
      <c r="A395" t="inlineStr">
        <is>
          <t>IT</t>
        </is>
      </c>
      <c r="B395" t="inlineStr">
        <is>
          <t>Autumn2015</t>
        </is>
      </c>
      <c r="C395" t="inlineStr">
        <is>
          <t>Autumn</t>
        </is>
      </c>
      <c r="D395" t="n">
        <v>2015</v>
      </c>
      <c r="E395" t="n">
        <v>0.8666535098946104</v>
      </c>
      <c r="F395" t="n">
        <v>0.7428515339022007</v>
      </c>
      <c r="G395">
        <f>IF(OR(F395="",E395=""),"",F395-E395)</f>
        <v/>
      </c>
      <c r="H395" t="n">
        <v>0.0002940679432833707</v>
      </c>
    </row>
    <row r="396">
      <c r="A396" t="inlineStr">
        <is>
          <t>IT</t>
        </is>
      </c>
      <c r="B396" t="inlineStr">
        <is>
          <t>Spring2014</t>
        </is>
      </c>
      <c r="C396" t="inlineStr">
        <is>
          <t>Spring</t>
        </is>
      </c>
      <c r="D396" t="n">
        <v>2015</v>
      </c>
      <c r="E396" t="n">
        <v>1.229987574853153</v>
      </c>
      <c r="F396" t="n">
        <v>0.7428515339022007</v>
      </c>
      <c r="G396">
        <f>IF(OR(F396="",E396=""),"",F396-E396)</f>
        <v/>
      </c>
      <c r="H396" t="n">
        <v>0.0002940679432833707</v>
      </c>
    </row>
    <row r="397">
      <c r="A397" t="inlineStr">
        <is>
          <t>IT</t>
        </is>
      </c>
      <c r="B397" t="inlineStr">
        <is>
          <t>Spring2015</t>
        </is>
      </c>
      <c r="C397" t="inlineStr">
        <is>
          <t>Spring</t>
        </is>
      </c>
      <c r="D397" t="n">
        <v>2015</v>
      </c>
      <c r="E397" t="n">
        <v>0.6068597463795955</v>
      </c>
      <c r="F397" t="n">
        <v>0.7428515339022007</v>
      </c>
      <c r="G397">
        <f>IF(OR(F397="",E397=""),"",F397-E397)</f>
        <v/>
      </c>
      <c r="H397" t="n">
        <v>0.0002940679432833707</v>
      </c>
    </row>
    <row r="398">
      <c r="A398" t="inlineStr">
        <is>
          <t>IT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1.451276186737127</v>
      </c>
      <c r="F398" t="n">
        <v>1.34543552139666</v>
      </c>
      <c r="G398">
        <f>IF(OR(F398="",E398=""),"",F398-E398)</f>
        <v/>
      </c>
      <c r="H398" t="n">
        <v>0.0004782380537953871</v>
      </c>
    </row>
    <row r="399">
      <c r="A399" t="inlineStr">
        <is>
          <t>IT</t>
        </is>
      </c>
      <c r="B399" t="inlineStr">
        <is>
          <t>Autumn2016</t>
        </is>
      </c>
      <c r="C399" t="inlineStr">
        <is>
          <t>Autumn</t>
        </is>
      </c>
      <c r="D399" t="n">
        <v>2016</v>
      </c>
      <c r="E399" t="n">
        <v>0.7078428394543756</v>
      </c>
      <c r="F399" t="n">
        <v>1.34543552139666</v>
      </c>
      <c r="G399">
        <f>IF(OR(F399="",E399=""),"",F399-E399)</f>
        <v/>
      </c>
      <c r="H399" t="n">
        <v>0.0004782380537953871</v>
      </c>
    </row>
    <row r="400">
      <c r="A400" t="inlineStr">
        <is>
          <t>IT</t>
        </is>
      </c>
      <c r="B400" t="inlineStr">
        <is>
          <t>Spring2015</t>
        </is>
      </c>
      <c r="C400" t="inlineStr">
        <is>
          <t>Spring</t>
        </is>
      </c>
      <c r="D400" t="n">
        <v>2016</v>
      </c>
      <c r="E400" t="n">
        <v>1.410977849936668</v>
      </c>
      <c r="F400" t="n">
        <v>1.34543552139666</v>
      </c>
      <c r="G400">
        <f>IF(OR(F400="",E400=""),"",F400-E400)</f>
        <v/>
      </c>
      <c r="H400" t="n">
        <v>0.0004782380537953871</v>
      </c>
    </row>
    <row r="401">
      <c r="A401" t="inlineStr">
        <is>
          <t>IT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1.090462780977397</v>
      </c>
      <c r="F401" t="n">
        <v>1.34543552139666</v>
      </c>
      <c r="G401">
        <f>IF(OR(F401="",E401=""),"",F401-E401)</f>
        <v/>
      </c>
      <c r="H401" t="n">
        <v>0.0004782380537953871</v>
      </c>
    </row>
    <row r="402">
      <c r="A402" t="inlineStr">
        <is>
          <t>IT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0.9028836169022947</v>
      </c>
      <c r="F402" t="n">
        <v>1.677771433336312</v>
      </c>
      <c r="G402">
        <f>IF(OR(F402="",E402=""),"",F402-E402)</f>
        <v/>
      </c>
      <c r="H402" t="n">
        <v>0.0003359132775435746</v>
      </c>
    </row>
    <row r="403">
      <c r="A403" t="inlineStr">
        <is>
          <t>IT</t>
        </is>
      </c>
      <c r="B403" t="inlineStr">
        <is>
          <t>Autumn2017</t>
        </is>
      </c>
      <c r="C403" t="inlineStr">
        <is>
          <t>Autumn</t>
        </is>
      </c>
      <c r="D403" t="n">
        <v>2017</v>
      </c>
      <c r="E403" t="n">
        <v>1.454734323287576</v>
      </c>
      <c r="F403" t="n">
        <v>1.677771433336312</v>
      </c>
      <c r="G403">
        <f>IF(OR(F403="",E403=""),"",F403-E403)</f>
        <v/>
      </c>
      <c r="H403" t="n">
        <v>0.0003359132775435746</v>
      </c>
    </row>
    <row r="404">
      <c r="A404" t="inlineStr">
        <is>
          <t>IT</t>
        </is>
      </c>
      <c r="B404" t="inlineStr">
        <is>
          <t>Spring2016</t>
        </is>
      </c>
      <c r="C404" t="inlineStr">
        <is>
          <t>Spring</t>
        </is>
      </c>
      <c r="D404" t="n">
        <v>2017</v>
      </c>
      <c r="E404" t="n">
        <v>1.33546021526687</v>
      </c>
      <c r="F404" t="n">
        <v>1.677771433336312</v>
      </c>
      <c r="G404">
        <f>IF(OR(F404="",E404=""),"",F404-E404)</f>
        <v/>
      </c>
      <c r="H404" t="n">
        <v>0.0003359132775435746</v>
      </c>
    </row>
    <row r="405">
      <c r="A405" t="inlineStr">
        <is>
          <t>IT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0.9288636194126232</v>
      </c>
      <c r="F405" t="n">
        <v>1.677771433336312</v>
      </c>
      <c r="G405">
        <f>IF(OR(F405="",E405=""),"",F405-E405)</f>
        <v/>
      </c>
      <c r="H405" t="n">
        <v>0.0003359132775435746</v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0.0003217891442840365</v>
      </c>
    </row>
    <row r="407">
      <c r="A407" t="inlineStr">
        <is>
          <t>IT</t>
        </is>
      </c>
      <c r="B407" t="inlineStr">
        <is>
          <t>Autumn2018</t>
        </is>
      </c>
      <c r="C407" t="inlineStr">
        <is>
          <t>Autumn</t>
        </is>
      </c>
      <c r="D407" t="n">
        <v>2018</v>
      </c>
      <c r="E407" t="n">
        <v>1.148974792689472</v>
      </c>
      <c r="F407" t="n">
        <v>0.6791561609769646</v>
      </c>
      <c r="G407">
        <f>IF(OR(F407="",E407=""),"",F407-E407)</f>
        <v/>
      </c>
      <c r="H407" t="n">
        <v>0.0003217891442840365</v>
      </c>
    </row>
    <row r="408">
      <c r="A408" t="inlineStr">
        <is>
          <t>IT</t>
        </is>
      </c>
      <c r="B408" t="inlineStr">
        <is>
          <t>Spring2017</t>
        </is>
      </c>
      <c r="C408" t="inlineStr">
        <is>
          <t>Spring</t>
        </is>
      </c>
      <c r="D408" t="n">
        <v>2018</v>
      </c>
      <c r="E408" t="n">
        <v>1.132219430517512</v>
      </c>
      <c r="F408" t="n">
        <v>0.6791561609769646</v>
      </c>
      <c r="G408">
        <f>IF(OR(F408="",E408=""),"",F408-E408)</f>
        <v/>
      </c>
      <c r="H408" t="n">
        <v>0.0003217891442840365</v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0.0003217891442840365</v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0.0002944772869532268</v>
      </c>
    </row>
    <row r="411">
      <c r="A411" t="inlineStr">
        <is>
          <t>IT</t>
        </is>
      </c>
      <c r="B411" t="inlineStr">
        <is>
          <t>Autumn2019</t>
        </is>
      </c>
      <c r="C411" t="inlineStr">
        <is>
          <t>Autumn</t>
        </is>
      </c>
      <c r="D411" t="n">
        <v>2019</v>
      </c>
      <c r="E411" t="n">
        <v>0.1046834039854172</v>
      </c>
      <c r="F411" t="n">
        <v>0.4175115296833533</v>
      </c>
      <c r="G411">
        <f>IF(OR(F411="",E411=""),"",F411-E411)</f>
        <v/>
      </c>
      <c r="H411" t="n">
        <v>0.0002944772869532268</v>
      </c>
    </row>
    <row r="412">
      <c r="A412" t="inlineStr">
        <is>
          <t>IT</t>
        </is>
      </c>
      <c r="B412" t="inlineStr">
        <is>
          <t>Spring2018</t>
        </is>
      </c>
      <c r="C412" t="inlineStr">
        <is>
          <t>Spring</t>
        </is>
      </c>
      <c r="D412" t="n">
        <v>2019</v>
      </c>
      <c r="E412" t="n">
        <v>1.208894526316961</v>
      </c>
      <c r="F412" t="n">
        <v>0.4175115296833533</v>
      </c>
      <c r="G412">
        <f>IF(OR(F412="",E412=""),"",F412-E412)</f>
        <v/>
      </c>
      <c r="H412" t="n">
        <v>0.0002944772869532268</v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0.0002944772869532268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0.0003287367015904826</v>
      </c>
    </row>
    <row r="415">
      <c r="A415" t="inlineStr">
        <is>
          <t>IT</t>
        </is>
      </c>
      <c r="B415" t="inlineStr">
        <is>
          <t>Autumn2020</t>
        </is>
      </c>
      <c r="C415" t="inlineStr">
        <is>
          <t>Autumn</t>
        </is>
      </c>
      <c r="D415" t="n">
        <v>2020</v>
      </c>
      <c r="E415" t="n">
        <v>-9.851545469918754</v>
      </c>
      <c r="F415" t="n">
        <v>-9.378376752242147</v>
      </c>
      <c r="G415">
        <f>IF(OR(F415="",E415=""),"",F415-E415)</f>
        <v/>
      </c>
      <c r="H415" t="n">
        <v>0.0003287367015904826</v>
      </c>
    </row>
    <row r="416">
      <c r="A416" t="inlineStr">
        <is>
          <t>IT</t>
        </is>
      </c>
      <c r="B416" t="inlineStr">
        <is>
          <t>Spring2019</t>
        </is>
      </c>
      <c r="C416" t="inlineStr">
        <is>
          <t>Spring</t>
        </is>
      </c>
      <c r="D416" t="n">
        <v>2020</v>
      </c>
      <c r="E416" t="n">
        <v>0.711789123347506</v>
      </c>
      <c r="F416" t="n">
        <v>-9.378376752242147</v>
      </c>
      <c r="G416">
        <f>IF(OR(F416="",E416=""),"",F416-E416)</f>
        <v/>
      </c>
      <c r="H416" t="n">
        <v>0.0003287367015904826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0.0003287367015904826</v>
      </c>
    </row>
    <row r="418">
      <c r="A418" t="inlineStr">
        <is>
          <t>IT</t>
        </is>
      </c>
      <c r="B418" t="inlineStr">
        <is>
          <t>Autumn2020</t>
        </is>
      </c>
      <c r="C418" t="inlineStr">
        <is>
          <t>Autumn</t>
        </is>
      </c>
      <c r="D418" t="n">
        <v>2021</v>
      </c>
      <c r="E418" t="n">
        <v>4.051033813756133</v>
      </c>
      <c r="F418" t="n">
        <v>8.437067175906481</v>
      </c>
      <c r="G418">
        <f>IF(OR(F418="",E418=""),"",F418-E418)</f>
        <v/>
      </c>
      <c r="H418" t="n">
        <v>0.000295841565881631</v>
      </c>
    </row>
    <row r="419">
      <c r="A419" t="inlineStr">
        <is>
          <t>IT</t>
        </is>
      </c>
      <c r="B419" t="inlineStr">
        <is>
          <t>Autumn2021</t>
        </is>
      </c>
      <c r="C419" t="inlineStr">
        <is>
          <t>Autumn</t>
        </is>
      </c>
      <c r="D419" t="n">
        <v>2021</v>
      </c>
      <c r="E419" t="n">
        <v>6.229273312894534</v>
      </c>
      <c r="F419" t="n">
        <v>8.437067175906481</v>
      </c>
      <c r="G419">
        <f>IF(OR(F419="",E419=""),"",F419-E419)</f>
        <v/>
      </c>
      <c r="H419" t="n">
        <v>0.000295841565881631</v>
      </c>
    </row>
    <row r="420">
      <c r="A420" t="inlineStr">
        <is>
          <t>IT</t>
        </is>
      </c>
      <c r="B420" t="inlineStr">
        <is>
          <t>Spring2020</t>
        </is>
      </c>
      <c r="C420" t="inlineStr">
        <is>
          <t>Spring</t>
        </is>
      </c>
      <c r="D420" t="n">
        <v>2021</v>
      </c>
      <c r="E420" t="n">
        <v>6.54965690288567</v>
      </c>
      <c r="F420" t="n">
        <v>8.437067175906481</v>
      </c>
      <c r="G420">
        <f>IF(OR(F420="",E420=""),"",F420-E420)</f>
        <v/>
      </c>
      <c r="H420" t="n">
        <v>0.000295841565881631</v>
      </c>
    </row>
    <row r="421">
      <c r="A421" t="inlineStr">
        <is>
          <t>IT</t>
        </is>
      </c>
      <c r="B421" t="inlineStr">
        <is>
          <t>Spring2021</t>
        </is>
      </c>
      <c r="C421" t="inlineStr">
        <is>
          <t>Spring</t>
        </is>
      </c>
      <c r="D421" t="n">
        <v>2021</v>
      </c>
      <c r="E421" t="n">
        <v>4.206872388548932</v>
      </c>
      <c r="F421" t="n">
        <v>8.437067175906481</v>
      </c>
      <c r="G421">
        <f>IF(OR(F421="",E421=""),"",F421-E421)</f>
        <v/>
      </c>
      <c r="H421" t="n">
        <v>0.000295841565881631</v>
      </c>
    </row>
    <row r="422">
      <c r="A422" t="inlineStr">
        <is>
          <t>IT</t>
        </is>
      </c>
      <c r="B422" t="inlineStr">
        <is>
          <t>Autumn2021</t>
        </is>
      </c>
      <c r="C422" t="inlineStr">
        <is>
          <t>Autumn</t>
        </is>
      </c>
      <c r="D422" t="n">
        <v>2022</v>
      </c>
      <c r="E422" t="n">
        <v>4.268919168787466</v>
      </c>
      <c r="F422" t="n">
        <v>4.854613486697751</v>
      </c>
      <c r="G422">
        <f>IF(OR(F422="",E422=""),"",F422-E422)</f>
        <v/>
      </c>
      <c r="H422" t="n">
        <v>0.0003078769285171514</v>
      </c>
    </row>
    <row r="423">
      <c r="A423" t="inlineStr">
        <is>
          <t>IT</t>
        </is>
      </c>
      <c r="B423" t="inlineStr">
        <is>
          <t>Autumn2022</t>
        </is>
      </c>
      <c r="C423" t="inlineStr">
        <is>
          <t>Autumn</t>
        </is>
      </c>
      <c r="D423" t="n">
        <v>2022</v>
      </c>
      <c r="E423" t="n">
        <v>3.826892027953699</v>
      </c>
      <c r="F423" t="n">
        <v>4.854613486697751</v>
      </c>
      <c r="G423">
        <f>IF(OR(F423="",E423=""),"",F423-E423)</f>
        <v/>
      </c>
      <c r="H423" t="n">
        <v>0.0003078769285171514</v>
      </c>
    </row>
    <row r="424">
      <c r="A424" t="inlineStr">
        <is>
          <t>IT</t>
        </is>
      </c>
      <c r="B424" t="inlineStr">
        <is>
          <t>Spring2021</t>
        </is>
      </c>
      <c r="C424" t="inlineStr">
        <is>
          <t>Spring</t>
        </is>
      </c>
      <c r="D424" t="n">
        <v>2022</v>
      </c>
      <c r="E424" t="n">
        <v>4.39345862826459</v>
      </c>
      <c r="F424" t="n">
        <v>4.854613486697751</v>
      </c>
      <c r="G424">
        <f>IF(OR(F424="",E424=""),"",F424-E424)</f>
        <v/>
      </c>
      <c r="H424" t="n">
        <v>0.0003078769285171514</v>
      </c>
    </row>
    <row r="425">
      <c r="A425" t="inlineStr">
        <is>
          <t>IT</t>
        </is>
      </c>
      <c r="B425" t="inlineStr">
        <is>
          <t>Spring2022</t>
        </is>
      </c>
      <c r="C425" t="inlineStr">
        <is>
          <t>Spring</t>
        </is>
      </c>
      <c r="D425" t="n">
        <v>2022</v>
      </c>
      <c r="E425" t="n">
        <v>2.425654280482226</v>
      </c>
      <c r="F425" t="n">
        <v>4.854613486697751</v>
      </c>
      <c r="G425">
        <f>IF(OR(F425="",E425=""),"",F425-E425)</f>
        <v/>
      </c>
      <c r="H425" t="n">
        <v>0.0003078769285171514</v>
      </c>
    </row>
    <row r="426">
      <c r="A426" t="inlineStr">
        <is>
          <t>IT</t>
        </is>
      </c>
      <c r="B426" t="inlineStr">
        <is>
          <t>Autumn2022</t>
        </is>
      </c>
      <c r="C426" t="inlineStr">
        <is>
          <t>Autumn</t>
        </is>
      </c>
      <c r="D426" t="n">
        <v>2023</v>
      </c>
      <c r="E426" t="n">
        <v>0.3147371586091685</v>
      </c>
      <c r="F426" t="n">
        <v>1.014274087639002</v>
      </c>
      <c r="G426">
        <f>IF(OR(F426="",E426=""),"",F426-E426)</f>
        <v/>
      </c>
      <c r="H426" t="n">
        <v>0.0004770211967756544</v>
      </c>
    </row>
    <row r="427">
      <c r="A427" t="inlineStr">
        <is>
          <t>IT</t>
        </is>
      </c>
      <c r="B427" t="inlineStr">
        <is>
          <t>Autumn2023</t>
        </is>
      </c>
      <c r="C427" t="inlineStr">
        <is>
          <t>Autumn</t>
        </is>
      </c>
      <c r="D427" t="n">
        <v>2023</v>
      </c>
      <c r="E427" t="n">
        <v>0.6915731805126502</v>
      </c>
      <c r="F427" t="n">
        <v>1.014274087639002</v>
      </c>
      <c r="G427">
        <f>IF(OR(F427="",E427=""),"",F427-E427)</f>
        <v/>
      </c>
      <c r="H427" t="n">
        <v>0.0004770211967756544</v>
      </c>
    </row>
    <row r="428">
      <c r="A428" t="inlineStr">
        <is>
          <t>IT</t>
        </is>
      </c>
      <c r="B428" t="inlineStr">
        <is>
          <t>Spring2022</t>
        </is>
      </c>
      <c r="C428" t="inlineStr">
        <is>
          <t>Spring</t>
        </is>
      </c>
      <c r="D428" t="n">
        <v>2023</v>
      </c>
      <c r="E428" t="n">
        <v>1.851291422718337</v>
      </c>
      <c r="F428" t="n">
        <v>1.014274087639002</v>
      </c>
      <c r="G428">
        <f>IF(OR(F428="",E428=""),"",F428-E428)</f>
        <v/>
      </c>
      <c r="H428" t="n">
        <v>0.0004770211967756544</v>
      </c>
    </row>
    <row r="429">
      <c r="A429" t="inlineStr">
        <is>
          <t>IT</t>
        </is>
      </c>
      <c r="B429" t="inlineStr">
        <is>
          <t>Spring2023</t>
        </is>
      </c>
      <c r="C429" t="inlineStr">
        <is>
          <t>Spring</t>
        </is>
      </c>
      <c r="D429" t="n">
        <v>2023</v>
      </c>
      <c r="E429" t="n">
        <v>1.206598132351089</v>
      </c>
      <c r="F429" t="n">
        <v>1.014274087639002</v>
      </c>
      <c r="G429">
        <f>IF(OR(F429="",E429=""),"",F429-E429)</f>
        <v/>
      </c>
      <c r="H429" t="n">
        <v>0.0004770211967756544</v>
      </c>
    </row>
    <row r="430">
      <c r="A430" t="inlineStr">
        <is>
          <t>IT</t>
        </is>
      </c>
      <c r="B430" t="inlineStr">
        <is>
          <t>Autumn2023</t>
        </is>
      </c>
      <c r="C430" t="inlineStr">
        <is>
          <t>Autumn</t>
        </is>
      </c>
      <c r="D430" t="n">
        <v>2024</v>
      </c>
      <c r="E430" t="n">
        <v>0.852195649426335</v>
      </c>
      <c r="F430" t="n">
        <v>0.5846325798952693</v>
      </c>
      <c r="G430">
        <f>IF(OR(F430="",E430=""),"",F430-E430)</f>
        <v/>
      </c>
      <c r="H430" t="n">
        <v>0.0004643133694197308</v>
      </c>
    </row>
    <row r="431">
      <c r="A431" t="inlineStr">
        <is>
          <t>IT</t>
        </is>
      </c>
      <c r="B431" t="inlineStr">
        <is>
          <t>Autumn2024</t>
        </is>
      </c>
      <c r="C431" t="inlineStr">
        <is>
          <t>Autumn</t>
        </is>
      </c>
      <c r="D431" t="n">
        <v>2024</v>
      </c>
      <c r="E431" t="n">
        <v>0.6687507310409346</v>
      </c>
      <c r="F431" t="n">
        <v>0.5846325798952693</v>
      </c>
      <c r="G431">
        <f>IF(OR(F431="",E431=""),"",F431-E431)</f>
        <v/>
      </c>
      <c r="H431" t="n">
        <v>0.0004643133694197308</v>
      </c>
    </row>
    <row r="432">
      <c r="A432" t="inlineStr">
        <is>
          <t>IT</t>
        </is>
      </c>
      <c r="B432" t="inlineStr">
        <is>
          <t>Spring2023</t>
        </is>
      </c>
      <c r="C432" t="inlineStr">
        <is>
          <t>Spring</t>
        </is>
      </c>
      <c r="D432" t="n">
        <v>2024</v>
      </c>
      <c r="E432" t="n">
        <v>1.088219792885559</v>
      </c>
      <c r="F432" t="n">
        <v>0.5846325798952693</v>
      </c>
      <c r="G432">
        <f>IF(OR(F432="",E432=""),"",F432-E432)</f>
        <v/>
      </c>
      <c r="H432" t="n">
        <v>0.0004643133694197308</v>
      </c>
    </row>
    <row r="433">
      <c r="A433" t="inlineStr">
        <is>
          <t>IT</t>
        </is>
      </c>
      <c r="B433" t="inlineStr">
        <is>
          <t>Spring2024</t>
        </is>
      </c>
      <c r="C433" t="inlineStr">
        <is>
          <t>Spring</t>
        </is>
      </c>
      <c r="D433" t="n">
        <v>2024</v>
      </c>
      <c r="E433" t="n">
        <v>0.9364833821859708</v>
      </c>
      <c r="F433" t="n">
        <v>0.5846325798952693</v>
      </c>
      <c r="G433">
        <f>IF(OR(F433="",E433=""),"",F433-E433)</f>
        <v/>
      </c>
      <c r="H433" t="n">
        <v>0.0004643133694197308</v>
      </c>
    </row>
    <row r="434">
      <c r="A434" t="inlineStr">
        <is>
          <t>NL</t>
        </is>
      </c>
      <c r="B434" t="inlineStr">
        <is>
          <t>Autumn2011</t>
        </is>
      </c>
      <c r="C434" t="inlineStr">
        <is>
          <t>Autumn</t>
        </is>
      </c>
      <c r="D434" t="n">
        <v>2011</v>
      </c>
      <c r="E434" t="n">
        <v>1.808135228939456</v>
      </c>
      <c r="F434" t="n">
        <v>1.763265804751377</v>
      </c>
      <c r="G434">
        <f>IF(OR(F434="",E434=""),"",F434-E434)</f>
        <v/>
      </c>
      <c r="H434" t="n">
        <v>0.01746350432609218</v>
      </c>
    </row>
    <row r="435">
      <c r="A435" t="inlineStr">
        <is>
          <t>NL</t>
        </is>
      </c>
      <c r="B435" t="inlineStr">
        <is>
          <t>Spring2011</t>
        </is>
      </c>
      <c r="C435" t="inlineStr">
        <is>
          <t>Spring</t>
        </is>
      </c>
      <c r="D435" t="n">
        <v>2011</v>
      </c>
      <c r="E435" t="n">
        <v>1.926005162138456</v>
      </c>
      <c r="F435" t="n">
        <v>1.763265804751377</v>
      </c>
      <c r="G435">
        <f>IF(OR(F435="",E435=""),"",F435-E435)</f>
        <v/>
      </c>
      <c r="H435" t="n">
        <v>0.01746350432609218</v>
      </c>
    </row>
    <row r="436">
      <c r="A436" t="inlineStr">
        <is>
          <t>NL</t>
        </is>
      </c>
      <c r="B436" t="inlineStr">
        <is>
          <t>Autumn2011</t>
        </is>
      </c>
      <c r="C436" t="inlineStr">
        <is>
          <t>Autumn</t>
        </is>
      </c>
      <c r="D436" t="n">
        <v>2012</v>
      </c>
      <c r="E436" t="n">
        <v>0.4986192357013142</v>
      </c>
      <c r="F436" t="n">
        <v>-0.9876196681877605</v>
      </c>
      <c r="G436">
        <f>IF(OR(F436="",E436=""),"",F436-E436)</f>
        <v/>
      </c>
      <c r="H436" t="n">
        <v>0.01160327020615414</v>
      </c>
    </row>
    <row r="437">
      <c r="A437" t="inlineStr">
        <is>
          <t>NL</t>
        </is>
      </c>
      <c r="B437" t="inlineStr">
        <is>
          <t>Autumn2012</t>
        </is>
      </c>
      <c r="C437" t="inlineStr">
        <is>
          <t>Autumn</t>
        </is>
      </c>
      <c r="D437" t="n">
        <v>2012</v>
      </c>
      <c r="E437" t="n">
        <v>-0.280007419800421</v>
      </c>
      <c r="F437" t="n">
        <v>-0.9876196681877605</v>
      </c>
      <c r="G437">
        <f>IF(OR(F437="",E437=""),"",F437-E437)</f>
        <v/>
      </c>
      <c r="H437" t="n">
        <v>0.01160327020615414</v>
      </c>
    </row>
    <row r="438">
      <c r="A438" t="inlineStr">
        <is>
          <t>NL</t>
        </is>
      </c>
      <c r="B438" t="inlineStr">
        <is>
          <t>Spring2011</t>
        </is>
      </c>
      <c r="C438" t="inlineStr">
        <is>
          <t>Spring</t>
        </is>
      </c>
      <c r="D438" t="n">
        <v>2012</v>
      </c>
      <c r="E438" t="n">
        <v>1.661047212655653</v>
      </c>
      <c r="F438" t="n">
        <v>-0.9876196681877605</v>
      </c>
      <c r="G438">
        <f>IF(OR(F438="",E438=""),"",F438-E438)</f>
        <v/>
      </c>
      <c r="H438" t="n">
        <v>0.01160327020615414</v>
      </c>
    </row>
    <row r="439">
      <c r="A439" t="inlineStr">
        <is>
          <t>NL</t>
        </is>
      </c>
      <c r="B439" t="inlineStr">
        <is>
          <t>Spring2012</t>
        </is>
      </c>
      <c r="C439" t="inlineStr">
        <is>
          <t>Spring</t>
        </is>
      </c>
      <c r="D439" t="n">
        <v>2012</v>
      </c>
      <c r="E439" t="n">
        <v>-0.8873745855401904</v>
      </c>
      <c r="F439" t="n">
        <v>-0.9876196681877605</v>
      </c>
      <c r="G439">
        <f>IF(OR(F439="",E439=""),"",F439-E439)</f>
        <v/>
      </c>
      <c r="H439" t="n">
        <v>0.01160327020615414</v>
      </c>
    </row>
    <row r="440">
      <c r="A440" t="inlineStr">
        <is>
          <t>NL</t>
        </is>
      </c>
      <c r="B440" t="inlineStr">
        <is>
          <t>Autumn2012</t>
        </is>
      </c>
      <c r="C440" t="inlineStr">
        <is>
          <t>Autumn</t>
        </is>
      </c>
      <c r="D440" t="n">
        <v>2013</v>
      </c>
      <c r="E440" t="n">
        <v>0.2510130640931196</v>
      </c>
      <c r="F440" t="n">
        <v>0.01270728372248786</v>
      </c>
      <c r="G440">
        <f>IF(OR(F440="",E440=""),"",F440-E440)</f>
        <v/>
      </c>
      <c r="H440" t="n">
        <v>0.01279835574733507</v>
      </c>
    </row>
    <row r="441">
      <c r="A441" t="inlineStr">
        <is>
          <t>NL</t>
        </is>
      </c>
      <c r="B441" t="inlineStr">
        <is>
          <t>Autumn2013</t>
        </is>
      </c>
      <c r="C441" t="inlineStr">
        <is>
          <t>Autumn</t>
        </is>
      </c>
      <c r="D441" t="n">
        <v>2013</v>
      </c>
      <c r="E441" t="n">
        <v>-0.9800045037945293</v>
      </c>
      <c r="F441" t="n">
        <v>0.01270728372248786</v>
      </c>
      <c r="G441">
        <f>IF(OR(F441="",E441=""),"",F441-E441)</f>
        <v/>
      </c>
      <c r="H441" t="n">
        <v>0.01279835574733507</v>
      </c>
    </row>
    <row r="442">
      <c r="A442" t="inlineStr">
        <is>
          <t>NL</t>
        </is>
      </c>
      <c r="B442" t="inlineStr">
        <is>
          <t>Spring2012</t>
        </is>
      </c>
      <c r="C442" t="inlineStr">
        <is>
          <t>Spring</t>
        </is>
      </c>
      <c r="D442" t="n">
        <v>2013</v>
      </c>
      <c r="E442" t="n">
        <v>0.7070702682192787</v>
      </c>
      <c r="F442" t="n">
        <v>0.01270728372248786</v>
      </c>
      <c r="G442">
        <f>IF(OR(F442="",E442=""),"",F442-E442)</f>
        <v/>
      </c>
      <c r="H442" t="n">
        <v>0.01279835574733507</v>
      </c>
    </row>
    <row r="443">
      <c r="A443" t="inlineStr">
        <is>
          <t>NL</t>
        </is>
      </c>
      <c r="B443" t="inlineStr">
        <is>
          <t>Spring2013</t>
        </is>
      </c>
      <c r="C443" t="inlineStr">
        <is>
          <t>Spring</t>
        </is>
      </c>
      <c r="D443" t="n">
        <v>2013</v>
      </c>
      <c r="E443" t="n">
        <v>-0.7900043457785055</v>
      </c>
      <c r="F443" t="n">
        <v>0.01270728372248786</v>
      </c>
      <c r="G443">
        <f>IF(OR(F443="",E443=""),"",F443-E443)</f>
        <v/>
      </c>
      <c r="H443" t="n">
        <v>0.01279835574733507</v>
      </c>
    </row>
    <row r="444">
      <c r="A444" t="inlineStr">
        <is>
          <t>NL</t>
        </is>
      </c>
      <c r="B444" t="inlineStr">
        <is>
          <t>Autumn2013</t>
        </is>
      </c>
      <c r="C444" t="inlineStr">
        <is>
          <t>Autumn</t>
        </is>
      </c>
      <c r="D444" t="n">
        <v>2014</v>
      </c>
      <c r="E444" t="n">
        <v>0.2460103096358246</v>
      </c>
      <c r="F444" t="n">
        <v>1.601372191248683</v>
      </c>
      <c r="G444">
        <f>IF(OR(F444="",E444=""),"",F444-E444)</f>
        <v/>
      </c>
      <c r="H444" t="n">
        <v>0.01474450928555945</v>
      </c>
    </row>
    <row r="445">
      <c r="A445" t="inlineStr">
        <is>
          <t>NL</t>
        </is>
      </c>
      <c r="B445" t="inlineStr">
        <is>
          <t>Autumn2014</t>
        </is>
      </c>
      <c r="C445" t="inlineStr">
        <is>
          <t>Autumn</t>
        </is>
      </c>
      <c r="D445" t="n">
        <v>2014</v>
      </c>
      <c r="E445" t="n">
        <v>0.8781300951306248</v>
      </c>
      <c r="F445" t="n">
        <v>1.601372191248683</v>
      </c>
      <c r="G445">
        <f>IF(OR(F445="",E445=""),"",F445-E445)</f>
        <v/>
      </c>
      <c r="H445" t="n">
        <v>0.01474450928555945</v>
      </c>
    </row>
    <row r="446">
      <c r="A446" t="inlineStr">
        <is>
          <t>NL</t>
        </is>
      </c>
      <c r="B446" t="inlineStr">
        <is>
          <t>Spring2013</t>
        </is>
      </c>
      <c r="C446" t="inlineStr">
        <is>
          <t>Spring</t>
        </is>
      </c>
      <c r="D446" t="n">
        <v>2014</v>
      </c>
      <c r="E446" t="n">
        <v>0.8959442595254608</v>
      </c>
      <c r="F446" t="n">
        <v>1.601372191248683</v>
      </c>
      <c r="G446">
        <f>IF(OR(F446="",E446=""),"",F446-E446)</f>
        <v/>
      </c>
      <c r="H446" t="n">
        <v>0.01474450928555945</v>
      </c>
    </row>
    <row r="447">
      <c r="A447" t="inlineStr">
        <is>
          <t>NL</t>
        </is>
      </c>
      <c r="B447" t="inlineStr">
        <is>
          <t>Spring2014</t>
        </is>
      </c>
      <c r="C447" t="inlineStr">
        <is>
          <t>Spring</t>
        </is>
      </c>
      <c r="D447" t="n">
        <v>2014</v>
      </c>
      <c r="E447" t="n">
        <v>1.16344678868503</v>
      </c>
      <c r="F447" t="n">
        <v>1.601372191248683</v>
      </c>
      <c r="G447">
        <f>IF(OR(F447="",E447=""),"",F447-E447)</f>
        <v/>
      </c>
      <c r="H447" t="n">
        <v>0.01474450928555945</v>
      </c>
    </row>
    <row r="448">
      <c r="A448" t="inlineStr">
        <is>
          <t>NL</t>
        </is>
      </c>
      <c r="B448" t="inlineStr">
        <is>
          <t>Autumn2014</t>
        </is>
      </c>
      <c r="C448" t="inlineStr">
        <is>
          <t>Autumn</t>
        </is>
      </c>
      <c r="D448" t="n">
        <v>2015</v>
      </c>
      <c r="E448" t="n">
        <v>1.415241195180372</v>
      </c>
      <c r="F448" t="n">
        <v>2.075992985655045</v>
      </c>
      <c r="G448">
        <f>IF(OR(F448="",E448=""),"",F448-E448)</f>
        <v/>
      </c>
      <c r="H448" t="n">
        <v>0.01511723534841359</v>
      </c>
    </row>
    <row r="449">
      <c r="A449" t="inlineStr">
        <is>
          <t>NL</t>
        </is>
      </c>
      <c r="B449" t="inlineStr">
        <is>
          <t>Autumn2015</t>
        </is>
      </c>
      <c r="C449" t="inlineStr">
        <is>
          <t>Autumn</t>
        </is>
      </c>
      <c r="D449" t="n">
        <v>2015</v>
      </c>
      <c r="E449" t="n">
        <v>2.048080115775686</v>
      </c>
      <c r="F449" t="n">
        <v>2.075992985655045</v>
      </c>
      <c r="G449">
        <f>IF(OR(F449="",E449=""),"",F449-E449)</f>
        <v/>
      </c>
      <c r="H449" t="n">
        <v>0.01511723534841359</v>
      </c>
    </row>
    <row r="450">
      <c r="A450" t="inlineStr">
        <is>
          <t>NL</t>
        </is>
      </c>
      <c r="B450" t="inlineStr">
        <is>
          <t>Spring2014</t>
        </is>
      </c>
      <c r="C450" t="inlineStr">
        <is>
          <t>Spring</t>
        </is>
      </c>
      <c r="D450" t="n">
        <v>2015</v>
      </c>
      <c r="E450" t="n">
        <v>1.358712618837976</v>
      </c>
      <c r="F450" t="n">
        <v>2.075992985655045</v>
      </c>
      <c r="G450">
        <f>IF(OR(F450="",E450=""),"",F450-E450)</f>
        <v/>
      </c>
      <c r="H450" t="n">
        <v>0.01511723534841359</v>
      </c>
    </row>
    <row r="451">
      <c r="A451" t="inlineStr">
        <is>
          <t>NL</t>
        </is>
      </c>
      <c r="B451" t="inlineStr">
        <is>
          <t>Spring2015</t>
        </is>
      </c>
      <c r="C451" t="inlineStr">
        <is>
          <t>Spring</t>
        </is>
      </c>
      <c r="D451" t="n">
        <v>2015</v>
      </c>
      <c r="E451" t="n">
        <v>1.634744403265187</v>
      </c>
      <c r="F451" t="n">
        <v>2.075992985655045</v>
      </c>
      <c r="G451">
        <f>IF(OR(F451="",E451=""),"",F451-E451)</f>
        <v/>
      </c>
      <c r="H451" t="n">
        <v>0.01511723534841359</v>
      </c>
    </row>
    <row r="452">
      <c r="A452" t="inlineStr">
        <is>
          <t>NL</t>
        </is>
      </c>
      <c r="B452" t="inlineStr">
        <is>
          <t>Autumn2015</t>
        </is>
      </c>
      <c r="C452" t="inlineStr">
        <is>
          <t>Autumn</t>
        </is>
      </c>
      <c r="D452" t="n">
        <v>2016</v>
      </c>
      <c r="E452" t="n">
        <v>2.132598677773467</v>
      </c>
      <c r="F452" t="n">
        <v>2.39097826564383</v>
      </c>
      <c r="G452">
        <f>IF(OR(F452="",E452=""),"",F452-E452)</f>
        <v/>
      </c>
      <c r="H452" t="n">
        <v>0.01525719723073514</v>
      </c>
    </row>
    <row r="453">
      <c r="A453" t="inlineStr">
        <is>
          <t>NL</t>
        </is>
      </c>
      <c r="B453" t="inlineStr">
        <is>
          <t>Autumn2016</t>
        </is>
      </c>
      <c r="C453" t="inlineStr">
        <is>
          <t>Autumn</t>
        </is>
      </c>
      <c r="D453" t="n">
        <v>2016</v>
      </c>
      <c r="E453" t="n">
        <v>1.658974421945225</v>
      </c>
      <c r="F453" t="n">
        <v>2.39097826564383</v>
      </c>
      <c r="G453">
        <f>IF(OR(F453="",E453=""),"",F453-E453)</f>
        <v/>
      </c>
      <c r="H453" t="n">
        <v>0.01525719723073514</v>
      </c>
    </row>
    <row r="454">
      <c r="A454" t="inlineStr">
        <is>
          <t>NL</t>
        </is>
      </c>
      <c r="B454" t="inlineStr">
        <is>
          <t>Spring2015</t>
        </is>
      </c>
      <c r="C454" t="inlineStr">
        <is>
          <t>Spring</t>
        </is>
      </c>
      <c r="D454" t="n">
        <v>2016</v>
      </c>
      <c r="E454" t="n">
        <v>1.732711988861091</v>
      </c>
      <c r="F454" t="n">
        <v>2.39097826564383</v>
      </c>
      <c r="G454">
        <f>IF(OR(F454="",E454=""),"",F454-E454)</f>
        <v/>
      </c>
      <c r="H454" t="n">
        <v>0.01525719723073514</v>
      </c>
    </row>
    <row r="455">
      <c r="A455" t="inlineStr">
        <is>
          <t>NL</t>
        </is>
      </c>
      <c r="B455" t="inlineStr">
        <is>
          <t>Spring2016</t>
        </is>
      </c>
      <c r="C455" t="inlineStr">
        <is>
          <t>Spring</t>
        </is>
      </c>
      <c r="D455" t="n">
        <v>2016</v>
      </c>
      <c r="E455" t="n">
        <v>1.677479255523839</v>
      </c>
      <c r="F455" t="n">
        <v>2.39097826564383</v>
      </c>
      <c r="G455">
        <f>IF(OR(F455="",E455=""),"",F455-E455)</f>
        <v/>
      </c>
      <c r="H455" t="n">
        <v>0.01525719723073514</v>
      </c>
    </row>
    <row r="456">
      <c r="A456" t="inlineStr">
        <is>
          <t>NL</t>
        </is>
      </c>
      <c r="B456" t="inlineStr">
        <is>
          <t>Autumn2016</t>
        </is>
      </c>
      <c r="C456" t="inlineStr">
        <is>
          <t>Autumn</t>
        </is>
      </c>
      <c r="D456" t="n">
        <v>2017</v>
      </c>
      <c r="E456" t="n">
        <v>1.651753058558825</v>
      </c>
      <c r="F456" t="n">
        <v>2.743190608906558</v>
      </c>
      <c r="G456">
        <f>IF(OR(F456="",E456=""),"",F456-E456)</f>
        <v/>
      </c>
      <c r="H456" t="n">
        <v>0.01955140239185482</v>
      </c>
    </row>
    <row r="457">
      <c r="A457" t="inlineStr">
        <is>
          <t>NL</t>
        </is>
      </c>
      <c r="B457" t="inlineStr">
        <is>
          <t>Autumn2017</t>
        </is>
      </c>
      <c r="C457" t="inlineStr">
        <is>
          <t>Autumn</t>
        </is>
      </c>
      <c r="D457" t="n">
        <v>2017</v>
      </c>
      <c r="E457" t="n">
        <v>3.2081591137888</v>
      </c>
      <c r="F457" t="n">
        <v>2.743190608906558</v>
      </c>
      <c r="G457">
        <f>IF(OR(F457="",E457=""),"",F457-E457)</f>
        <v/>
      </c>
      <c r="H457" t="n">
        <v>0.01955140239185482</v>
      </c>
    </row>
    <row r="458">
      <c r="A458" t="inlineStr">
        <is>
          <t>NL</t>
        </is>
      </c>
      <c r="B458" t="inlineStr">
        <is>
          <t>Spring2016</t>
        </is>
      </c>
      <c r="C458" t="inlineStr">
        <is>
          <t>Spring</t>
        </is>
      </c>
      <c r="D458" t="n">
        <v>2017</v>
      </c>
      <c r="E458" t="n">
        <v>1.969404126722973</v>
      </c>
      <c r="F458" t="n">
        <v>2.743190608906558</v>
      </c>
      <c r="G458">
        <f>IF(OR(F458="",E458=""),"",F458-E458)</f>
        <v/>
      </c>
      <c r="H458" t="n">
        <v>0.01955140239185482</v>
      </c>
    </row>
    <row r="459">
      <c r="A459" t="inlineStr">
        <is>
          <t>NL</t>
        </is>
      </c>
      <c r="B459" t="inlineStr">
        <is>
          <t>Spring2017</t>
        </is>
      </c>
      <c r="C459" t="inlineStr">
        <is>
          <t>Spring</t>
        </is>
      </c>
      <c r="D459" t="n">
        <v>2017</v>
      </c>
      <c r="E459" t="n">
        <v>2.110825621251378</v>
      </c>
      <c r="F459" t="n">
        <v>2.743190608906558</v>
      </c>
      <c r="G459">
        <f>IF(OR(F459="",E459=""),"",F459-E459)</f>
        <v/>
      </c>
      <c r="H459" t="n">
        <v>0.01955140239185482</v>
      </c>
    </row>
    <row r="460">
      <c r="A460" t="inlineStr">
        <is>
          <t>NL</t>
        </is>
      </c>
      <c r="B460" t="inlineStr">
        <is>
          <t>Autumn2017</t>
        </is>
      </c>
      <c r="C460" t="inlineStr">
        <is>
          <t>Autumn</t>
        </is>
      </c>
      <c r="D460" t="n">
        <v>2018</v>
      </c>
      <c r="E460" t="n">
        <v>2.719855882122268</v>
      </c>
      <c r="F460" t="n">
        <v>2.227648933574525</v>
      </c>
      <c r="G460">
        <f>IF(OR(F460="",E460=""),"",F460-E460)</f>
        <v/>
      </c>
      <c r="H460" t="n">
        <v>0.0231608823112768</v>
      </c>
    </row>
    <row r="461">
      <c r="A461" t="inlineStr">
        <is>
          <t>NL</t>
        </is>
      </c>
      <c r="B461" t="inlineStr">
        <is>
          <t>Autumn2018</t>
        </is>
      </c>
      <c r="C461" t="inlineStr">
        <is>
          <t>Autumn</t>
        </is>
      </c>
      <c r="D461" t="n">
        <v>2018</v>
      </c>
      <c r="E461" t="n">
        <v>2.836804692292016</v>
      </c>
      <c r="F461" t="n">
        <v>2.227648933574525</v>
      </c>
      <c r="G461">
        <f>IF(OR(F461="",E461=""),"",F461-E461)</f>
        <v/>
      </c>
      <c r="H461" t="n">
        <v>0.0231608823112768</v>
      </c>
    </row>
    <row r="462">
      <c r="A462" t="inlineStr">
        <is>
          <t>NL</t>
        </is>
      </c>
      <c r="B462" t="inlineStr">
        <is>
          <t>Spring2017</t>
        </is>
      </c>
      <c r="C462" t="inlineStr">
        <is>
          <t>Spring</t>
        </is>
      </c>
      <c r="D462" t="n">
        <v>2018</v>
      </c>
      <c r="E462" t="n">
        <v>1.81696463155987</v>
      </c>
      <c r="F462" t="n">
        <v>2.227648933574525</v>
      </c>
      <c r="G462">
        <f>IF(OR(F462="",E462=""),"",F462-E462)</f>
        <v/>
      </c>
      <c r="H462" t="n">
        <v>0.0231608823112768</v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2018</v>
      </c>
      <c r="E463" t="n">
        <v>2.95040453130444</v>
      </c>
      <c r="F463" t="n">
        <v>2.227648933574525</v>
      </c>
      <c r="G463">
        <f>IF(OR(F463="",E463=""),"",F463-E463)</f>
        <v/>
      </c>
      <c r="H463" t="n">
        <v>0.0231608823112768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0.02513608296300211</v>
      </c>
    </row>
    <row r="465">
      <c r="A465" t="inlineStr">
        <is>
          <t>NL</t>
        </is>
      </c>
      <c r="B465" t="inlineStr">
        <is>
          <t>Autumn2019</t>
        </is>
      </c>
      <c r="C465" t="inlineStr">
        <is>
          <t>Autumn</t>
        </is>
      </c>
      <c r="D465" t="n">
        <v>2019</v>
      </c>
      <c r="E465" t="n">
        <v>1.699934171052897</v>
      </c>
      <c r="F465" t="n">
        <v>2.268792157142676</v>
      </c>
      <c r="G465">
        <f>IF(OR(F465="",E465=""),"",F465-E465)</f>
        <v/>
      </c>
      <c r="H465" t="n">
        <v>0.02513608296300211</v>
      </c>
    </row>
    <row r="466">
      <c r="A466" t="inlineStr">
        <is>
          <t>NL</t>
        </is>
      </c>
      <c r="B466" t="inlineStr">
        <is>
          <t>Spring2018</t>
        </is>
      </c>
      <c r="C466" t="inlineStr">
        <is>
          <t>Spring</t>
        </is>
      </c>
      <c r="D466" t="n">
        <v>2019</v>
      </c>
      <c r="E466" t="n">
        <v>2.590339815475473</v>
      </c>
      <c r="F466" t="n">
        <v>2.268792157142676</v>
      </c>
      <c r="G466">
        <f>IF(OR(F466="",E466=""),"",F466-E466)</f>
        <v/>
      </c>
      <c r="H466" t="n">
        <v>0.02513608296300211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0.02513608296300211</v>
      </c>
    </row>
    <row r="468">
      <c r="A468" t="inlineStr">
        <is>
          <t>NL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1.283121405819165</v>
      </c>
      <c r="F468" t="n">
        <v>-3.903950943482849</v>
      </c>
      <c r="G468">
        <f>IF(OR(F468="",E468=""),"",F468-E468)</f>
        <v/>
      </c>
      <c r="H468" t="n">
        <v>0.02869739548789638</v>
      </c>
    </row>
    <row r="469">
      <c r="A469" t="inlineStr">
        <is>
          <t>NL</t>
        </is>
      </c>
      <c r="B469" t="inlineStr">
        <is>
          <t>Autumn2020</t>
        </is>
      </c>
      <c r="C469" t="inlineStr">
        <is>
          <t>Autumn</t>
        </is>
      </c>
      <c r="D469" t="n">
        <v>2020</v>
      </c>
      <c r="E469" t="n">
        <v>-5.322221758798595</v>
      </c>
      <c r="F469" t="n">
        <v>-3.903950943482849</v>
      </c>
      <c r="G469">
        <f>IF(OR(F469="",E469=""),"",F469-E469)</f>
        <v/>
      </c>
      <c r="H469" t="n">
        <v>0.02869739548789638</v>
      </c>
    </row>
    <row r="470">
      <c r="A470" t="inlineStr">
        <is>
          <t>NL</t>
        </is>
      </c>
      <c r="B470" t="inlineStr">
        <is>
          <t>Spring2019</t>
        </is>
      </c>
      <c r="C470" t="inlineStr">
        <is>
          <t>Spring</t>
        </is>
      </c>
      <c r="D470" t="n">
        <v>2020</v>
      </c>
      <c r="E470" t="n">
        <v>1.619436814413677</v>
      </c>
      <c r="F470" t="n">
        <v>-3.903950943482849</v>
      </c>
      <c r="G470">
        <f>IF(OR(F470="",E470=""),"",F470-E470)</f>
        <v/>
      </c>
      <c r="H470" t="n">
        <v>0.02869739548789638</v>
      </c>
    </row>
    <row r="471">
      <c r="A471" t="inlineStr">
        <is>
          <t>NL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-6.84789638206369</v>
      </c>
      <c r="F471" t="n">
        <v>-3.903950943482849</v>
      </c>
      <c r="G471">
        <f>IF(OR(F471="",E471=""),"",F471-E471)</f>
        <v/>
      </c>
      <c r="H471" t="n">
        <v>0.02869739548789638</v>
      </c>
    </row>
    <row r="472">
      <c r="A472" t="inlineStr">
        <is>
          <t>NL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2.161323818880434</v>
      </c>
      <c r="F472" t="n">
        <v>6.01976435632946</v>
      </c>
      <c r="G472">
        <f>IF(OR(F472="",E472=""),"",F472-E472)</f>
        <v/>
      </c>
      <c r="H472" t="n">
        <v>0.03084467531941015</v>
      </c>
    </row>
    <row r="473">
      <c r="A473" t="inlineStr">
        <is>
          <t>NL</t>
        </is>
      </c>
      <c r="B473" t="inlineStr">
        <is>
          <t>Autumn2021</t>
        </is>
      </c>
      <c r="C473" t="inlineStr">
        <is>
          <t>Autumn</t>
        </is>
      </c>
      <c r="D473" t="n">
        <v>2021</v>
      </c>
      <c r="E473" t="n">
        <v>3.972824818052256</v>
      </c>
      <c r="F473" t="n">
        <v>6.01976435632946</v>
      </c>
      <c r="G473">
        <f>IF(OR(F473="",E473=""),"",F473-E473)</f>
        <v/>
      </c>
      <c r="H473" t="n">
        <v>0.03084467531941015</v>
      </c>
    </row>
    <row r="474">
      <c r="A474" t="inlineStr">
        <is>
          <t>NL</t>
        </is>
      </c>
      <c r="B474" t="inlineStr">
        <is>
          <t>Spring2020</t>
        </is>
      </c>
      <c r="C474" t="inlineStr">
        <is>
          <t>Spring</t>
        </is>
      </c>
      <c r="D474" t="n">
        <v>2021</v>
      </c>
      <c r="E474" t="n">
        <v>4.963640025345617</v>
      </c>
      <c r="F474" t="n">
        <v>6.01976435632946</v>
      </c>
      <c r="G474">
        <f>IF(OR(F474="",E474=""),"",F474-E474)</f>
        <v/>
      </c>
      <c r="H474" t="n">
        <v>0.03084467531941015</v>
      </c>
    </row>
    <row r="475">
      <c r="A475" t="inlineStr">
        <is>
          <t>NL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2.338236916434577</v>
      </c>
      <c r="F475" t="n">
        <v>6.01976435632946</v>
      </c>
      <c r="G475">
        <f>IF(OR(F475="",E475=""),"",F475-E475)</f>
        <v/>
      </c>
      <c r="H475" t="n">
        <v>0.03084467531941015</v>
      </c>
    </row>
    <row r="476">
      <c r="A476" t="inlineStr">
        <is>
          <t>NL</t>
        </is>
      </c>
      <c r="B476" t="inlineStr">
        <is>
          <t>Autumn2021</t>
        </is>
      </c>
      <c r="C476" t="inlineStr">
        <is>
          <t>Autumn</t>
        </is>
      </c>
      <c r="D476" t="n">
        <v>2022</v>
      </c>
      <c r="E476" t="n">
        <v>3.348977083556104</v>
      </c>
      <c r="F476" t="n">
        <v>4.889291210402315</v>
      </c>
      <c r="G476">
        <f>IF(OR(F476="",E476=""),"",F476-E476)</f>
        <v/>
      </c>
      <c r="H476" t="n">
        <v>0.03054982809633322</v>
      </c>
    </row>
    <row r="477">
      <c r="A477" t="inlineStr">
        <is>
          <t>NL</t>
        </is>
      </c>
      <c r="B477" t="inlineStr">
        <is>
          <t>Autumn2022</t>
        </is>
      </c>
      <c r="C477" t="inlineStr">
        <is>
          <t>Autumn</t>
        </is>
      </c>
      <c r="D477" t="n">
        <v>2022</v>
      </c>
      <c r="E477" t="n">
        <v>4.649019663074072</v>
      </c>
      <c r="F477" t="n">
        <v>4.889291210402315</v>
      </c>
      <c r="G477">
        <f>IF(OR(F477="",E477=""),"",F477-E477)</f>
        <v/>
      </c>
      <c r="H477" t="n">
        <v>0.03054982809633322</v>
      </c>
    </row>
    <row r="478">
      <c r="A478" t="inlineStr">
        <is>
          <t>NL</t>
        </is>
      </c>
      <c r="B478" t="inlineStr">
        <is>
          <t>Spring2021</t>
        </is>
      </c>
      <c r="C478" t="inlineStr">
        <is>
          <t>Spring</t>
        </is>
      </c>
      <c r="D478" t="n">
        <v>2022</v>
      </c>
      <c r="E478" t="n">
        <v>3.579048671287688</v>
      </c>
      <c r="F478" t="n">
        <v>4.889291210402315</v>
      </c>
      <c r="G478">
        <f>IF(OR(F478="",E478=""),"",F478-E478)</f>
        <v/>
      </c>
      <c r="H478" t="n">
        <v>0.03054982809633322</v>
      </c>
    </row>
    <row r="479">
      <c r="A479" t="inlineStr">
        <is>
          <t>NL</t>
        </is>
      </c>
      <c r="B479" t="inlineStr">
        <is>
          <t>Spring2022</t>
        </is>
      </c>
      <c r="C479" t="inlineStr">
        <is>
          <t>Spring</t>
        </is>
      </c>
      <c r="D479" t="n">
        <v>2022</v>
      </c>
      <c r="E479" t="n">
        <v>3.271330674458595</v>
      </c>
      <c r="F479" t="n">
        <v>4.889291210402315</v>
      </c>
      <c r="G479">
        <f>IF(OR(F479="",E479=""),"",F479-E479)</f>
        <v/>
      </c>
      <c r="H479" t="n">
        <v>0.03054982809633322</v>
      </c>
    </row>
    <row r="480">
      <c r="A480" t="inlineStr">
        <is>
          <t>NL</t>
        </is>
      </c>
      <c r="B480" t="inlineStr">
        <is>
          <t>Autumn2022</t>
        </is>
      </c>
      <c r="C480" t="inlineStr">
        <is>
          <t>Autumn</t>
        </is>
      </c>
      <c r="D480" t="n">
        <v>2023</v>
      </c>
      <c r="E480" t="n">
        <v>0.6485732352807583</v>
      </c>
      <c r="F480" t="n">
        <v>-0.5846935562217797</v>
      </c>
      <c r="G480">
        <f>IF(OR(F480="",E480=""),"",F480-E480)</f>
        <v/>
      </c>
      <c r="H480" t="n">
        <v>0.03592341469199693</v>
      </c>
    </row>
    <row r="481">
      <c r="A481" t="inlineStr">
        <is>
          <t>NL</t>
        </is>
      </c>
      <c r="B481" t="inlineStr">
        <is>
          <t>Autumn2023</t>
        </is>
      </c>
      <c r="C481" t="inlineStr">
        <is>
          <t>Autumn</t>
        </is>
      </c>
      <c r="D481" t="n">
        <v>2023</v>
      </c>
      <c r="E481" t="n">
        <v>0.5799247285826814</v>
      </c>
      <c r="F481" t="n">
        <v>-0.5846935562217797</v>
      </c>
      <c r="G481">
        <f>IF(OR(F481="",E481=""),"",F481-E481)</f>
        <v/>
      </c>
      <c r="H481" t="n">
        <v>0.03592341469199693</v>
      </c>
    </row>
    <row r="482">
      <c r="A482" t="inlineStr">
        <is>
          <t>NL</t>
        </is>
      </c>
      <c r="B482" t="inlineStr">
        <is>
          <t>Spring2022</t>
        </is>
      </c>
      <c r="C482" t="inlineStr">
        <is>
          <t>Spring</t>
        </is>
      </c>
      <c r="D482" t="n">
        <v>2023</v>
      </c>
      <c r="E482" t="n">
        <v>1.568250017019501</v>
      </c>
      <c r="F482" t="n">
        <v>-0.5846935562217797</v>
      </c>
      <c r="G482">
        <f>IF(OR(F482="",E482=""),"",F482-E482)</f>
        <v/>
      </c>
      <c r="H482" t="n">
        <v>0.03592341469199693</v>
      </c>
    </row>
    <row r="483">
      <c r="A483" t="inlineStr">
        <is>
          <t>NL</t>
        </is>
      </c>
      <c r="B483" t="inlineStr">
        <is>
          <t>Spring2023</t>
        </is>
      </c>
      <c r="C483" t="inlineStr">
        <is>
          <t>Spring</t>
        </is>
      </c>
      <c r="D483" t="n">
        <v>2023</v>
      </c>
      <c r="E483" t="n">
        <v>1.800994175168302</v>
      </c>
      <c r="F483" t="n">
        <v>-0.5846935562217797</v>
      </c>
      <c r="G483">
        <f>IF(OR(F483="",E483=""),"",F483-E483)</f>
        <v/>
      </c>
      <c r="H483" t="n">
        <v>0.03592341469199693</v>
      </c>
    </row>
    <row r="484">
      <c r="A484" t="inlineStr">
        <is>
          <t>NL</t>
        </is>
      </c>
      <c r="B484" t="inlineStr">
        <is>
          <t>Autumn2023</t>
        </is>
      </c>
      <c r="C484" t="inlineStr">
        <is>
          <t>Autumn</t>
        </is>
      </c>
      <c r="D484" t="n">
        <v>2024</v>
      </c>
      <c r="E484" t="n">
        <v>1.090974188365412</v>
      </c>
      <c r="F484" t="n">
        <v>1.058640812818894</v>
      </c>
      <c r="G484">
        <f>IF(OR(F484="",E484=""),"",F484-E484)</f>
        <v/>
      </c>
      <c r="H484" t="n">
        <v>0.03988165135894128</v>
      </c>
    </row>
    <row r="485">
      <c r="A485" t="inlineStr">
        <is>
          <t>NL</t>
        </is>
      </c>
      <c r="B485" t="inlineStr">
        <is>
          <t>Autumn2024</t>
        </is>
      </c>
      <c r="C485" t="inlineStr">
        <is>
          <t>Autumn</t>
        </is>
      </c>
      <c r="D485" t="n">
        <v>2024</v>
      </c>
      <c r="E485" t="n">
        <v>0.8413433186627683</v>
      </c>
      <c r="F485" t="n">
        <v>1.058640812818894</v>
      </c>
      <c r="G485">
        <f>IF(OR(F485="",E485=""),"",F485-E485)</f>
        <v/>
      </c>
      <c r="H485" t="n">
        <v>0.03988165135894128</v>
      </c>
    </row>
    <row r="486">
      <c r="A486" t="inlineStr">
        <is>
          <t>NL</t>
        </is>
      </c>
      <c r="B486" t="inlineStr">
        <is>
          <t>Spring2023</t>
        </is>
      </c>
      <c r="C486" t="inlineStr">
        <is>
          <t>Spring</t>
        </is>
      </c>
      <c r="D486" t="n">
        <v>2024</v>
      </c>
      <c r="E486" t="n">
        <v>1.181076174566176</v>
      </c>
      <c r="F486" t="n">
        <v>1.058640812818894</v>
      </c>
      <c r="G486">
        <f>IF(OR(F486="",E486=""),"",F486-E486)</f>
        <v/>
      </c>
      <c r="H486" t="n">
        <v>0.03988165135894128</v>
      </c>
    </row>
    <row r="487">
      <c r="A487" t="inlineStr">
        <is>
          <t>NL</t>
        </is>
      </c>
      <c r="B487" t="inlineStr">
        <is>
          <t>Spring2024</t>
        </is>
      </c>
      <c r="C487" t="inlineStr">
        <is>
          <t>Spring</t>
        </is>
      </c>
      <c r="D487" t="n">
        <v>2024</v>
      </c>
      <c r="E487" t="n">
        <v>0.7604211807421546</v>
      </c>
      <c r="F487" t="n">
        <v>1.058640812818894</v>
      </c>
      <c r="G487">
        <f>IF(OR(F487="",E487=""),"",F487-E487)</f>
        <v/>
      </c>
      <c r="H487" t="n">
        <v>0.03988165135894128</v>
      </c>
    </row>
    <row r="488">
      <c r="A488" t="inlineStr">
        <is>
          <t>PT</t>
        </is>
      </c>
      <c r="B488" t="inlineStr">
        <is>
          <t>Autumn2011</t>
        </is>
      </c>
      <c r="C488" t="inlineStr">
        <is>
          <t>Autumn</t>
        </is>
      </c>
      <c r="D488" t="n">
        <v>2011</v>
      </c>
      <c r="E488" t="n">
        <v>-1.869600675753169</v>
      </c>
      <c r="F488" t="n">
        <v>-1.728346765470861</v>
      </c>
      <c r="G488">
        <f>IF(OR(F488="",E488=""),"",F488-E488)</f>
        <v/>
      </c>
      <c r="H488" t="n">
        <v>5.708343033184935e-05</v>
      </c>
    </row>
    <row r="489">
      <c r="A489" t="inlineStr">
        <is>
          <t>PT</t>
        </is>
      </c>
      <c r="B489" t="inlineStr">
        <is>
          <t>Spring2011</t>
        </is>
      </c>
      <c r="C489" t="inlineStr">
        <is>
          <t>Spring</t>
        </is>
      </c>
      <c r="D489" t="n">
        <v>2011</v>
      </c>
      <c r="E489" t="n">
        <v>-2.20322405414749</v>
      </c>
      <c r="F489" t="n">
        <v>-1.728346765470861</v>
      </c>
      <c r="G489">
        <f>IF(OR(F489="",E489=""),"",F489-E489)</f>
        <v/>
      </c>
      <c r="H489" t="n">
        <v>5.708343033184935e-05</v>
      </c>
    </row>
    <row r="490">
      <c r="A490" t="inlineStr">
        <is>
          <t>PT</t>
        </is>
      </c>
      <c r="B490" t="inlineStr">
        <is>
          <t>Autumn2011</t>
        </is>
      </c>
      <c r="C490" t="inlineStr">
        <is>
          <t>Autumn</t>
        </is>
      </c>
      <c r="D490" t="n">
        <v>2012</v>
      </c>
      <c r="E490" t="n">
        <v>-3.035670582279193</v>
      </c>
      <c r="F490" t="n">
        <v>-4.135224792158519</v>
      </c>
      <c r="G490">
        <f>IF(OR(F490="",E490=""),"",F490-E490)</f>
        <v/>
      </c>
      <c r="H490" t="n">
        <v>3.876805643465773e-05</v>
      </c>
    </row>
    <row r="491">
      <c r="A491" t="inlineStr">
        <is>
          <t>PT</t>
        </is>
      </c>
      <c r="B491" t="inlineStr">
        <is>
          <t>Autumn2012</t>
        </is>
      </c>
      <c r="C491" t="inlineStr">
        <is>
          <t>Autumn</t>
        </is>
      </c>
      <c r="D491" t="n">
        <v>2012</v>
      </c>
      <c r="E491" t="n">
        <v>-2.95922210384848</v>
      </c>
      <c r="F491" t="n">
        <v>-4.135224792158519</v>
      </c>
      <c r="G491">
        <f>IF(OR(F491="",E491=""),"",F491-E491)</f>
        <v/>
      </c>
      <c r="H491" t="n">
        <v>3.876805643465773e-05</v>
      </c>
    </row>
    <row r="492">
      <c r="A492" t="inlineStr">
        <is>
          <t>PT</t>
        </is>
      </c>
      <c r="B492" t="inlineStr">
        <is>
          <t>Spring2011</t>
        </is>
      </c>
      <c r="C492" t="inlineStr">
        <is>
          <t>Spring</t>
        </is>
      </c>
      <c r="D492" t="n">
        <v>2012</v>
      </c>
      <c r="E492" t="n">
        <v>-1.754233909410796</v>
      </c>
      <c r="F492" t="n">
        <v>-4.135224792158519</v>
      </c>
      <c r="G492">
        <f>IF(OR(F492="",E492=""),"",F492-E492)</f>
        <v/>
      </c>
      <c r="H492" t="n">
        <v>3.876805643465773e-05</v>
      </c>
    </row>
    <row r="493">
      <c r="A493" t="inlineStr">
        <is>
          <t>PT</t>
        </is>
      </c>
      <c r="B493" t="inlineStr">
        <is>
          <t>Spring2012</t>
        </is>
      </c>
      <c r="C493" t="inlineStr">
        <is>
          <t>Spring</t>
        </is>
      </c>
      <c r="D493" t="n">
        <v>2012</v>
      </c>
      <c r="E493" t="n">
        <v>-3.262225693612053</v>
      </c>
      <c r="F493" t="n">
        <v>-4.135224792158519</v>
      </c>
      <c r="G493">
        <f>IF(OR(F493="",E493=""),"",F493-E493)</f>
        <v/>
      </c>
      <c r="H493" t="n">
        <v>3.876805643465773e-05</v>
      </c>
    </row>
    <row r="494">
      <c r="A494" t="inlineStr">
        <is>
          <t>PT</t>
        </is>
      </c>
      <c r="B494" t="inlineStr">
        <is>
          <t>Autumn2012</t>
        </is>
      </c>
      <c r="C494" t="inlineStr">
        <is>
          <t>Autumn</t>
        </is>
      </c>
      <c r="D494" t="n">
        <v>2013</v>
      </c>
      <c r="E494" t="n">
        <v>-0.9945127352788519</v>
      </c>
      <c r="F494" t="n">
        <v>-0.98897197690871</v>
      </c>
      <c r="G494">
        <f>IF(OR(F494="",E494=""),"",F494-E494)</f>
        <v/>
      </c>
      <c r="H494" t="n">
        <v>3.230258714149396e-05</v>
      </c>
    </row>
    <row r="495">
      <c r="A495" t="inlineStr">
        <is>
          <t>PT</t>
        </is>
      </c>
      <c r="B495" t="inlineStr">
        <is>
          <t>Autumn2013</t>
        </is>
      </c>
      <c r="C495" t="inlineStr">
        <is>
          <t>Autumn</t>
        </is>
      </c>
      <c r="D495" t="n">
        <v>2013</v>
      </c>
      <c r="E495" t="n">
        <v>-1.763884360467349</v>
      </c>
      <c r="F495" t="n">
        <v>-0.98897197690871</v>
      </c>
      <c r="G495">
        <f>IF(OR(F495="",E495=""),"",F495-E495)</f>
        <v/>
      </c>
      <c r="H495" t="n">
        <v>3.230258714149396e-05</v>
      </c>
    </row>
    <row r="496">
      <c r="A496" t="inlineStr">
        <is>
          <t>PT</t>
        </is>
      </c>
      <c r="B496" t="inlineStr">
        <is>
          <t>Spring2012</t>
        </is>
      </c>
      <c r="C496" t="inlineStr">
        <is>
          <t>Spring</t>
        </is>
      </c>
      <c r="D496" t="n">
        <v>2013</v>
      </c>
      <c r="E496" t="n">
        <v>0.2547446524607588</v>
      </c>
      <c r="F496" t="n">
        <v>-0.98897197690871</v>
      </c>
      <c r="G496">
        <f>IF(OR(F496="",E496=""),"",F496-E496)</f>
        <v/>
      </c>
      <c r="H496" t="n">
        <v>3.230258714149396e-05</v>
      </c>
    </row>
    <row r="497">
      <c r="A497" t="inlineStr">
        <is>
          <t>PT</t>
        </is>
      </c>
      <c r="B497" t="inlineStr">
        <is>
          <t>Spring2013</t>
        </is>
      </c>
      <c r="C497" t="inlineStr">
        <is>
          <t>Spring</t>
        </is>
      </c>
      <c r="D497" t="n">
        <v>2013</v>
      </c>
      <c r="E497" t="n">
        <v>-2.343066113608139</v>
      </c>
      <c r="F497" t="n">
        <v>-0.98897197690871</v>
      </c>
      <c r="G497">
        <f>IF(OR(F497="",E497=""),"",F497-E497)</f>
        <v/>
      </c>
      <c r="H497" t="n">
        <v>3.230258714149396e-05</v>
      </c>
    </row>
    <row r="498">
      <c r="A498" t="inlineStr">
        <is>
          <t>PT</t>
        </is>
      </c>
      <c r="B498" t="inlineStr">
        <is>
          <t>Autumn2013</t>
        </is>
      </c>
      <c r="C498" t="inlineStr">
        <is>
          <t>Autumn</t>
        </is>
      </c>
      <c r="D498" t="n">
        <v>2014</v>
      </c>
      <c r="E498" t="n">
        <v>0.77627138458356</v>
      </c>
      <c r="F498" t="n">
        <v>0.7386254135653634</v>
      </c>
      <c r="G498">
        <f>IF(OR(F498="",E498=""),"",F498-E498)</f>
        <v/>
      </c>
      <c r="H498" t="n">
        <v>0.0001016340983504862</v>
      </c>
    </row>
    <row r="499">
      <c r="A499" t="inlineStr">
        <is>
          <t>PT</t>
        </is>
      </c>
      <c r="B499" t="inlineStr">
        <is>
          <t>Autumn2014</t>
        </is>
      </c>
      <c r="C499" t="inlineStr">
        <is>
          <t>Autumn</t>
        </is>
      </c>
      <c r="D499" t="n">
        <v>2014</v>
      </c>
      <c r="E499" t="n">
        <v>0.9376626753034856</v>
      </c>
      <c r="F499" t="n">
        <v>0.7386254135653634</v>
      </c>
      <c r="G499">
        <f>IF(OR(F499="",E499=""),"",F499-E499)</f>
        <v/>
      </c>
      <c r="H499" t="n">
        <v>0.0001016340983504862</v>
      </c>
    </row>
    <row r="500">
      <c r="A500" t="inlineStr">
        <is>
          <t>PT</t>
        </is>
      </c>
      <c r="B500" t="inlineStr">
        <is>
          <t>Spring2013</t>
        </is>
      </c>
      <c r="C500" t="inlineStr">
        <is>
          <t>Spring</t>
        </is>
      </c>
      <c r="D500" t="n">
        <v>2014</v>
      </c>
      <c r="E500" t="n">
        <v>0.5586266659710626</v>
      </c>
      <c r="F500" t="n">
        <v>0.7386254135653634</v>
      </c>
      <c r="G500">
        <f>IF(OR(F500="",E500=""),"",F500-E500)</f>
        <v/>
      </c>
      <c r="H500" t="n">
        <v>0.0001016340983504862</v>
      </c>
    </row>
    <row r="501">
      <c r="A501" t="inlineStr">
        <is>
          <t>PT</t>
        </is>
      </c>
      <c r="B501" t="inlineStr">
        <is>
          <t>Spring2014</t>
        </is>
      </c>
      <c r="C501" t="inlineStr">
        <is>
          <t>Spring</t>
        </is>
      </c>
      <c r="D501" t="n">
        <v>2014</v>
      </c>
      <c r="E501" t="n">
        <v>1.244291809650244</v>
      </c>
      <c r="F501" t="n">
        <v>0.7386254135653634</v>
      </c>
      <c r="G501">
        <f>IF(OR(F501="",E501=""),"",F501-E501)</f>
        <v/>
      </c>
      <c r="H501" t="n">
        <v>0.0001016340983504862</v>
      </c>
    </row>
    <row r="502">
      <c r="A502" t="inlineStr">
        <is>
          <t>PT</t>
        </is>
      </c>
      <c r="B502" t="inlineStr">
        <is>
          <t>Autumn2014</t>
        </is>
      </c>
      <c r="C502" t="inlineStr">
        <is>
          <t>Autumn</t>
        </is>
      </c>
      <c r="D502" t="n">
        <v>2015</v>
      </c>
      <c r="E502" t="n">
        <v>1.29819266835165</v>
      </c>
      <c r="F502" t="n">
        <v>1.577275555295227</v>
      </c>
      <c r="G502">
        <f>IF(OR(F502="",E502=""),"",F502-E502)</f>
        <v/>
      </c>
      <c r="H502" t="n">
        <v>5.4892305598032e-05</v>
      </c>
    </row>
    <row r="503">
      <c r="A503" t="inlineStr">
        <is>
          <t>PT</t>
        </is>
      </c>
      <c r="B503" t="inlineStr">
        <is>
          <t>Autumn2015</t>
        </is>
      </c>
      <c r="C503" t="inlineStr">
        <is>
          <t>Autumn</t>
        </is>
      </c>
      <c r="D503" t="n">
        <v>2015</v>
      </c>
      <c r="E503" t="n">
        <v>1.741329419958926</v>
      </c>
      <c r="F503" t="n">
        <v>1.577275555295227</v>
      </c>
      <c r="G503">
        <f>IF(OR(F503="",E503=""),"",F503-E503)</f>
        <v/>
      </c>
      <c r="H503" t="n">
        <v>5.4892305598032e-05</v>
      </c>
    </row>
    <row r="504">
      <c r="A504" t="inlineStr">
        <is>
          <t>PT</t>
        </is>
      </c>
      <c r="B504" t="inlineStr">
        <is>
          <t>Spring2014</t>
        </is>
      </c>
      <c r="C504" t="inlineStr">
        <is>
          <t>Spring</t>
        </is>
      </c>
      <c r="D504" t="n">
        <v>2015</v>
      </c>
      <c r="E504" t="n">
        <v>1.493187427376386</v>
      </c>
      <c r="F504" t="n">
        <v>1.577275555295227</v>
      </c>
      <c r="G504">
        <f>IF(OR(F504="",E504=""),"",F504-E504)</f>
        <v/>
      </c>
      <c r="H504" t="n">
        <v>5.4892305598032e-05</v>
      </c>
    </row>
    <row r="505">
      <c r="A505" t="inlineStr">
        <is>
          <t>PT</t>
        </is>
      </c>
      <c r="B505" t="inlineStr">
        <is>
          <t>Spring2015</t>
        </is>
      </c>
      <c r="C505" t="inlineStr">
        <is>
          <t>Spring</t>
        </is>
      </c>
      <c r="D505" t="n">
        <v>2015</v>
      </c>
      <c r="E505" t="n">
        <v>1.641885396577547</v>
      </c>
      <c r="F505" t="n">
        <v>1.577275555295227</v>
      </c>
      <c r="G505">
        <f>IF(OR(F505="",E505=""),"",F505-E505)</f>
        <v/>
      </c>
      <c r="H505" t="n">
        <v>5.4892305598032e-05</v>
      </c>
    </row>
    <row r="506">
      <c r="A506" t="inlineStr">
        <is>
          <t>PT</t>
        </is>
      </c>
      <c r="B506" t="inlineStr">
        <is>
          <t>Autumn2015</t>
        </is>
      </c>
      <c r="C506" t="inlineStr">
        <is>
          <t>Autumn</t>
        </is>
      </c>
      <c r="D506" t="n">
        <v>2016</v>
      </c>
      <c r="E506" t="n">
        <v>1.659048842216615</v>
      </c>
      <c r="F506" t="n">
        <v>1.984392220411279</v>
      </c>
      <c r="G506">
        <f>IF(OR(F506="",E506=""),"",F506-E506)</f>
        <v/>
      </c>
      <c r="H506" t="n">
        <v>3.297192221297011e-05</v>
      </c>
    </row>
    <row r="507">
      <c r="A507" t="inlineStr">
        <is>
          <t>PT</t>
        </is>
      </c>
      <c r="B507" t="inlineStr">
        <is>
          <t>Autumn2016</t>
        </is>
      </c>
      <c r="C507" t="inlineStr">
        <is>
          <t>Autumn</t>
        </is>
      </c>
      <c r="D507" t="n">
        <v>2016</v>
      </c>
      <c r="E507" t="n">
        <v>0.9293018187913837</v>
      </c>
      <c r="F507" t="n">
        <v>1.984392220411279</v>
      </c>
      <c r="G507">
        <f>IF(OR(F507="",E507=""),"",F507-E507)</f>
        <v/>
      </c>
      <c r="H507" t="n">
        <v>3.297192221297011e-05</v>
      </c>
    </row>
    <row r="508">
      <c r="A508" t="inlineStr">
        <is>
          <t>PT</t>
        </is>
      </c>
      <c r="B508" t="inlineStr">
        <is>
          <t>Spring2015</t>
        </is>
      </c>
      <c r="C508" t="inlineStr">
        <is>
          <t>Spring</t>
        </is>
      </c>
      <c r="D508" t="n">
        <v>2016</v>
      </c>
      <c r="E508" t="n">
        <v>1.838363161189682</v>
      </c>
      <c r="F508" t="n">
        <v>1.984392220411279</v>
      </c>
      <c r="G508">
        <f>IF(OR(F508="",E508=""),"",F508-E508)</f>
        <v/>
      </c>
      <c r="H508" t="n">
        <v>3.297192221297011e-05</v>
      </c>
    </row>
    <row r="509">
      <c r="A509" t="inlineStr">
        <is>
          <t>PT</t>
        </is>
      </c>
      <c r="B509" t="inlineStr">
        <is>
          <t>Spring2016</t>
        </is>
      </c>
      <c r="C509" t="inlineStr">
        <is>
          <t>Spring</t>
        </is>
      </c>
      <c r="D509" t="n">
        <v>2016</v>
      </c>
      <c r="E509" t="n">
        <v>1.458222731677794</v>
      </c>
      <c r="F509" t="n">
        <v>1.984392220411279</v>
      </c>
      <c r="G509">
        <f>IF(OR(F509="",E509=""),"",F509-E509)</f>
        <v/>
      </c>
      <c r="H509" t="n">
        <v>3.297192221297011e-05</v>
      </c>
    </row>
    <row r="510">
      <c r="A510" t="inlineStr">
        <is>
          <t>PT</t>
        </is>
      </c>
      <c r="B510" t="inlineStr">
        <is>
          <t>Autumn2016</t>
        </is>
      </c>
      <c r="C510" t="inlineStr">
        <is>
          <t>Autumn</t>
        </is>
      </c>
      <c r="D510" t="n">
        <v>2017</v>
      </c>
      <c r="E510" t="n">
        <v>1.244384468550153</v>
      </c>
      <c r="F510" t="n">
        <v>3.260896558994415</v>
      </c>
      <c r="G510">
        <f>IF(OR(F510="",E510=""),"",F510-E510)</f>
        <v/>
      </c>
      <c r="H510" t="n">
        <v>3.396654149228996e-05</v>
      </c>
    </row>
    <row r="511">
      <c r="A511" t="inlineStr">
        <is>
          <t>PT</t>
        </is>
      </c>
      <c r="B511" t="inlineStr">
        <is>
          <t>Autumn2017</t>
        </is>
      </c>
      <c r="C511" t="inlineStr">
        <is>
          <t>Autumn</t>
        </is>
      </c>
      <c r="D511" t="n">
        <v>2017</v>
      </c>
      <c r="E511" t="n">
        <v>2.629384452245875</v>
      </c>
      <c r="F511" t="n">
        <v>3.260896558994415</v>
      </c>
      <c r="G511">
        <f>IF(OR(F511="",E511=""),"",F511-E511)</f>
        <v/>
      </c>
      <c r="H511" t="n">
        <v>3.396654149228996e-05</v>
      </c>
    </row>
    <row r="512">
      <c r="A512" t="inlineStr">
        <is>
          <t>PT</t>
        </is>
      </c>
      <c r="B512" t="inlineStr">
        <is>
          <t>Spring2016</t>
        </is>
      </c>
      <c r="C512" t="inlineStr">
        <is>
          <t>Spring</t>
        </is>
      </c>
      <c r="D512" t="n">
        <v>2017</v>
      </c>
      <c r="E512" t="n">
        <v>1.743981675067907</v>
      </c>
      <c r="F512" t="n">
        <v>3.260896558994415</v>
      </c>
      <c r="G512">
        <f>IF(OR(F512="",E512=""),"",F512-E512)</f>
        <v/>
      </c>
      <c r="H512" t="n">
        <v>3.396654149228996e-05</v>
      </c>
    </row>
    <row r="513">
      <c r="A513" t="inlineStr">
        <is>
          <t>PT</t>
        </is>
      </c>
      <c r="B513" t="inlineStr">
        <is>
          <t>Spring2017</t>
        </is>
      </c>
      <c r="C513" t="inlineStr">
        <is>
          <t>Spring</t>
        </is>
      </c>
      <c r="D513" t="n">
        <v>2017</v>
      </c>
      <c r="E513" t="n">
        <v>1.838683940143615</v>
      </c>
      <c r="F513" t="n">
        <v>3.260896558994415</v>
      </c>
      <c r="G513">
        <f>IF(OR(F513="",E513=""),"",F513-E513)</f>
        <v/>
      </c>
      <c r="H513" t="n">
        <v>3.396654149228996e-05</v>
      </c>
    </row>
    <row r="514">
      <c r="A514" t="inlineStr">
        <is>
          <t>PT</t>
        </is>
      </c>
      <c r="B514" t="inlineStr">
        <is>
          <t>Autumn2017</t>
        </is>
      </c>
      <c r="C514" t="inlineStr">
        <is>
          <t>Autumn</t>
        </is>
      </c>
      <c r="D514" t="n">
        <v>2018</v>
      </c>
      <c r="E514" t="n">
        <v>2.062511215660567</v>
      </c>
      <c r="F514" t="n">
        <v>2.903725267458769</v>
      </c>
      <c r="G514">
        <f>IF(OR(F514="",E514=""),"",F514-E514)</f>
        <v/>
      </c>
      <c r="H514" t="n">
        <v>4.076093498661358e-05</v>
      </c>
    </row>
    <row r="515">
      <c r="A515" t="inlineStr">
        <is>
          <t>PT</t>
        </is>
      </c>
      <c r="B515" t="inlineStr">
        <is>
          <t>Autumn2018</t>
        </is>
      </c>
      <c r="C515" t="inlineStr">
        <is>
          <t>Autumn</t>
        </is>
      </c>
      <c r="D515" t="n">
        <v>2018</v>
      </c>
      <c r="E515" t="n">
        <v>2.167274815435216</v>
      </c>
      <c r="F515" t="n">
        <v>2.903725267458769</v>
      </c>
      <c r="G515">
        <f>IF(OR(F515="",E515=""),"",F515-E515)</f>
        <v/>
      </c>
      <c r="H515" t="n">
        <v>4.076093498661358e-05</v>
      </c>
    </row>
    <row r="516">
      <c r="A516" t="inlineStr">
        <is>
          <t>PT</t>
        </is>
      </c>
      <c r="B516" t="inlineStr">
        <is>
          <t>Spring2017</t>
        </is>
      </c>
      <c r="C516" t="inlineStr">
        <is>
          <t>Spring</t>
        </is>
      </c>
      <c r="D516" t="n">
        <v>2018</v>
      </c>
      <c r="E516" t="n">
        <v>1.567746193642994</v>
      </c>
      <c r="F516" t="n">
        <v>2.903725267458769</v>
      </c>
      <c r="G516">
        <f>IF(OR(F516="",E516=""),"",F516-E516)</f>
        <v/>
      </c>
      <c r="H516" t="n">
        <v>4.076093498661358e-05</v>
      </c>
    </row>
    <row r="517">
      <c r="A517" t="inlineStr">
        <is>
          <t>PT</t>
        </is>
      </c>
      <c r="B517" t="inlineStr">
        <is>
          <t>Spring2018</t>
        </is>
      </c>
      <c r="C517" t="inlineStr">
        <is>
          <t>Spring</t>
        </is>
      </c>
      <c r="D517" t="n">
        <v>2018</v>
      </c>
      <c r="E517" t="n">
        <v>2.333738005262398</v>
      </c>
      <c r="F517" t="n">
        <v>2.903725267458769</v>
      </c>
      <c r="G517">
        <f>IF(OR(F517="",E517=""),"",F517-E517)</f>
        <v/>
      </c>
      <c r="H517" t="n">
        <v>4.076093498661358e-05</v>
      </c>
    </row>
    <row r="518">
      <c r="A518" t="inlineStr">
        <is>
          <t>PT</t>
        </is>
      </c>
      <c r="B518" t="inlineStr">
        <is>
          <t>Autumn2018</t>
        </is>
      </c>
      <c r="C518" t="inlineStr">
        <is>
          <t>Autumn</t>
        </is>
      </c>
      <c r="D518" t="n">
        <v>2019</v>
      </c>
      <c r="E518" t="n">
        <v>1.839454993980616</v>
      </c>
      <c r="F518" t="n">
        <v>2.708692295537219</v>
      </c>
      <c r="G518">
        <f>IF(OR(F518="",E518=""),"",F518-E518)</f>
        <v/>
      </c>
      <c r="H518" t="n">
        <v>3.504126964292177e-05</v>
      </c>
    </row>
    <row r="519">
      <c r="A519" t="inlineStr">
        <is>
          <t>PT</t>
        </is>
      </c>
      <c r="B519" t="inlineStr">
        <is>
          <t>Autumn2019</t>
        </is>
      </c>
      <c r="C519" t="inlineStr">
        <is>
          <t>Autumn</t>
        </is>
      </c>
      <c r="D519" t="n">
        <v>2019</v>
      </c>
      <c r="E519" t="n">
        <v>1.950475273387009</v>
      </c>
      <c r="F519" t="n">
        <v>2.708692295537219</v>
      </c>
      <c r="G519">
        <f>IF(OR(F519="",E519=""),"",F519-E519)</f>
        <v/>
      </c>
      <c r="H519" t="n">
        <v>3.504126964292177e-05</v>
      </c>
    </row>
    <row r="520">
      <c r="A520" t="inlineStr">
        <is>
          <t>PT</t>
        </is>
      </c>
      <c r="B520" t="inlineStr">
        <is>
          <t>Spring2018</t>
        </is>
      </c>
      <c r="C520" t="inlineStr">
        <is>
          <t>Spring</t>
        </is>
      </c>
      <c r="D520" t="n">
        <v>2019</v>
      </c>
      <c r="E520" t="n">
        <v>2.037267405081367</v>
      </c>
      <c r="F520" t="n">
        <v>2.708692295537219</v>
      </c>
      <c r="G520">
        <f>IF(OR(F520="",E520=""),"",F520-E520)</f>
        <v/>
      </c>
      <c r="H520" t="n">
        <v>3.504126964292177e-05</v>
      </c>
    </row>
    <row r="521">
      <c r="A521" t="inlineStr">
        <is>
          <t>PT</t>
        </is>
      </c>
      <c r="B521" t="inlineStr">
        <is>
          <t>Spring2019</t>
        </is>
      </c>
      <c r="C521" t="inlineStr">
        <is>
          <t>Spring</t>
        </is>
      </c>
      <c r="D521" t="n">
        <v>2019</v>
      </c>
      <c r="E521" t="n">
        <v>1.672451894689297</v>
      </c>
      <c r="F521" t="n">
        <v>2.708692295537219</v>
      </c>
      <c r="G521">
        <f>IF(OR(F521="",E521=""),"",F521-E521)</f>
        <v/>
      </c>
      <c r="H521" t="n">
        <v>3.504126964292177e-05</v>
      </c>
    </row>
    <row r="522">
      <c r="A522" t="inlineStr">
        <is>
          <t>PT</t>
        </is>
      </c>
      <c r="B522" t="inlineStr">
        <is>
          <t>Autumn2019</t>
        </is>
      </c>
      <c r="C522" t="inlineStr">
        <is>
          <t>Autumn</t>
        </is>
      </c>
      <c r="D522" t="n">
        <v>2020</v>
      </c>
      <c r="E522" t="n">
        <v>1.699885517193356</v>
      </c>
      <c r="F522" t="n">
        <v>-8.560903203336046</v>
      </c>
      <c r="G522">
        <f>IF(OR(F522="",E522=""),"",F522-E522)</f>
        <v/>
      </c>
      <c r="H522" t="n">
        <v>4.331353929071872e-05</v>
      </c>
    </row>
    <row r="523">
      <c r="A523" t="inlineStr">
        <is>
          <t>PT</t>
        </is>
      </c>
      <c r="B523" t="inlineStr">
        <is>
          <t>Autumn2020</t>
        </is>
      </c>
      <c r="C523" t="inlineStr">
        <is>
          <t>Autumn</t>
        </is>
      </c>
      <c r="D523" t="n">
        <v>2020</v>
      </c>
      <c r="E523" t="n">
        <v>-9.290556793944537</v>
      </c>
      <c r="F523" t="n">
        <v>-8.560903203336046</v>
      </c>
      <c r="G523">
        <f>IF(OR(F523="",E523=""),"",F523-E523)</f>
        <v/>
      </c>
      <c r="H523" t="n">
        <v>4.331353929071872e-05</v>
      </c>
    </row>
    <row r="524">
      <c r="A524" t="inlineStr">
        <is>
          <t>PT</t>
        </is>
      </c>
      <c r="B524" t="inlineStr">
        <is>
          <t>Spring2019</t>
        </is>
      </c>
      <c r="C524" t="inlineStr">
        <is>
          <t>Spring</t>
        </is>
      </c>
      <c r="D524" t="n">
        <v>2020</v>
      </c>
      <c r="E524" t="n">
        <v>1.715399630946468</v>
      </c>
      <c r="F524" t="n">
        <v>-8.560903203336046</v>
      </c>
      <c r="G524">
        <f>IF(OR(F524="",E524=""),"",F524-E524)</f>
        <v/>
      </c>
      <c r="H524" t="n">
        <v>4.331353929071872e-05</v>
      </c>
    </row>
    <row r="525">
      <c r="A525" t="inlineStr">
        <is>
          <t>PT</t>
        </is>
      </c>
      <c r="B525" t="inlineStr">
        <is>
          <t>Spring2020</t>
        </is>
      </c>
      <c r="C525" t="inlineStr">
        <is>
          <t>Spring</t>
        </is>
      </c>
      <c r="D525" t="n">
        <v>2020</v>
      </c>
      <c r="E525" t="n">
        <v>-6.765180961341111</v>
      </c>
      <c r="F525" t="n">
        <v>-8.560903203336046</v>
      </c>
      <c r="G525">
        <f>IF(OR(F525="",E525=""),"",F525-E525)</f>
        <v/>
      </c>
      <c r="H525" t="n">
        <v>4.331353929071872e-05</v>
      </c>
    </row>
    <row r="526">
      <c r="A526" t="inlineStr">
        <is>
          <t>PT</t>
        </is>
      </c>
      <c r="B526" t="inlineStr">
        <is>
          <t>Autumn2020</t>
        </is>
      </c>
      <c r="C526" t="inlineStr">
        <is>
          <t>Autumn</t>
        </is>
      </c>
      <c r="D526" t="n">
        <v>2021</v>
      </c>
      <c r="E526" t="n">
        <v>5.360660936400219</v>
      </c>
      <c r="F526" t="n">
        <v>5.40983730275</v>
      </c>
      <c r="G526">
        <f>IF(OR(F526="",E526=""),"",F526-E526)</f>
        <v/>
      </c>
      <c r="H526" t="n">
        <v>5.288398436208387e-05</v>
      </c>
    </row>
    <row r="527">
      <c r="A527" t="inlineStr">
        <is>
          <t>PT</t>
        </is>
      </c>
      <c r="B527" t="inlineStr">
        <is>
          <t>Autumn2021</t>
        </is>
      </c>
      <c r="C527" t="inlineStr">
        <is>
          <t>Autumn</t>
        </is>
      </c>
      <c r="D527" t="n">
        <v>2021</v>
      </c>
      <c r="E527" t="n">
        <v>4.542806460139137</v>
      </c>
      <c r="F527" t="n">
        <v>5.40983730275</v>
      </c>
      <c r="G527">
        <f>IF(OR(F527="",E527=""),"",F527-E527)</f>
        <v/>
      </c>
      <c r="H527" t="n">
        <v>5.288398436208387e-05</v>
      </c>
    </row>
    <row r="528">
      <c r="A528" t="inlineStr">
        <is>
          <t>PT</t>
        </is>
      </c>
      <c r="B528" t="inlineStr">
        <is>
          <t>Spring2020</t>
        </is>
      </c>
      <c r="C528" t="inlineStr">
        <is>
          <t>Spring</t>
        </is>
      </c>
      <c r="D528" t="n">
        <v>2021</v>
      </c>
      <c r="E528" t="n">
        <v>5.817909162111334</v>
      </c>
      <c r="F528" t="n">
        <v>5.40983730275</v>
      </c>
      <c r="G528">
        <f>IF(OR(F528="",E528=""),"",F528-E528)</f>
        <v/>
      </c>
      <c r="H528" t="n">
        <v>5.288398436208387e-05</v>
      </c>
    </row>
    <row r="529">
      <c r="A529" t="inlineStr">
        <is>
          <t>PT</t>
        </is>
      </c>
      <c r="B529" t="inlineStr">
        <is>
          <t>Spring2021</t>
        </is>
      </c>
      <c r="C529" t="inlineStr">
        <is>
          <t>Spring</t>
        </is>
      </c>
      <c r="D529" t="n">
        <v>2021</v>
      </c>
      <c r="E529" t="n">
        <v>3.94410787739945</v>
      </c>
      <c r="F529" t="n">
        <v>5.40983730275</v>
      </c>
      <c r="G529">
        <f>IF(OR(F529="",E529=""),"",F529-E529)</f>
        <v/>
      </c>
      <c r="H529" t="n">
        <v>5.288398436208387e-05</v>
      </c>
    </row>
    <row r="530">
      <c r="A530" t="inlineStr">
        <is>
          <t>PT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5.321265722881097</v>
      </c>
      <c r="F530" t="n">
        <v>6.752612450243378</v>
      </c>
      <c r="G530">
        <f>IF(OR(F530="",E530=""),"",F530-E530)</f>
        <v/>
      </c>
      <c r="H530" t="n">
        <v>5.137157295813951e-05</v>
      </c>
    </row>
    <row r="531">
      <c r="A531" t="inlineStr">
        <is>
          <t>PT</t>
        </is>
      </c>
      <c r="B531" t="inlineStr">
        <is>
          <t>Autumn2022</t>
        </is>
      </c>
      <c r="C531" t="inlineStr">
        <is>
          <t>Autumn</t>
        </is>
      </c>
      <c r="D531" t="n">
        <v>2022</v>
      </c>
      <c r="E531" t="n">
        <v>6.586125160880973</v>
      </c>
      <c r="F531" t="n">
        <v>6.752612450243378</v>
      </c>
      <c r="G531">
        <f>IF(OR(F531="",E531=""),"",F531-E531)</f>
        <v/>
      </c>
      <c r="H531" t="n">
        <v>5.137157295813951e-05</v>
      </c>
    </row>
    <row r="532">
      <c r="A532" t="inlineStr">
        <is>
          <t>PT</t>
        </is>
      </c>
      <c r="B532" t="inlineStr">
        <is>
          <t>Spring2021</t>
        </is>
      </c>
      <c r="C532" t="inlineStr">
        <is>
          <t>Spring</t>
        </is>
      </c>
      <c r="D532" t="n">
        <v>2022</v>
      </c>
      <c r="E532" t="n">
        <v>5.098879235126508</v>
      </c>
      <c r="F532" t="n">
        <v>6.752612450243378</v>
      </c>
      <c r="G532">
        <f>IF(OR(F532="",E532=""),"",F532-E532)</f>
        <v/>
      </c>
      <c r="H532" t="n">
        <v>5.137157295813951e-05</v>
      </c>
    </row>
    <row r="533">
      <c r="A533" t="inlineStr">
        <is>
          <t>PT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5.805468708187478</v>
      </c>
      <c r="F533" t="n">
        <v>6.752612450243378</v>
      </c>
      <c r="G533">
        <f>IF(OR(F533="",E533=""),"",F533-E533)</f>
        <v/>
      </c>
      <c r="H533" t="n">
        <v>5.137157295813951e-05</v>
      </c>
    </row>
    <row r="534">
      <c r="A534" t="inlineStr">
        <is>
          <t>PT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0.7169614077881192</v>
      </c>
      <c r="F534" t="n">
        <v>3.052920210484774</v>
      </c>
      <c r="G534">
        <f>IF(OR(F534="",E534=""),"",F534-E534)</f>
        <v/>
      </c>
      <c r="H534" t="n">
        <v>6.29618585617478e-05</v>
      </c>
    </row>
    <row r="535">
      <c r="A535" t="inlineStr">
        <is>
          <t>PT</t>
        </is>
      </c>
      <c r="B535" t="inlineStr">
        <is>
          <t>Autumn2023</t>
        </is>
      </c>
      <c r="C535" t="inlineStr">
        <is>
          <t>Autumn</t>
        </is>
      </c>
      <c r="D535" t="n">
        <v>2023</v>
      </c>
      <c r="E535" t="n">
        <v>2.226883105497079</v>
      </c>
      <c r="F535" t="n">
        <v>3.052920210484774</v>
      </c>
      <c r="G535">
        <f>IF(OR(F535="",E535=""),"",F535-E535)</f>
        <v/>
      </c>
      <c r="H535" t="n">
        <v>6.29618585617478e-05</v>
      </c>
    </row>
    <row r="536">
      <c r="A536" t="inlineStr">
        <is>
          <t>PT</t>
        </is>
      </c>
      <c r="B536" t="inlineStr">
        <is>
          <t>Spring2022</t>
        </is>
      </c>
      <c r="C536" t="inlineStr">
        <is>
          <t>Spring</t>
        </is>
      </c>
      <c r="D536" t="n">
        <v>2023</v>
      </c>
      <c r="E536" t="n">
        <v>2.660491887007432</v>
      </c>
      <c r="F536" t="n">
        <v>3.052920210484774</v>
      </c>
      <c r="G536">
        <f>IF(OR(F536="",E536=""),"",F536-E536)</f>
        <v/>
      </c>
      <c r="H536" t="n">
        <v>6.29618585617478e-05</v>
      </c>
    </row>
    <row r="537">
      <c r="A537" t="inlineStr">
        <is>
          <t>PT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2.43876145125812</v>
      </c>
      <c r="F537" t="n">
        <v>3.052920210484774</v>
      </c>
      <c r="G537">
        <f>IF(OR(F537="",E537=""),"",F537-E537)</f>
        <v/>
      </c>
      <c r="H537" t="n">
        <v>6.29618585617478e-05</v>
      </c>
    </row>
    <row r="538">
      <c r="A538" t="inlineStr">
        <is>
          <t>PT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1.313347790478825</v>
      </c>
      <c r="F538" t="n">
        <v>2.190407278036138</v>
      </c>
      <c r="G538">
        <f>IF(OR(F538="",E538=""),"",F538-E538)</f>
        <v/>
      </c>
      <c r="H538" t="n">
        <v>5.244608877569774e-05</v>
      </c>
    </row>
    <row r="539">
      <c r="A539" t="inlineStr">
        <is>
          <t>PT</t>
        </is>
      </c>
      <c r="B539" t="inlineStr">
        <is>
          <t>Autumn2024</t>
        </is>
      </c>
      <c r="C539" t="inlineStr">
        <is>
          <t>Autumn</t>
        </is>
      </c>
      <c r="D539" t="n">
        <v>2024</v>
      </c>
      <c r="E539" t="n">
        <v>1.651473269423054</v>
      </c>
      <c r="F539" t="n">
        <v>2.190407278036138</v>
      </c>
      <c r="G539">
        <f>IF(OR(F539="",E539=""),"",F539-E539)</f>
        <v/>
      </c>
      <c r="H539" t="n">
        <v>5.244608877569774e-05</v>
      </c>
    </row>
    <row r="540">
      <c r="A540" t="inlineStr">
        <is>
          <t>PT</t>
        </is>
      </c>
      <c r="B540" t="inlineStr">
        <is>
          <t>Spring2023</t>
        </is>
      </c>
      <c r="C540" t="inlineStr">
        <is>
          <t>Spring</t>
        </is>
      </c>
      <c r="D540" t="n">
        <v>2024</v>
      </c>
      <c r="E540" t="n">
        <v>1.756916125884089</v>
      </c>
      <c r="F540" t="n">
        <v>2.190407278036138</v>
      </c>
      <c r="G540">
        <f>IF(OR(F540="",E540=""),"",F540-E540)</f>
        <v/>
      </c>
      <c r="H540" t="n">
        <v>5.244608877569774e-05</v>
      </c>
    </row>
    <row r="541">
      <c r="A541" t="inlineStr">
        <is>
          <t>PT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1.734179743438991</v>
      </c>
      <c r="F541" t="n">
        <v>2.190407278036138</v>
      </c>
      <c r="G541">
        <f>IF(OR(F541="",E541=""),"",F541-E541)</f>
        <v/>
      </c>
      <c r="H541" t="n">
        <v>5.244608877569774e-05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0.007001327795131728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0.007001327795131728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0.007001327795131728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0.007001327795131728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0.007081061579358835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0.007081061579358835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0.007081061579358835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0.007081061579358835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0.008340484800612514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0.008340484800612514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0.008340484800612514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0.008340484800612514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0.009417169553275298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0.009417169553275298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0.009417169553275298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0.009417169553275298</v>
      </c>
    </row>
    <row r="18">
      <c r="A18" t="inlineStr">
        <is>
          <t>BE</t>
        </is>
      </c>
      <c r="B18" t="inlineStr">
        <is>
          <t>Autumn2020</t>
        </is>
      </c>
      <c r="C18" t="inlineStr">
        <is>
          <t>Autumn</t>
        </is>
      </c>
      <c r="D18" t="n">
        <v>2021</v>
      </c>
      <c r="E18" t="n">
        <v>4.123904979564874</v>
      </c>
      <c r="F18" t="n">
        <v>6.066717579844368</v>
      </c>
      <c r="G18">
        <f>IF(OR(F18="",E18=""),"",F18-E18)</f>
        <v/>
      </c>
      <c r="H18" t="n">
        <v>0.0001303991852963366</v>
      </c>
    </row>
    <row r="19">
      <c r="A19" t="inlineStr">
        <is>
          <t>BE</t>
        </is>
      </c>
      <c r="B19" t="inlineStr">
        <is>
          <t>Autumn2021</t>
        </is>
      </c>
      <c r="C19" t="inlineStr">
        <is>
          <t>Autumn</t>
        </is>
      </c>
      <c r="D19" t="n">
        <v>2021</v>
      </c>
      <c r="E19" t="n">
        <v>5.983602933941645</v>
      </c>
      <c r="F19" t="n">
        <v>6.066717579844368</v>
      </c>
      <c r="G19">
        <f>IF(OR(F19="",E19=""),"",F19-E19)</f>
        <v/>
      </c>
      <c r="H19" t="n">
        <v>0.0001303991852963366</v>
      </c>
    </row>
    <row r="20">
      <c r="A20" t="inlineStr">
        <is>
          <t>BE</t>
        </is>
      </c>
      <c r="B20" t="inlineStr">
        <is>
          <t>Spring2020</t>
        </is>
      </c>
      <c r="C20" t="inlineStr">
        <is>
          <t>Spring</t>
        </is>
      </c>
      <c r="D20" t="n">
        <v>2021</v>
      </c>
      <c r="E20" t="n">
        <v>6.68991298414483</v>
      </c>
      <c r="F20" t="n">
        <v>6.066717579844368</v>
      </c>
      <c r="G20">
        <f>IF(OR(F20="",E20=""),"",F20-E20)</f>
        <v/>
      </c>
      <c r="H20" t="n">
        <v>0.0001303991852963366</v>
      </c>
    </row>
    <row r="21">
      <c r="A21" t="inlineStr">
        <is>
          <t>BE</t>
        </is>
      </c>
      <c r="B21" t="inlineStr">
        <is>
          <t>Spring2021</t>
        </is>
      </c>
      <c r="C21" t="inlineStr">
        <is>
          <t>Spring</t>
        </is>
      </c>
      <c r="D21" t="n">
        <v>2021</v>
      </c>
      <c r="E21" t="n">
        <v>4.542307146368851</v>
      </c>
      <c r="F21" t="n">
        <v>6.066717579844368</v>
      </c>
      <c r="G21">
        <f>IF(OR(F21="",E21=""),"",F21-E21)</f>
        <v/>
      </c>
      <c r="H21" t="n">
        <v>0.0001303991852963366</v>
      </c>
    </row>
    <row r="22">
      <c r="A22" t="inlineStr">
        <is>
          <t>BE</t>
        </is>
      </c>
      <c r="B22" t="inlineStr">
        <is>
          <t>Autumn2021</t>
        </is>
      </c>
      <c r="C22" t="inlineStr">
        <is>
          <t>Autumn</t>
        </is>
      </c>
      <c r="D22" t="n">
        <v>2022</v>
      </c>
      <c r="E22" t="n">
        <v>2.647136452938059</v>
      </c>
      <c r="F22" t="n">
        <v>3.945716681463399</v>
      </c>
      <c r="G22">
        <f>IF(OR(F22="",E22=""),"",F22-E22)</f>
        <v/>
      </c>
      <c r="H22" t="n">
        <v>0.0001077045685150238</v>
      </c>
    </row>
    <row r="23">
      <c r="A23" t="inlineStr">
        <is>
          <t>BE</t>
        </is>
      </c>
      <c r="B23" t="inlineStr">
        <is>
          <t>Autumn2022</t>
        </is>
      </c>
      <c r="C23" t="inlineStr">
        <is>
          <t>Autumn</t>
        </is>
      </c>
      <c r="D23" t="n">
        <v>2022</v>
      </c>
      <c r="E23" t="n">
        <v>2.817114751231209</v>
      </c>
      <c r="F23" t="n">
        <v>3.945716681463399</v>
      </c>
      <c r="G23">
        <f>IF(OR(F23="",E23=""),"",F23-E23)</f>
        <v/>
      </c>
      <c r="H23" t="n">
        <v>0.0001077045685150238</v>
      </c>
    </row>
    <row r="24">
      <c r="A24" t="inlineStr">
        <is>
          <t>BE</t>
        </is>
      </c>
      <c r="B24" t="inlineStr">
        <is>
          <t>Spring2021</t>
        </is>
      </c>
      <c r="C24" t="inlineStr">
        <is>
          <t>Spring</t>
        </is>
      </c>
      <c r="D24" t="n">
        <v>2022</v>
      </c>
      <c r="E24" t="n">
        <v>3.671117125209777</v>
      </c>
      <c r="F24" t="n">
        <v>3.945716681463399</v>
      </c>
      <c r="G24">
        <f>IF(OR(F24="",E24=""),"",F24-E24)</f>
        <v/>
      </c>
      <c r="H24" t="n">
        <v>0.0001077045685150238</v>
      </c>
    </row>
    <row r="25">
      <c r="A25" t="inlineStr">
        <is>
          <t>BE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2.016579561869025</v>
      </c>
      <c r="F25" t="n">
        <v>3.945716681463399</v>
      </c>
      <c r="G25">
        <f>IF(OR(F25="",E25=""),"",F25-E25)</f>
        <v/>
      </c>
      <c r="H25" t="n">
        <v>0.0001077045685150238</v>
      </c>
    </row>
    <row r="26">
      <c r="A26" t="inlineStr">
        <is>
          <t>BE</t>
        </is>
      </c>
      <c r="B26" t="inlineStr">
        <is>
          <t>Autumn2022</t>
        </is>
      </c>
      <c r="C26" t="inlineStr">
        <is>
          <t>Autumn</t>
        </is>
      </c>
      <c r="D26" t="n">
        <v>2023</v>
      </c>
      <c r="E26" t="n">
        <v>0.1608186912456899</v>
      </c>
      <c r="F26" t="n">
        <v>1.549182781075526</v>
      </c>
      <c r="G26">
        <f>IF(OR(F26="",E26=""),"",F26-E26)</f>
        <v/>
      </c>
      <c r="H26" t="n">
        <v>0.0002378470134432856</v>
      </c>
    </row>
    <row r="27">
      <c r="A27" t="inlineStr">
        <is>
          <t>BE</t>
        </is>
      </c>
      <c r="B27" t="inlineStr">
        <is>
          <t>Autumn2023</t>
        </is>
      </c>
      <c r="C27" t="inlineStr">
        <is>
          <t>Autumn</t>
        </is>
      </c>
      <c r="D27" t="n">
        <v>2023</v>
      </c>
      <c r="E27" t="n">
        <v>1.44096095579862</v>
      </c>
      <c r="F27" t="n">
        <v>1.549182781075526</v>
      </c>
      <c r="G27">
        <f>IF(OR(F27="",E27=""),"",F27-E27)</f>
        <v/>
      </c>
      <c r="H27" t="n">
        <v>0.0002378470134432856</v>
      </c>
    </row>
    <row r="28">
      <c r="A28" t="inlineStr">
        <is>
          <t>BE</t>
        </is>
      </c>
      <c r="B28" t="inlineStr">
        <is>
          <t>Spring2022</t>
        </is>
      </c>
      <c r="C28" t="inlineStr">
        <is>
          <t>Spring</t>
        </is>
      </c>
      <c r="D28" t="n">
        <v>2023</v>
      </c>
      <c r="E28" t="n">
        <v>1.776624080830547</v>
      </c>
      <c r="F28" t="n">
        <v>1.549182781075526</v>
      </c>
      <c r="G28">
        <f>IF(OR(F28="",E28=""),"",F28-E28)</f>
        <v/>
      </c>
      <c r="H28" t="n">
        <v>0.0002378470134432856</v>
      </c>
    </row>
    <row r="29">
      <c r="A29" t="inlineStr">
        <is>
          <t>BE</t>
        </is>
      </c>
      <c r="B29" t="inlineStr">
        <is>
          <t>Spring2023</t>
        </is>
      </c>
      <c r="C29" t="inlineStr">
        <is>
          <t>Spring</t>
        </is>
      </c>
      <c r="D29" t="n">
        <v>2023</v>
      </c>
      <c r="E29" t="n">
        <v>1.233072806561886</v>
      </c>
      <c r="F29" t="n">
        <v>1.549182781075526</v>
      </c>
      <c r="G29">
        <f>IF(OR(F29="",E29=""),"",F29-E29)</f>
        <v/>
      </c>
      <c r="H29" t="n">
        <v>0.0002378470134432856</v>
      </c>
    </row>
    <row r="30">
      <c r="A30" t="inlineStr">
        <is>
          <t>BE</t>
        </is>
      </c>
      <c r="B30" t="inlineStr">
        <is>
          <t>Autumn2023</t>
        </is>
      </c>
      <c r="C30" t="inlineStr">
        <is>
          <t>Autumn</t>
        </is>
      </c>
      <c r="D30" t="n">
        <v>2024</v>
      </c>
      <c r="E30" t="n">
        <v>1.366814397179428</v>
      </c>
      <c r="F30" t="n">
        <v>1.091758418498549</v>
      </c>
      <c r="G30">
        <f>IF(OR(F30="",E30=""),"",F30-E30)</f>
        <v/>
      </c>
      <c r="H30" t="n">
        <v>0.0002230486855862554</v>
      </c>
    </row>
    <row r="31">
      <c r="A31" t="inlineStr">
        <is>
          <t>BE</t>
        </is>
      </c>
      <c r="B31" t="inlineStr">
        <is>
          <t>Autumn2024</t>
        </is>
      </c>
      <c r="C31" t="inlineStr">
        <is>
          <t>Autumn</t>
        </is>
      </c>
      <c r="D31" t="n">
        <v>2024</v>
      </c>
      <c r="E31" t="n">
        <v>1.144309940913812</v>
      </c>
      <c r="F31" t="n">
        <v>1.091758418498549</v>
      </c>
      <c r="G31">
        <f>IF(OR(F31="",E31=""),"",F31-E31)</f>
        <v/>
      </c>
      <c r="H31" t="n">
        <v>0.0002230486855862554</v>
      </c>
    </row>
    <row r="32">
      <c r="A32" t="inlineStr">
        <is>
          <t>BE</t>
        </is>
      </c>
      <c r="B32" t="inlineStr">
        <is>
          <t>Spring2023</t>
        </is>
      </c>
      <c r="C32" t="inlineStr">
        <is>
          <t>Spring</t>
        </is>
      </c>
      <c r="D32" t="n">
        <v>2024</v>
      </c>
      <c r="E32" t="n">
        <v>1.361184496232393</v>
      </c>
      <c r="F32" t="n">
        <v>1.091758418498549</v>
      </c>
      <c r="G32">
        <f>IF(OR(F32="",E32=""),"",F32-E32)</f>
        <v/>
      </c>
      <c r="H32" t="n">
        <v>0.0002230486855862554</v>
      </c>
    </row>
    <row r="33">
      <c r="A33" t="inlineStr">
        <is>
          <t>BE</t>
        </is>
      </c>
      <c r="B33" t="inlineStr">
        <is>
          <t>Spring2024</t>
        </is>
      </c>
      <c r="C33" t="inlineStr">
        <is>
          <t>Spring</t>
        </is>
      </c>
      <c r="D33" t="n">
        <v>2024</v>
      </c>
      <c r="E33" t="n">
        <v>1.27417313530005</v>
      </c>
      <c r="F33" t="n">
        <v>1.091758418498549</v>
      </c>
      <c r="G33">
        <f>IF(OR(F33="",E33=""),"",F33-E33)</f>
        <v/>
      </c>
      <c r="H33" t="n">
        <v>0.0002230486855862554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2021</v>
      </c>
      <c r="E34" t="n">
        <v>3.516841814195537</v>
      </c>
      <c r="F34" t="n">
        <v>3.831452641785919</v>
      </c>
      <c r="G34">
        <f>IF(OR(F34="",E34=""),"",F34-E34)</f>
        <v/>
      </c>
      <c r="H34" t="n">
        <v>0.003455324015661036</v>
      </c>
    </row>
    <row r="35">
      <c r="A35" t="inlineStr">
        <is>
          <t>DE</t>
        </is>
      </c>
      <c r="B35" t="inlineStr">
        <is>
          <t>Autumn2021</t>
        </is>
      </c>
      <c r="C35" t="inlineStr">
        <is>
          <t>Autumn</t>
        </is>
      </c>
      <c r="D35" t="n">
        <v>2021</v>
      </c>
      <c r="E35" t="n">
        <v>2.734338923172808</v>
      </c>
      <c r="F35" t="n">
        <v>3.831452641785919</v>
      </c>
      <c r="G35">
        <f>IF(OR(F35="",E35=""),"",F35-E35)</f>
        <v/>
      </c>
      <c r="H35" t="n">
        <v>0.003455324015661036</v>
      </c>
    </row>
    <row r="36">
      <c r="A36" t="inlineStr">
        <is>
          <t>DE</t>
        </is>
      </c>
      <c r="B36" t="inlineStr">
        <is>
          <t>Spring2020</t>
        </is>
      </c>
      <c r="C36" t="inlineStr">
        <is>
          <t>Spring</t>
        </is>
      </c>
      <c r="D36" t="n">
        <v>2021</v>
      </c>
      <c r="E36" t="n">
        <v>5.872379539050265</v>
      </c>
      <c r="F36" t="n">
        <v>3.831452641785919</v>
      </c>
      <c r="G36">
        <f>IF(OR(F36="",E36=""),"",F36-E36)</f>
        <v/>
      </c>
      <c r="H36" t="n">
        <v>0.003455324015661036</v>
      </c>
    </row>
    <row r="37">
      <c r="A37" t="inlineStr">
        <is>
          <t>DE</t>
        </is>
      </c>
      <c r="B37" t="inlineStr">
        <is>
          <t>Spring2021</t>
        </is>
      </c>
      <c r="C37" t="inlineStr">
        <is>
          <t>Spring</t>
        </is>
      </c>
      <c r="D37" t="n">
        <v>2021</v>
      </c>
      <c r="E37" t="n">
        <v>3.405406776981335</v>
      </c>
      <c r="F37" t="n">
        <v>3.831452641785919</v>
      </c>
      <c r="G37">
        <f>IF(OR(F37="",E37=""),"",F37-E37)</f>
        <v/>
      </c>
      <c r="H37" t="n">
        <v>0.003455324015661036</v>
      </c>
    </row>
    <row r="38">
      <c r="A38" t="inlineStr">
        <is>
          <t>DE</t>
        </is>
      </c>
      <c r="B38" t="inlineStr">
        <is>
          <t>Autumn2021</t>
        </is>
      </c>
      <c r="C38" t="inlineStr">
        <is>
          <t>Autumn</t>
        </is>
      </c>
      <c r="D38" t="n">
        <v>2022</v>
      </c>
      <c r="E38" t="n">
        <v>4.592778443460088</v>
      </c>
      <c r="F38" t="n">
        <v>1.931834126476093</v>
      </c>
      <c r="G38">
        <f>IF(OR(F38="",E38=""),"",F38-E38)</f>
        <v/>
      </c>
      <c r="H38" t="n">
        <v>0.003666465859182284</v>
      </c>
    </row>
    <row r="39">
      <c r="A39" t="inlineStr">
        <is>
          <t>DE</t>
        </is>
      </c>
      <c r="B39" t="inlineStr">
        <is>
          <t>Autumn2022</t>
        </is>
      </c>
      <c r="C39" t="inlineStr">
        <is>
          <t>Autumn</t>
        </is>
      </c>
      <c r="D39" t="n">
        <v>2022</v>
      </c>
      <c r="E39" t="n">
        <v>1.55845355711639</v>
      </c>
      <c r="F39" t="n">
        <v>1.931834126476093</v>
      </c>
      <c r="G39">
        <f>IF(OR(F39="",E39=""),"",F39-E39)</f>
        <v/>
      </c>
      <c r="H39" t="n">
        <v>0.003666465859182284</v>
      </c>
    </row>
    <row r="40">
      <c r="A40" t="inlineStr">
        <is>
          <t>DE</t>
        </is>
      </c>
      <c r="B40" t="inlineStr">
        <is>
          <t>Spring2021</t>
        </is>
      </c>
      <c r="C40" t="inlineStr">
        <is>
          <t>Spring</t>
        </is>
      </c>
      <c r="D40" t="n">
        <v>2022</v>
      </c>
      <c r="E40" t="n">
        <v>4.054769973410322</v>
      </c>
      <c r="F40" t="n">
        <v>1.931834126476093</v>
      </c>
      <c r="G40">
        <f>IF(OR(F40="",E40=""),"",F40-E40)</f>
        <v/>
      </c>
      <c r="H40" t="n">
        <v>0.003666465859182284</v>
      </c>
    </row>
    <row r="41">
      <c r="A41" t="inlineStr">
        <is>
          <t>DE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1.557968342243976</v>
      </c>
      <c r="F41" t="n">
        <v>1.931834126476093</v>
      </c>
      <c r="G41">
        <f>IF(OR(F41="",E41=""),"",F41-E41)</f>
        <v/>
      </c>
      <c r="H41" t="n">
        <v>0.003666465859182284</v>
      </c>
    </row>
    <row r="42">
      <c r="A42" t="inlineStr">
        <is>
          <t>DE</t>
        </is>
      </c>
      <c r="B42" t="inlineStr">
        <is>
          <t>Autumn2022</t>
        </is>
      </c>
      <c r="C42" t="inlineStr">
        <is>
          <t>Autumn</t>
        </is>
      </c>
      <c r="D42" t="n">
        <v>2023</v>
      </c>
      <c r="E42" t="n">
        <v>-0.6259552448300343</v>
      </c>
      <c r="F42" t="n">
        <v>-0.8168910842708624</v>
      </c>
      <c r="G42">
        <f>IF(OR(F42="",E42=""),"",F42-E42)</f>
        <v/>
      </c>
      <c r="H42" t="n">
        <v>0.004714622271698554</v>
      </c>
    </row>
    <row r="43">
      <c r="A43" t="inlineStr">
        <is>
          <t>DE</t>
        </is>
      </c>
      <c r="B43" t="inlineStr">
        <is>
          <t>Autumn2023</t>
        </is>
      </c>
      <c r="C43" t="inlineStr">
        <is>
          <t>Autumn</t>
        </is>
      </c>
      <c r="D43" t="n">
        <v>2023</v>
      </c>
      <c r="E43" t="n">
        <v>-0.2733491870976157</v>
      </c>
      <c r="F43" t="n">
        <v>-0.8168910842708624</v>
      </c>
      <c r="G43">
        <f>IF(OR(F43="",E43=""),"",F43-E43)</f>
        <v/>
      </c>
      <c r="H43" t="n">
        <v>0.004714622271698554</v>
      </c>
    </row>
    <row r="44">
      <c r="A44" t="inlineStr">
        <is>
          <t>DE</t>
        </is>
      </c>
      <c r="B44" t="inlineStr">
        <is>
          <t>Spring2022</t>
        </is>
      </c>
      <c r="C44" t="inlineStr">
        <is>
          <t>Spring</t>
        </is>
      </c>
      <c r="D44" t="n">
        <v>2023</v>
      </c>
      <c r="E44" t="n">
        <v>2.409031659139682</v>
      </c>
      <c r="F44" t="n">
        <v>-0.8168910842708624</v>
      </c>
      <c r="G44">
        <f>IF(OR(F44="",E44=""),"",F44-E44)</f>
        <v/>
      </c>
      <c r="H44" t="n">
        <v>0.004714622271698554</v>
      </c>
    </row>
    <row r="45">
      <c r="A45" t="inlineStr">
        <is>
          <t>DE</t>
        </is>
      </c>
      <c r="B45" t="inlineStr">
        <is>
          <t>Spring2023</t>
        </is>
      </c>
      <c r="C45" t="inlineStr">
        <is>
          <t>Spring</t>
        </is>
      </c>
      <c r="D45" t="n">
        <v>2023</v>
      </c>
      <c r="E45" t="n">
        <v>0.1895730527823769</v>
      </c>
      <c r="F45" t="n">
        <v>-0.8168910842708624</v>
      </c>
      <c r="G45">
        <f>IF(OR(F45="",E45=""),"",F45-E45)</f>
        <v/>
      </c>
      <c r="H45" t="n">
        <v>0.004714622271698554</v>
      </c>
    </row>
    <row r="46">
      <c r="A46" t="inlineStr">
        <is>
          <t>DE</t>
        </is>
      </c>
      <c r="B46" t="inlineStr">
        <is>
          <t>Autumn2023</t>
        </is>
      </c>
      <c r="C46" t="inlineStr">
        <is>
          <t>Autumn</t>
        </is>
      </c>
      <c r="D46" t="n">
        <v>2024</v>
      </c>
      <c r="E46" t="n">
        <v>0.8045058451062292</v>
      </c>
      <c r="F46" t="n">
        <v>0.04052339456431485</v>
      </c>
      <c r="G46">
        <f>IF(OR(F46="",E46=""),"",F46-E46)</f>
        <v/>
      </c>
      <c r="H46" t="n">
        <v>0.005260769765883383</v>
      </c>
    </row>
    <row r="47">
      <c r="A47" t="inlineStr">
        <is>
          <t>DE</t>
        </is>
      </c>
      <c r="B47" t="inlineStr">
        <is>
          <t>Autumn2024</t>
        </is>
      </c>
      <c r="C47" t="inlineStr">
        <is>
          <t>Autumn</t>
        </is>
      </c>
      <c r="D47" t="n">
        <v>2024</v>
      </c>
      <c r="E47" t="n">
        <v>-0.1114510968873272</v>
      </c>
      <c r="F47" t="n">
        <v>0.04052339456431485</v>
      </c>
      <c r="G47">
        <f>IF(OR(F47="",E47=""),"",F47-E47)</f>
        <v/>
      </c>
      <c r="H47" t="n">
        <v>0.005260769765883383</v>
      </c>
    </row>
    <row r="48">
      <c r="A48" t="inlineStr">
        <is>
          <t>DE</t>
        </is>
      </c>
      <c r="B48" t="inlineStr">
        <is>
          <t>Spring2023</t>
        </is>
      </c>
      <c r="C48" t="inlineStr">
        <is>
          <t>Spring</t>
        </is>
      </c>
      <c r="D48" t="n">
        <v>2024</v>
      </c>
      <c r="E48" t="n">
        <v>1.358688832068133</v>
      </c>
      <c r="F48" t="n">
        <v>0.04052339456431485</v>
      </c>
      <c r="G48">
        <f>IF(OR(F48="",E48=""),"",F48-E48)</f>
        <v/>
      </c>
      <c r="H48" t="n">
        <v>0.005260769765883383</v>
      </c>
    </row>
    <row r="49">
      <c r="A49" t="inlineStr">
        <is>
          <t>DE</t>
        </is>
      </c>
      <c r="B49" t="inlineStr">
        <is>
          <t>Spring2024</t>
        </is>
      </c>
      <c r="C49" t="inlineStr">
        <is>
          <t>Spring</t>
        </is>
      </c>
      <c r="D49" t="n">
        <v>2024</v>
      </c>
      <c r="E49" t="n">
        <v>0.1275365656890015</v>
      </c>
      <c r="F49" t="n">
        <v>0.04052339456431485</v>
      </c>
      <c r="G49">
        <f>IF(OR(F49="",E49=""),"",F49-E49)</f>
        <v/>
      </c>
      <c r="H49" t="n">
        <v>0.005260769765883383</v>
      </c>
    </row>
    <row r="50">
      <c r="A50" t="inlineStr">
        <is>
          <t>ES</t>
        </is>
      </c>
      <c r="B50" t="inlineStr">
        <is>
          <t>Autumn2020</t>
        </is>
      </c>
      <c r="C50" t="inlineStr">
        <is>
          <t>Autumn</t>
        </is>
      </c>
      <c r="D50" t="n">
        <v>2021</v>
      </c>
      <c r="E50" t="n">
        <v>5.350853621568263</v>
      </c>
      <c r="F50" t="n">
        <v>6.469314314287704</v>
      </c>
      <c r="G50">
        <f>IF(OR(F50="",E50=""),"",F50-E50)</f>
        <v/>
      </c>
      <c r="H50" t="n">
        <v>3.558884613179242e-05</v>
      </c>
    </row>
    <row r="51">
      <c r="A51" t="inlineStr">
        <is>
          <t>ES</t>
        </is>
      </c>
      <c r="B51" t="inlineStr">
        <is>
          <t>Autumn2021</t>
        </is>
      </c>
      <c r="C51" t="inlineStr">
        <is>
          <t>Autumn</t>
        </is>
      </c>
      <c r="D51" t="n">
        <v>2021</v>
      </c>
      <c r="E51" t="n">
        <v>4.623451084710362</v>
      </c>
      <c r="F51" t="n">
        <v>6.469314314287704</v>
      </c>
      <c r="G51">
        <f>IF(OR(F51="",E51=""),"",F51-E51)</f>
        <v/>
      </c>
      <c r="H51" t="n">
        <v>3.558884613179242e-05</v>
      </c>
    </row>
    <row r="52">
      <c r="A52" t="inlineStr">
        <is>
          <t>ES</t>
        </is>
      </c>
      <c r="B52" t="inlineStr">
        <is>
          <t>Spring2020</t>
        </is>
      </c>
      <c r="C52" t="inlineStr">
        <is>
          <t>Spring</t>
        </is>
      </c>
      <c r="D52" t="n">
        <v>2021</v>
      </c>
      <c r="E52" t="n">
        <v>6.976175954197417</v>
      </c>
      <c r="F52" t="n">
        <v>6.469314314287704</v>
      </c>
      <c r="G52">
        <f>IF(OR(F52="",E52=""),"",F52-E52)</f>
        <v/>
      </c>
      <c r="H52" t="n">
        <v>3.558884613179242e-05</v>
      </c>
    </row>
    <row r="53">
      <c r="A53" t="inlineStr">
        <is>
          <t>ES</t>
        </is>
      </c>
      <c r="B53" t="inlineStr">
        <is>
          <t>Spring2021</t>
        </is>
      </c>
      <c r="C53" t="inlineStr">
        <is>
          <t>Spring</t>
        </is>
      </c>
      <c r="D53" t="n">
        <v>2021</v>
      </c>
      <c r="E53" t="n">
        <v>5.88125326449247</v>
      </c>
      <c r="F53" t="n">
        <v>6.469314314287704</v>
      </c>
      <c r="G53">
        <f>IF(OR(F53="",E53=""),"",F53-E53)</f>
        <v/>
      </c>
      <c r="H53" t="n">
        <v>3.558884613179242e-05</v>
      </c>
    </row>
    <row r="54">
      <c r="A54" t="inlineStr">
        <is>
          <t>ES</t>
        </is>
      </c>
      <c r="B54" t="inlineStr">
        <is>
          <t>Autumn2021</t>
        </is>
      </c>
      <c r="C54" t="inlineStr">
        <is>
          <t>Autumn</t>
        </is>
      </c>
      <c r="D54" t="n">
        <v>2022</v>
      </c>
      <c r="E54" t="n">
        <v>5.527823615283389</v>
      </c>
      <c r="F54" t="n">
        <v>6.175712557377276</v>
      </c>
      <c r="G54">
        <f>IF(OR(F54="",E54=""),"",F54-E54)</f>
        <v/>
      </c>
      <c r="H54" t="n">
        <v>2.844404131730766e-05</v>
      </c>
    </row>
    <row r="55">
      <c r="A55" t="inlineStr">
        <is>
          <t>ES</t>
        </is>
      </c>
      <c r="B55" t="inlineStr">
        <is>
          <t>Autumn2022</t>
        </is>
      </c>
      <c r="C55" t="inlineStr">
        <is>
          <t>Autumn</t>
        </is>
      </c>
      <c r="D55" t="n">
        <v>2022</v>
      </c>
      <c r="E55" t="n">
        <v>4.547669246739372</v>
      </c>
      <c r="F55" t="n">
        <v>6.175712557377276</v>
      </c>
      <c r="G55">
        <f>IF(OR(F55="",E55=""),"",F55-E55)</f>
        <v/>
      </c>
      <c r="H55" t="n">
        <v>2.844404131730766e-05</v>
      </c>
    </row>
    <row r="56">
      <c r="A56" t="inlineStr">
        <is>
          <t>ES</t>
        </is>
      </c>
      <c r="B56" t="inlineStr">
        <is>
          <t>Spring2021</t>
        </is>
      </c>
      <c r="C56" t="inlineStr">
        <is>
          <t>Spring</t>
        </is>
      </c>
      <c r="D56" t="n">
        <v>2022</v>
      </c>
      <c r="E56" t="n">
        <v>6.777991800115157</v>
      </c>
      <c r="F56" t="n">
        <v>6.175712557377276</v>
      </c>
      <c r="G56">
        <f>IF(OR(F56="",E56=""),"",F56-E56)</f>
        <v/>
      </c>
      <c r="H56" t="n">
        <v>2.844404131730766e-05</v>
      </c>
    </row>
    <row r="57">
      <c r="A57" t="inlineStr">
        <is>
          <t>ES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4.026089481560913</v>
      </c>
      <c r="F57" t="n">
        <v>6.175712557377276</v>
      </c>
      <c r="G57">
        <f>IF(OR(F57="",E57=""),"",F57-E57)</f>
        <v/>
      </c>
      <c r="H57" t="n">
        <v>2.844404131730766e-05</v>
      </c>
    </row>
    <row r="58">
      <c r="A58" t="inlineStr">
        <is>
          <t>ES</t>
        </is>
      </c>
      <c r="B58" t="inlineStr">
        <is>
          <t>Autumn2022</t>
        </is>
      </c>
      <c r="C58" t="inlineStr">
        <is>
          <t>Autumn</t>
        </is>
      </c>
      <c r="D58" t="n">
        <v>2023</v>
      </c>
      <c r="E58" t="n">
        <v>0.9550399603865944</v>
      </c>
      <c r="F58" t="n">
        <v>2.430978463969634</v>
      </c>
      <c r="G58">
        <f>IF(OR(F58="",E58=""),"",F58-E58)</f>
        <v/>
      </c>
      <c r="H58" t="n">
        <v>6.229279340805835e-05</v>
      </c>
    </row>
    <row r="59">
      <c r="A59" t="inlineStr">
        <is>
          <t>ES</t>
        </is>
      </c>
      <c r="B59" t="inlineStr">
        <is>
          <t>Autumn2023</t>
        </is>
      </c>
      <c r="C59" t="inlineStr">
        <is>
          <t>Autumn</t>
        </is>
      </c>
      <c r="D59" t="n">
        <v>2023</v>
      </c>
      <c r="E59" t="n">
        <v>2.365484497228709</v>
      </c>
      <c r="F59" t="n">
        <v>2.430978463969634</v>
      </c>
      <c r="G59">
        <f>IF(OR(F59="",E59=""),"",F59-E59)</f>
        <v/>
      </c>
      <c r="H59" t="n">
        <v>6.229279340805835e-05</v>
      </c>
    </row>
    <row r="60">
      <c r="A60" t="inlineStr">
        <is>
          <t>ES</t>
        </is>
      </c>
      <c r="B60" t="inlineStr">
        <is>
          <t>Spring2022</t>
        </is>
      </c>
      <c r="C60" t="inlineStr">
        <is>
          <t>Spring</t>
        </is>
      </c>
      <c r="D60" t="n">
        <v>2023</v>
      </c>
      <c r="E60" t="n">
        <v>3.37296849743105</v>
      </c>
      <c r="F60" t="n">
        <v>2.430978463969634</v>
      </c>
      <c r="G60">
        <f>IF(OR(F60="",E60=""),"",F60-E60)</f>
        <v/>
      </c>
      <c r="H60" t="n">
        <v>6.229279340805835e-05</v>
      </c>
    </row>
    <row r="61">
      <c r="A61" t="inlineStr">
        <is>
          <t>ES</t>
        </is>
      </c>
      <c r="B61" t="inlineStr">
        <is>
          <t>Spring2023</t>
        </is>
      </c>
      <c r="C61" t="inlineStr">
        <is>
          <t>Spring</t>
        </is>
      </c>
      <c r="D61" t="n">
        <v>2023</v>
      </c>
      <c r="E61" t="n">
        <v>1.936681176345667</v>
      </c>
      <c r="F61" t="n">
        <v>2.430978463969634</v>
      </c>
      <c r="G61">
        <f>IF(OR(F61="",E61=""),"",F61-E61)</f>
        <v/>
      </c>
      <c r="H61" t="n">
        <v>6.229279340805835e-05</v>
      </c>
    </row>
    <row r="62">
      <c r="A62" t="inlineStr">
        <is>
          <t>ES</t>
        </is>
      </c>
      <c r="B62" t="inlineStr">
        <is>
          <t>Autumn2023</t>
        </is>
      </c>
      <c r="C62" t="inlineStr">
        <is>
          <t>Autumn</t>
        </is>
      </c>
      <c r="D62" t="n">
        <v>2024</v>
      </c>
      <c r="E62" t="n">
        <v>1.660542743130144</v>
      </c>
      <c r="F62" t="n">
        <v>3.396903137344779</v>
      </c>
      <c r="G62">
        <f>IF(OR(F62="",E62=""),"",F62-E62)</f>
        <v/>
      </c>
      <c r="H62" t="n">
        <v>7.682895081699989e-05</v>
      </c>
    </row>
    <row r="63">
      <c r="A63" t="inlineStr">
        <is>
          <t>ES</t>
        </is>
      </c>
      <c r="B63" t="inlineStr">
        <is>
          <t>Autumn2024</t>
        </is>
      </c>
      <c r="C63" t="inlineStr">
        <is>
          <t>Autumn</t>
        </is>
      </c>
      <c r="D63" t="n">
        <v>2024</v>
      </c>
      <c r="E63" t="n">
        <v>2.966936931003072</v>
      </c>
      <c r="F63" t="n">
        <v>3.396903137344779</v>
      </c>
      <c r="G63">
        <f>IF(OR(F63="",E63=""),"",F63-E63)</f>
        <v/>
      </c>
      <c r="H63" t="n">
        <v>7.682895081699989e-05</v>
      </c>
    </row>
    <row r="64">
      <c r="A64" t="inlineStr">
        <is>
          <t>ES</t>
        </is>
      </c>
      <c r="B64" t="inlineStr">
        <is>
          <t>Spring2023</t>
        </is>
      </c>
      <c r="C64" t="inlineStr">
        <is>
          <t>Spring</t>
        </is>
      </c>
      <c r="D64" t="n">
        <v>2024</v>
      </c>
      <c r="E64" t="n">
        <v>1.964876847331687</v>
      </c>
      <c r="F64" t="n">
        <v>3.396903137344779</v>
      </c>
      <c r="G64">
        <f>IF(OR(F64="",E64=""),"",F64-E64)</f>
        <v/>
      </c>
      <c r="H64" t="n">
        <v>7.682895081699989e-05</v>
      </c>
    </row>
    <row r="65">
      <c r="A65" t="inlineStr">
        <is>
          <t>ES</t>
        </is>
      </c>
      <c r="B65" t="inlineStr">
        <is>
          <t>Spring2024</t>
        </is>
      </c>
      <c r="C65" t="inlineStr">
        <is>
          <t>Spring</t>
        </is>
      </c>
      <c r="D65" t="n">
        <v>2024</v>
      </c>
      <c r="E65" t="n">
        <v>2.144730461207822</v>
      </c>
      <c r="F65" t="n">
        <v>3.396903137344779</v>
      </c>
      <c r="G65">
        <f>IF(OR(F65="",E65=""),"",F65-E65)</f>
        <v/>
      </c>
      <c r="H65" t="n">
        <v>7.682895081699989e-05</v>
      </c>
    </row>
    <row r="66">
      <c r="A66" t="inlineStr">
        <is>
          <t>FI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2.900169440971712</v>
      </c>
      <c r="F66" t="n">
        <v>2.641572009022019</v>
      </c>
      <c r="G66">
        <f>IF(OR(F66="",E66=""),"",F66-E66)</f>
        <v/>
      </c>
      <c r="H66" t="n">
        <v>0.0005107252626341585</v>
      </c>
    </row>
    <row r="67">
      <c r="A67" t="inlineStr">
        <is>
          <t>FI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3.40412762679374</v>
      </c>
      <c r="F67" t="n">
        <v>2.641572009022019</v>
      </c>
      <c r="G67">
        <f>IF(OR(F67="",E67=""),"",F67-E67)</f>
        <v/>
      </c>
      <c r="H67" t="n">
        <v>0.0005107252626341585</v>
      </c>
    </row>
    <row r="68">
      <c r="A68" t="inlineStr">
        <is>
          <t>FI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3.673560818821353</v>
      </c>
      <c r="F68" t="n">
        <v>2.641572009022019</v>
      </c>
      <c r="G68">
        <f>IF(OR(F68="",E68=""),"",F68-E68)</f>
        <v/>
      </c>
      <c r="H68" t="n">
        <v>0.0005107252626341585</v>
      </c>
    </row>
    <row r="69">
      <c r="A69" t="inlineStr">
        <is>
          <t>FI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2.739564988065335</v>
      </c>
      <c r="F69" t="n">
        <v>2.641572009022019</v>
      </c>
      <c r="G69">
        <f>IF(OR(F69="",E69=""),"",F69-E69)</f>
        <v/>
      </c>
      <c r="H69" t="n">
        <v>0.0005107252626341585</v>
      </c>
    </row>
    <row r="70">
      <c r="A70" t="inlineStr">
        <is>
          <t>FI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2.827224586640664</v>
      </c>
      <c r="F70" t="n">
        <v>0.7600629155646718</v>
      </c>
      <c r="G70">
        <f>IF(OR(F70="",E70=""),"",F70-E70)</f>
        <v/>
      </c>
      <c r="H70" t="n">
        <v>0.0004803131356846544</v>
      </c>
    </row>
    <row r="71">
      <c r="A71" t="inlineStr">
        <is>
          <t>FI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2.327853537647107</v>
      </c>
      <c r="F71" t="n">
        <v>0.7600629155646718</v>
      </c>
      <c r="G71">
        <f>IF(OR(F71="",E71=""),"",F71-E71)</f>
        <v/>
      </c>
      <c r="H71" t="n">
        <v>0.0004803131356846544</v>
      </c>
    </row>
    <row r="72">
      <c r="A72" t="inlineStr">
        <is>
          <t>FI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2.751701241130511</v>
      </c>
      <c r="F72" t="n">
        <v>0.7600629155646718</v>
      </c>
      <c r="G72">
        <f>IF(OR(F72="",E72=""),"",F72-E72)</f>
        <v/>
      </c>
      <c r="H72" t="n">
        <v>0.0004803131356846544</v>
      </c>
    </row>
    <row r="73">
      <c r="A73" t="inlineStr">
        <is>
          <t>FI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1.603112304026943</v>
      </c>
      <c r="F73" t="n">
        <v>0.7600629155646718</v>
      </c>
      <c r="G73">
        <f>IF(OR(F73="",E73=""),"",F73-E73)</f>
        <v/>
      </c>
      <c r="H73" t="n">
        <v>0.0004803131356846544</v>
      </c>
    </row>
    <row r="74">
      <c r="A74" t="inlineStr">
        <is>
          <t>FI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0.2399878611282436</v>
      </c>
      <c r="F74" t="n">
        <v>-1.298005405307383</v>
      </c>
      <c r="G74">
        <f>IF(OR(F74="",E74=""),"",F74-E74)</f>
        <v/>
      </c>
      <c r="H74" t="n">
        <v>0.0008658865674338701</v>
      </c>
    </row>
    <row r="75">
      <c r="A75" t="inlineStr">
        <is>
          <t>FI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0.1370597471564761</v>
      </c>
      <c r="F75" t="n">
        <v>-1.298005405307383</v>
      </c>
      <c r="G75">
        <f>IF(OR(F75="",E75=""),"",F75-E75)</f>
        <v/>
      </c>
      <c r="H75" t="n">
        <v>0.0008658865674338701</v>
      </c>
    </row>
    <row r="76">
      <c r="A76" t="inlineStr">
        <is>
          <t>FI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1.664320363648697</v>
      </c>
      <c r="F76" t="n">
        <v>-1.298005405307383</v>
      </c>
      <c r="G76">
        <f>IF(OR(F76="",E76=""),"",F76-E76)</f>
        <v/>
      </c>
      <c r="H76" t="n">
        <v>0.0008658865674338701</v>
      </c>
    </row>
    <row r="77">
      <c r="A77" t="inlineStr">
        <is>
          <t>FI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0.1978909161836295</v>
      </c>
      <c r="F77" t="n">
        <v>-1.298005405307383</v>
      </c>
      <c r="G77">
        <f>IF(OR(F77="",E77=""),"",F77-E77)</f>
        <v/>
      </c>
      <c r="H77" t="n">
        <v>0.0008658865674338701</v>
      </c>
    </row>
    <row r="78">
      <c r="A78" t="inlineStr">
        <is>
          <t>FI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0.8259921956103033</v>
      </c>
      <c r="F78" t="n">
        <v>0.8814466149882676</v>
      </c>
      <c r="G78">
        <f>IF(OR(F78="",E78=""),"",F78-E78)</f>
        <v/>
      </c>
      <c r="H78" t="n">
        <v>0.0009828220551361118</v>
      </c>
    </row>
    <row r="79">
      <c r="A79" t="inlineStr">
        <is>
          <t>FI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-0.2781603584441905</v>
      </c>
      <c r="F79" t="n">
        <v>0.8814466149882676</v>
      </c>
      <c r="G79">
        <f>IF(OR(F79="",E79=""),"",F79-E79)</f>
        <v/>
      </c>
      <c r="H79" t="n">
        <v>0.0009828220551361118</v>
      </c>
    </row>
    <row r="80">
      <c r="A80" t="inlineStr">
        <is>
          <t>FI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1.375433393552461</v>
      </c>
      <c r="F80" t="n">
        <v>0.8814466149882676</v>
      </c>
      <c r="G80">
        <f>IF(OR(F80="",E80=""),"",F80-E80)</f>
        <v/>
      </c>
      <c r="H80" t="n">
        <v>0.0009828220551361118</v>
      </c>
    </row>
    <row r="81">
      <c r="A81" t="inlineStr">
        <is>
          <t>FI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0.03957338592484039</v>
      </c>
      <c r="F81" t="n">
        <v>0.8814466149882676</v>
      </c>
      <c r="G81">
        <f>IF(OR(F81="",E81=""),"",F81-E81)</f>
        <v/>
      </c>
      <c r="H81" t="n">
        <v>0.0009828220551361118</v>
      </c>
    </row>
    <row r="82">
      <c r="A82" t="inlineStr">
        <is>
          <t>FR</t>
        </is>
      </c>
      <c r="B82" t="inlineStr">
        <is>
          <t>Autumn2020</t>
        </is>
      </c>
      <c r="C82" t="inlineStr">
        <is>
          <t>Autumn</t>
        </is>
      </c>
      <c r="D82" t="n">
        <v>2021</v>
      </c>
      <c r="E82" t="n">
        <v>5.795265902617808</v>
      </c>
      <c r="F82" t="n">
        <v>6.570188477254643</v>
      </c>
      <c r="G82">
        <f>IF(OR(F82="",E82=""),"",F82-E82)</f>
        <v/>
      </c>
      <c r="H82" t="n">
        <v>0.0004322148502679736</v>
      </c>
    </row>
    <row r="83">
      <c r="A83" t="inlineStr">
        <is>
          <t>FR</t>
        </is>
      </c>
      <c r="B83" t="inlineStr">
        <is>
          <t>Autumn2021</t>
        </is>
      </c>
      <c r="C83" t="inlineStr">
        <is>
          <t>Autumn</t>
        </is>
      </c>
      <c r="D83" t="n">
        <v>2021</v>
      </c>
      <c r="E83" t="n">
        <v>6.542579429206707</v>
      </c>
      <c r="F83" t="n">
        <v>6.570188477254643</v>
      </c>
      <c r="G83">
        <f>IF(OR(F83="",E83=""),"",F83-E83)</f>
        <v/>
      </c>
      <c r="H83" t="n">
        <v>0.0004322148502679736</v>
      </c>
    </row>
    <row r="84">
      <c r="A84" t="inlineStr">
        <is>
          <t>FR</t>
        </is>
      </c>
      <c r="B84" t="inlineStr">
        <is>
          <t>Spring2020</t>
        </is>
      </c>
      <c r="C84" t="inlineStr">
        <is>
          <t>Spring</t>
        </is>
      </c>
      <c r="D84" t="n">
        <v>2021</v>
      </c>
      <c r="E84" t="n">
        <v>7.401134491337769</v>
      </c>
      <c r="F84" t="n">
        <v>6.570188477254643</v>
      </c>
      <c r="G84">
        <f>IF(OR(F84="",E84=""),"",F84-E84)</f>
        <v/>
      </c>
      <c r="H84" t="n">
        <v>0.0004322148502679736</v>
      </c>
    </row>
    <row r="85">
      <c r="A85" t="inlineStr">
        <is>
          <t>FR</t>
        </is>
      </c>
      <c r="B85" t="inlineStr">
        <is>
          <t>Spring2021</t>
        </is>
      </c>
      <c r="C85" t="inlineStr">
        <is>
          <t>Spring</t>
        </is>
      </c>
      <c r="D85" t="n">
        <v>2021</v>
      </c>
      <c r="E85" t="n">
        <v>5.714702673402861</v>
      </c>
      <c r="F85" t="n">
        <v>6.570188477254643</v>
      </c>
      <c r="G85">
        <f>IF(OR(F85="",E85=""),"",F85-E85)</f>
        <v/>
      </c>
      <c r="H85" t="n">
        <v>0.0004322148502679736</v>
      </c>
    </row>
    <row r="86">
      <c r="A86" t="inlineStr">
        <is>
          <t>FR</t>
        </is>
      </c>
      <c r="B86" t="inlineStr">
        <is>
          <t>Autumn2021</t>
        </is>
      </c>
      <c r="C86" t="inlineStr">
        <is>
          <t>Autumn</t>
        </is>
      </c>
      <c r="D86" t="n">
        <v>2022</v>
      </c>
      <c r="E86" t="n">
        <v>3.766147557940314</v>
      </c>
      <c r="F86" t="n">
        <v>2.761671160127166</v>
      </c>
      <c r="G86">
        <f>IF(OR(F86="",E86=""),"",F86-E86)</f>
        <v/>
      </c>
      <c r="H86" t="n">
        <v>0.0007348831804684841</v>
      </c>
    </row>
    <row r="87">
      <c r="A87" t="inlineStr">
        <is>
          <t>FR</t>
        </is>
      </c>
      <c r="B87" t="inlineStr">
        <is>
          <t>Autumn2022</t>
        </is>
      </c>
      <c r="C87" t="inlineStr">
        <is>
          <t>Autumn</t>
        </is>
      </c>
      <c r="D87" t="n">
        <v>2022</v>
      </c>
      <c r="E87" t="n">
        <v>2.629458440119525</v>
      </c>
      <c r="F87" t="n">
        <v>2.761671160127166</v>
      </c>
      <c r="G87">
        <f>IF(OR(F87="",E87=""),"",F87-E87)</f>
        <v/>
      </c>
      <c r="H87" t="n">
        <v>0.0007348831804684841</v>
      </c>
    </row>
    <row r="88">
      <c r="A88" t="inlineStr">
        <is>
          <t>FR</t>
        </is>
      </c>
      <c r="B88" t="inlineStr">
        <is>
          <t>Spring2021</t>
        </is>
      </c>
      <c r="C88" t="inlineStr">
        <is>
          <t>Spring</t>
        </is>
      </c>
      <c r="D88" t="n">
        <v>2022</v>
      </c>
      <c r="E88" t="n">
        <v>4.211477073724845</v>
      </c>
      <c r="F88" t="n">
        <v>2.761671160127166</v>
      </c>
      <c r="G88">
        <f>IF(OR(F88="",E88=""),"",F88-E88)</f>
        <v/>
      </c>
      <c r="H88" t="n">
        <v>0.0007348831804684841</v>
      </c>
    </row>
    <row r="89">
      <c r="A89" t="inlineStr">
        <is>
          <t>FR</t>
        </is>
      </c>
      <c r="B89" t="inlineStr">
        <is>
          <t>Spring2022</t>
        </is>
      </c>
      <c r="C89" t="inlineStr">
        <is>
          <t>Spring</t>
        </is>
      </c>
      <c r="D89" t="n">
        <v>2022</v>
      </c>
      <c r="E89" t="n">
        <v>3.098952418316858</v>
      </c>
      <c r="F89" t="n">
        <v>2.761671160127166</v>
      </c>
      <c r="G89">
        <f>IF(OR(F89="",E89=""),"",F89-E89)</f>
        <v/>
      </c>
      <c r="H89" t="n">
        <v>0.0007348831804684841</v>
      </c>
    </row>
    <row r="90">
      <c r="A90" t="inlineStr">
        <is>
          <t>FR</t>
        </is>
      </c>
      <c r="B90" t="inlineStr">
        <is>
          <t>Autumn2022</t>
        </is>
      </c>
      <c r="C90" t="inlineStr">
        <is>
          <t>Autumn</t>
        </is>
      </c>
      <c r="D90" t="n">
        <v>2023</v>
      </c>
      <c r="E90" t="n">
        <v>0.4395065145862631</v>
      </c>
      <c r="F90" t="n">
        <v>1.802247083175507</v>
      </c>
      <c r="G90">
        <f>IF(OR(F90="",E90=""),"",F90-E90)</f>
        <v/>
      </c>
      <c r="H90" t="n">
        <v>0.0006534637938468001</v>
      </c>
    </row>
    <row r="91">
      <c r="A91" t="inlineStr">
        <is>
          <t>FR</t>
        </is>
      </c>
      <c r="B91" t="inlineStr">
        <is>
          <t>Autumn2023</t>
        </is>
      </c>
      <c r="C91" t="inlineStr">
        <is>
          <t>Autumn</t>
        </is>
      </c>
      <c r="D91" t="n">
        <v>2023</v>
      </c>
      <c r="E91" t="n">
        <v>1.002276295034399</v>
      </c>
      <c r="F91" t="n">
        <v>1.802247083175507</v>
      </c>
      <c r="G91">
        <f>IF(OR(F91="",E91=""),"",F91-E91)</f>
        <v/>
      </c>
      <c r="H91" t="n">
        <v>0.0006534637938468001</v>
      </c>
    </row>
    <row r="92">
      <c r="A92" t="inlineStr">
        <is>
          <t>FR</t>
        </is>
      </c>
      <c r="B92" t="inlineStr">
        <is>
          <t>Spring2022</t>
        </is>
      </c>
      <c r="C92" t="inlineStr">
        <is>
          <t>Spring</t>
        </is>
      </c>
      <c r="D92" t="n">
        <v>2023</v>
      </c>
      <c r="E92" t="n">
        <v>1.769109124061696</v>
      </c>
      <c r="F92" t="n">
        <v>1.802247083175507</v>
      </c>
      <c r="G92">
        <f>IF(OR(F92="",E92=""),"",F92-E92)</f>
        <v/>
      </c>
      <c r="H92" t="n">
        <v>0.0006534637938468001</v>
      </c>
    </row>
    <row r="93">
      <c r="A93" t="inlineStr">
        <is>
          <t>FR</t>
        </is>
      </c>
      <c r="B93" t="inlineStr">
        <is>
          <t>Spring2023</t>
        </is>
      </c>
      <c r="C93" t="inlineStr">
        <is>
          <t>Spring</t>
        </is>
      </c>
      <c r="D93" t="n">
        <v>2023</v>
      </c>
      <c r="E93" t="n">
        <v>0.7242602636413187</v>
      </c>
      <c r="F93" t="n">
        <v>1.802247083175507</v>
      </c>
      <c r="G93">
        <f>IF(OR(F93="",E93=""),"",F93-E93)</f>
        <v/>
      </c>
      <c r="H93" t="n">
        <v>0.0006534637938468001</v>
      </c>
    </row>
    <row r="94">
      <c r="A94" t="inlineStr">
        <is>
          <t>FR</t>
        </is>
      </c>
      <c r="B94" t="inlineStr">
        <is>
          <t>Autumn2023</t>
        </is>
      </c>
      <c r="C94" t="inlineStr">
        <is>
          <t>Autumn</t>
        </is>
      </c>
      <c r="D94" t="n">
        <v>2024</v>
      </c>
      <c r="E94" t="n">
        <v>1.247095433006873</v>
      </c>
      <c r="F94" t="n">
        <v>1.414482884555374</v>
      </c>
      <c r="G94">
        <f>IF(OR(F94="",E94=""),"",F94-E94)</f>
        <v/>
      </c>
      <c r="H94" t="n">
        <v>0.0005830168350468545</v>
      </c>
    </row>
    <row r="95">
      <c r="A95" t="inlineStr">
        <is>
          <t>FR</t>
        </is>
      </c>
      <c r="B95" t="inlineStr">
        <is>
          <t>Autumn2024</t>
        </is>
      </c>
      <c r="C95" t="inlineStr">
        <is>
          <t>Autumn</t>
        </is>
      </c>
      <c r="D95" t="n">
        <v>2024</v>
      </c>
      <c r="E95" t="n">
        <v>1.13903040986485</v>
      </c>
      <c r="F95" t="n">
        <v>1.414482884555374</v>
      </c>
      <c r="G95">
        <f>IF(OR(F95="",E95=""),"",F95-E95)</f>
        <v/>
      </c>
      <c r="H95" t="n">
        <v>0.0005830168350468545</v>
      </c>
    </row>
    <row r="96">
      <c r="A96" t="inlineStr">
        <is>
          <t>FR</t>
        </is>
      </c>
      <c r="B96" t="inlineStr">
        <is>
          <t>Spring2023</t>
        </is>
      </c>
      <c r="C96" t="inlineStr">
        <is>
          <t>Spring</t>
        </is>
      </c>
      <c r="D96" t="n">
        <v>2024</v>
      </c>
      <c r="E96" t="n">
        <v>1.41860461240253</v>
      </c>
      <c r="F96" t="n">
        <v>1.414482884555374</v>
      </c>
      <c r="G96">
        <f>IF(OR(F96="",E96=""),"",F96-E96)</f>
        <v/>
      </c>
      <c r="H96" t="n">
        <v>0.0005830168350468545</v>
      </c>
    </row>
    <row r="97">
      <c r="A97" t="inlineStr">
        <is>
          <t>FR</t>
        </is>
      </c>
      <c r="B97" t="inlineStr">
        <is>
          <t>Spring2024</t>
        </is>
      </c>
      <c r="C97" t="inlineStr">
        <is>
          <t>Spring</t>
        </is>
      </c>
      <c r="D97" t="n">
        <v>2024</v>
      </c>
      <c r="E97" t="n">
        <v>0.728519105148373</v>
      </c>
      <c r="F97" t="n">
        <v>1.414482884555374</v>
      </c>
      <c r="G97">
        <f>IF(OR(F97="",E97=""),"",F97-E97)</f>
        <v/>
      </c>
      <c r="H97" t="n">
        <v>0.0005830168350468545</v>
      </c>
    </row>
    <row r="98">
      <c r="A98" t="inlineStr">
        <is>
          <t>IE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2.947813244873676</v>
      </c>
      <c r="F98" t="n">
        <v>15.1246997065809</v>
      </c>
      <c r="G98">
        <f>IF(OR(F98="",E98=""),"",F98-E98)</f>
        <v/>
      </c>
      <c r="H98" t="n">
        <v>0.0004786603355250339</v>
      </c>
    </row>
    <row r="99">
      <c r="A99" t="inlineStr">
        <is>
          <t>IE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14.56298111140442</v>
      </c>
      <c r="F99" t="n">
        <v>15.1246997065809</v>
      </c>
      <c r="G99">
        <f>IF(OR(F99="",E99=""),"",F99-E99)</f>
        <v/>
      </c>
      <c r="H99" t="n">
        <v>0.0004786603355250339</v>
      </c>
    </row>
    <row r="100">
      <c r="A100" t="inlineStr">
        <is>
          <t>IE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6.084441522850637</v>
      </c>
      <c r="F100" t="n">
        <v>15.1246997065809</v>
      </c>
      <c r="G100">
        <f>IF(OR(F100="",E100=""),"",F100-E100)</f>
        <v/>
      </c>
      <c r="H100" t="n">
        <v>0.0004786603355250339</v>
      </c>
    </row>
    <row r="101">
      <c r="A101" t="inlineStr">
        <is>
          <t>IE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4.59932575419888</v>
      </c>
      <c r="F101" t="n">
        <v>15.1246997065809</v>
      </c>
      <c r="G101">
        <f>IF(OR(F101="",E101=""),"",F101-E101)</f>
        <v/>
      </c>
      <c r="H101" t="n">
        <v>0.0004786603355250339</v>
      </c>
    </row>
    <row r="102">
      <c r="A102" t="inlineStr">
        <is>
          <t>IE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5.091872298073152</v>
      </c>
      <c r="F102" t="n">
        <v>7.989444336924596</v>
      </c>
      <c r="G102">
        <f>IF(OR(F102="",E102=""),"",F102-E102)</f>
        <v/>
      </c>
      <c r="H102" t="n">
        <v>0.0004671934033553036</v>
      </c>
    </row>
    <row r="103">
      <c r="A103" t="inlineStr">
        <is>
          <t>IE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7.871083766264508</v>
      </c>
      <c r="F103" t="n">
        <v>7.989444336924596</v>
      </c>
      <c r="G103">
        <f>IF(OR(F103="",E103=""),"",F103-E103)</f>
        <v/>
      </c>
      <c r="H103" t="n">
        <v>0.0004671934033553036</v>
      </c>
    </row>
    <row r="104">
      <c r="A104" t="inlineStr">
        <is>
          <t>IE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4.975986839927704</v>
      </c>
      <c r="F104" t="n">
        <v>7.989444336924596</v>
      </c>
      <c r="G104">
        <f>IF(OR(F104="",E104=""),"",F104-E104)</f>
        <v/>
      </c>
      <c r="H104" t="n">
        <v>0.0004671934033553036</v>
      </c>
    </row>
    <row r="105">
      <c r="A105" t="inlineStr">
        <is>
          <t>IE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5.381686196249635</v>
      </c>
      <c r="F105" t="n">
        <v>7.989444336924596</v>
      </c>
      <c r="G105">
        <f>IF(OR(F105="",E105=""),"",F105-E105)</f>
        <v/>
      </c>
      <c r="H105" t="n">
        <v>0.0004671934033553036</v>
      </c>
    </row>
    <row r="106">
      <c r="A106" t="inlineStr">
        <is>
          <t>IE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3.172255506856847</v>
      </c>
      <c r="F106" t="n">
        <v>-3.520510301376442</v>
      </c>
      <c r="G106">
        <f>IF(OR(F106="",E106=""),"",F106-E106)</f>
        <v/>
      </c>
      <c r="H106" t="n">
        <v>0.000725600897939218</v>
      </c>
    </row>
    <row r="107">
      <c r="A107" t="inlineStr">
        <is>
          <t>IE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-0.9349560050788241</v>
      </c>
      <c r="F107" t="n">
        <v>-3.520510301376442</v>
      </c>
      <c r="G107">
        <f>IF(OR(F107="",E107=""),"",F107-E107)</f>
        <v/>
      </c>
      <c r="H107" t="n">
        <v>0.000725600897939218</v>
      </c>
    </row>
    <row r="108">
      <c r="A108" t="inlineStr">
        <is>
          <t>IE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4.434831401716832</v>
      </c>
      <c r="F108" t="n">
        <v>-3.520510301376442</v>
      </c>
      <c r="G108">
        <f>IF(OR(F108="",E108=""),"",F108-E108)</f>
        <v/>
      </c>
      <c r="H108" t="n">
        <v>0.000725600897939218</v>
      </c>
    </row>
    <row r="109">
      <c r="A109" t="inlineStr">
        <is>
          <t>IE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5.517073045513365</v>
      </c>
      <c r="F109" t="n">
        <v>-3.520510301376442</v>
      </c>
      <c r="G109">
        <f>IF(OR(F109="",E109=""),"",F109-E109)</f>
        <v/>
      </c>
      <c r="H109" t="n">
        <v>0.000725600897939218</v>
      </c>
    </row>
    <row r="110">
      <c r="A110" t="inlineStr">
        <is>
          <t>IE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3.044064013446279</v>
      </c>
      <c r="F110" t="n">
        <v>3.620379562913446</v>
      </c>
      <c r="G110">
        <f>IF(OR(F110="",E110=""),"",F110-E110)</f>
        <v/>
      </c>
      <c r="H110" t="n">
        <v>0.0009740879904289302</v>
      </c>
    </row>
    <row r="111">
      <c r="A111" t="inlineStr">
        <is>
          <t>IE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-0.5406263528774158</v>
      </c>
      <c r="F111" t="n">
        <v>3.620379562913446</v>
      </c>
      <c r="G111">
        <f>IF(OR(F111="",E111=""),"",F111-E111)</f>
        <v/>
      </c>
      <c r="H111" t="n">
        <v>0.0009740879904289302</v>
      </c>
    </row>
    <row r="112">
      <c r="A112" t="inlineStr">
        <is>
          <t>IE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4.967945256214601</v>
      </c>
      <c r="F112" t="n">
        <v>3.620379562913446</v>
      </c>
      <c r="G112">
        <f>IF(OR(F112="",E112=""),"",F112-E112)</f>
        <v/>
      </c>
      <c r="H112" t="n">
        <v>0.0009740879904289302</v>
      </c>
    </row>
    <row r="113">
      <c r="A113" t="inlineStr">
        <is>
          <t>IE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1.243712466321201</v>
      </c>
      <c r="F113" t="n">
        <v>3.620379562913446</v>
      </c>
      <c r="G113">
        <f>IF(OR(F113="",E113=""),"",F113-E113)</f>
        <v/>
      </c>
      <c r="H113" t="n">
        <v>0.0009740879904289302</v>
      </c>
    </row>
    <row r="114">
      <c r="A114" t="inlineStr">
        <is>
          <t>IT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4.051033813756133</v>
      </c>
      <c r="F114" t="n">
        <v>8.437067175906481</v>
      </c>
      <c r="G114">
        <f>IF(OR(F114="",E114=""),"",F114-E114)</f>
        <v/>
      </c>
      <c r="H114" t="n">
        <v>0.000295841565881631</v>
      </c>
    </row>
    <row r="115">
      <c r="A115" t="inlineStr">
        <is>
          <t>IT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6.229273312894534</v>
      </c>
      <c r="F115" t="n">
        <v>8.437067175906481</v>
      </c>
      <c r="G115">
        <f>IF(OR(F115="",E115=""),"",F115-E115)</f>
        <v/>
      </c>
      <c r="H115" t="n">
        <v>0.000295841565881631</v>
      </c>
    </row>
    <row r="116">
      <c r="A116" t="inlineStr">
        <is>
          <t>IT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6.54965690288567</v>
      </c>
      <c r="F116" t="n">
        <v>8.437067175906481</v>
      </c>
      <c r="G116">
        <f>IF(OR(F116="",E116=""),"",F116-E116)</f>
        <v/>
      </c>
      <c r="H116" t="n">
        <v>0.000295841565881631</v>
      </c>
    </row>
    <row r="117">
      <c r="A117" t="inlineStr">
        <is>
          <t>IT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4.206872388548932</v>
      </c>
      <c r="F117" t="n">
        <v>8.437067175906481</v>
      </c>
      <c r="G117">
        <f>IF(OR(F117="",E117=""),"",F117-E117)</f>
        <v/>
      </c>
      <c r="H117" t="n">
        <v>0.000295841565881631</v>
      </c>
    </row>
    <row r="118">
      <c r="A118" t="inlineStr">
        <is>
          <t>IT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4.268919168787466</v>
      </c>
      <c r="F118" t="n">
        <v>4.854613486697751</v>
      </c>
      <c r="G118">
        <f>IF(OR(F118="",E118=""),"",F118-E118)</f>
        <v/>
      </c>
      <c r="H118" t="n">
        <v>0.0003078769285171514</v>
      </c>
    </row>
    <row r="119">
      <c r="A119" t="inlineStr">
        <is>
          <t>IT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3.826892027953699</v>
      </c>
      <c r="F119" t="n">
        <v>4.854613486697751</v>
      </c>
      <c r="G119">
        <f>IF(OR(F119="",E119=""),"",F119-E119)</f>
        <v/>
      </c>
      <c r="H119" t="n">
        <v>0.0003078769285171514</v>
      </c>
    </row>
    <row r="120">
      <c r="A120" t="inlineStr">
        <is>
          <t>IT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4.39345862826459</v>
      </c>
      <c r="F120" t="n">
        <v>4.854613486697751</v>
      </c>
      <c r="G120">
        <f>IF(OR(F120="",E120=""),"",F120-E120)</f>
        <v/>
      </c>
      <c r="H120" t="n">
        <v>0.0003078769285171514</v>
      </c>
    </row>
    <row r="121">
      <c r="A121" t="inlineStr">
        <is>
          <t>IT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2.425654280482226</v>
      </c>
      <c r="F121" t="n">
        <v>4.854613486697751</v>
      </c>
      <c r="G121">
        <f>IF(OR(F121="",E121=""),"",F121-E121)</f>
        <v/>
      </c>
      <c r="H121" t="n">
        <v>0.0003078769285171514</v>
      </c>
    </row>
    <row r="122">
      <c r="A122" t="inlineStr">
        <is>
          <t>IT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0.3147371586091685</v>
      </c>
      <c r="F122" t="n">
        <v>1.014274087639002</v>
      </c>
      <c r="G122">
        <f>IF(OR(F122="",E122=""),"",F122-E122)</f>
        <v/>
      </c>
      <c r="H122" t="n">
        <v>0.0004770211967756544</v>
      </c>
    </row>
    <row r="123">
      <c r="A123" t="inlineStr">
        <is>
          <t>IT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0.6915731805126502</v>
      </c>
      <c r="F123" t="n">
        <v>1.014274087639002</v>
      </c>
      <c r="G123">
        <f>IF(OR(F123="",E123=""),"",F123-E123)</f>
        <v/>
      </c>
      <c r="H123" t="n">
        <v>0.0004770211967756544</v>
      </c>
    </row>
    <row r="124">
      <c r="A124" t="inlineStr">
        <is>
          <t>IT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1.851291422718337</v>
      </c>
      <c r="F124" t="n">
        <v>1.014274087639002</v>
      </c>
      <c r="G124">
        <f>IF(OR(F124="",E124=""),"",F124-E124)</f>
        <v/>
      </c>
      <c r="H124" t="n">
        <v>0.0004770211967756544</v>
      </c>
    </row>
    <row r="125">
      <c r="A125" t="inlineStr">
        <is>
          <t>IT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1.206598132351089</v>
      </c>
      <c r="F125" t="n">
        <v>1.014274087639002</v>
      </c>
      <c r="G125">
        <f>IF(OR(F125="",E125=""),"",F125-E125)</f>
        <v/>
      </c>
      <c r="H125" t="n">
        <v>0.0004770211967756544</v>
      </c>
    </row>
    <row r="126">
      <c r="A126" t="inlineStr">
        <is>
          <t>IT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0.852195649426335</v>
      </c>
      <c r="F126" t="n">
        <v>0.5846325798952693</v>
      </c>
      <c r="G126">
        <f>IF(OR(F126="",E126=""),"",F126-E126)</f>
        <v/>
      </c>
      <c r="H126" t="n">
        <v>0.0004643133694197308</v>
      </c>
    </row>
    <row r="127">
      <c r="A127" t="inlineStr">
        <is>
          <t>IT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0.6687507310409346</v>
      </c>
      <c r="F127" t="n">
        <v>0.5846325798952693</v>
      </c>
      <c r="G127">
        <f>IF(OR(F127="",E127=""),"",F127-E127)</f>
        <v/>
      </c>
      <c r="H127" t="n">
        <v>0.0004643133694197308</v>
      </c>
    </row>
    <row r="128">
      <c r="A128" t="inlineStr">
        <is>
          <t>IT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1.088219792885559</v>
      </c>
      <c r="F128" t="n">
        <v>0.5846325798952693</v>
      </c>
      <c r="G128">
        <f>IF(OR(F128="",E128=""),"",F128-E128)</f>
        <v/>
      </c>
      <c r="H128" t="n">
        <v>0.0004643133694197308</v>
      </c>
    </row>
    <row r="129">
      <c r="A129" t="inlineStr">
        <is>
          <t>IT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0.9364833821859708</v>
      </c>
      <c r="F129" t="n">
        <v>0.5846325798952693</v>
      </c>
      <c r="G129">
        <f>IF(OR(F129="",E129=""),"",F129-E129)</f>
        <v/>
      </c>
      <c r="H129" t="n">
        <v>0.0004643133694197308</v>
      </c>
    </row>
    <row r="130">
      <c r="A130" t="inlineStr">
        <is>
          <t>NL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2.161323818880434</v>
      </c>
      <c r="F130" t="n">
        <v>6.01976435632946</v>
      </c>
      <c r="G130">
        <f>IF(OR(F130="",E130=""),"",F130-E130)</f>
        <v/>
      </c>
      <c r="H130" t="n">
        <v>0.03084467531941015</v>
      </c>
    </row>
    <row r="131">
      <c r="A131" t="inlineStr">
        <is>
          <t>NL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3.972824818052256</v>
      </c>
      <c r="F131" t="n">
        <v>6.01976435632946</v>
      </c>
      <c r="G131">
        <f>IF(OR(F131="",E131=""),"",F131-E131)</f>
        <v/>
      </c>
      <c r="H131" t="n">
        <v>0.03084467531941015</v>
      </c>
    </row>
    <row r="132">
      <c r="A132" t="inlineStr">
        <is>
          <t>NL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4.963640025345617</v>
      </c>
      <c r="F132" t="n">
        <v>6.01976435632946</v>
      </c>
      <c r="G132">
        <f>IF(OR(F132="",E132=""),"",F132-E132)</f>
        <v/>
      </c>
      <c r="H132" t="n">
        <v>0.03084467531941015</v>
      </c>
    </row>
    <row r="133">
      <c r="A133" t="inlineStr">
        <is>
          <t>NL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2.338236916434577</v>
      </c>
      <c r="F133" t="n">
        <v>6.01976435632946</v>
      </c>
      <c r="G133">
        <f>IF(OR(F133="",E133=""),"",F133-E133)</f>
        <v/>
      </c>
      <c r="H133" t="n">
        <v>0.03084467531941015</v>
      </c>
    </row>
    <row r="134">
      <c r="A134" t="inlineStr">
        <is>
          <t>NL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3.348977083556104</v>
      </c>
      <c r="F134" t="n">
        <v>4.889291210402315</v>
      </c>
      <c r="G134">
        <f>IF(OR(F134="",E134=""),"",F134-E134)</f>
        <v/>
      </c>
      <c r="H134" t="n">
        <v>0.03054982809633322</v>
      </c>
    </row>
    <row r="135">
      <c r="A135" t="inlineStr">
        <is>
          <t>NL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4.649019663074072</v>
      </c>
      <c r="F135" t="n">
        <v>4.889291210402315</v>
      </c>
      <c r="G135">
        <f>IF(OR(F135="",E135=""),"",F135-E135)</f>
        <v/>
      </c>
      <c r="H135" t="n">
        <v>0.03054982809633322</v>
      </c>
    </row>
    <row r="136">
      <c r="A136" t="inlineStr">
        <is>
          <t>NL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3.579048671287688</v>
      </c>
      <c r="F136" t="n">
        <v>4.889291210402315</v>
      </c>
      <c r="G136">
        <f>IF(OR(F136="",E136=""),"",F136-E136)</f>
        <v/>
      </c>
      <c r="H136" t="n">
        <v>0.03054982809633322</v>
      </c>
    </row>
    <row r="137">
      <c r="A137" t="inlineStr">
        <is>
          <t>NL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3.271330674458595</v>
      </c>
      <c r="F137" t="n">
        <v>4.889291210402315</v>
      </c>
      <c r="G137">
        <f>IF(OR(F137="",E137=""),"",F137-E137)</f>
        <v/>
      </c>
      <c r="H137" t="n">
        <v>0.03054982809633322</v>
      </c>
    </row>
    <row r="138">
      <c r="A138" t="inlineStr">
        <is>
          <t>NL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0.6485732352807583</v>
      </c>
      <c r="F138" t="n">
        <v>-0.5846935562217797</v>
      </c>
      <c r="G138">
        <f>IF(OR(F138="",E138=""),"",F138-E138)</f>
        <v/>
      </c>
      <c r="H138" t="n">
        <v>0.03592341469199693</v>
      </c>
    </row>
    <row r="139">
      <c r="A139" t="inlineStr">
        <is>
          <t>NL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0.5799247285826814</v>
      </c>
      <c r="F139" t="n">
        <v>-0.5846935562217797</v>
      </c>
      <c r="G139">
        <f>IF(OR(F139="",E139=""),"",F139-E139)</f>
        <v/>
      </c>
      <c r="H139" t="n">
        <v>0.03592341469199693</v>
      </c>
    </row>
    <row r="140">
      <c r="A140" t="inlineStr">
        <is>
          <t>NL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1.568250017019501</v>
      </c>
      <c r="F140" t="n">
        <v>-0.5846935562217797</v>
      </c>
      <c r="G140">
        <f>IF(OR(F140="",E140=""),"",F140-E140)</f>
        <v/>
      </c>
      <c r="H140" t="n">
        <v>0.03592341469199693</v>
      </c>
    </row>
    <row r="141">
      <c r="A141" t="inlineStr">
        <is>
          <t>NL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1.800994175168302</v>
      </c>
      <c r="F141" t="n">
        <v>-0.5846935562217797</v>
      </c>
      <c r="G141">
        <f>IF(OR(F141="",E141=""),"",F141-E141)</f>
        <v/>
      </c>
      <c r="H141" t="n">
        <v>0.03592341469199693</v>
      </c>
    </row>
    <row r="142">
      <c r="A142" t="inlineStr">
        <is>
          <t>NL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1.090974188365412</v>
      </c>
      <c r="F142" t="n">
        <v>1.058640812818894</v>
      </c>
      <c r="G142">
        <f>IF(OR(F142="",E142=""),"",F142-E142)</f>
        <v/>
      </c>
      <c r="H142" t="n">
        <v>0.03988165135894128</v>
      </c>
    </row>
    <row r="143">
      <c r="A143" t="inlineStr">
        <is>
          <t>NL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0.8413433186627683</v>
      </c>
      <c r="F143" t="n">
        <v>1.058640812818894</v>
      </c>
      <c r="G143">
        <f>IF(OR(F143="",E143=""),"",F143-E143)</f>
        <v/>
      </c>
      <c r="H143" t="n">
        <v>0.03988165135894128</v>
      </c>
    </row>
    <row r="144">
      <c r="A144" t="inlineStr">
        <is>
          <t>NL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1.181076174566176</v>
      </c>
      <c r="F144" t="n">
        <v>1.058640812818894</v>
      </c>
      <c r="G144">
        <f>IF(OR(F144="",E144=""),"",F144-E144)</f>
        <v/>
      </c>
      <c r="H144" t="n">
        <v>0.03988165135894128</v>
      </c>
    </row>
    <row r="145">
      <c r="A145" t="inlineStr">
        <is>
          <t>NL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0.7604211807421546</v>
      </c>
      <c r="F145" t="n">
        <v>1.058640812818894</v>
      </c>
      <c r="G145">
        <f>IF(OR(F145="",E145=""),"",F145-E145)</f>
        <v/>
      </c>
      <c r="H145" t="n">
        <v>0.03988165135894128</v>
      </c>
    </row>
    <row r="146">
      <c r="A146" t="inlineStr">
        <is>
          <t>PT</t>
        </is>
      </c>
      <c r="B146" t="inlineStr">
        <is>
          <t>Autumn2020</t>
        </is>
      </c>
      <c r="C146" t="inlineStr">
        <is>
          <t>Autumn</t>
        </is>
      </c>
      <c r="D146" t="n">
        <v>2021</v>
      </c>
      <c r="E146" t="n">
        <v>5.360660936400219</v>
      </c>
      <c r="F146" t="n">
        <v>5.40983730275</v>
      </c>
      <c r="G146">
        <f>IF(OR(F146="",E146=""),"",F146-E146)</f>
        <v/>
      </c>
      <c r="H146" t="n">
        <v>5.288398436208387e-05</v>
      </c>
    </row>
    <row r="147">
      <c r="A147" t="inlineStr">
        <is>
          <t>PT</t>
        </is>
      </c>
      <c r="B147" t="inlineStr">
        <is>
          <t>Autumn2021</t>
        </is>
      </c>
      <c r="C147" t="inlineStr">
        <is>
          <t>Autumn</t>
        </is>
      </c>
      <c r="D147" t="n">
        <v>2021</v>
      </c>
      <c r="E147" t="n">
        <v>4.542806460139137</v>
      </c>
      <c r="F147" t="n">
        <v>5.40983730275</v>
      </c>
      <c r="G147">
        <f>IF(OR(F147="",E147=""),"",F147-E147)</f>
        <v/>
      </c>
      <c r="H147" t="n">
        <v>5.288398436208387e-05</v>
      </c>
    </row>
    <row r="148">
      <c r="A148" t="inlineStr">
        <is>
          <t>PT</t>
        </is>
      </c>
      <c r="B148" t="inlineStr">
        <is>
          <t>Spring2020</t>
        </is>
      </c>
      <c r="C148" t="inlineStr">
        <is>
          <t>Spring</t>
        </is>
      </c>
      <c r="D148" t="n">
        <v>2021</v>
      </c>
      <c r="E148" t="n">
        <v>5.817909162111334</v>
      </c>
      <c r="F148" t="n">
        <v>5.40983730275</v>
      </c>
      <c r="G148">
        <f>IF(OR(F148="",E148=""),"",F148-E148)</f>
        <v/>
      </c>
      <c r="H148" t="n">
        <v>5.288398436208387e-05</v>
      </c>
    </row>
    <row r="149">
      <c r="A149" t="inlineStr">
        <is>
          <t>PT</t>
        </is>
      </c>
      <c r="B149" t="inlineStr">
        <is>
          <t>Spring2021</t>
        </is>
      </c>
      <c r="C149" t="inlineStr">
        <is>
          <t>Spring</t>
        </is>
      </c>
      <c r="D149" t="n">
        <v>2021</v>
      </c>
      <c r="E149" t="n">
        <v>3.94410787739945</v>
      </c>
      <c r="F149" t="n">
        <v>5.40983730275</v>
      </c>
      <c r="G149">
        <f>IF(OR(F149="",E149=""),"",F149-E149)</f>
        <v/>
      </c>
      <c r="H149" t="n">
        <v>5.288398436208387e-05</v>
      </c>
    </row>
    <row r="150">
      <c r="A150" t="inlineStr">
        <is>
          <t>PT</t>
        </is>
      </c>
      <c r="B150" t="inlineStr">
        <is>
          <t>Autumn2021</t>
        </is>
      </c>
      <c r="C150" t="inlineStr">
        <is>
          <t>Autumn</t>
        </is>
      </c>
      <c r="D150" t="n">
        <v>2022</v>
      </c>
      <c r="E150" t="n">
        <v>5.321265722881097</v>
      </c>
      <c r="F150" t="n">
        <v>6.752612450243378</v>
      </c>
      <c r="G150">
        <f>IF(OR(F150="",E150=""),"",F150-E150)</f>
        <v/>
      </c>
      <c r="H150" t="n">
        <v>5.137157295813951e-05</v>
      </c>
    </row>
    <row r="151">
      <c r="A151" t="inlineStr">
        <is>
          <t>PT</t>
        </is>
      </c>
      <c r="B151" t="inlineStr">
        <is>
          <t>Autumn2022</t>
        </is>
      </c>
      <c r="C151" t="inlineStr">
        <is>
          <t>Autumn</t>
        </is>
      </c>
      <c r="D151" t="n">
        <v>2022</v>
      </c>
      <c r="E151" t="n">
        <v>6.586125160880973</v>
      </c>
      <c r="F151" t="n">
        <v>6.752612450243378</v>
      </c>
      <c r="G151">
        <f>IF(OR(F151="",E151=""),"",F151-E151)</f>
        <v/>
      </c>
      <c r="H151" t="n">
        <v>5.137157295813951e-05</v>
      </c>
    </row>
    <row r="152">
      <c r="A152" t="inlineStr">
        <is>
          <t>PT</t>
        </is>
      </c>
      <c r="B152" t="inlineStr">
        <is>
          <t>Spring2021</t>
        </is>
      </c>
      <c r="C152" t="inlineStr">
        <is>
          <t>Spring</t>
        </is>
      </c>
      <c r="D152" t="n">
        <v>2022</v>
      </c>
      <c r="E152" t="n">
        <v>5.098879235126508</v>
      </c>
      <c r="F152" t="n">
        <v>6.752612450243378</v>
      </c>
      <c r="G152">
        <f>IF(OR(F152="",E152=""),"",F152-E152)</f>
        <v/>
      </c>
      <c r="H152" t="n">
        <v>5.137157295813951e-05</v>
      </c>
    </row>
    <row r="153">
      <c r="A153" t="inlineStr">
        <is>
          <t>PT</t>
        </is>
      </c>
      <c r="B153" t="inlineStr">
        <is>
          <t>Spring2022</t>
        </is>
      </c>
      <c r="C153" t="inlineStr">
        <is>
          <t>Spring</t>
        </is>
      </c>
      <c r="D153" t="n">
        <v>2022</v>
      </c>
      <c r="E153" t="n">
        <v>5.805468708187478</v>
      </c>
      <c r="F153" t="n">
        <v>6.752612450243378</v>
      </c>
      <c r="G153">
        <f>IF(OR(F153="",E153=""),"",F153-E153)</f>
        <v/>
      </c>
      <c r="H153" t="n">
        <v>5.137157295813951e-05</v>
      </c>
    </row>
    <row r="154">
      <c r="A154" t="inlineStr">
        <is>
          <t>PT</t>
        </is>
      </c>
      <c r="B154" t="inlineStr">
        <is>
          <t>Autumn2022</t>
        </is>
      </c>
      <c r="C154" t="inlineStr">
        <is>
          <t>Autumn</t>
        </is>
      </c>
      <c r="D154" t="n">
        <v>2023</v>
      </c>
      <c r="E154" t="n">
        <v>0.7169614077881192</v>
      </c>
      <c r="F154" t="n">
        <v>3.052920210484774</v>
      </c>
      <c r="G154">
        <f>IF(OR(F154="",E154=""),"",F154-E154)</f>
        <v/>
      </c>
      <c r="H154" t="n">
        <v>6.29618585617478e-05</v>
      </c>
    </row>
    <row r="155">
      <c r="A155" t="inlineStr">
        <is>
          <t>PT</t>
        </is>
      </c>
      <c r="B155" t="inlineStr">
        <is>
          <t>Autumn2023</t>
        </is>
      </c>
      <c r="C155" t="inlineStr">
        <is>
          <t>Autumn</t>
        </is>
      </c>
      <c r="D155" t="n">
        <v>2023</v>
      </c>
      <c r="E155" t="n">
        <v>2.226883105497079</v>
      </c>
      <c r="F155" t="n">
        <v>3.052920210484774</v>
      </c>
      <c r="G155">
        <f>IF(OR(F155="",E155=""),"",F155-E155)</f>
        <v/>
      </c>
      <c r="H155" t="n">
        <v>6.29618585617478e-05</v>
      </c>
    </row>
    <row r="156">
      <c r="A156" t="inlineStr">
        <is>
          <t>PT</t>
        </is>
      </c>
      <c r="B156" t="inlineStr">
        <is>
          <t>Spring2022</t>
        </is>
      </c>
      <c r="C156" t="inlineStr">
        <is>
          <t>Spring</t>
        </is>
      </c>
      <c r="D156" t="n">
        <v>2023</v>
      </c>
      <c r="E156" t="n">
        <v>2.660491887007432</v>
      </c>
      <c r="F156" t="n">
        <v>3.052920210484774</v>
      </c>
      <c r="G156">
        <f>IF(OR(F156="",E156=""),"",F156-E156)</f>
        <v/>
      </c>
      <c r="H156" t="n">
        <v>6.29618585617478e-05</v>
      </c>
    </row>
    <row r="157">
      <c r="A157" t="inlineStr">
        <is>
          <t>PT</t>
        </is>
      </c>
      <c r="B157" t="inlineStr">
        <is>
          <t>Spring2023</t>
        </is>
      </c>
      <c r="C157" t="inlineStr">
        <is>
          <t>Spring</t>
        </is>
      </c>
      <c r="D157" t="n">
        <v>2023</v>
      </c>
      <c r="E157" t="n">
        <v>2.43876145125812</v>
      </c>
      <c r="F157" t="n">
        <v>3.052920210484774</v>
      </c>
      <c r="G157">
        <f>IF(OR(F157="",E157=""),"",F157-E157)</f>
        <v/>
      </c>
      <c r="H157" t="n">
        <v>6.29618585617478e-05</v>
      </c>
    </row>
    <row r="158">
      <c r="A158" t="inlineStr">
        <is>
          <t>PT</t>
        </is>
      </c>
      <c r="B158" t="inlineStr">
        <is>
          <t>Autumn2023</t>
        </is>
      </c>
      <c r="C158" t="inlineStr">
        <is>
          <t>Autumn</t>
        </is>
      </c>
      <c r="D158" t="n">
        <v>2024</v>
      </c>
      <c r="E158" t="n">
        <v>1.313347790478825</v>
      </c>
      <c r="F158" t="n">
        <v>2.190407278036138</v>
      </c>
      <c r="G158">
        <f>IF(OR(F158="",E158=""),"",F158-E158)</f>
        <v/>
      </c>
      <c r="H158" t="n">
        <v>5.244608877569774e-05</v>
      </c>
    </row>
    <row r="159">
      <c r="A159" t="inlineStr">
        <is>
          <t>PT</t>
        </is>
      </c>
      <c r="B159" t="inlineStr">
        <is>
          <t>Autumn2024</t>
        </is>
      </c>
      <c r="C159" t="inlineStr">
        <is>
          <t>Autumn</t>
        </is>
      </c>
      <c r="D159" t="n">
        <v>2024</v>
      </c>
      <c r="E159" t="n">
        <v>1.651473269423054</v>
      </c>
      <c r="F159" t="n">
        <v>2.190407278036138</v>
      </c>
      <c r="G159">
        <f>IF(OR(F159="",E159=""),"",F159-E159)</f>
        <v/>
      </c>
      <c r="H159" t="n">
        <v>5.244608877569774e-05</v>
      </c>
    </row>
    <row r="160">
      <c r="A160" t="inlineStr">
        <is>
          <t>PT</t>
        </is>
      </c>
      <c r="B160" t="inlineStr">
        <is>
          <t>Spring2023</t>
        </is>
      </c>
      <c r="C160" t="inlineStr">
        <is>
          <t>Spring</t>
        </is>
      </c>
      <c r="D160" t="n">
        <v>2024</v>
      </c>
      <c r="E160" t="n">
        <v>1.756916125884089</v>
      </c>
      <c r="F160" t="n">
        <v>2.190407278036138</v>
      </c>
      <c r="G160">
        <f>IF(OR(F160="",E160=""),"",F160-E160)</f>
        <v/>
      </c>
      <c r="H160" t="n">
        <v>5.244608877569774e-05</v>
      </c>
    </row>
    <row r="161">
      <c r="A161" t="inlineStr">
        <is>
          <t>PT</t>
        </is>
      </c>
      <c r="B161" t="inlineStr">
        <is>
          <t>Spring2024</t>
        </is>
      </c>
      <c r="C161" t="inlineStr">
        <is>
          <t>Spring</t>
        </is>
      </c>
      <c r="D161" t="n">
        <v>2024</v>
      </c>
      <c r="E161" t="n">
        <v>1.734179743438991</v>
      </c>
      <c r="F161" t="n">
        <v>2.190407278036138</v>
      </c>
      <c r="G161">
        <f>IF(OR(F161="",E161=""),"",F161-E161)</f>
        <v/>
      </c>
      <c r="H161" t="n">
        <v>5.244608877569774e-05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0.003430106067615103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0.003430106067615103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0.002941327462807491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0.002941327462807491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0.002941327462807491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0.002941327462807491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0.002680125065045206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0.002680125065045206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0.002680125065045206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0.002680125065045206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0.002858646131144403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0.002858646131144403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0.002858646131144403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0.002858646131144403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0.003623667777585765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0.003623667777585765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0.003623667777585765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0.003623667777585765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0.003438438068527427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0.003438438068527427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0.003438438068527427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0.003438438068527427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0.003549318871635101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0.003549318871635101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0.003549318871635101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0.003549318871635101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0.004307699399854103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0.004307699399854103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0.004307699399854103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0.004307699399854103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0.004488110344736434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0.004488110344736434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0.004488110344736434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0.004488110344736434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0.0003841529634689243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0.0003841529634689243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0.0001390264361000922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0.0001390264361000922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0.0001390264361000922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0.0001390264361000922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0.000111779330140243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0.000111779330140243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0.000111779330140243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0.000111779330140243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0.0001231751469036109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0.0001231751469036109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0.0001231751469036109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0.0001231751469036109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0.0001345258605471943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0.0001345258605471943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0.0001345258605471943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0.0001345258605471943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0.0006513467572015561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0.0006513467572015561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0.0006513467572015561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0.0006513467572015561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0.001315653038820061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0.001315653038820061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0.001315653038820061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0.001315653038820061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0.0008732508120770123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0.0008732508120770123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0.0008732508120770123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0.0008732508120770123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0.0002502099458267251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0.0002502099458267251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0.0002502099458267251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0.0002502099458267251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0.003124358001628617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0.003124358001628617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0.001632220780761479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0.001632220780761479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0.001632220780761479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0.001632220780761479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0.00140158663664389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0.00140158663664389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0.00140158663664389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0.00140158663664389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0.001692686298776073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0.001692686298776073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0.001692686298776073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0.001692686298776073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0.001793760568655381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0.001793760568655381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0.001793760568655381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0.001793760568655381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0.001948682866075438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0.001948682866075438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0.001948682866075438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0.001948682866075438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0.002165982249223189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0.002165982249223189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0.002165982249223189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0.002165982249223189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0.002592886630570088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0.002592886630570088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0.002592886630570088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0.002592886630570088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0.002899026218331452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0.002899026218331452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0.002899026218331452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0.002899026218331452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9.057990567226861e-05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9.057990567226861e-05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3.503918839643609e-05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3.503918839643609e-05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3.503918839643609e-05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3.503918839643609e-05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3.982044200799853e-05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3.982044200799853e-05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3.982044200799853e-05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3.982044200799853e-05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2.587438725908248e-05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2.587438725908248e-05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2.587438725908248e-05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2.587438725908248e-05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2.526664787077954e-05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2.526664787077954e-05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2.526664787077954e-05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2.526664787077954e-05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4.160857451933271e-05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4.160857451933271e-05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4.160857451933271e-05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4.160857451933271e-05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5.515369387842226e-05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5.515369387842226e-05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5.515369387842226e-05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5.515369387842226e-05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6.668823513724901e-05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6.668823513724901e-05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6.668823513724901e-05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6.668823513724901e-05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4.16343961259382e-05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4.16343961259382e-05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4.16343961259382e-05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4.16343961259382e-05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0.0002208059966333934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0.0002208059966333934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0.0002406941715906578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0.0002406941715906578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0.0002406941715906578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0.0002406941715906578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0.0001594746327182085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0.0001594746327182085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0.0001594746327182085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0.0001594746327182085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0.0001851830272816686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0.0001851830272816686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0.0001851830272816686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0.0001851830272816686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0.0001597196130332002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0.0001597196130332002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0.0001597196130332002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0.0001597196130332002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0.0002443095340322702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0.0002443095340322702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0.0002443095340322702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0.0002443095340322702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0.0002585009724587897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0.0002585009724587897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0.0002585009724587897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0.0002585009724587897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0.0004293942760772108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0.0004293942760772108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0.0004293942760772108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0.0004293942760772108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0.0003261007082368225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0.0003261007082368225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0.0003261007082368225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0.0003261007082368225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0.000424521823558062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0.000424521823558062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0.0003504166350459876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0.0003504166350459876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0.0003504166350459876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0.0003504166350459876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0.0003223172017899923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0.0003223172017899923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0.0003223172017899923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0.0003223172017899923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0.0002868207033714324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0.0002868207033714324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0.0002868207033714324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0.0002868207033714324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0.0004369880048209471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0.0004369880048209471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0.0004369880048209471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0.0004369880048209471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0.0004070565583372327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0.0004070565583372327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0.0004070565583372327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0.0004070565583372327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0.0004653402003036945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0.0004653402003036945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0.0004653402003036945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0.0004653402003036945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0.0004741618381988007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0.0004741618381988007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0.0004741618381988007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0.0004741618381988007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0.0003646358917262959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0.0003646358917262959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0.0003646358917262959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0.0003646358917262959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0.0001501342638873479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0.0001501342638873479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0.000180841469338877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0.000180841469338877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0.000180841469338877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0.000180841469338877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0.0002741898995379309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0.0002741898995379309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0.0002741898995379309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0.0002741898995379309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0.0004153917249743678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0.0004153917249743678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0.0004153917249743678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0.0004153917249743678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0.0003665754948697212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0.0003665754948697212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0.0003665754948697212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0.0003665754948697212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0.000351161032275658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0.000351161032275658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0.000351161032275658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0.000351161032275658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0.0003140712425546385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0.0003140712425546385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0.0003140712425546385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0.0003140712425546385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0.0003868157525857134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0.0003868157525857134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0.0003868157525857134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0.0003868157525857134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0.0004515435907302009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0.0004515435907302009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0.0004515435907302009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0.0004515435907302009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0.001953468073068516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0.001953468073068516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0.0003528745100217031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0.0003528745100217031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0.0003528745100217031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0.0003528745100217031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0.0003011088462783783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0.0003011088462783783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0.0003011088462783783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0.0003011088462783783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0.0003222174792008529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0.0003222174792008529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0.0003222174792008529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0.0003222174792008529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0.0002940679432833707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0.0002940679432833707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0.0002940679432833707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0.0002940679432833707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0.0004782380537953871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0.0004782380537953871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0.0004782380537953871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0.0004782380537953871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0.0003359132775435746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0.0003359132775435746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0.0003359132775435746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0.0003359132775435746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0.0003217891442840365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0.0003217891442840365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0.0003217891442840365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0.0003217891442840365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0.0002944772869532268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0.0002944772869532268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0.0002944772869532268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0.0002944772869532268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0.01746350432609218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0.01746350432609218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0.01160327020615414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0.01160327020615414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0.01160327020615414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0.01160327020615414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0.01279835574733507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0.01279835574733507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0.01279835574733507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0.01279835574733507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0.01474450928555945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0.01474450928555945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0.01474450928555945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0.01474450928555945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0.01511723534841359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0.01511723534841359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0.01511723534841359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0.01511723534841359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0.01525719723073514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0.01525719723073514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0.01525719723073514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0.01525719723073514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0.01955140239185482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0.01955140239185482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0.01955140239185482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0.01955140239185482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0.0231608823112768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0.0231608823112768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0.0231608823112768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0.0231608823112768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0.02513608296300211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0.02513608296300211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0.02513608296300211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0.02513608296300211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5.708343033184935e-05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5.708343033184935e-05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3.876805643465773e-05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3.876805643465773e-05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3.876805643465773e-05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3.876805643465773e-05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3.230258714149396e-05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3.230258714149396e-05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3.230258714149396e-05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3.230258714149396e-05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0.0001016340983504862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0.0001016340983504862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0.0001016340983504862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0.0001016340983504862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5.4892305598032e-05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5.4892305598032e-05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5.4892305598032e-05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5.4892305598032e-05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3.297192221297011e-05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3.297192221297011e-05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3.297192221297011e-05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3.297192221297011e-05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3.396654149228996e-05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3.396654149228996e-05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3.396654149228996e-05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3.396654149228996e-05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4.076093498661358e-05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4.076093498661358e-05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4.076093498661358e-05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4.076093498661358e-05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3.504126964292177e-05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3.504126964292177e-05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3.504126964292177e-05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3.504126964292177e-05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0.3559829624806633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0.3559829624806633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0.3121540842173101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0.3121540842173101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-0.1018077058059029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-0.1018077058059029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0.09086950763092645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0.09086950763092645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0.2906032720380992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0.2906032720380992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-0.02225989615286217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-0.02225989615286217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0.3539575313263112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0.3539575313263112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0.134751907544934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0.134751907544934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0.6040816483706614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0.6040816483706614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0.09300678985233143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0.09300678985233143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0.8542351266844175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0.8542351266844175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0.8542351266844175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0.8542351266844175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0.7931829875457063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0.7931829875457063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0.7931829875457063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0.7931829875457063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0.7432480548437116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0.7432480548437116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0.7432480548437116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0.7432480548437116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0.4838524040173269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0.4838524040173269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0.4838524040173269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0.4838524040173269</v>
      </c>
    </row>
    <row r="18">
      <c r="A18" t="inlineStr">
        <is>
          <t>AT</t>
        </is>
      </c>
      <c r="B18" t="inlineStr">
        <is>
          <t>Autumn2024</t>
        </is>
      </c>
      <c r="C18" t="inlineStr">
        <is>
          <t>Autumn</t>
        </is>
      </c>
      <c r="D18" t="n">
        <v>2025</v>
      </c>
      <c r="E18" t="n">
        <v>0.9930391223853752</v>
      </c>
      <c r="F18" t="n">
        <v>0.9524130020840387</v>
      </c>
      <c r="G18">
        <f>IF(OR(F18="",E18=""),"",F18-E18)</f>
        <v/>
      </c>
      <c r="H18" t="n">
        <v>0.06562263636895671</v>
      </c>
    </row>
    <row r="19">
      <c r="A19" t="inlineStr">
        <is>
          <t>AT</t>
        </is>
      </c>
      <c r="B19" t="inlineStr">
        <is>
          <t>Autumn2025</t>
        </is>
      </c>
      <c r="C19" t="inlineStr">
        <is>
          <t>Autumn</t>
        </is>
      </c>
      <c r="D19" t="n">
        <v>2025</v>
      </c>
      <c r="E19" t="n">
        <v>0.3143623002578089</v>
      </c>
      <c r="F19" t="n">
        <v>0.9524130020840387</v>
      </c>
      <c r="G19">
        <f>IF(OR(F19="",E19=""),"",F19-E19)</f>
        <v/>
      </c>
      <c r="H19" t="n">
        <v>0.06562263636895671</v>
      </c>
    </row>
    <row r="20">
      <c r="A20" t="inlineStr">
        <is>
          <t>AT</t>
        </is>
      </c>
      <c r="B20" t="inlineStr">
        <is>
          <t>Spring2024</t>
        </is>
      </c>
      <c r="C20" t="inlineStr">
        <is>
          <t>Spring</t>
        </is>
      </c>
      <c r="D20" t="n">
        <v>2025</v>
      </c>
      <c r="E20" t="n">
        <v>1.602019532183996</v>
      </c>
      <c r="F20" t="n">
        <v>0.9524130020840387</v>
      </c>
      <c r="G20">
        <f>IF(OR(F20="",E20=""),"",F20-E20)</f>
        <v/>
      </c>
      <c r="H20" t="n">
        <v>0.06562263636895671</v>
      </c>
    </row>
    <row r="21">
      <c r="A21" t="inlineStr">
        <is>
          <t>AT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-0.2827078301863684</v>
      </c>
      <c r="F21" t="n">
        <v>0.9524130020840387</v>
      </c>
      <c r="G21">
        <f>IF(OR(F21="",E21=""),"",F21-E21)</f>
        <v/>
      </c>
      <c r="H21" t="n">
        <v>0.06562263636895671</v>
      </c>
    </row>
    <row r="22">
      <c r="A22" t="inlineStr">
        <is>
          <t>AT</t>
        </is>
      </c>
      <c r="B22" t="inlineStr">
        <is>
          <t>Autumn2025</t>
        </is>
      </c>
      <c r="C22" t="inlineStr">
        <is>
          <t>Autumn</t>
        </is>
      </c>
      <c r="D22" t="n">
        <v>2026</v>
      </c>
      <c r="E22" t="n">
        <v>0.8846357045854569</v>
      </c>
      <c r="F22" t="n">
        <v/>
      </c>
      <c r="G22">
        <f>IF(OR(F22="",E22=""),"",F22-E22)</f>
        <v/>
      </c>
      <c r="H22" t="n">
        <v>0.3559829624806633</v>
      </c>
    </row>
    <row r="23">
      <c r="A23" t="inlineStr">
        <is>
          <t>AT</t>
        </is>
      </c>
      <c r="B23" t="inlineStr">
        <is>
          <t>Spring2025</t>
        </is>
      </c>
      <c r="C23" t="inlineStr">
        <is>
          <t>Spring</t>
        </is>
      </c>
      <c r="D23" t="n">
        <v>2026</v>
      </c>
      <c r="E23" t="n">
        <v>0.97202851159921</v>
      </c>
      <c r="F23" t="n">
        <v/>
      </c>
      <c r="G23">
        <f>IF(OR(F23="",E23=""),"",F23-E23)</f>
        <v/>
      </c>
      <c r="H23" t="n">
        <v>0.3559829624806633</v>
      </c>
    </row>
    <row r="24">
      <c r="A24" t="inlineStr">
        <is>
          <t>BE</t>
        </is>
      </c>
      <c r="B24" t="inlineStr">
        <is>
          <t>Autumn2020</t>
        </is>
      </c>
      <c r="C24" t="inlineStr">
        <is>
          <t>Autumn</t>
        </is>
      </c>
      <c r="D24" t="n">
        <v>2021</v>
      </c>
      <c r="E24" t="n">
        <v>4.123904979564874</v>
      </c>
      <c r="F24" t="n">
        <v>6.066717579844368</v>
      </c>
      <c r="G24">
        <f>IF(OR(F24="",E24=""),"",F24-E24)</f>
        <v/>
      </c>
      <c r="H24" t="n">
        <v>0.917412993890353</v>
      </c>
    </row>
    <row r="25">
      <c r="A25" t="inlineStr">
        <is>
          <t>BE</t>
        </is>
      </c>
      <c r="B25" t="inlineStr">
        <is>
          <t>Autumn2021</t>
        </is>
      </c>
      <c r="C25" t="inlineStr">
        <is>
          <t>Autumn</t>
        </is>
      </c>
      <c r="D25" t="n">
        <v>2021</v>
      </c>
      <c r="E25" t="n">
        <v>5.983602933941645</v>
      </c>
      <c r="F25" t="n">
        <v>6.066717579844368</v>
      </c>
      <c r="G25">
        <f>IF(OR(F25="",E25=""),"",F25-E25)</f>
        <v/>
      </c>
      <c r="H25" t="n">
        <v>0.917412993890353</v>
      </c>
    </row>
    <row r="26">
      <c r="A26" t="inlineStr">
        <is>
          <t>BE</t>
        </is>
      </c>
      <c r="B26" t="inlineStr">
        <is>
          <t>Spring2020</t>
        </is>
      </c>
      <c r="C26" t="inlineStr">
        <is>
          <t>Spring</t>
        </is>
      </c>
      <c r="D26" t="n">
        <v>2021</v>
      </c>
      <c r="E26" t="n">
        <v>6.68991298414483</v>
      </c>
      <c r="F26" t="n">
        <v>6.066717579844368</v>
      </c>
      <c r="G26">
        <f>IF(OR(F26="",E26=""),"",F26-E26)</f>
        <v/>
      </c>
      <c r="H26" t="n">
        <v>0.917412993890353</v>
      </c>
    </row>
    <row r="27">
      <c r="A27" t="inlineStr">
        <is>
          <t>BE</t>
        </is>
      </c>
      <c r="B27" t="inlineStr">
        <is>
          <t>Spring2021</t>
        </is>
      </c>
      <c r="C27" t="inlineStr">
        <is>
          <t>Spring</t>
        </is>
      </c>
      <c r="D27" t="n">
        <v>2021</v>
      </c>
      <c r="E27" t="n">
        <v>4.542307146368851</v>
      </c>
      <c r="F27" t="n">
        <v>6.066717579844368</v>
      </c>
      <c r="G27">
        <f>IF(OR(F27="",E27=""),"",F27-E27)</f>
        <v/>
      </c>
      <c r="H27" t="n">
        <v>0.917412993890353</v>
      </c>
    </row>
    <row r="28">
      <c r="A28" t="inlineStr">
        <is>
          <t>BE</t>
        </is>
      </c>
      <c r="B28" t="inlineStr">
        <is>
          <t>Autumn2021</t>
        </is>
      </c>
      <c r="C28" t="inlineStr">
        <is>
          <t>Autumn</t>
        </is>
      </c>
      <c r="D28" t="n">
        <v>2022</v>
      </c>
      <c r="E28" t="n">
        <v>2.647136452938059</v>
      </c>
      <c r="F28" t="n">
        <v>3.945716681463399</v>
      </c>
      <c r="G28">
        <f>IF(OR(F28="",E28=""),"",F28-E28)</f>
        <v/>
      </c>
      <c r="H28" t="n">
        <v>0.8630359765160468</v>
      </c>
    </row>
    <row r="29">
      <c r="A29" t="inlineStr">
        <is>
          <t>BE</t>
        </is>
      </c>
      <c r="B29" t="inlineStr">
        <is>
          <t>Autumn2022</t>
        </is>
      </c>
      <c r="C29" t="inlineStr">
        <is>
          <t>Autumn</t>
        </is>
      </c>
      <c r="D29" t="n">
        <v>2022</v>
      </c>
      <c r="E29" t="n">
        <v>2.817114751231209</v>
      </c>
      <c r="F29" t="n">
        <v>3.945716681463399</v>
      </c>
      <c r="G29">
        <f>IF(OR(F29="",E29=""),"",F29-E29)</f>
        <v/>
      </c>
      <c r="H29" t="n">
        <v>0.8630359765160468</v>
      </c>
    </row>
    <row r="30">
      <c r="A30" t="inlineStr">
        <is>
          <t>BE</t>
        </is>
      </c>
      <c r="B30" t="inlineStr">
        <is>
          <t>Spring2021</t>
        </is>
      </c>
      <c r="C30" t="inlineStr">
        <is>
          <t>Spring</t>
        </is>
      </c>
      <c r="D30" t="n">
        <v>2022</v>
      </c>
      <c r="E30" t="n">
        <v>3.671117125209777</v>
      </c>
      <c r="F30" t="n">
        <v>3.945716681463399</v>
      </c>
      <c r="G30">
        <f>IF(OR(F30="",E30=""),"",F30-E30)</f>
        <v/>
      </c>
      <c r="H30" t="n">
        <v>0.8630359765160468</v>
      </c>
    </row>
    <row r="31">
      <c r="A31" t="inlineStr">
        <is>
          <t>BE</t>
        </is>
      </c>
      <c r="B31" t="inlineStr">
        <is>
          <t>Spring2022</t>
        </is>
      </c>
      <c r="C31" t="inlineStr">
        <is>
          <t>Spring</t>
        </is>
      </c>
      <c r="D31" t="n">
        <v>2022</v>
      </c>
      <c r="E31" t="n">
        <v>2.016579561869025</v>
      </c>
      <c r="F31" t="n">
        <v>3.945716681463399</v>
      </c>
      <c r="G31">
        <f>IF(OR(F31="",E31=""),"",F31-E31)</f>
        <v/>
      </c>
      <c r="H31" t="n">
        <v>0.8630359765160468</v>
      </c>
    </row>
    <row r="32">
      <c r="A32" t="inlineStr">
        <is>
          <t>BE</t>
        </is>
      </c>
      <c r="B32" t="inlineStr">
        <is>
          <t>Autumn2022</t>
        </is>
      </c>
      <c r="C32" t="inlineStr">
        <is>
          <t>Autumn</t>
        </is>
      </c>
      <c r="D32" t="n">
        <v>2023</v>
      </c>
      <c r="E32" t="n">
        <v>0.1608186912456899</v>
      </c>
      <c r="F32" t="n">
        <v>1.549182781075526</v>
      </c>
      <c r="G32">
        <f>IF(OR(F32="",E32=""),"",F32-E32)</f>
        <v/>
      </c>
      <c r="H32" t="n">
        <v>0.7174356830636816</v>
      </c>
    </row>
    <row r="33">
      <c r="A33" t="inlineStr">
        <is>
          <t>BE</t>
        </is>
      </c>
      <c r="B33" t="inlineStr">
        <is>
          <t>Autumn2023</t>
        </is>
      </c>
      <c r="C33" t="inlineStr">
        <is>
          <t>Autumn</t>
        </is>
      </c>
      <c r="D33" t="n">
        <v>2023</v>
      </c>
      <c r="E33" t="n">
        <v>1.44096095579862</v>
      </c>
      <c r="F33" t="n">
        <v>1.549182781075526</v>
      </c>
      <c r="G33">
        <f>IF(OR(F33="",E33=""),"",F33-E33)</f>
        <v/>
      </c>
      <c r="H33" t="n">
        <v>0.7174356830636816</v>
      </c>
    </row>
    <row r="34">
      <c r="A34" t="inlineStr">
        <is>
          <t>BE</t>
        </is>
      </c>
      <c r="B34" t="inlineStr">
        <is>
          <t>Spring2022</t>
        </is>
      </c>
      <c r="C34" t="inlineStr">
        <is>
          <t>Spring</t>
        </is>
      </c>
      <c r="D34" t="n">
        <v>2023</v>
      </c>
      <c r="E34" t="n">
        <v>1.776624080830547</v>
      </c>
      <c r="F34" t="n">
        <v>1.549182781075526</v>
      </c>
      <c r="G34">
        <f>IF(OR(F34="",E34=""),"",F34-E34)</f>
        <v/>
      </c>
      <c r="H34" t="n">
        <v>0.7174356830636816</v>
      </c>
    </row>
    <row r="35">
      <c r="A35" t="inlineStr">
        <is>
          <t>BE</t>
        </is>
      </c>
      <c r="B35" t="inlineStr">
        <is>
          <t>Spring2023</t>
        </is>
      </c>
      <c r="C35" t="inlineStr">
        <is>
          <t>Spring</t>
        </is>
      </c>
      <c r="D35" t="n">
        <v>2023</v>
      </c>
      <c r="E35" t="n">
        <v>1.233072806561886</v>
      </c>
      <c r="F35" t="n">
        <v>1.549182781075526</v>
      </c>
      <c r="G35">
        <f>IF(OR(F35="",E35=""),"",F35-E35)</f>
        <v/>
      </c>
      <c r="H35" t="n">
        <v>0.7174356830636816</v>
      </c>
    </row>
    <row r="36">
      <c r="A36" t="inlineStr">
        <is>
          <t>BE</t>
        </is>
      </c>
      <c r="B36" t="inlineStr">
        <is>
          <t>Autumn2023</t>
        </is>
      </c>
      <c r="C36" t="inlineStr">
        <is>
          <t>Autumn</t>
        </is>
      </c>
      <c r="D36" t="n">
        <v>2024</v>
      </c>
      <c r="E36" t="n">
        <v>1.366814397179428</v>
      </c>
      <c r="F36" t="n">
        <v>1.091758418498549</v>
      </c>
      <c r="G36">
        <f>IF(OR(F36="",E36=""),"",F36-E36)</f>
        <v/>
      </c>
      <c r="H36" t="n">
        <v>0.2185931404993234</v>
      </c>
    </row>
    <row r="37">
      <c r="A37" t="inlineStr">
        <is>
          <t>BE</t>
        </is>
      </c>
      <c r="B37" t="inlineStr">
        <is>
          <t>Autumn2024</t>
        </is>
      </c>
      <c r="C37" t="inlineStr">
        <is>
          <t>Autumn</t>
        </is>
      </c>
      <c r="D37" t="n">
        <v>2024</v>
      </c>
      <c r="E37" t="n">
        <v>1.144309940913812</v>
      </c>
      <c r="F37" t="n">
        <v>1.091758418498549</v>
      </c>
      <c r="G37">
        <f>IF(OR(F37="",E37=""),"",F37-E37)</f>
        <v/>
      </c>
      <c r="H37" t="n">
        <v>0.2185931404993234</v>
      </c>
    </row>
    <row r="38">
      <c r="A38" t="inlineStr">
        <is>
          <t>BE</t>
        </is>
      </c>
      <c r="B38" t="inlineStr">
        <is>
          <t>Spring2023</t>
        </is>
      </c>
      <c r="C38" t="inlineStr">
        <is>
          <t>Spring</t>
        </is>
      </c>
      <c r="D38" t="n">
        <v>2024</v>
      </c>
      <c r="E38" t="n">
        <v>1.361184496232393</v>
      </c>
      <c r="F38" t="n">
        <v>1.091758418498549</v>
      </c>
      <c r="G38">
        <f>IF(OR(F38="",E38=""),"",F38-E38)</f>
        <v/>
      </c>
      <c r="H38" t="n">
        <v>0.2185931404993234</v>
      </c>
    </row>
    <row r="39">
      <c r="A39" t="inlineStr">
        <is>
          <t>BE</t>
        </is>
      </c>
      <c r="B39" t="inlineStr">
        <is>
          <t>Spring2024</t>
        </is>
      </c>
      <c r="C39" t="inlineStr">
        <is>
          <t>Spring</t>
        </is>
      </c>
      <c r="D39" t="n">
        <v>2024</v>
      </c>
      <c r="E39" t="n">
        <v>1.27417313530005</v>
      </c>
      <c r="F39" t="n">
        <v>1.091758418498549</v>
      </c>
      <c r="G39">
        <f>IF(OR(F39="",E39=""),"",F39-E39)</f>
        <v/>
      </c>
      <c r="H39" t="n">
        <v>0.2185931404993234</v>
      </c>
    </row>
    <row r="40">
      <c r="A40" t="inlineStr">
        <is>
          <t>BE</t>
        </is>
      </c>
      <c r="B40" t="inlineStr">
        <is>
          <t>Autumn2024</t>
        </is>
      </c>
      <c r="C40" t="inlineStr">
        <is>
          <t>Autumn</t>
        </is>
      </c>
      <c r="D40" t="n">
        <v>2025</v>
      </c>
      <c r="E40" t="n">
        <v>1.244583216913275</v>
      </c>
      <c r="F40" t="n">
        <v>0.9783351307489526</v>
      </c>
      <c r="G40">
        <f>IF(OR(F40="",E40=""),"",F40-E40)</f>
        <v/>
      </c>
      <c r="H40" t="n">
        <v>0.02706280600448911</v>
      </c>
    </row>
    <row r="41">
      <c r="A41" t="inlineStr">
        <is>
          <t>BE</t>
        </is>
      </c>
      <c r="B41" t="inlineStr">
        <is>
          <t>Autumn2025</t>
        </is>
      </c>
      <c r="C41" t="inlineStr">
        <is>
          <t>Autumn</t>
        </is>
      </c>
      <c r="D41" t="n">
        <v>2025</v>
      </c>
      <c r="E41" t="n">
        <v>0.9978473576010671</v>
      </c>
      <c r="F41" t="n">
        <v>0.9783351307489526</v>
      </c>
      <c r="G41">
        <f>IF(OR(F41="",E41=""),"",F41-E41)</f>
        <v/>
      </c>
      <c r="H41" t="n">
        <v>0.02706280600448911</v>
      </c>
    </row>
    <row r="42">
      <c r="A42" t="inlineStr">
        <is>
          <t>BE</t>
        </is>
      </c>
      <c r="B42" t="inlineStr">
        <is>
          <t>Spring2024</t>
        </is>
      </c>
      <c r="C42" t="inlineStr">
        <is>
          <t>Spring</t>
        </is>
      </c>
      <c r="D42" t="n">
        <v>2025</v>
      </c>
      <c r="E42" t="n">
        <v>1.3772936758913</v>
      </c>
      <c r="F42" t="n">
        <v>0.9783351307489526</v>
      </c>
      <c r="G42">
        <f>IF(OR(F42="",E42=""),"",F42-E42)</f>
        <v/>
      </c>
      <c r="H42" t="n">
        <v>0.02706280600448911</v>
      </c>
    </row>
    <row r="43">
      <c r="A43" t="inlineStr">
        <is>
          <t>BE</t>
        </is>
      </c>
      <c r="B43" t="inlineStr">
        <is>
          <t>Spring2025</t>
        </is>
      </c>
      <c r="C43" t="inlineStr">
        <is>
          <t>Spring</t>
        </is>
      </c>
      <c r="D43" t="n">
        <v>2025</v>
      </c>
      <c r="E43" t="n">
        <v>0.7689381594133238</v>
      </c>
      <c r="F43" t="n">
        <v>0.9783351307489526</v>
      </c>
      <c r="G43">
        <f>IF(OR(F43="",E43=""),"",F43-E43)</f>
        <v/>
      </c>
      <c r="H43" t="n">
        <v>0.02706280600448911</v>
      </c>
    </row>
    <row r="44">
      <c r="A44" t="inlineStr">
        <is>
          <t>BE</t>
        </is>
      </c>
      <c r="B44" t="inlineStr">
        <is>
          <t>Autumn2025</t>
        </is>
      </c>
      <c r="C44" t="inlineStr">
        <is>
          <t>Autumn</t>
        </is>
      </c>
      <c r="D44" t="n">
        <v>2026</v>
      </c>
      <c r="E44" t="n">
        <v>1.147005147092761</v>
      </c>
      <c r="F44" t="n">
        <v/>
      </c>
      <c r="G44">
        <f>IF(OR(F44="",E44=""),"",F44-E44)</f>
        <v/>
      </c>
      <c r="H44" t="n">
        <v>0.3121540842173101</v>
      </c>
    </row>
    <row r="45">
      <c r="A45" t="inlineStr">
        <is>
          <t>BE</t>
        </is>
      </c>
      <c r="B45" t="inlineStr">
        <is>
          <t>Spring2025</t>
        </is>
      </c>
      <c r="C45" t="inlineStr">
        <is>
          <t>Spring</t>
        </is>
      </c>
      <c r="D45" t="n">
        <v>2026</v>
      </c>
      <c r="E45" t="n">
        <v>0.8575282054287259</v>
      </c>
      <c r="F45" t="n">
        <v/>
      </c>
      <c r="G45">
        <f>IF(OR(F45="",E45=""),"",F45-E45)</f>
        <v/>
      </c>
      <c r="H45" t="n">
        <v>0.3121540842173101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0.9411231129353994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0.9411231129353994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0.9411231129353994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0.9411231129353994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0.9099167572496889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0.9099167572496889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0.9099167572496889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0.9099167572496889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0.8939279367094647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0.8939279367094647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0.8939279367094647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0.8939279367094647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0.7377443970008506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0.7377443970008506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0.7377443970008506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0.7377443970008506</v>
      </c>
    </row>
    <row r="62">
      <c r="A62" t="inlineStr">
        <is>
          <t>DE</t>
        </is>
      </c>
      <c r="B62" t="inlineStr">
        <is>
          <t>Autumn2024</t>
        </is>
      </c>
      <c r="C62" t="inlineStr">
        <is>
          <t>Autumn</t>
        </is>
      </c>
      <c r="D62" t="n">
        <v>2025</v>
      </c>
      <c r="E62" t="n">
        <v>0.6933380823341828</v>
      </c>
      <c r="F62" t="n">
        <v>0.3402558811283772</v>
      </c>
      <c r="G62">
        <f>IF(OR(F62="",E62=""),"",F62-E62)</f>
        <v/>
      </c>
      <c r="H62" t="n">
        <v>0.006156795098835925</v>
      </c>
    </row>
    <row r="63">
      <c r="A63" t="inlineStr">
        <is>
          <t>DE</t>
        </is>
      </c>
      <c r="B63" t="inlineStr">
        <is>
          <t>Autumn2025</t>
        </is>
      </c>
      <c r="C63" t="inlineStr">
        <is>
          <t>Autumn</t>
        </is>
      </c>
      <c r="D63" t="n">
        <v>2025</v>
      </c>
      <c r="E63" t="n">
        <v>0.1706874881985287</v>
      </c>
      <c r="F63" t="n">
        <v>0.3402558811283772</v>
      </c>
      <c r="G63">
        <f>IF(OR(F63="",E63=""),"",F63-E63)</f>
        <v/>
      </c>
      <c r="H63" t="n">
        <v>0.006156795098835925</v>
      </c>
    </row>
    <row r="64">
      <c r="A64" t="inlineStr">
        <is>
          <t>DE</t>
        </is>
      </c>
      <c r="B64" t="inlineStr">
        <is>
          <t>Spring2024</t>
        </is>
      </c>
      <c r="C64" t="inlineStr">
        <is>
          <t>Spring</t>
        </is>
      </c>
      <c r="D64" t="n">
        <v>2025</v>
      </c>
      <c r="E64" t="n">
        <v>1.014129227832639</v>
      </c>
      <c r="F64" t="n">
        <v>0.3402558811283772</v>
      </c>
      <c r="G64">
        <f>IF(OR(F64="",E64=""),"",F64-E64)</f>
        <v/>
      </c>
      <c r="H64" t="n">
        <v>0.006156795098835925</v>
      </c>
    </row>
    <row r="65">
      <c r="A65" t="inlineStr">
        <is>
          <t>DE</t>
        </is>
      </c>
      <c r="B65" t="inlineStr">
        <is>
          <t>Spring2025</t>
        </is>
      </c>
      <c r="C65" t="inlineStr">
        <is>
          <t>Spring</t>
        </is>
      </c>
      <c r="D65" t="n">
        <v>2025</v>
      </c>
      <c r="E65" t="n">
        <v>-0.02983152121627253</v>
      </c>
      <c r="F65" t="n">
        <v>0.3402558811283772</v>
      </c>
      <c r="G65">
        <f>IF(OR(F65="",E65=""),"",F65-E65)</f>
        <v/>
      </c>
      <c r="H65" t="n">
        <v>0.006156795098835925</v>
      </c>
    </row>
    <row r="66">
      <c r="A66" t="inlineStr">
        <is>
          <t>DE</t>
        </is>
      </c>
      <c r="B66" t="inlineStr">
        <is>
          <t>Autumn2025</t>
        </is>
      </c>
      <c r="C66" t="inlineStr">
        <is>
          <t>Autumn</t>
        </is>
      </c>
      <c r="D66" t="n">
        <v>2026</v>
      </c>
      <c r="E66" t="n">
        <v>1.215589257836536</v>
      </c>
      <c r="F66" t="n">
        <v/>
      </c>
      <c r="G66">
        <f>IF(OR(F66="",E66=""),"",F66-E66)</f>
        <v/>
      </c>
      <c r="H66" t="n">
        <v>-0.1018077058059029</v>
      </c>
    </row>
    <row r="67">
      <c r="A67" t="inlineStr">
        <is>
          <t>DE</t>
        </is>
      </c>
      <c r="B67" t="inlineStr">
        <is>
          <t>Spring2025</t>
        </is>
      </c>
      <c r="C67" t="inlineStr">
        <is>
          <t>Spring</t>
        </is>
      </c>
      <c r="D67" t="n">
        <v>2026</v>
      </c>
      <c r="E67" t="n">
        <v>1.095748100238314</v>
      </c>
      <c r="F67" t="n">
        <v/>
      </c>
      <c r="G67">
        <f>IF(OR(F67="",E67=""),"",F67-E67)</f>
        <v/>
      </c>
      <c r="H67" t="n">
        <v>-0.1018077058059029</v>
      </c>
    </row>
    <row r="68">
      <c r="A68" t="inlineStr">
        <is>
          <t>ES</t>
        </is>
      </c>
      <c r="B68" t="inlineStr">
        <is>
          <t>Autumn2020</t>
        </is>
      </c>
      <c r="C68" t="inlineStr">
        <is>
          <t>Autumn</t>
        </is>
      </c>
      <c r="D68" t="n">
        <v>2021</v>
      </c>
      <c r="E68" t="n">
        <v>5.350853621568263</v>
      </c>
      <c r="F68" t="n">
        <v>6.469314314287704</v>
      </c>
      <c r="G68">
        <f>IF(OR(F68="",E68=""),"",F68-E68)</f>
        <v/>
      </c>
      <c r="H68" t="n">
        <v>0.8616002157131979</v>
      </c>
    </row>
    <row r="69">
      <c r="A69" t="inlineStr">
        <is>
          <t>ES</t>
        </is>
      </c>
      <c r="B69" t="inlineStr">
        <is>
          <t>Autumn2021</t>
        </is>
      </c>
      <c r="C69" t="inlineStr">
        <is>
          <t>Autumn</t>
        </is>
      </c>
      <c r="D69" t="n">
        <v>2021</v>
      </c>
      <c r="E69" t="n">
        <v>4.623451084710362</v>
      </c>
      <c r="F69" t="n">
        <v>6.469314314287704</v>
      </c>
      <c r="G69">
        <f>IF(OR(F69="",E69=""),"",F69-E69)</f>
        <v/>
      </c>
      <c r="H69" t="n">
        <v>0.8616002157131979</v>
      </c>
    </row>
    <row r="70">
      <c r="A70" t="inlineStr">
        <is>
          <t>ES</t>
        </is>
      </c>
      <c r="B70" t="inlineStr">
        <is>
          <t>Spring2020</t>
        </is>
      </c>
      <c r="C70" t="inlineStr">
        <is>
          <t>Spring</t>
        </is>
      </c>
      <c r="D70" t="n">
        <v>2021</v>
      </c>
      <c r="E70" t="n">
        <v>6.976175954197417</v>
      </c>
      <c r="F70" t="n">
        <v>6.469314314287704</v>
      </c>
      <c r="G70">
        <f>IF(OR(F70="",E70=""),"",F70-E70)</f>
        <v/>
      </c>
      <c r="H70" t="n">
        <v>0.8616002157131979</v>
      </c>
    </row>
    <row r="71">
      <c r="A71" t="inlineStr">
        <is>
          <t>ES</t>
        </is>
      </c>
      <c r="B71" t="inlineStr">
        <is>
          <t>Spring2021</t>
        </is>
      </c>
      <c r="C71" t="inlineStr">
        <is>
          <t>Spring</t>
        </is>
      </c>
      <c r="D71" t="n">
        <v>2021</v>
      </c>
      <c r="E71" t="n">
        <v>5.88125326449247</v>
      </c>
      <c r="F71" t="n">
        <v>6.469314314287704</v>
      </c>
      <c r="G71">
        <f>IF(OR(F71="",E71=""),"",F71-E71)</f>
        <v/>
      </c>
      <c r="H71" t="n">
        <v>0.8616002157131979</v>
      </c>
    </row>
    <row r="72">
      <c r="A72" t="inlineStr">
        <is>
          <t>ES</t>
        </is>
      </c>
      <c r="B72" t="inlineStr">
        <is>
          <t>Autumn2021</t>
        </is>
      </c>
      <c r="C72" t="inlineStr">
        <is>
          <t>Autumn</t>
        </is>
      </c>
      <c r="D72" t="n">
        <v>2022</v>
      </c>
      <c r="E72" t="n">
        <v>5.527823615283389</v>
      </c>
      <c r="F72" t="n">
        <v>6.175712557377276</v>
      </c>
      <c r="G72">
        <f>IF(OR(F72="",E72=""),"",F72-E72)</f>
        <v/>
      </c>
      <c r="H72" t="n">
        <v>0.5919056004278235</v>
      </c>
    </row>
    <row r="73">
      <c r="A73" t="inlineStr">
        <is>
          <t>ES</t>
        </is>
      </c>
      <c r="B73" t="inlineStr">
        <is>
          <t>Autumn2022</t>
        </is>
      </c>
      <c r="C73" t="inlineStr">
        <is>
          <t>Autumn</t>
        </is>
      </c>
      <c r="D73" t="n">
        <v>2022</v>
      </c>
      <c r="E73" t="n">
        <v>4.547669246739372</v>
      </c>
      <c r="F73" t="n">
        <v>6.175712557377276</v>
      </c>
      <c r="G73">
        <f>IF(OR(F73="",E73=""),"",F73-E73)</f>
        <v/>
      </c>
      <c r="H73" t="n">
        <v>0.5919056004278235</v>
      </c>
    </row>
    <row r="74">
      <c r="A74" t="inlineStr">
        <is>
          <t>ES</t>
        </is>
      </c>
      <c r="B74" t="inlineStr">
        <is>
          <t>Spring2021</t>
        </is>
      </c>
      <c r="C74" t="inlineStr">
        <is>
          <t>Spring</t>
        </is>
      </c>
      <c r="D74" t="n">
        <v>2022</v>
      </c>
      <c r="E74" t="n">
        <v>6.777991800115157</v>
      </c>
      <c r="F74" t="n">
        <v>6.175712557377276</v>
      </c>
      <c r="G74">
        <f>IF(OR(F74="",E74=""),"",F74-E74)</f>
        <v/>
      </c>
      <c r="H74" t="n">
        <v>0.5919056004278235</v>
      </c>
    </row>
    <row r="75">
      <c r="A75" t="inlineStr">
        <is>
          <t>ES</t>
        </is>
      </c>
      <c r="B75" t="inlineStr">
        <is>
          <t>Spring2022</t>
        </is>
      </c>
      <c r="C75" t="inlineStr">
        <is>
          <t>Spring</t>
        </is>
      </c>
      <c r="D75" t="n">
        <v>2022</v>
      </c>
      <c r="E75" t="n">
        <v>4.026089481560913</v>
      </c>
      <c r="F75" t="n">
        <v>6.175712557377276</v>
      </c>
      <c r="G75">
        <f>IF(OR(F75="",E75=""),"",F75-E75)</f>
        <v/>
      </c>
      <c r="H75" t="n">
        <v>0.5919056004278235</v>
      </c>
    </row>
    <row r="76">
      <c r="A76" t="inlineStr">
        <is>
          <t>ES</t>
        </is>
      </c>
      <c r="B76" t="inlineStr">
        <is>
          <t>Autumn2022</t>
        </is>
      </c>
      <c r="C76" t="inlineStr">
        <is>
          <t>Autumn</t>
        </is>
      </c>
      <c r="D76" t="n">
        <v>2023</v>
      </c>
      <c r="E76" t="n">
        <v>0.9550399603865944</v>
      </c>
      <c r="F76" t="n">
        <v>2.430978463969634</v>
      </c>
      <c r="G76">
        <f>IF(OR(F76="",E76=""),"",F76-E76)</f>
        <v/>
      </c>
      <c r="H76" t="n">
        <v>0.7385124575332533</v>
      </c>
    </row>
    <row r="77">
      <c r="A77" t="inlineStr">
        <is>
          <t>ES</t>
        </is>
      </c>
      <c r="B77" t="inlineStr">
        <is>
          <t>Autumn2023</t>
        </is>
      </c>
      <c r="C77" t="inlineStr">
        <is>
          <t>Autumn</t>
        </is>
      </c>
      <c r="D77" t="n">
        <v>2023</v>
      </c>
      <c r="E77" t="n">
        <v>2.365484497228709</v>
      </c>
      <c r="F77" t="n">
        <v>2.430978463969634</v>
      </c>
      <c r="G77">
        <f>IF(OR(F77="",E77=""),"",F77-E77)</f>
        <v/>
      </c>
      <c r="H77" t="n">
        <v>0.7385124575332533</v>
      </c>
    </row>
    <row r="78">
      <c r="A78" t="inlineStr">
        <is>
          <t>ES</t>
        </is>
      </c>
      <c r="B78" t="inlineStr">
        <is>
          <t>Spring2022</t>
        </is>
      </c>
      <c r="C78" t="inlineStr">
        <is>
          <t>Spring</t>
        </is>
      </c>
      <c r="D78" t="n">
        <v>2023</v>
      </c>
      <c r="E78" t="n">
        <v>3.37296849743105</v>
      </c>
      <c r="F78" t="n">
        <v>2.430978463969634</v>
      </c>
      <c r="G78">
        <f>IF(OR(F78="",E78=""),"",F78-E78)</f>
        <v/>
      </c>
      <c r="H78" t="n">
        <v>0.7385124575332533</v>
      </c>
    </row>
    <row r="79">
      <c r="A79" t="inlineStr">
        <is>
          <t>ES</t>
        </is>
      </c>
      <c r="B79" t="inlineStr">
        <is>
          <t>Spring2023</t>
        </is>
      </c>
      <c r="C79" t="inlineStr">
        <is>
          <t>Spring</t>
        </is>
      </c>
      <c r="D79" t="n">
        <v>2023</v>
      </c>
      <c r="E79" t="n">
        <v>1.936681176345667</v>
      </c>
      <c r="F79" t="n">
        <v>2.430978463969634</v>
      </c>
      <c r="G79">
        <f>IF(OR(F79="",E79=""),"",F79-E79)</f>
        <v/>
      </c>
      <c r="H79" t="n">
        <v>0.7385124575332533</v>
      </c>
    </row>
    <row r="80">
      <c r="A80" t="inlineStr">
        <is>
          <t>ES</t>
        </is>
      </c>
      <c r="B80" t="inlineStr">
        <is>
          <t>Autumn2023</t>
        </is>
      </c>
      <c r="C80" t="inlineStr">
        <is>
          <t>Autumn</t>
        </is>
      </c>
      <c r="D80" t="n">
        <v>2024</v>
      </c>
      <c r="E80" t="n">
        <v>1.660542743130144</v>
      </c>
      <c r="F80" t="n">
        <v>3.396903137344779</v>
      </c>
      <c r="G80">
        <f>IF(OR(F80="",E80=""),"",F80-E80)</f>
        <v/>
      </c>
      <c r="H80" t="n">
        <v>0.6848548266507269</v>
      </c>
    </row>
    <row r="81">
      <c r="A81" t="inlineStr">
        <is>
          <t>ES</t>
        </is>
      </c>
      <c r="B81" t="inlineStr">
        <is>
          <t>Autumn2024</t>
        </is>
      </c>
      <c r="C81" t="inlineStr">
        <is>
          <t>Autumn</t>
        </is>
      </c>
      <c r="D81" t="n">
        <v>2024</v>
      </c>
      <c r="E81" t="n">
        <v>2.966936931003072</v>
      </c>
      <c r="F81" t="n">
        <v>3.396903137344779</v>
      </c>
      <c r="G81">
        <f>IF(OR(F81="",E81=""),"",F81-E81)</f>
        <v/>
      </c>
      <c r="H81" t="n">
        <v>0.6848548266507269</v>
      </c>
    </row>
    <row r="82">
      <c r="A82" t="inlineStr">
        <is>
          <t>ES</t>
        </is>
      </c>
      <c r="B82" t="inlineStr">
        <is>
          <t>Spring2023</t>
        </is>
      </c>
      <c r="C82" t="inlineStr">
        <is>
          <t>Spring</t>
        </is>
      </c>
      <c r="D82" t="n">
        <v>2024</v>
      </c>
      <c r="E82" t="n">
        <v>1.964876847331687</v>
      </c>
      <c r="F82" t="n">
        <v>3.396903137344779</v>
      </c>
      <c r="G82">
        <f>IF(OR(F82="",E82=""),"",F82-E82)</f>
        <v/>
      </c>
      <c r="H82" t="n">
        <v>0.6848548266507269</v>
      </c>
    </row>
    <row r="83">
      <c r="A83" t="inlineStr">
        <is>
          <t>ES</t>
        </is>
      </c>
      <c r="B83" t="inlineStr">
        <is>
          <t>Spring2024</t>
        </is>
      </c>
      <c r="C83" t="inlineStr">
        <is>
          <t>Spring</t>
        </is>
      </c>
      <c r="D83" t="n">
        <v>2024</v>
      </c>
      <c r="E83" t="n">
        <v>2.144730461207822</v>
      </c>
      <c r="F83" t="n">
        <v>3.396903137344779</v>
      </c>
      <c r="G83">
        <f>IF(OR(F83="",E83=""),"",F83-E83)</f>
        <v/>
      </c>
      <c r="H83" t="n">
        <v>0.6848548266507269</v>
      </c>
    </row>
    <row r="84">
      <c r="A84" t="inlineStr">
        <is>
          <t>ES</t>
        </is>
      </c>
      <c r="B84" t="inlineStr">
        <is>
          <t>Autumn2024</t>
        </is>
      </c>
      <c r="C84" t="inlineStr">
        <is>
          <t>Autumn</t>
        </is>
      </c>
      <c r="D84" t="n">
        <v>2025</v>
      </c>
      <c r="E84" t="n">
        <v>2.346065305084433</v>
      </c>
      <c r="F84" t="n">
        <v>2.785785224373413</v>
      </c>
      <c r="G84">
        <f>IF(OR(F84="",E84=""),"",F84-E84)</f>
        <v/>
      </c>
      <c r="H84" t="n">
        <v>-0.02956730316260038</v>
      </c>
    </row>
    <row r="85">
      <c r="A85" t="inlineStr">
        <is>
          <t>ES</t>
        </is>
      </c>
      <c r="B85" t="inlineStr">
        <is>
          <t>Autumn2025</t>
        </is>
      </c>
      <c r="C85" t="inlineStr">
        <is>
          <t>Autumn</t>
        </is>
      </c>
      <c r="D85" t="n">
        <v>2025</v>
      </c>
      <c r="E85" t="n">
        <v>2.868040959329998</v>
      </c>
      <c r="F85" t="n">
        <v>2.785785224373413</v>
      </c>
      <c r="G85">
        <f>IF(OR(F85="",E85=""),"",F85-E85)</f>
        <v/>
      </c>
      <c r="H85" t="n">
        <v>-0.02956730316260038</v>
      </c>
    </row>
    <row r="86">
      <c r="A86" t="inlineStr">
        <is>
          <t>ES</t>
        </is>
      </c>
      <c r="B86" t="inlineStr">
        <is>
          <t>Spring2024</t>
        </is>
      </c>
      <c r="C86" t="inlineStr">
        <is>
          <t>Spring</t>
        </is>
      </c>
      <c r="D86" t="n">
        <v>2025</v>
      </c>
      <c r="E86" t="n">
        <v>1.947420292593427</v>
      </c>
      <c r="F86" t="n">
        <v>2.785785224373413</v>
      </c>
      <c r="G86">
        <f>IF(OR(F86="",E86=""),"",F86-E86)</f>
        <v/>
      </c>
      <c r="H86" t="n">
        <v>-0.02956730316260038</v>
      </c>
    </row>
    <row r="87">
      <c r="A87" t="inlineStr">
        <is>
          <t>ES</t>
        </is>
      </c>
      <c r="B87" t="inlineStr">
        <is>
          <t>Spring2025</t>
        </is>
      </c>
      <c r="C87" t="inlineStr">
        <is>
          <t>Spring</t>
        </is>
      </c>
      <c r="D87" t="n">
        <v>2025</v>
      </c>
      <c r="E87" t="n">
        <v>2.551006850124016</v>
      </c>
      <c r="F87" t="n">
        <v>2.785785224373413</v>
      </c>
      <c r="G87">
        <f>IF(OR(F87="",E87=""),"",F87-E87)</f>
        <v/>
      </c>
      <c r="H87" t="n">
        <v>-0.02956730316260038</v>
      </c>
    </row>
    <row r="88">
      <c r="A88" t="inlineStr">
        <is>
          <t>ES</t>
        </is>
      </c>
      <c r="B88" t="inlineStr">
        <is>
          <t>Autumn2025</t>
        </is>
      </c>
      <c r="C88" t="inlineStr">
        <is>
          <t>Autumn</t>
        </is>
      </c>
      <c r="D88" t="n">
        <v>2026</v>
      </c>
      <c r="E88" t="n">
        <v>2.279179840413703</v>
      </c>
      <c r="F88" t="n">
        <v/>
      </c>
      <c r="G88">
        <f>IF(OR(F88="",E88=""),"",F88-E88)</f>
        <v/>
      </c>
      <c r="H88" t="n">
        <v>0.09086950763092645</v>
      </c>
    </row>
    <row r="89">
      <c r="A89" t="inlineStr">
        <is>
          <t>ES</t>
        </is>
      </c>
      <c r="B89" t="inlineStr">
        <is>
          <t>Spring2025</t>
        </is>
      </c>
      <c r="C89" t="inlineStr">
        <is>
          <t>Spring</t>
        </is>
      </c>
      <c r="D89" t="n">
        <v>2026</v>
      </c>
      <c r="E89" t="n">
        <v>2.048256685662131</v>
      </c>
      <c r="F89" t="n">
        <v/>
      </c>
      <c r="G89">
        <f>IF(OR(F89="",E89=""),"",F89-E89)</f>
        <v/>
      </c>
      <c r="H89" t="n">
        <v>0.09086950763092645</v>
      </c>
    </row>
    <row r="90">
      <c r="A90" t="inlineStr">
        <is>
          <t>FI</t>
        </is>
      </c>
      <c r="B90" t="inlineStr">
        <is>
          <t>Autumn2020</t>
        </is>
      </c>
      <c r="C90" t="inlineStr">
        <is>
          <t>Autumn</t>
        </is>
      </c>
      <c r="D90" t="n">
        <v>2021</v>
      </c>
      <c r="E90" t="n">
        <v>2.900169440971712</v>
      </c>
      <c r="F90" t="n">
        <v>2.641572009022019</v>
      </c>
      <c r="G90">
        <f>IF(OR(F90="",E90=""),"",F90-E90)</f>
        <v/>
      </c>
      <c r="H90" t="n">
        <v>0.9181049694904008</v>
      </c>
    </row>
    <row r="91">
      <c r="A91" t="inlineStr">
        <is>
          <t>FI</t>
        </is>
      </c>
      <c r="B91" t="inlineStr">
        <is>
          <t>Autumn2021</t>
        </is>
      </c>
      <c r="C91" t="inlineStr">
        <is>
          <t>Autumn</t>
        </is>
      </c>
      <c r="D91" t="n">
        <v>2021</v>
      </c>
      <c r="E91" t="n">
        <v>3.40412762679374</v>
      </c>
      <c r="F91" t="n">
        <v>2.641572009022019</v>
      </c>
      <c r="G91">
        <f>IF(OR(F91="",E91=""),"",F91-E91)</f>
        <v/>
      </c>
      <c r="H91" t="n">
        <v>0.9181049694904008</v>
      </c>
    </row>
    <row r="92">
      <c r="A92" t="inlineStr">
        <is>
          <t>FI</t>
        </is>
      </c>
      <c r="B92" t="inlineStr">
        <is>
          <t>Spring2020</t>
        </is>
      </c>
      <c r="C92" t="inlineStr">
        <is>
          <t>Spring</t>
        </is>
      </c>
      <c r="D92" t="n">
        <v>2021</v>
      </c>
      <c r="E92" t="n">
        <v>3.673560818821353</v>
      </c>
      <c r="F92" t="n">
        <v>2.641572009022019</v>
      </c>
      <c r="G92">
        <f>IF(OR(F92="",E92=""),"",F92-E92)</f>
        <v/>
      </c>
      <c r="H92" t="n">
        <v>0.9181049694904008</v>
      </c>
    </row>
    <row r="93">
      <c r="A93" t="inlineStr">
        <is>
          <t>FI</t>
        </is>
      </c>
      <c r="B93" t="inlineStr">
        <is>
          <t>Spring2021</t>
        </is>
      </c>
      <c r="C93" t="inlineStr">
        <is>
          <t>Spring</t>
        </is>
      </c>
      <c r="D93" t="n">
        <v>2021</v>
      </c>
      <c r="E93" t="n">
        <v>2.739564988065335</v>
      </c>
      <c r="F93" t="n">
        <v>2.641572009022019</v>
      </c>
      <c r="G93">
        <f>IF(OR(F93="",E93=""),"",F93-E93)</f>
        <v/>
      </c>
      <c r="H93" t="n">
        <v>0.9181049694904008</v>
      </c>
    </row>
    <row r="94">
      <c r="A94" t="inlineStr">
        <is>
          <t>FI</t>
        </is>
      </c>
      <c r="B94" t="inlineStr">
        <is>
          <t>Autumn2021</t>
        </is>
      </c>
      <c r="C94" t="inlineStr">
        <is>
          <t>Autumn</t>
        </is>
      </c>
      <c r="D94" t="n">
        <v>2022</v>
      </c>
      <c r="E94" t="n">
        <v>2.827224586640664</v>
      </c>
      <c r="F94" t="n">
        <v>0.7600629155646718</v>
      </c>
      <c r="G94">
        <f>IF(OR(F94="",E94=""),"",F94-E94)</f>
        <v/>
      </c>
      <c r="H94" t="n">
        <v>0.8414199132669851</v>
      </c>
    </row>
    <row r="95">
      <c r="A95" t="inlineStr">
        <is>
          <t>FI</t>
        </is>
      </c>
      <c r="B95" t="inlineStr">
        <is>
          <t>Autumn2022</t>
        </is>
      </c>
      <c r="C95" t="inlineStr">
        <is>
          <t>Autumn</t>
        </is>
      </c>
      <c r="D95" t="n">
        <v>2022</v>
      </c>
      <c r="E95" t="n">
        <v>2.327853537647107</v>
      </c>
      <c r="F95" t="n">
        <v>0.7600629155646718</v>
      </c>
      <c r="G95">
        <f>IF(OR(F95="",E95=""),"",F95-E95)</f>
        <v/>
      </c>
      <c r="H95" t="n">
        <v>0.8414199132669851</v>
      </c>
    </row>
    <row r="96">
      <c r="A96" t="inlineStr">
        <is>
          <t>FI</t>
        </is>
      </c>
      <c r="B96" t="inlineStr">
        <is>
          <t>Spring2021</t>
        </is>
      </c>
      <c r="C96" t="inlineStr">
        <is>
          <t>Spring</t>
        </is>
      </c>
      <c r="D96" t="n">
        <v>2022</v>
      </c>
      <c r="E96" t="n">
        <v>2.751701241130511</v>
      </c>
      <c r="F96" t="n">
        <v>0.7600629155646718</v>
      </c>
      <c r="G96">
        <f>IF(OR(F96="",E96=""),"",F96-E96)</f>
        <v/>
      </c>
      <c r="H96" t="n">
        <v>0.8414199132669851</v>
      </c>
    </row>
    <row r="97">
      <c r="A97" t="inlineStr">
        <is>
          <t>FI</t>
        </is>
      </c>
      <c r="B97" t="inlineStr">
        <is>
          <t>Spring2022</t>
        </is>
      </c>
      <c r="C97" t="inlineStr">
        <is>
          <t>Spring</t>
        </is>
      </c>
      <c r="D97" t="n">
        <v>2022</v>
      </c>
      <c r="E97" t="n">
        <v>1.603112304026943</v>
      </c>
      <c r="F97" t="n">
        <v>0.7600629155646718</v>
      </c>
      <c r="G97">
        <f>IF(OR(F97="",E97=""),"",F97-E97)</f>
        <v/>
      </c>
      <c r="H97" t="n">
        <v>0.8414199132669851</v>
      </c>
    </row>
    <row r="98">
      <c r="A98" t="inlineStr">
        <is>
          <t>FI</t>
        </is>
      </c>
      <c r="B98" t="inlineStr">
        <is>
          <t>Autumn2022</t>
        </is>
      </c>
      <c r="C98" t="inlineStr">
        <is>
          <t>Autumn</t>
        </is>
      </c>
      <c r="D98" t="n">
        <v>2023</v>
      </c>
      <c r="E98" t="n">
        <v>0.2399878611282436</v>
      </c>
      <c r="F98" t="n">
        <v>-1.298005405307383</v>
      </c>
      <c r="G98">
        <f>IF(OR(F98="",E98=""),"",F98-E98)</f>
        <v/>
      </c>
      <c r="H98" t="n">
        <v>0.5835351265483162</v>
      </c>
    </row>
    <row r="99">
      <c r="A99" t="inlineStr">
        <is>
          <t>FI</t>
        </is>
      </c>
      <c r="B99" t="inlineStr">
        <is>
          <t>Autumn2023</t>
        </is>
      </c>
      <c r="C99" t="inlineStr">
        <is>
          <t>Autumn</t>
        </is>
      </c>
      <c r="D99" t="n">
        <v>2023</v>
      </c>
      <c r="E99" t="n">
        <v>0.1370597471564761</v>
      </c>
      <c r="F99" t="n">
        <v>-1.298005405307383</v>
      </c>
      <c r="G99">
        <f>IF(OR(F99="",E99=""),"",F99-E99)</f>
        <v/>
      </c>
      <c r="H99" t="n">
        <v>0.5835351265483162</v>
      </c>
    </row>
    <row r="100">
      <c r="A100" t="inlineStr">
        <is>
          <t>FI</t>
        </is>
      </c>
      <c r="B100" t="inlineStr">
        <is>
          <t>Spring2022</t>
        </is>
      </c>
      <c r="C100" t="inlineStr">
        <is>
          <t>Spring</t>
        </is>
      </c>
      <c r="D100" t="n">
        <v>2023</v>
      </c>
      <c r="E100" t="n">
        <v>1.664320363648697</v>
      </c>
      <c r="F100" t="n">
        <v>-1.298005405307383</v>
      </c>
      <c r="G100">
        <f>IF(OR(F100="",E100=""),"",F100-E100)</f>
        <v/>
      </c>
      <c r="H100" t="n">
        <v>0.5835351265483162</v>
      </c>
    </row>
    <row r="101">
      <c r="A101" t="inlineStr">
        <is>
          <t>FI</t>
        </is>
      </c>
      <c r="B101" t="inlineStr">
        <is>
          <t>Spring2023</t>
        </is>
      </c>
      <c r="C101" t="inlineStr">
        <is>
          <t>Spring</t>
        </is>
      </c>
      <c r="D101" t="n">
        <v>2023</v>
      </c>
      <c r="E101" t="n">
        <v>0.1978909161836295</v>
      </c>
      <c r="F101" t="n">
        <v>-1.298005405307383</v>
      </c>
      <c r="G101">
        <f>IF(OR(F101="",E101=""),"",F101-E101)</f>
        <v/>
      </c>
      <c r="H101" t="n">
        <v>0.5835351265483162</v>
      </c>
    </row>
    <row r="102">
      <c r="A102" t="inlineStr">
        <is>
          <t>FI</t>
        </is>
      </c>
      <c r="B102" t="inlineStr">
        <is>
          <t>Autumn2023</t>
        </is>
      </c>
      <c r="C102" t="inlineStr">
        <is>
          <t>Autumn</t>
        </is>
      </c>
      <c r="D102" t="n">
        <v>2024</v>
      </c>
      <c r="E102" t="n">
        <v>0.8259921956103033</v>
      </c>
      <c r="F102" t="n">
        <v>0.8814466149882676</v>
      </c>
      <c r="G102">
        <f>IF(OR(F102="",E102=""),"",F102-E102)</f>
        <v/>
      </c>
      <c r="H102" t="n">
        <v>0.1988509332521526</v>
      </c>
    </row>
    <row r="103">
      <c r="A103" t="inlineStr">
        <is>
          <t>FI</t>
        </is>
      </c>
      <c r="B103" t="inlineStr">
        <is>
          <t>Autumn2024</t>
        </is>
      </c>
      <c r="C103" t="inlineStr">
        <is>
          <t>Autumn</t>
        </is>
      </c>
      <c r="D103" t="n">
        <v>2024</v>
      </c>
      <c r="E103" t="n">
        <v>-0.2781603584441905</v>
      </c>
      <c r="F103" t="n">
        <v>0.8814466149882676</v>
      </c>
      <c r="G103">
        <f>IF(OR(F103="",E103=""),"",F103-E103)</f>
        <v/>
      </c>
      <c r="H103" t="n">
        <v>0.1988509332521526</v>
      </c>
    </row>
    <row r="104">
      <c r="A104" t="inlineStr">
        <is>
          <t>FI</t>
        </is>
      </c>
      <c r="B104" t="inlineStr">
        <is>
          <t>Spring2023</t>
        </is>
      </c>
      <c r="C104" t="inlineStr">
        <is>
          <t>Spring</t>
        </is>
      </c>
      <c r="D104" t="n">
        <v>2024</v>
      </c>
      <c r="E104" t="n">
        <v>1.375433393552461</v>
      </c>
      <c r="F104" t="n">
        <v>0.8814466149882676</v>
      </c>
      <c r="G104">
        <f>IF(OR(F104="",E104=""),"",F104-E104)</f>
        <v/>
      </c>
      <c r="H104" t="n">
        <v>0.1988509332521526</v>
      </c>
    </row>
    <row r="105">
      <c r="A105" t="inlineStr">
        <is>
          <t>FI</t>
        </is>
      </c>
      <c r="B105" t="inlineStr">
        <is>
          <t>Spring2024</t>
        </is>
      </c>
      <c r="C105" t="inlineStr">
        <is>
          <t>Spring</t>
        </is>
      </c>
      <c r="D105" t="n">
        <v>2024</v>
      </c>
      <c r="E105" t="n">
        <v>0.03957338592484039</v>
      </c>
      <c r="F105" t="n">
        <v>0.8814466149882676</v>
      </c>
      <c r="G105">
        <f>IF(OR(F105="",E105=""),"",F105-E105)</f>
        <v/>
      </c>
      <c r="H105" t="n">
        <v>0.1988509332521526</v>
      </c>
    </row>
    <row r="106">
      <c r="A106" t="inlineStr">
        <is>
          <t>FI</t>
        </is>
      </c>
      <c r="B106" t="inlineStr">
        <is>
          <t>Autumn2024</t>
        </is>
      </c>
      <c r="C106" t="inlineStr">
        <is>
          <t>Autumn</t>
        </is>
      </c>
      <c r="D106" t="n">
        <v>2025</v>
      </c>
      <c r="E106" t="n">
        <v>1.544507858030109</v>
      </c>
      <c r="F106" t="n">
        <v>0.7999014912137302</v>
      </c>
      <c r="G106">
        <f>IF(OR(F106="",E106=""),"",F106-E106)</f>
        <v/>
      </c>
      <c r="H106" t="n">
        <v>0.1653796609584316</v>
      </c>
    </row>
    <row r="107">
      <c r="A107" t="inlineStr">
        <is>
          <t>FI</t>
        </is>
      </c>
      <c r="B107" t="inlineStr">
        <is>
          <t>Autumn2025</t>
        </is>
      </c>
      <c r="C107" t="inlineStr">
        <is>
          <t>Autumn</t>
        </is>
      </c>
      <c r="D107" t="n">
        <v>2025</v>
      </c>
      <c r="E107" t="n">
        <v>0.07572023836193154</v>
      </c>
      <c r="F107" t="n">
        <v>0.7999014912137302</v>
      </c>
      <c r="G107">
        <f>IF(OR(F107="",E107=""),"",F107-E107)</f>
        <v/>
      </c>
      <c r="H107" t="n">
        <v>0.1653796609584316</v>
      </c>
    </row>
    <row r="108">
      <c r="A108" t="inlineStr">
        <is>
          <t>FI</t>
        </is>
      </c>
      <c r="B108" t="inlineStr">
        <is>
          <t>Spring2024</t>
        </is>
      </c>
      <c r="C108" t="inlineStr">
        <is>
          <t>Spring</t>
        </is>
      </c>
      <c r="D108" t="n">
        <v>2025</v>
      </c>
      <c r="E108" t="n">
        <v>1.36065626925197</v>
      </c>
      <c r="F108" t="n">
        <v>0.7999014912137302</v>
      </c>
      <c r="G108">
        <f>IF(OR(F108="",E108=""),"",F108-E108)</f>
        <v/>
      </c>
      <c r="H108" t="n">
        <v>0.1653796609584316</v>
      </c>
    </row>
    <row r="109">
      <c r="A109" t="inlineStr">
        <is>
          <t>FI</t>
        </is>
      </c>
      <c r="B109" t="inlineStr">
        <is>
          <t>Spring2025</t>
        </is>
      </c>
      <c r="C109" t="inlineStr">
        <is>
          <t>Spring</t>
        </is>
      </c>
      <c r="D109" t="n">
        <v>2025</v>
      </c>
      <c r="E109" t="n">
        <v>0.9759636250904258</v>
      </c>
      <c r="F109" t="n">
        <v>0.7999014912137302</v>
      </c>
      <c r="G109">
        <f>IF(OR(F109="",E109=""),"",F109-E109)</f>
        <v/>
      </c>
      <c r="H109" t="n">
        <v>0.1653796609584316</v>
      </c>
    </row>
    <row r="110">
      <c r="A110" t="inlineStr">
        <is>
          <t>FI</t>
        </is>
      </c>
      <c r="B110" t="inlineStr">
        <is>
          <t>Autumn2025</t>
        </is>
      </c>
      <c r="C110" t="inlineStr">
        <is>
          <t>Autumn</t>
        </is>
      </c>
      <c r="D110" t="n">
        <v>2026</v>
      </c>
      <c r="E110" t="n">
        <v>0.9057660948263324</v>
      </c>
      <c r="F110" t="n">
        <v/>
      </c>
      <c r="G110">
        <f>IF(OR(F110="",E110=""),"",F110-E110)</f>
        <v/>
      </c>
      <c r="H110" t="n">
        <v>0.2906032720380992</v>
      </c>
    </row>
    <row r="111">
      <c r="A111" t="inlineStr">
        <is>
          <t>FI</t>
        </is>
      </c>
      <c r="B111" t="inlineStr">
        <is>
          <t>Spring2025</t>
        </is>
      </c>
      <c r="C111" t="inlineStr">
        <is>
          <t>Spring</t>
        </is>
      </c>
      <c r="D111" t="n">
        <v>2026</v>
      </c>
      <c r="E111" t="n">
        <v>1.276904416583657</v>
      </c>
      <c r="F111" t="n">
        <v/>
      </c>
      <c r="G111">
        <f>IF(OR(F111="",E111=""),"",F111-E111)</f>
        <v/>
      </c>
      <c r="H111" t="n">
        <v>0.2906032720380992</v>
      </c>
    </row>
    <row r="112">
      <c r="A112" t="inlineStr">
        <is>
          <t>FR</t>
        </is>
      </c>
      <c r="B112" t="inlineStr">
        <is>
          <t>Autumn2020</t>
        </is>
      </c>
      <c r="C112" t="inlineStr">
        <is>
          <t>Autumn</t>
        </is>
      </c>
      <c r="D112" t="n">
        <v>2021</v>
      </c>
      <c r="E112" t="n">
        <v>5.795265902617808</v>
      </c>
      <c r="F112" t="n">
        <v>6.570188477254643</v>
      </c>
      <c r="G112">
        <f>IF(OR(F112="",E112=""),"",F112-E112)</f>
        <v/>
      </c>
      <c r="H112" t="n">
        <v>0.9040587695857383</v>
      </c>
    </row>
    <row r="113">
      <c r="A113" t="inlineStr">
        <is>
          <t>FR</t>
        </is>
      </c>
      <c r="B113" t="inlineStr">
        <is>
          <t>Autumn2021</t>
        </is>
      </c>
      <c r="C113" t="inlineStr">
        <is>
          <t>Autumn</t>
        </is>
      </c>
      <c r="D113" t="n">
        <v>2021</v>
      </c>
      <c r="E113" t="n">
        <v>6.542579429206707</v>
      </c>
      <c r="F113" t="n">
        <v>6.570188477254643</v>
      </c>
      <c r="G113">
        <f>IF(OR(F113="",E113=""),"",F113-E113)</f>
        <v/>
      </c>
      <c r="H113" t="n">
        <v>0.9040587695857383</v>
      </c>
    </row>
    <row r="114">
      <c r="A114" t="inlineStr">
        <is>
          <t>FR</t>
        </is>
      </c>
      <c r="B114" t="inlineStr">
        <is>
          <t>Spring2020</t>
        </is>
      </c>
      <c r="C114" t="inlineStr">
        <is>
          <t>Spring</t>
        </is>
      </c>
      <c r="D114" t="n">
        <v>2021</v>
      </c>
      <c r="E114" t="n">
        <v>7.401134491337769</v>
      </c>
      <c r="F114" t="n">
        <v>6.570188477254643</v>
      </c>
      <c r="G114">
        <f>IF(OR(F114="",E114=""),"",F114-E114)</f>
        <v/>
      </c>
      <c r="H114" t="n">
        <v>0.9040587695857383</v>
      </c>
    </row>
    <row r="115">
      <c r="A115" t="inlineStr">
        <is>
          <t>FR</t>
        </is>
      </c>
      <c r="B115" t="inlineStr">
        <is>
          <t>Spring2021</t>
        </is>
      </c>
      <c r="C115" t="inlineStr">
        <is>
          <t>Spring</t>
        </is>
      </c>
      <c r="D115" t="n">
        <v>2021</v>
      </c>
      <c r="E115" t="n">
        <v>5.714702673402861</v>
      </c>
      <c r="F115" t="n">
        <v>6.570188477254643</v>
      </c>
      <c r="G115">
        <f>IF(OR(F115="",E115=""),"",F115-E115)</f>
        <v/>
      </c>
      <c r="H115" t="n">
        <v>0.9040587695857383</v>
      </c>
    </row>
    <row r="116">
      <c r="A116" t="inlineStr">
        <is>
          <t>FR</t>
        </is>
      </c>
      <c r="B116" t="inlineStr">
        <is>
          <t>Autumn2021</t>
        </is>
      </c>
      <c r="C116" t="inlineStr">
        <is>
          <t>Autumn</t>
        </is>
      </c>
      <c r="D116" t="n">
        <v>2022</v>
      </c>
      <c r="E116" t="n">
        <v>3.766147557940314</v>
      </c>
      <c r="F116" t="n">
        <v>2.761671160127166</v>
      </c>
      <c r="G116">
        <f>IF(OR(F116="",E116=""),"",F116-E116)</f>
        <v/>
      </c>
      <c r="H116" t="n">
        <v>0.9216574868725694</v>
      </c>
    </row>
    <row r="117">
      <c r="A117" t="inlineStr">
        <is>
          <t>FR</t>
        </is>
      </c>
      <c r="B117" t="inlineStr">
        <is>
          <t>Autumn2022</t>
        </is>
      </c>
      <c r="C117" t="inlineStr">
        <is>
          <t>Autumn</t>
        </is>
      </c>
      <c r="D117" t="n">
        <v>2022</v>
      </c>
      <c r="E117" t="n">
        <v>2.629458440119525</v>
      </c>
      <c r="F117" t="n">
        <v>2.761671160127166</v>
      </c>
      <c r="G117">
        <f>IF(OR(F117="",E117=""),"",F117-E117)</f>
        <v/>
      </c>
      <c r="H117" t="n">
        <v>0.9216574868725694</v>
      </c>
    </row>
    <row r="118">
      <c r="A118" t="inlineStr">
        <is>
          <t>FR</t>
        </is>
      </c>
      <c r="B118" t="inlineStr">
        <is>
          <t>Spring2021</t>
        </is>
      </c>
      <c r="C118" t="inlineStr">
        <is>
          <t>Spring</t>
        </is>
      </c>
      <c r="D118" t="n">
        <v>2022</v>
      </c>
      <c r="E118" t="n">
        <v>4.211477073724845</v>
      </c>
      <c r="F118" t="n">
        <v>2.761671160127166</v>
      </c>
      <c r="G118">
        <f>IF(OR(F118="",E118=""),"",F118-E118)</f>
        <v/>
      </c>
      <c r="H118" t="n">
        <v>0.9216574868725694</v>
      </c>
    </row>
    <row r="119">
      <c r="A119" t="inlineStr">
        <is>
          <t>FR</t>
        </is>
      </c>
      <c r="B119" t="inlineStr">
        <is>
          <t>Spring2022</t>
        </is>
      </c>
      <c r="C119" t="inlineStr">
        <is>
          <t>Spring</t>
        </is>
      </c>
      <c r="D119" t="n">
        <v>2022</v>
      </c>
      <c r="E119" t="n">
        <v>3.098952418316858</v>
      </c>
      <c r="F119" t="n">
        <v>2.761671160127166</v>
      </c>
      <c r="G119">
        <f>IF(OR(F119="",E119=""),"",F119-E119)</f>
        <v/>
      </c>
      <c r="H119" t="n">
        <v>0.9216574868725694</v>
      </c>
    </row>
    <row r="120">
      <c r="A120" t="inlineStr">
        <is>
          <t>FR</t>
        </is>
      </c>
      <c r="B120" t="inlineStr">
        <is>
          <t>Autumn2022</t>
        </is>
      </c>
      <c r="C120" t="inlineStr">
        <is>
          <t>Autumn</t>
        </is>
      </c>
      <c r="D120" t="n">
        <v>2023</v>
      </c>
      <c r="E120" t="n">
        <v>0.4395065145862631</v>
      </c>
      <c r="F120" t="n">
        <v>1.802247083175507</v>
      </c>
      <c r="G120">
        <f>IF(OR(F120="",E120=""),"",F120-E120)</f>
        <v/>
      </c>
      <c r="H120" t="n">
        <v>0.9304243596057886</v>
      </c>
    </row>
    <row r="121">
      <c r="A121" t="inlineStr">
        <is>
          <t>FR</t>
        </is>
      </c>
      <c r="B121" t="inlineStr">
        <is>
          <t>Autumn2023</t>
        </is>
      </c>
      <c r="C121" t="inlineStr">
        <is>
          <t>Autumn</t>
        </is>
      </c>
      <c r="D121" t="n">
        <v>2023</v>
      </c>
      <c r="E121" t="n">
        <v>1.002276295034399</v>
      </c>
      <c r="F121" t="n">
        <v>1.802247083175507</v>
      </c>
      <c r="G121">
        <f>IF(OR(F121="",E121=""),"",F121-E121)</f>
        <v/>
      </c>
      <c r="H121" t="n">
        <v>0.9304243596057886</v>
      </c>
    </row>
    <row r="122">
      <c r="A122" t="inlineStr">
        <is>
          <t>FR</t>
        </is>
      </c>
      <c r="B122" t="inlineStr">
        <is>
          <t>Spring2022</t>
        </is>
      </c>
      <c r="C122" t="inlineStr">
        <is>
          <t>Spring</t>
        </is>
      </c>
      <c r="D122" t="n">
        <v>2023</v>
      </c>
      <c r="E122" t="n">
        <v>1.769109124061696</v>
      </c>
      <c r="F122" t="n">
        <v>1.802247083175507</v>
      </c>
      <c r="G122">
        <f>IF(OR(F122="",E122=""),"",F122-E122)</f>
        <v/>
      </c>
      <c r="H122" t="n">
        <v>0.9304243596057886</v>
      </c>
    </row>
    <row r="123">
      <c r="A123" t="inlineStr">
        <is>
          <t>FR</t>
        </is>
      </c>
      <c r="B123" t="inlineStr">
        <is>
          <t>Spring2023</t>
        </is>
      </c>
      <c r="C123" t="inlineStr">
        <is>
          <t>Spring</t>
        </is>
      </c>
      <c r="D123" t="n">
        <v>2023</v>
      </c>
      <c r="E123" t="n">
        <v>0.7242602636413187</v>
      </c>
      <c r="F123" t="n">
        <v>1.802247083175507</v>
      </c>
      <c r="G123">
        <f>IF(OR(F123="",E123=""),"",F123-E123)</f>
        <v/>
      </c>
      <c r="H123" t="n">
        <v>0.9304243596057886</v>
      </c>
    </row>
    <row r="124">
      <c r="A124" t="inlineStr">
        <is>
          <t>FR</t>
        </is>
      </c>
      <c r="B124" t="inlineStr">
        <is>
          <t>Autumn2023</t>
        </is>
      </c>
      <c r="C124" t="inlineStr">
        <is>
          <t>Autumn</t>
        </is>
      </c>
      <c r="D124" t="n">
        <v>2024</v>
      </c>
      <c r="E124" t="n">
        <v>1.247095433006873</v>
      </c>
      <c r="F124" t="n">
        <v>1.414482884555374</v>
      </c>
      <c r="G124">
        <f>IF(OR(F124="",E124=""),"",F124-E124)</f>
        <v/>
      </c>
      <c r="H124" t="n">
        <v>0.6543155141753</v>
      </c>
    </row>
    <row r="125">
      <c r="A125" t="inlineStr">
        <is>
          <t>FR</t>
        </is>
      </c>
      <c r="B125" t="inlineStr">
        <is>
          <t>Autumn2024</t>
        </is>
      </c>
      <c r="C125" t="inlineStr">
        <is>
          <t>Autumn</t>
        </is>
      </c>
      <c r="D125" t="n">
        <v>2024</v>
      </c>
      <c r="E125" t="n">
        <v>1.13903040986485</v>
      </c>
      <c r="F125" t="n">
        <v>1.414482884555374</v>
      </c>
      <c r="G125">
        <f>IF(OR(F125="",E125=""),"",F125-E125)</f>
        <v/>
      </c>
      <c r="H125" t="n">
        <v>0.6543155141753</v>
      </c>
    </row>
    <row r="126">
      <c r="A126" t="inlineStr">
        <is>
          <t>FR</t>
        </is>
      </c>
      <c r="B126" t="inlineStr">
        <is>
          <t>Spring2023</t>
        </is>
      </c>
      <c r="C126" t="inlineStr">
        <is>
          <t>Spring</t>
        </is>
      </c>
      <c r="D126" t="n">
        <v>2024</v>
      </c>
      <c r="E126" t="n">
        <v>1.41860461240253</v>
      </c>
      <c r="F126" t="n">
        <v>1.414482884555374</v>
      </c>
      <c r="G126">
        <f>IF(OR(F126="",E126=""),"",F126-E126)</f>
        <v/>
      </c>
      <c r="H126" t="n">
        <v>0.6543155141753</v>
      </c>
    </row>
    <row r="127">
      <c r="A127" t="inlineStr">
        <is>
          <t>FR</t>
        </is>
      </c>
      <c r="B127" t="inlineStr">
        <is>
          <t>Spring2024</t>
        </is>
      </c>
      <c r="C127" t="inlineStr">
        <is>
          <t>Spring</t>
        </is>
      </c>
      <c r="D127" t="n">
        <v>2024</v>
      </c>
      <c r="E127" t="n">
        <v>0.728519105148373</v>
      </c>
      <c r="F127" t="n">
        <v>1.414482884555374</v>
      </c>
      <c r="G127">
        <f>IF(OR(F127="",E127=""),"",F127-E127)</f>
        <v/>
      </c>
      <c r="H127" t="n">
        <v>0.6543155141753</v>
      </c>
    </row>
    <row r="128">
      <c r="A128" t="inlineStr">
        <is>
          <t>FR</t>
        </is>
      </c>
      <c r="B128" t="inlineStr">
        <is>
          <t>Autumn2024</t>
        </is>
      </c>
      <c r="C128" t="inlineStr">
        <is>
          <t>Autumn</t>
        </is>
      </c>
      <c r="D128" t="n">
        <v>2025</v>
      </c>
      <c r="E128" t="n">
        <v>0.8225882824496322</v>
      </c>
      <c r="F128" t="n">
        <v>0.8856194604563682</v>
      </c>
      <c r="G128">
        <f>IF(OR(F128="",E128=""),"",F128-E128)</f>
        <v/>
      </c>
      <c r="H128" t="n">
        <v>0.007463074844978004</v>
      </c>
    </row>
    <row r="129">
      <c r="A129" t="inlineStr">
        <is>
          <t>FR</t>
        </is>
      </c>
      <c r="B129" t="inlineStr">
        <is>
          <t>Autumn2025</t>
        </is>
      </c>
      <c r="C129" t="inlineStr">
        <is>
          <t>Autumn</t>
        </is>
      </c>
      <c r="D129" t="n">
        <v>2025</v>
      </c>
      <c r="E129" t="n">
        <v>0.69714532745484</v>
      </c>
      <c r="F129" t="n">
        <v>0.8856194604563682</v>
      </c>
      <c r="G129">
        <f>IF(OR(F129="",E129=""),"",F129-E129)</f>
        <v/>
      </c>
      <c r="H129" t="n">
        <v>0.007463074844978004</v>
      </c>
    </row>
    <row r="130">
      <c r="A130" t="inlineStr">
        <is>
          <t>FR</t>
        </is>
      </c>
      <c r="B130" t="inlineStr">
        <is>
          <t>Spring2024</t>
        </is>
      </c>
      <c r="C130" t="inlineStr">
        <is>
          <t>Spring</t>
        </is>
      </c>
      <c r="D130" t="n">
        <v>2025</v>
      </c>
      <c r="E130" t="n">
        <v>1.259406997940027</v>
      </c>
      <c r="F130" t="n">
        <v>0.8856194604563682</v>
      </c>
      <c r="G130">
        <f>IF(OR(F130="",E130=""),"",F130-E130)</f>
        <v/>
      </c>
      <c r="H130" t="n">
        <v>0.007463074844978004</v>
      </c>
    </row>
    <row r="131">
      <c r="A131" t="inlineStr">
        <is>
          <t>FR</t>
        </is>
      </c>
      <c r="B131" t="inlineStr">
        <is>
          <t>Spring2025</t>
        </is>
      </c>
      <c r="C131" t="inlineStr">
        <is>
          <t>Spring</t>
        </is>
      </c>
      <c r="D131" t="n">
        <v>2025</v>
      </c>
      <c r="E131" t="n">
        <v>0.5726626965854908</v>
      </c>
      <c r="F131" t="n">
        <v>0.8856194604563682</v>
      </c>
      <c r="G131">
        <f>IF(OR(F131="",E131=""),"",F131-E131)</f>
        <v/>
      </c>
      <c r="H131" t="n">
        <v>0.007463074844978004</v>
      </c>
    </row>
    <row r="132">
      <c r="A132" t="inlineStr">
        <is>
          <t>FR</t>
        </is>
      </c>
      <c r="B132" t="inlineStr">
        <is>
          <t>Autumn2025</t>
        </is>
      </c>
      <c r="C132" t="inlineStr">
        <is>
          <t>Autumn</t>
        </is>
      </c>
      <c r="D132" t="n">
        <v>2026</v>
      </c>
      <c r="E132" t="n">
        <v>0.9244763489504759</v>
      </c>
      <c r="F132" t="n">
        <v/>
      </c>
      <c r="G132">
        <f>IF(OR(F132="",E132=""),"",F132-E132)</f>
        <v/>
      </c>
      <c r="H132" t="n">
        <v>-0.02225989615286217</v>
      </c>
    </row>
    <row r="133">
      <c r="A133" t="inlineStr">
        <is>
          <t>FR</t>
        </is>
      </c>
      <c r="B133" t="inlineStr">
        <is>
          <t>Spring2025</t>
        </is>
      </c>
      <c r="C133" t="inlineStr">
        <is>
          <t>Spring</t>
        </is>
      </c>
      <c r="D133" t="n">
        <v>2026</v>
      </c>
      <c r="E133" t="n">
        <v>1.332665672326838</v>
      </c>
      <c r="F133" t="n">
        <v/>
      </c>
      <c r="G133">
        <f>IF(OR(F133="",E133=""),"",F133-E133)</f>
        <v/>
      </c>
      <c r="H133" t="n">
        <v>-0.02225989615286217</v>
      </c>
    </row>
    <row r="134">
      <c r="A134" t="inlineStr">
        <is>
          <t>IE</t>
        </is>
      </c>
      <c r="B134" t="inlineStr">
        <is>
          <t>Autumn2020</t>
        </is>
      </c>
      <c r="C134" t="inlineStr">
        <is>
          <t>Autumn</t>
        </is>
      </c>
      <c r="D134" t="n">
        <v>2021</v>
      </c>
      <c r="E134" t="n">
        <v>2.947813244873676</v>
      </c>
      <c r="F134" t="n">
        <v>15.1246997065809</v>
      </c>
      <c r="G134">
        <f>IF(OR(F134="",E134=""),"",F134-E134)</f>
        <v/>
      </c>
      <c r="H134" t="n">
        <v>0.9340270359183438</v>
      </c>
    </row>
    <row r="135">
      <c r="A135" t="inlineStr">
        <is>
          <t>IE</t>
        </is>
      </c>
      <c r="B135" t="inlineStr">
        <is>
          <t>Autumn2021</t>
        </is>
      </c>
      <c r="C135" t="inlineStr">
        <is>
          <t>Autumn</t>
        </is>
      </c>
      <c r="D135" t="n">
        <v>2021</v>
      </c>
      <c r="E135" t="n">
        <v>14.56298111140442</v>
      </c>
      <c r="F135" t="n">
        <v>15.1246997065809</v>
      </c>
      <c r="G135">
        <f>IF(OR(F135="",E135=""),"",F135-E135)</f>
        <v/>
      </c>
      <c r="H135" t="n">
        <v>0.9340270359183438</v>
      </c>
    </row>
    <row r="136">
      <c r="A136" t="inlineStr">
        <is>
          <t>IE</t>
        </is>
      </c>
      <c r="B136" t="inlineStr">
        <is>
          <t>Spring2020</t>
        </is>
      </c>
      <c r="C136" t="inlineStr">
        <is>
          <t>Spring</t>
        </is>
      </c>
      <c r="D136" t="n">
        <v>2021</v>
      </c>
      <c r="E136" t="n">
        <v>6.084441522850637</v>
      </c>
      <c r="F136" t="n">
        <v>15.1246997065809</v>
      </c>
      <c r="G136">
        <f>IF(OR(F136="",E136=""),"",F136-E136)</f>
        <v/>
      </c>
      <c r="H136" t="n">
        <v>0.9340270359183438</v>
      </c>
    </row>
    <row r="137">
      <c r="A137" t="inlineStr">
        <is>
          <t>IE</t>
        </is>
      </c>
      <c r="B137" t="inlineStr">
        <is>
          <t>Spring2021</t>
        </is>
      </c>
      <c r="C137" t="inlineStr">
        <is>
          <t>Spring</t>
        </is>
      </c>
      <c r="D137" t="n">
        <v>2021</v>
      </c>
      <c r="E137" t="n">
        <v>4.59932575419888</v>
      </c>
      <c r="F137" t="n">
        <v>15.1246997065809</v>
      </c>
      <c r="G137">
        <f>IF(OR(F137="",E137=""),"",F137-E137)</f>
        <v/>
      </c>
      <c r="H137" t="n">
        <v>0.9340270359183438</v>
      </c>
    </row>
    <row r="138">
      <c r="A138" t="inlineStr">
        <is>
          <t>IE</t>
        </is>
      </c>
      <c r="B138" t="inlineStr">
        <is>
          <t>Autumn2021</t>
        </is>
      </c>
      <c r="C138" t="inlineStr">
        <is>
          <t>Autumn</t>
        </is>
      </c>
      <c r="D138" t="n">
        <v>2022</v>
      </c>
      <c r="E138" t="n">
        <v>5.091872298073152</v>
      </c>
      <c r="F138" t="n">
        <v>7.989444336924596</v>
      </c>
      <c r="G138">
        <f>IF(OR(F138="",E138=""),"",F138-E138)</f>
        <v/>
      </c>
      <c r="H138" t="n">
        <v>0.8230204481506811</v>
      </c>
    </row>
    <row r="139">
      <c r="A139" t="inlineStr">
        <is>
          <t>IE</t>
        </is>
      </c>
      <c r="B139" t="inlineStr">
        <is>
          <t>Autumn2022</t>
        </is>
      </c>
      <c r="C139" t="inlineStr">
        <is>
          <t>Autumn</t>
        </is>
      </c>
      <c r="D139" t="n">
        <v>2022</v>
      </c>
      <c r="E139" t="n">
        <v>7.871083766264508</v>
      </c>
      <c r="F139" t="n">
        <v>7.989444336924596</v>
      </c>
      <c r="G139">
        <f>IF(OR(F139="",E139=""),"",F139-E139)</f>
        <v/>
      </c>
      <c r="H139" t="n">
        <v>0.8230204481506811</v>
      </c>
    </row>
    <row r="140">
      <c r="A140" t="inlineStr">
        <is>
          <t>IE</t>
        </is>
      </c>
      <c r="B140" t="inlineStr">
        <is>
          <t>Spring2021</t>
        </is>
      </c>
      <c r="C140" t="inlineStr">
        <is>
          <t>Spring</t>
        </is>
      </c>
      <c r="D140" t="n">
        <v>2022</v>
      </c>
      <c r="E140" t="n">
        <v>4.975986839927704</v>
      </c>
      <c r="F140" t="n">
        <v>7.989444336924596</v>
      </c>
      <c r="G140">
        <f>IF(OR(F140="",E140=""),"",F140-E140)</f>
        <v/>
      </c>
      <c r="H140" t="n">
        <v>0.8230204481506811</v>
      </c>
    </row>
    <row r="141">
      <c r="A141" t="inlineStr">
        <is>
          <t>IE</t>
        </is>
      </c>
      <c r="B141" t="inlineStr">
        <is>
          <t>Spring2022</t>
        </is>
      </c>
      <c r="C141" t="inlineStr">
        <is>
          <t>Spring</t>
        </is>
      </c>
      <c r="D141" t="n">
        <v>2022</v>
      </c>
      <c r="E141" t="n">
        <v>5.381686196249635</v>
      </c>
      <c r="F141" t="n">
        <v>7.989444336924596</v>
      </c>
      <c r="G141">
        <f>IF(OR(F141="",E141=""),"",F141-E141)</f>
        <v/>
      </c>
      <c r="H141" t="n">
        <v>0.8230204481506811</v>
      </c>
    </row>
    <row r="142">
      <c r="A142" t="inlineStr">
        <is>
          <t>IE</t>
        </is>
      </c>
      <c r="B142" t="inlineStr">
        <is>
          <t>Autumn2022</t>
        </is>
      </c>
      <c r="C142" t="inlineStr">
        <is>
          <t>Autumn</t>
        </is>
      </c>
      <c r="D142" t="n">
        <v>2023</v>
      </c>
      <c r="E142" t="n">
        <v>3.172255506856847</v>
      </c>
      <c r="F142" t="n">
        <v>-3.520510301376442</v>
      </c>
      <c r="G142">
        <f>IF(OR(F142="",E142=""),"",F142-E142)</f>
        <v/>
      </c>
      <c r="H142" t="n">
        <v>0.8325644400900269</v>
      </c>
    </row>
    <row r="143">
      <c r="A143" t="inlineStr">
        <is>
          <t>IE</t>
        </is>
      </c>
      <c r="B143" t="inlineStr">
        <is>
          <t>Autumn2023</t>
        </is>
      </c>
      <c r="C143" t="inlineStr">
        <is>
          <t>Autumn</t>
        </is>
      </c>
      <c r="D143" t="n">
        <v>2023</v>
      </c>
      <c r="E143" t="n">
        <v>-0.9349560050788241</v>
      </c>
      <c r="F143" t="n">
        <v>-3.520510301376442</v>
      </c>
      <c r="G143">
        <f>IF(OR(F143="",E143=""),"",F143-E143)</f>
        <v/>
      </c>
      <c r="H143" t="n">
        <v>0.8325644400900269</v>
      </c>
    </row>
    <row r="144">
      <c r="A144" t="inlineStr">
        <is>
          <t>IE</t>
        </is>
      </c>
      <c r="B144" t="inlineStr">
        <is>
          <t>Spring2022</t>
        </is>
      </c>
      <c r="C144" t="inlineStr">
        <is>
          <t>Spring</t>
        </is>
      </c>
      <c r="D144" t="n">
        <v>2023</v>
      </c>
      <c r="E144" t="n">
        <v>4.434831401716832</v>
      </c>
      <c r="F144" t="n">
        <v>-3.520510301376442</v>
      </c>
      <c r="G144">
        <f>IF(OR(F144="",E144=""),"",F144-E144)</f>
        <v/>
      </c>
      <c r="H144" t="n">
        <v>0.8325644400900269</v>
      </c>
    </row>
    <row r="145">
      <c r="A145" t="inlineStr">
        <is>
          <t>IE</t>
        </is>
      </c>
      <c r="B145" t="inlineStr">
        <is>
          <t>Spring2023</t>
        </is>
      </c>
      <c r="C145" t="inlineStr">
        <is>
          <t>Spring</t>
        </is>
      </c>
      <c r="D145" t="n">
        <v>2023</v>
      </c>
      <c r="E145" t="n">
        <v>5.517073045513365</v>
      </c>
      <c r="F145" t="n">
        <v>-3.520510301376442</v>
      </c>
      <c r="G145">
        <f>IF(OR(F145="",E145=""),"",F145-E145)</f>
        <v/>
      </c>
      <c r="H145" t="n">
        <v>0.8325644400900269</v>
      </c>
    </row>
    <row r="146">
      <c r="A146" t="inlineStr">
        <is>
          <t>IE</t>
        </is>
      </c>
      <c r="B146" t="inlineStr">
        <is>
          <t>Autumn2023</t>
        </is>
      </c>
      <c r="C146" t="inlineStr">
        <is>
          <t>Autumn</t>
        </is>
      </c>
      <c r="D146" t="n">
        <v>2024</v>
      </c>
      <c r="E146" t="n">
        <v>3.044064013446279</v>
      </c>
      <c r="F146" t="n">
        <v>3.620379562913446</v>
      </c>
      <c r="G146">
        <f>IF(OR(F146="",E146=""),"",F146-E146)</f>
        <v/>
      </c>
      <c r="H146" t="n">
        <v>0.6431194191189592</v>
      </c>
    </row>
    <row r="147">
      <c r="A147" t="inlineStr">
        <is>
          <t>IE</t>
        </is>
      </c>
      <c r="B147" t="inlineStr">
        <is>
          <t>Autumn2024</t>
        </is>
      </c>
      <c r="C147" t="inlineStr">
        <is>
          <t>Autumn</t>
        </is>
      </c>
      <c r="D147" t="n">
        <v>2024</v>
      </c>
      <c r="E147" t="n">
        <v>-0.5406263528774158</v>
      </c>
      <c r="F147" t="n">
        <v>3.620379562913446</v>
      </c>
      <c r="G147">
        <f>IF(OR(F147="",E147=""),"",F147-E147)</f>
        <v/>
      </c>
      <c r="H147" t="n">
        <v>0.6431194191189592</v>
      </c>
    </row>
    <row r="148">
      <c r="A148" t="inlineStr">
        <is>
          <t>IE</t>
        </is>
      </c>
      <c r="B148" t="inlineStr">
        <is>
          <t>Spring2023</t>
        </is>
      </c>
      <c r="C148" t="inlineStr">
        <is>
          <t>Spring</t>
        </is>
      </c>
      <c r="D148" t="n">
        <v>2024</v>
      </c>
      <c r="E148" t="n">
        <v>4.967945256214601</v>
      </c>
      <c r="F148" t="n">
        <v>3.620379562913446</v>
      </c>
      <c r="G148">
        <f>IF(OR(F148="",E148=""),"",F148-E148)</f>
        <v/>
      </c>
      <c r="H148" t="n">
        <v>0.6431194191189592</v>
      </c>
    </row>
    <row r="149">
      <c r="A149" t="inlineStr">
        <is>
          <t>IE</t>
        </is>
      </c>
      <c r="B149" t="inlineStr">
        <is>
          <t>Spring2024</t>
        </is>
      </c>
      <c r="C149" t="inlineStr">
        <is>
          <t>Spring</t>
        </is>
      </c>
      <c r="D149" t="n">
        <v>2024</v>
      </c>
      <c r="E149" t="n">
        <v>1.243712466321201</v>
      </c>
      <c r="F149" t="n">
        <v>3.620379562913446</v>
      </c>
      <c r="G149">
        <f>IF(OR(F149="",E149=""),"",F149-E149)</f>
        <v/>
      </c>
      <c r="H149" t="n">
        <v>0.6431194191189592</v>
      </c>
    </row>
    <row r="150">
      <c r="A150" t="inlineStr">
        <is>
          <t>IE</t>
        </is>
      </c>
      <c r="B150" t="inlineStr">
        <is>
          <t>Autumn2024</t>
        </is>
      </c>
      <c r="C150" t="inlineStr">
        <is>
          <t>Autumn</t>
        </is>
      </c>
      <c r="D150" t="n">
        <v>2025</v>
      </c>
      <c r="E150" t="n">
        <v>4.023669914633099</v>
      </c>
      <c r="F150" t="n">
        <v>7.779175438550681</v>
      </c>
      <c r="G150">
        <f>IF(OR(F150="",E150=""),"",F150-E150)</f>
        <v/>
      </c>
      <c r="H150" t="n">
        <v>0.3209217025703492</v>
      </c>
    </row>
    <row r="151">
      <c r="A151" t="inlineStr">
        <is>
          <t>IE</t>
        </is>
      </c>
      <c r="B151" t="inlineStr">
        <is>
          <t>Autumn2025</t>
        </is>
      </c>
      <c r="C151" t="inlineStr">
        <is>
          <t>Autumn</t>
        </is>
      </c>
      <c r="D151" t="n">
        <v>2025</v>
      </c>
      <c r="E151" t="n">
        <v>10.65081995793598</v>
      </c>
      <c r="F151" t="n">
        <v>7.779175438550681</v>
      </c>
      <c r="G151">
        <f>IF(OR(F151="",E151=""),"",F151-E151)</f>
        <v/>
      </c>
      <c r="H151" t="n">
        <v>0.3209217025703492</v>
      </c>
    </row>
    <row r="152">
      <c r="A152" t="inlineStr">
        <is>
          <t>IE</t>
        </is>
      </c>
      <c r="B152" t="inlineStr">
        <is>
          <t>Spring2024</t>
        </is>
      </c>
      <c r="C152" t="inlineStr">
        <is>
          <t>Spring</t>
        </is>
      </c>
      <c r="D152" t="n">
        <v>2025</v>
      </c>
      <c r="E152" t="n">
        <v>3.592776601346959</v>
      </c>
      <c r="F152" t="n">
        <v>7.779175438550681</v>
      </c>
      <c r="G152">
        <f>IF(OR(F152="",E152=""),"",F152-E152)</f>
        <v/>
      </c>
      <c r="H152" t="n">
        <v>0.3209217025703492</v>
      </c>
    </row>
    <row r="153">
      <c r="A153" t="inlineStr">
        <is>
          <t>IE</t>
        </is>
      </c>
      <c r="B153" t="inlineStr">
        <is>
          <t>Spring2025</t>
        </is>
      </c>
      <c r="C153" t="inlineStr">
        <is>
          <t>Spring</t>
        </is>
      </c>
      <c r="D153" t="n">
        <v>2025</v>
      </c>
      <c r="E153" t="n">
        <v>3.377198218825495</v>
      </c>
      <c r="F153" t="n">
        <v>7.779175438550681</v>
      </c>
      <c r="G153">
        <f>IF(OR(F153="",E153=""),"",F153-E153)</f>
        <v/>
      </c>
      <c r="H153" t="n">
        <v>0.3209217025703492</v>
      </c>
    </row>
    <row r="154">
      <c r="A154" t="inlineStr">
        <is>
          <t>IE</t>
        </is>
      </c>
      <c r="B154" t="inlineStr">
        <is>
          <t>Autumn2025</t>
        </is>
      </c>
      <c r="C154" t="inlineStr">
        <is>
          <t>Autumn</t>
        </is>
      </c>
      <c r="D154" t="n">
        <v>2026</v>
      </c>
      <c r="E154" t="n">
        <v>0.2094530818921525</v>
      </c>
      <c r="F154" t="n">
        <v/>
      </c>
      <c r="G154">
        <f>IF(OR(F154="",E154=""),"",F154-E154)</f>
        <v/>
      </c>
      <c r="H154" t="n">
        <v>0.3539575313263112</v>
      </c>
    </row>
    <row r="155">
      <c r="A155" t="inlineStr">
        <is>
          <t>IE</t>
        </is>
      </c>
      <c r="B155" t="inlineStr">
        <is>
          <t>Spring2025</t>
        </is>
      </c>
      <c r="C155" t="inlineStr">
        <is>
          <t>Spring</t>
        </is>
      </c>
      <c r="D155" t="n">
        <v>2026</v>
      </c>
      <c r="E155" t="n">
        <v>2.459515994483374</v>
      </c>
      <c r="F155" t="n">
        <v/>
      </c>
      <c r="G155">
        <f>IF(OR(F155="",E155=""),"",F155-E155)</f>
        <v/>
      </c>
      <c r="H155" t="n">
        <v>0.3539575313263112</v>
      </c>
    </row>
    <row r="156">
      <c r="A156" t="inlineStr">
        <is>
          <t>IT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4.051033813756133</v>
      </c>
      <c r="F156" t="n">
        <v>8.437067175906481</v>
      </c>
      <c r="G156">
        <f>IF(OR(F156="",E156=""),"",F156-E156)</f>
        <v/>
      </c>
      <c r="H156" t="n">
        <v>0.9141668046667883</v>
      </c>
    </row>
    <row r="157">
      <c r="A157" t="inlineStr">
        <is>
          <t>IT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6.229273312894534</v>
      </c>
      <c r="F157" t="n">
        <v>8.437067175906481</v>
      </c>
      <c r="G157">
        <f>IF(OR(F157="",E157=""),"",F157-E157)</f>
        <v/>
      </c>
      <c r="H157" t="n">
        <v>0.9141668046667883</v>
      </c>
    </row>
    <row r="158">
      <c r="A158" t="inlineStr">
        <is>
          <t>IT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6.54965690288567</v>
      </c>
      <c r="F158" t="n">
        <v>8.437067175906481</v>
      </c>
      <c r="G158">
        <f>IF(OR(F158="",E158=""),"",F158-E158)</f>
        <v/>
      </c>
      <c r="H158" t="n">
        <v>0.9141668046667883</v>
      </c>
    </row>
    <row r="159">
      <c r="A159" t="inlineStr">
        <is>
          <t>IT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4.206872388548932</v>
      </c>
      <c r="F159" t="n">
        <v>8.437067175906481</v>
      </c>
      <c r="G159">
        <f>IF(OR(F159="",E159=""),"",F159-E159)</f>
        <v/>
      </c>
      <c r="H159" t="n">
        <v>0.9141668046667883</v>
      </c>
    </row>
    <row r="160">
      <c r="A160" t="inlineStr">
        <is>
          <t>IT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4.268919168787466</v>
      </c>
      <c r="F160" t="n">
        <v>4.854613486697751</v>
      </c>
      <c r="G160">
        <f>IF(OR(F160="",E160=""),"",F160-E160)</f>
        <v/>
      </c>
      <c r="H160" t="n">
        <v>0.902040634256668</v>
      </c>
    </row>
    <row r="161">
      <c r="A161" t="inlineStr">
        <is>
          <t>IT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3.826892027953699</v>
      </c>
      <c r="F161" t="n">
        <v>4.854613486697751</v>
      </c>
      <c r="G161">
        <f>IF(OR(F161="",E161=""),"",F161-E161)</f>
        <v/>
      </c>
      <c r="H161" t="n">
        <v>0.902040634256668</v>
      </c>
    </row>
    <row r="162">
      <c r="A162" t="inlineStr">
        <is>
          <t>IT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4.39345862826459</v>
      </c>
      <c r="F162" t="n">
        <v>4.854613486697751</v>
      </c>
      <c r="G162">
        <f>IF(OR(F162="",E162=""),"",F162-E162)</f>
        <v/>
      </c>
      <c r="H162" t="n">
        <v>0.902040634256668</v>
      </c>
    </row>
    <row r="163">
      <c r="A163" t="inlineStr">
        <is>
          <t>IT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2.425654280482226</v>
      </c>
      <c r="F163" t="n">
        <v>4.854613486697751</v>
      </c>
      <c r="G163">
        <f>IF(OR(F163="",E163=""),"",F163-E163)</f>
        <v/>
      </c>
      <c r="H163" t="n">
        <v>0.902040634256668</v>
      </c>
    </row>
    <row r="164">
      <c r="A164" t="inlineStr">
        <is>
          <t>IT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0.3147371586091685</v>
      </c>
      <c r="F164" t="n">
        <v>1.014274087639002</v>
      </c>
      <c r="G164">
        <f>IF(OR(F164="",E164=""),"",F164-E164)</f>
        <v/>
      </c>
      <c r="H164" t="n">
        <v>0.9224803359735392</v>
      </c>
    </row>
    <row r="165">
      <c r="A165" t="inlineStr">
        <is>
          <t>IT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0.6915731805126502</v>
      </c>
      <c r="F165" t="n">
        <v>1.014274087639002</v>
      </c>
      <c r="G165">
        <f>IF(OR(F165="",E165=""),"",F165-E165)</f>
        <v/>
      </c>
      <c r="H165" t="n">
        <v>0.9224803359735392</v>
      </c>
    </row>
    <row r="166">
      <c r="A166" t="inlineStr">
        <is>
          <t>IT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1.851291422718337</v>
      </c>
      <c r="F166" t="n">
        <v>1.014274087639002</v>
      </c>
      <c r="G166">
        <f>IF(OR(F166="",E166=""),"",F166-E166)</f>
        <v/>
      </c>
      <c r="H166" t="n">
        <v>0.9224803359735392</v>
      </c>
    </row>
    <row r="167">
      <c r="A167" t="inlineStr">
        <is>
          <t>IT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1.206598132351089</v>
      </c>
      <c r="F167" t="n">
        <v>1.014274087639002</v>
      </c>
      <c r="G167">
        <f>IF(OR(F167="",E167=""),"",F167-E167)</f>
        <v/>
      </c>
      <c r="H167" t="n">
        <v>0.9224803359735392</v>
      </c>
    </row>
    <row r="168">
      <c r="A168" t="inlineStr">
        <is>
          <t>IT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0.852195649426335</v>
      </c>
      <c r="F168" t="n">
        <v>0.5846325798952693</v>
      </c>
      <c r="G168">
        <f>IF(OR(F168="",E168=""),"",F168-E168)</f>
        <v/>
      </c>
      <c r="H168" t="n">
        <v>0.6907119537993918</v>
      </c>
    </row>
    <row r="169">
      <c r="A169" t="inlineStr">
        <is>
          <t>IT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0.6687507310409346</v>
      </c>
      <c r="F169" t="n">
        <v>0.5846325798952693</v>
      </c>
      <c r="G169">
        <f>IF(OR(F169="",E169=""),"",F169-E169)</f>
        <v/>
      </c>
      <c r="H169" t="n">
        <v>0.6907119537993918</v>
      </c>
    </row>
    <row r="170">
      <c r="A170" t="inlineStr">
        <is>
          <t>IT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1.088219792885559</v>
      </c>
      <c r="F170" t="n">
        <v>0.5846325798952693</v>
      </c>
      <c r="G170">
        <f>IF(OR(F170="",E170=""),"",F170-E170)</f>
        <v/>
      </c>
      <c r="H170" t="n">
        <v>0.6907119537993918</v>
      </c>
    </row>
    <row r="171">
      <c r="A171" t="inlineStr">
        <is>
          <t>IT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0.9364833821859708</v>
      </c>
      <c r="F171" t="n">
        <v>0.5846325798952693</v>
      </c>
      <c r="G171">
        <f>IF(OR(F171="",E171=""),"",F171-E171)</f>
        <v/>
      </c>
      <c r="H171" t="n">
        <v>0.6907119537993918</v>
      </c>
    </row>
    <row r="172">
      <c r="A172" t="inlineStr">
        <is>
          <t>IT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1.037649244631034</v>
      </c>
      <c r="F172" t="n">
        <v>0.6613584275917628</v>
      </c>
      <c r="G172">
        <f>IF(OR(F172="",E172=""),"",F172-E172)</f>
        <v/>
      </c>
      <c r="H172" t="n">
        <v>0.06006120385204455</v>
      </c>
    </row>
    <row r="173">
      <c r="A173" t="inlineStr">
        <is>
          <t>IT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0.3598162212145484</v>
      </c>
      <c r="F173" t="n">
        <v>0.6613584275917628</v>
      </c>
      <c r="G173">
        <f>IF(OR(F173="",E173=""),"",F173-E173)</f>
        <v/>
      </c>
      <c r="H173" t="n">
        <v>0.06006120385204455</v>
      </c>
    </row>
    <row r="174">
      <c r="A174" t="inlineStr">
        <is>
          <t>IT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1.097944905021642</v>
      </c>
      <c r="F174" t="n">
        <v>0.6613584275917628</v>
      </c>
      <c r="G174">
        <f>IF(OR(F174="",E174=""),"",F174-E174)</f>
        <v/>
      </c>
      <c r="H174" t="n">
        <v>0.06006120385204455</v>
      </c>
    </row>
    <row r="175">
      <c r="A175" t="inlineStr">
        <is>
          <t>IT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0.6644793059721987</v>
      </c>
      <c r="F175" t="n">
        <v>0.6613584275917628</v>
      </c>
      <c r="G175">
        <f>IF(OR(F175="",E175=""),"",F175-E175)</f>
        <v/>
      </c>
      <c r="H175" t="n">
        <v>0.06006120385204455</v>
      </c>
    </row>
    <row r="176">
      <c r="A176" t="inlineStr">
        <is>
          <t>IT</t>
        </is>
      </c>
      <c r="B176" t="inlineStr">
        <is>
          <t>Autumn2025</t>
        </is>
      </c>
      <c r="C176" t="inlineStr">
        <is>
          <t>Autumn</t>
        </is>
      </c>
      <c r="D176" t="n">
        <v>2026</v>
      </c>
      <c r="E176" t="n">
        <v>0.7921212892264773</v>
      </c>
      <c r="F176" t="n">
        <v/>
      </c>
      <c r="G176">
        <f>IF(OR(F176="",E176=""),"",F176-E176)</f>
        <v/>
      </c>
      <c r="H176" t="n">
        <v>0.134751907544934</v>
      </c>
    </row>
    <row r="177">
      <c r="A177" t="inlineStr">
        <is>
          <t>IT</t>
        </is>
      </c>
      <c r="B177" t="inlineStr">
        <is>
          <t>Spring2025</t>
        </is>
      </c>
      <c r="C177" t="inlineStr">
        <is>
          <t>Spring</t>
        </is>
      </c>
      <c r="D177" t="n">
        <v>2026</v>
      </c>
      <c r="E177" t="n">
        <v>0.9465408788882579</v>
      </c>
      <c r="F177" t="n">
        <v/>
      </c>
      <c r="G177">
        <f>IF(OR(F177="",E177=""),"",F177-E177)</f>
        <v/>
      </c>
      <c r="H177" t="n">
        <v>0.134751907544934</v>
      </c>
    </row>
    <row r="178">
      <c r="A178" t="inlineStr">
        <is>
          <t>NL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2.161323818880434</v>
      </c>
      <c r="F178" t="n">
        <v>6.01976435632946</v>
      </c>
      <c r="G178">
        <f>IF(OR(F178="",E178=""),"",F178-E178)</f>
        <v/>
      </c>
      <c r="H178" t="n">
        <v>0.8843259987475071</v>
      </c>
    </row>
    <row r="179">
      <c r="A179" t="inlineStr">
        <is>
          <t>NL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3.972824818052256</v>
      </c>
      <c r="F179" t="n">
        <v>6.01976435632946</v>
      </c>
      <c r="G179">
        <f>IF(OR(F179="",E179=""),"",F179-E179)</f>
        <v/>
      </c>
      <c r="H179" t="n">
        <v>0.8843259987475071</v>
      </c>
    </row>
    <row r="180">
      <c r="A180" t="inlineStr">
        <is>
          <t>NL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4.963640025345617</v>
      </c>
      <c r="F180" t="n">
        <v>6.01976435632946</v>
      </c>
      <c r="G180">
        <f>IF(OR(F180="",E180=""),"",F180-E180)</f>
        <v/>
      </c>
      <c r="H180" t="n">
        <v>0.8843259987475071</v>
      </c>
    </row>
    <row r="181">
      <c r="A181" t="inlineStr">
        <is>
          <t>NL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2.338236916434577</v>
      </c>
      <c r="F181" t="n">
        <v>6.01976435632946</v>
      </c>
      <c r="G181">
        <f>IF(OR(F181="",E181=""),"",F181-E181)</f>
        <v/>
      </c>
      <c r="H181" t="n">
        <v>0.8843259987475071</v>
      </c>
    </row>
    <row r="182">
      <c r="A182" t="inlineStr">
        <is>
          <t>NL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3.348977083556104</v>
      </c>
      <c r="F182" t="n">
        <v>4.889291210402315</v>
      </c>
      <c r="G182">
        <f>IF(OR(F182="",E182=""),"",F182-E182)</f>
        <v/>
      </c>
      <c r="H182" t="n">
        <v>0.8138120887936376</v>
      </c>
    </row>
    <row r="183">
      <c r="A183" t="inlineStr">
        <is>
          <t>NL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4.649019663074072</v>
      </c>
      <c r="F183" t="n">
        <v>4.889291210402315</v>
      </c>
      <c r="G183">
        <f>IF(OR(F183="",E183=""),"",F183-E183)</f>
        <v/>
      </c>
      <c r="H183" t="n">
        <v>0.8138120887936376</v>
      </c>
    </row>
    <row r="184">
      <c r="A184" t="inlineStr">
        <is>
          <t>NL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3.579048671287688</v>
      </c>
      <c r="F184" t="n">
        <v>4.889291210402315</v>
      </c>
      <c r="G184">
        <f>IF(OR(F184="",E184=""),"",F184-E184)</f>
        <v/>
      </c>
      <c r="H184" t="n">
        <v>0.8138120887936376</v>
      </c>
    </row>
    <row r="185">
      <c r="A185" t="inlineStr">
        <is>
          <t>NL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3.271330674458595</v>
      </c>
      <c r="F185" t="n">
        <v>4.889291210402315</v>
      </c>
      <c r="G185">
        <f>IF(OR(F185="",E185=""),"",F185-E185)</f>
        <v/>
      </c>
      <c r="H185" t="n">
        <v>0.8138120887936376</v>
      </c>
    </row>
    <row r="186">
      <c r="A186" t="inlineStr">
        <is>
          <t>NL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0.6485732352807583</v>
      </c>
      <c r="F186" t="n">
        <v>-0.5846935562217797</v>
      </c>
      <c r="G186">
        <f>IF(OR(F186="",E186=""),"",F186-E186)</f>
        <v/>
      </c>
      <c r="H186" t="n">
        <v>0.8938189337856305</v>
      </c>
    </row>
    <row r="187">
      <c r="A187" t="inlineStr">
        <is>
          <t>NL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0.5799247285826814</v>
      </c>
      <c r="F187" t="n">
        <v>-0.5846935562217797</v>
      </c>
      <c r="G187">
        <f>IF(OR(F187="",E187=""),"",F187-E187)</f>
        <v/>
      </c>
      <c r="H187" t="n">
        <v>0.8938189337856305</v>
      </c>
    </row>
    <row r="188">
      <c r="A188" t="inlineStr">
        <is>
          <t>NL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1.568250017019501</v>
      </c>
      <c r="F188" t="n">
        <v>-0.5846935562217797</v>
      </c>
      <c r="G188">
        <f>IF(OR(F188="",E188=""),"",F188-E188)</f>
        <v/>
      </c>
      <c r="H188" t="n">
        <v>0.8938189337856305</v>
      </c>
    </row>
    <row r="189">
      <c r="A189" t="inlineStr">
        <is>
          <t>NL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1.800994175168302</v>
      </c>
      <c r="F189" t="n">
        <v>-0.5846935562217797</v>
      </c>
      <c r="G189">
        <f>IF(OR(F189="",E189=""),"",F189-E189)</f>
        <v/>
      </c>
      <c r="H189" t="n">
        <v>0.8938189337856305</v>
      </c>
    </row>
    <row r="190">
      <c r="A190" t="inlineStr">
        <is>
          <t>NL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1.090974188365412</v>
      </c>
      <c r="F190" t="n">
        <v>1.058640812818894</v>
      </c>
      <c r="G190">
        <f>IF(OR(F190="",E190=""),"",F190-E190)</f>
        <v/>
      </c>
      <c r="H190" t="n">
        <v>0.9052485578111169</v>
      </c>
    </row>
    <row r="191">
      <c r="A191" t="inlineStr">
        <is>
          <t>NL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0.8413433186627683</v>
      </c>
      <c r="F191" t="n">
        <v>1.058640812818894</v>
      </c>
      <c r="G191">
        <f>IF(OR(F191="",E191=""),"",F191-E191)</f>
        <v/>
      </c>
      <c r="H191" t="n">
        <v>0.9052485578111169</v>
      </c>
    </row>
    <row r="192">
      <c r="A192" t="inlineStr">
        <is>
          <t>NL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1.181076174566176</v>
      </c>
      <c r="F192" t="n">
        <v>1.058640812818894</v>
      </c>
      <c r="G192">
        <f>IF(OR(F192="",E192=""),"",F192-E192)</f>
        <v/>
      </c>
      <c r="H192" t="n">
        <v>0.9052485578111169</v>
      </c>
    </row>
    <row r="193">
      <c r="A193" t="inlineStr">
        <is>
          <t>NL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0.7604211807421546</v>
      </c>
      <c r="F193" t="n">
        <v>1.058640812818894</v>
      </c>
      <c r="G193">
        <f>IF(OR(F193="",E193=""),"",F193-E193)</f>
        <v/>
      </c>
      <c r="H193" t="n">
        <v>0.9052485578111169</v>
      </c>
    </row>
    <row r="194">
      <c r="A194" t="inlineStr">
        <is>
          <t>NL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1.551316113361789</v>
      </c>
      <c r="F194" t="n">
        <v>1.56298017110206</v>
      </c>
      <c r="G194">
        <f>IF(OR(F194="",E194=""),"",F194-E194)</f>
        <v/>
      </c>
      <c r="H194" t="n">
        <v>0.581936712587211</v>
      </c>
    </row>
    <row r="195">
      <c r="A195" t="inlineStr">
        <is>
          <t>NL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1.696670837427194</v>
      </c>
      <c r="F195" t="n">
        <v>1.56298017110206</v>
      </c>
      <c r="G195">
        <f>IF(OR(F195="",E195=""),"",F195-E195)</f>
        <v/>
      </c>
      <c r="H195" t="n">
        <v>0.581936712587211</v>
      </c>
    </row>
    <row r="196">
      <c r="A196" t="inlineStr">
        <is>
          <t>NL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1.466418224705546</v>
      </c>
      <c r="F196" t="n">
        <v>1.56298017110206</v>
      </c>
      <c r="G196">
        <f>IF(OR(F196="",E196=""),"",F196-E196)</f>
        <v/>
      </c>
      <c r="H196" t="n">
        <v>0.581936712587211</v>
      </c>
    </row>
    <row r="197">
      <c r="A197" t="inlineStr">
        <is>
          <t>NL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1.282511180567347</v>
      </c>
      <c r="F197" t="n">
        <v>1.56298017110206</v>
      </c>
      <c r="G197">
        <f>IF(OR(F197="",E197=""),"",F197-E197)</f>
        <v/>
      </c>
      <c r="H197" t="n">
        <v>0.581936712587211</v>
      </c>
    </row>
    <row r="198">
      <c r="A198" t="inlineStr">
        <is>
          <t>NL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1.296599919446506</v>
      </c>
      <c r="F198" t="n">
        <v/>
      </c>
      <c r="G198">
        <f>IF(OR(F198="",E198=""),"",F198-E198)</f>
        <v/>
      </c>
      <c r="H198" t="n">
        <v>0.6040816483706614</v>
      </c>
    </row>
    <row r="199">
      <c r="A199" t="inlineStr">
        <is>
          <t>NL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1.244771632095754</v>
      </c>
      <c r="F199" t="n">
        <v/>
      </c>
      <c r="G199">
        <f>IF(OR(F199="",E199=""),"",F199-E199)</f>
        <v/>
      </c>
      <c r="H199" t="n">
        <v>0.6040816483706614</v>
      </c>
    </row>
    <row r="200">
      <c r="A200" t="inlineStr">
        <is>
          <t>PT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5.360660936400219</v>
      </c>
      <c r="F200" t="n">
        <v>5.40983730275</v>
      </c>
      <c r="G200">
        <f>IF(OR(F200="",E200=""),"",F200-E200)</f>
        <v/>
      </c>
      <c r="H200" t="n">
        <v>0.8204401437541583</v>
      </c>
    </row>
    <row r="201">
      <c r="A201" t="inlineStr">
        <is>
          <t>PT</t>
        </is>
      </c>
      <c r="B201" t="inlineStr">
        <is>
          <t>Autumn2021</t>
        </is>
      </c>
      <c r="C201" t="inlineStr">
        <is>
          <t>Autumn</t>
        </is>
      </c>
      <c r="D201" t="n">
        <v>2021</v>
      </c>
      <c r="E201" t="n">
        <v>4.542806460139137</v>
      </c>
      <c r="F201" t="n">
        <v>5.40983730275</v>
      </c>
      <c r="G201">
        <f>IF(OR(F201="",E201=""),"",F201-E201)</f>
        <v/>
      </c>
      <c r="H201" t="n">
        <v>0.8204401437541583</v>
      </c>
    </row>
    <row r="202">
      <c r="A202" t="inlineStr">
        <is>
          <t>PT</t>
        </is>
      </c>
      <c r="B202" t="inlineStr">
        <is>
          <t>Spring2020</t>
        </is>
      </c>
      <c r="C202" t="inlineStr">
        <is>
          <t>Spring</t>
        </is>
      </c>
      <c r="D202" t="n">
        <v>2021</v>
      </c>
      <c r="E202" t="n">
        <v>5.817909162111334</v>
      </c>
      <c r="F202" t="n">
        <v>5.40983730275</v>
      </c>
      <c r="G202">
        <f>IF(OR(F202="",E202=""),"",F202-E202)</f>
        <v/>
      </c>
      <c r="H202" t="n">
        <v>0.8204401437541583</v>
      </c>
    </row>
    <row r="203">
      <c r="A203" t="inlineStr">
        <is>
          <t>PT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3.94410787739945</v>
      </c>
      <c r="F203" t="n">
        <v>5.40983730275</v>
      </c>
      <c r="G203">
        <f>IF(OR(F203="",E203=""),"",F203-E203)</f>
        <v/>
      </c>
      <c r="H203" t="n">
        <v>0.8204401437541583</v>
      </c>
    </row>
    <row r="204">
      <c r="A204" t="inlineStr">
        <is>
          <t>PT</t>
        </is>
      </c>
      <c r="B204" t="inlineStr">
        <is>
          <t>Autumn2021</t>
        </is>
      </c>
      <c r="C204" t="inlineStr">
        <is>
          <t>Autumn</t>
        </is>
      </c>
      <c r="D204" t="n">
        <v>2022</v>
      </c>
      <c r="E204" t="n">
        <v>5.321265722881097</v>
      </c>
      <c r="F204" t="n">
        <v>6.752612450243378</v>
      </c>
      <c r="G204">
        <f>IF(OR(F204="",E204=""),"",F204-E204)</f>
        <v/>
      </c>
      <c r="H204" t="n">
        <v>0.2037231971726706</v>
      </c>
    </row>
    <row r="205">
      <c r="A205" t="inlineStr">
        <is>
          <t>PT</t>
        </is>
      </c>
      <c r="B205" t="inlineStr">
        <is>
          <t>Autumn2022</t>
        </is>
      </c>
      <c r="C205" t="inlineStr">
        <is>
          <t>Autumn</t>
        </is>
      </c>
      <c r="D205" t="n">
        <v>2022</v>
      </c>
      <c r="E205" t="n">
        <v>6.586125160880973</v>
      </c>
      <c r="F205" t="n">
        <v>6.752612450243378</v>
      </c>
      <c r="G205">
        <f>IF(OR(F205="",E205=""),"",F205-E205)</f>
        <v/>
      </c>
      <c r="H205" t="n">
        <v>0.2037231971726706</v>
      </c>
    </row>
    <row r="206">
      <c r="A206" t="inlineStr">
        <is>
          <t>PT</t>
        </is>
      </c>
      <c r="B206" t="inlineStr">
        <is>
          <t>Spring2021</t>
        </is>
      </c>
      <c r="C206" t="inlineStr">
        <is>
          <t>Spring</t>
        </is>
      </c>
      <c r="D206" t="n">
        <v>2022</v>
      </c>
      <c r="E206" t="n">
        <v>5.098879235126508</v>
      </c>
      <c r="F206" t="n">
        <v>6.752612450243378</v>
      </c>
      <c r="G206">
        <f>IF(OR(F206="",E206=""),"",F206-E206)</f>
        <v/>
      </c>
      <c r="H206" t="n">
        <v>0.2037231971726706</v>
      </c>
    </row>
    <row r="207">
      <c r="A207" t="inlineStr">
        <is>
          <t>PT</t>
        </is>
      </c>
      <c r="B207" t="inlineStr">
        <is>
          <t>Spring2022</t>
        </is>
      </c>
      <c r="C207" t="inlineStr">
        <is>
          <t>Spring</t>
        </is>
      </c>
      <c r="D207" t="n">
        <v>2022</v>
      </c>
      <c r="E207" t="n">
        <v>5.805468708187478</v>
      </c>
      <c r="F207" t="n">
        <v>6.752612450243378</v>
      </c>
      <c r="G207">
        <f>IF(OR(F207="",E207=""),"",F207-E207)</f>
        <v/>
      </c>
      <c r="H207" t="n">
        <v>0.2037231971726706</v>
      </c>
    </row>
    <row r="208">
      <c r="A208" t="inlineStr">
        <is>
          <t>PT</t>
        </is>
      </c>
      <c r="B208" t="inlineStr">
        <is>
          <t>Autumn2022</t>
        </is>
      </c>
      <c r="C208" t="inlineStr">
        <is>
          <t>Autumn</t>
        </is>
      </c>
      <c r="D208" t="n">
        <v>2023</v>
      </c>
      <c r="E208" t="n">
        <v>0.7169614077881192</v>
      </c>
      <c r="F208" t="n">
        <v>3.052920210484774</v>
      </c>
      <c r="G208">
        <f>IF(OR(F208="",E208=""),"",F208-E208)</f>
        <v/>
      </c>
      <c r="H208" t="n">
        <v>0.2505524747528146</v>
      </c>
    </row>
    <row r="209">
      <c r="A209" t="inlineStr">
        <is>
          <t>PT</t>
        </is>
      </c>
      <c r="B209" t="inlineStr">
        <is>
          <t>Autumn2023</t>
        </is>
      </c>
      <c r="C209" t="inlineStr">
        <is>
          <t>Autumn</t>
        </is>
      </c>
      <c r="D209" t="n">
        <v>2023</v>
      </c>
      <c r="E209" t="n">
        <v>2.226883105497079</v>
      </c>
      <c r="F209" t="n">
        <v>3.052920210484774</v>
      </c>
      <c r="G209">
        <f>IF(OR(F209="",E209=""),"",F209-E209)</f>
        <v/>
      </c>
      <c r="H209" t="n">
        <v>0.2505524747528146</v>
      </c>
    </row>
    <row r="210">
      <c r="A210" t="inlineStr">
        <is>
          <t>PT</t>
        </is>
      </c>
      <c r="B210" t="inlineStr">
        <is>
          <t>Spring2022</t>
        </is>
      </c>
      <c r="C210" t="inlineStr">
        <is>
          <t>Spring</t>
        </is>
      </c>
      <c r="D210" t="n">
        <v>2023</v>
      </c>
      <c r="E210" t="n">
        <v>2.660491887007432</v>
      </c>
      <c r="F210" t="n">
        <v>3.052920210484774</v>
      </c>
      <c r="G210">
        <f>IF(OR(F210="",E210=""),"",F210-E210)</f>
        <v/>
      </c>
      <c r="H210" t="n">
        <v>0.2505524747528146</v>
      </c>
    </row>
    <row r="211">
      <c r="A211" t="inlineStr">
        <is>
          <t>PT</t>
        </is>
      </c>
      <c r="B211" t="inlineStr">
        <is>
          <t>Spring2023</t>
        </is>
      </c>
      <c r="C211" t="inlineStr">
        <is>
          <t>Spring</t>
        </is>
      </c>
      <c r="D211" t="n">
        <v>2023</v>
      </c>
      <c r="E211" t="n">
        <v>2.43876145125812</v>
      </c>
      <c r="F211" t="n">
        <v>3.052920210484774</v>
      </c>
      <c r="G211">
        <f>IF(OR(F211="",E211=""),"",F211-E211)</f>
        <v/>
      </c>
      <c r="H211" t="n">
        <v>0.2505524747528146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2024</v>
      </c>
      <c r="E212" t="n">
        <v>1.313347790478825</v>
      </c>
      <c r="F212" t="n">
        <v>2.190407278036138</v>
      </c>
      <c r="G212">
        <f>IF(OR(F212="",E212=""),"",F212-E212)</f>
        <v/>
      </c>
      <c r="H212" t="n">
        <v>0.295183569669468</v>
      </c>
    </row>
    <row r="213">
      <c r="A213" t="inlineStr">
        <is>
          <t>PT</t>
        </is>
      </c>
      <c r="B213" t="inlineStr">
        <is>
          <t>Autumn2024</t>
        </is>
      </c>
      <c r="C213" t="inlineStr">
        <is>
          <t>Autumn</t>
        </is>
      </c>
      <c r="D213" t="n">
        <v>2024</v>
      </c>
      <c r="E213" t="n">
        <v>1.651473269423054</v>
      </c>
      <c r="F213" t="n">
        <v>2.190407278036138</v>
      </c>
      <c r="G213">
        <f>IF(OR(F213="",E213=""),"",F213-E213)</f>
        <v/>
      </c>
      <c r="H213" t="n">
        <v>0.295183569669468</v>
      </c>
    </row>
    <row r="214">
      <c r="A214" t="inlineStr">
        <is>
          <t>PT</t>
        </is>
      </c>
      <c r="B214" t="inlineStr">
        <is>
          <t>Spring2023</t>
        </is>
      </c>
      <c r="C214" t="inlineStr">
        <is>
          <t>Spring</t>
        </is>
      </c>
      <c r="D214" t="n">
        <v>2024</v>
      </c>
      <c r="E214" t="n">
        <v>1.756916125884089</v>
      </c>
      <c r="F214" t="n">
        <v>2.190407278036138</v>
      </c>
      <c r="G214">
        <f>IF(OR(F214="",E214=""),"",F214-E214)</f>
        <v/>
      </c>
      <c r="H214" t="n">
        <v>0.295183569669468</v>
      </c>
    </row>
    <row r="215">
      <c r="A215" t="inlineStr">
        <is>
          <t>PT</t>
        </is>
      </c>
      <c r="B215" t="inlineStr">
        <is>
          <t>Spring2024</t>
        </is>
      </c>
      <c r="C215" t="inlineStr">
        <is>
          <t>Spring</t>
        </is>
      </c>
      <c r="D215" t="n">
        <v>2024</v>
      </c>
      <c r="E215" t="n">
        <v>1.734179743438991</v>
      </c>
      <c r="F215" t="n">
        <v>2.190407278036138</v>
      </c>
      <c r="G215">
        <f>IF(OR(F215="",E215=""),"",F215-E215)</f>
        <v/>
      </c>
      <c r="H215" t="n">
        <v>0.295183569669468</v>
      </c>
    </row>
    <row r="216">
      <c r="A216" t="inlineStr">
        <is>
          <t>PT</t>
        </is>
      </c>
      <c r="B216" t="inlineStr">
        <is>
          <t>Autumn2024</t>
        </is>
      </c>
      <c r="C216" t="inlineStr">
        <is>
          <t>Autumn</t>
        </is>
      </c>
      <c r="D216" t="n">
        <v>2025</v>
      </c>
      <c r="E216" t="n">
        <v>1.851074416505627</v>
      </c>
      <c r="F216" t="n">
        <v>1.84420000904056</v>
      </c>
      <c r="G216">
        <f>IF(OR(F216="",E216=""),"",F216-E216)</f>
        <v/>
      </c>
      <c r="H216" t="n">
        <v>0.04314109876700022</v>
      </c>
    </row>
    <row r="217">
      <c r="A217" t="inlineStr">
        <is>
          <t>PT</t>
        </is>
      </c>
      <c r="B217" t="inlineStr">
        <is>
          <t>Autumn2025</t>
        </is>
      </c>
      <c r="C217" t="inlineStr">
        <is>
          <t>Autumn</t>
        </is>
      </c>
      <c r="D217" t="n">
        <v>2025</v>
      </c>
      <c r="E217" t="n">
        <v>1.898720252436026</v>
      </c>
      <c r="F217" t="n">
        <v>1.84420000904056</v>
      </c>
      <c r="G217">
        <f>IF(OR(F217="",E217=""),"",F217-E217)</f>
        <v/>
      </c>
      <c r="H217" t="n">
        <v>0.04314109876700022</v>
      </c>
    </row>
    <row r="218">
      <c r="A218" t="inlineStr">
        <is>
          <t>PT</t>
        </is>
      </c>
      <c r="B218" t="inlineStr">
        <is>
          <t>Spring2024</t>
        </is>
      </c>
      <c r="C218" t="inlineStr">
        <is>
          <t>Spring</t>
        </is>
      </c>
      <c r="D218" t="n">
        <v>2025</v>
      </c>
      <c r="E218" t="n">
        <v>1.87529344869708</v>
      </c>
      <c r="F218" t="n">
        <v>1.84420000904056</v>
      </c>
      <c r="G218">
        <f>IF(OR(F218="",E218=""),"",F218-E218)</f>
        <v/>
      </c>
      <c r="H218" t="n">
        <v>0.04314109876700022</v>
      </c>
    </row>
    <row r="219">
      <c r="A219" t="inlineStr">
        <is>
          <t>PT</t>
        </is>
      </c>
      <c r="B219" t="inlineStr">
        <is>
          <t>Spring2025</t>
        </is>
      </c>
      <c r="C219" t="inlineStr">
        <is>
          <t>Spring</t>
        </is>
      </c>
      <c r="D219" t="n">
        <v>2025</v>
      </c>
      <c r="E219" t="n">
        <v>1.750587684359384</v>
      </c>
      <c r="F219" t="n">
        <v>1.84420000904056</v>
      </c>
      <c r="G219">
        <f>IF(OR(F219="",E219=""),"",F219-E219)</f>
        <v/>
      </c>
      <c r="H219" t="n">
        <v>0.04314109876700022</v>
      </c>
    </row>
    <row r="220">
      <c r="A220" t="inlineStr">
        <is>
          <t>PT</t>
        </is>
      </c>
      <c r="B220" t="inlineStr">
        <is>
          <t>Autumn2025</t>
        </is>
      </c>
      <c r="C220" t="inlineStr">
        <is>
          <t>Autumn</t>
        </is>
      </c>
      <c r="D220" t="n">
        <v>2026</v>
      </c>
      <c r="E220" t="n">
        <v>2.230218535318218</v>
      </c>
      <c r="F220" t="n">
        <v/>
      </c>
      <c r="G220">
        <f>IF(OR(F220="",E220=""),"",F220-E220)</f>
        <v/>
      </c>
      <c r="H220" t="n">
        <v>0.09300678985233143</v>
      </c>
    </row>
    <row r="221">
      <c r="A221" t="inlineStr">
        <is>
          <t>PT</t>
        </is>
      </c>
      <c r="B221" t="inlineStr">
        <is>
          <t>Spring2025</t>
        </is>
      </c>
      <c r="C221" t="inlineStr">
        <is>
          <t>Spring</t>
        </is>
      </c>
      <c r="D221" t="n">
        <v>2026</v>
      </c>
      <c r="E221" t="n">
        <v>2.245562452222405</v>
      </c>
      <c r="F221" t="n">
        <v/>
      </c>
      <c r="G221">
        <f>IF(OR(F221="",E221=""),"",F221-E221)</f>
        <v/>
      </c>
      <c r="H221" t="n">
        <v>0.09300678985233143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Target year (time)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2011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2011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2012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2012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2012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2012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2013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2013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2013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2013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2014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2014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2014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2014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2015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2015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2015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2015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2016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2016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2016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2016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2017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2017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2017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2017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2018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2018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2018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2018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2019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2019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2019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2019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2020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2020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2020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2020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2021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2021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2021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2021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2022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2022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2022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2022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2023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2023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2023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2023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2024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2024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2024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2024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2025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2025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2025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2025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2026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2026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2011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2011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2012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2012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2012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2012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2013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2013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2013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2013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2014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2014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2014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2014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2015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2015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2015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2016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2016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2016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2016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2017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2017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2017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2018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2018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2018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2018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2019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2019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2019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2019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2020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2020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2020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2020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2021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2021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2021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2021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2022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2022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2022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2022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2023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2023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2023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2023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2024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2024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2024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2024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2025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2025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2025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2025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2026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2026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2011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2011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2012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2012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2012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2012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2013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2013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2013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2013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2014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2014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2014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2014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2015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2015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2015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2015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2016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2016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2016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2017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2017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2017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2017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2018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2018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2018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2018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2019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2019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2019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2019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2020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2020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2020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2020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2021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2021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2021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2021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2022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2022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2022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2022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2023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2023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2023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2023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2024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2024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2024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2024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2025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2025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2025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2025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2026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2026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2011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2011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2012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2012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2012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2012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2013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2013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2013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2013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2014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2014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2014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2014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2015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2015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2015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2015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2016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2016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2016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2016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2017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2017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2017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2017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2018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2018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2018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2018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2019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2019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2019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2019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2020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2020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2020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2021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2021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2021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2022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2022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2022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2022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2023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2023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2023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2023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2024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2024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2024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2024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2025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2025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2025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2025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2026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2026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2011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2011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2012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2012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2012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2012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2013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2013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2013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2013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2014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2014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2014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2014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2015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2015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2015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2015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2016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2016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2016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2016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2017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2017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2017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2017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2018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2018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2018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2018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2019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2019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2019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2019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2020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2020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2020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2020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2021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2021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2021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2021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2022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2022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2022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2022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2023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2023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2023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2023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2024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2024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2024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2024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2025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2025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2025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2025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2026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2026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2011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2011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2012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2012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2012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2012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2013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2013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2013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2013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2014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2014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2014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2014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2015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2015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2015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2015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2016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2016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2016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2016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2017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2017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2017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2017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2018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2018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2018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2018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2019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2019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2019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2019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2020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2020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2020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2020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2021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2021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2021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2021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2022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2022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2022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2022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2023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2023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2023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2024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2024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2024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2024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2025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2025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2025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2025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2026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2026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2011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2011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2012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2012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2012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2012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2013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2013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2013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2013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2014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2014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2014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2014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2015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2015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2015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2015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2016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2016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2016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2016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2017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2017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2017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2017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2018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2018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2018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2018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2019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2019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2019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2019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2020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2020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2020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2020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2021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2021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2021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2021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2022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2022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2022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2022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2023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2023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2023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2023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2024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2024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2024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2024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2025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2025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2025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2025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2026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2026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2011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2011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2012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2012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2012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2012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2013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2013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2013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2013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2014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2014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2014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2014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2015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2015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2015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2015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2016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2016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2016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2016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2017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2017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2017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2017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2018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2018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2018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2018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2019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2019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2019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2019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2020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2020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2020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2020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2021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2021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2021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2021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2022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2022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2022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2022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2023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2023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2023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2023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2024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2024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2024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2024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2025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2025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2025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2025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2026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2026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2011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2011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2012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2012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2012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2012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2013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2013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2013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2013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2014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2014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2014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2014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2015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2015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2015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2015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2016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2016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2016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2016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2017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2017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2017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2017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2018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2018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2018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2018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2019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2019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2019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2019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2020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2020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2020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2020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2021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2021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2021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2021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2022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2022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2022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2022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2023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2023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2023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2023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2024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2024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2024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2024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2025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2025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2025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2025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2026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2026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2011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2011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2012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2012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2012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2012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2013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2013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2013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2013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2014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2014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2014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2014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2015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2015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2015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2015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2016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2016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2016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2016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2017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2017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2017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2017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2018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2018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2018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2018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2019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2019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2019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2019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2020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2020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2020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2020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2021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2021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2021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2021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2022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2022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2022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2022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2023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2023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2023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2023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2024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2024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2024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2024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2025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2025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2025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2025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2026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2026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M2:N5"/>
  <sheetViews>
    <sheetView workbookViewId="0">
      <selection activeCell="A1" sqref="A1"/>
    </sheetView>
  </sheetViews>
  <sheetFormatPr baseColWidth="8" defaultRowHeight="15"/>
  <cols>
    <col width="22" customWidth="1" min="13" max="13"/>
    <col width="14" customWidth="1" min="14" max="14"/>
  </cols>
  <sheetData>
    <row r="2">
      <c r="M2" s="1" t="inlineStr">
        <is>
          <t>Slope (pp per year)</t>
        </is>
      </c>
      <c r="N2" s="3">
        <f>SLOPE('data_time_trend_full'!$G$2:$G$601,'data_time_trend_full'!$H$2:$H$601)</f>
        <v/>
      </c>
    </row>
    <row r="3">
      <c r="M3" s="1" t="inlineStr">
        <is>
          <t>Intercept</t>
        </is>
      </c>
      <c r="N3" s="3">
        <f>INTERCEPT('data_time_trend_full'!$G$2:$G$601,'data_time_trend_full'!$H$2:$H$601)</f>
        <v/>
      </c>
    </row>
    <row r="4">
      <c r="M4" s="1" t="inlineStr">
        <is>
          <t>R-squared</t>
        </is>
      </c>
      <c r="N4" s="3">
        <f>RSQ('data_time_trend_full'!$G$2:$G$601,'data_time_trend_full'!$H$2:$H$601)</f>
        <v/>
      </c>
    </row>
    <row r="5">
      <c r="M5" s="1" t="inlineStr">
        <is>
          <t>Correlation</t>
        </is>
      </c>
      <c r="N5" s="3">
        <f>CORREL('data_time_trend_full'!$G$2:$G$601,'data_time_trend_full'!$H$2:$H$601)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Target year (time)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2021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2021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2021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2021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2022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2022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2022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2022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2023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2023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2023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2023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2024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2024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2024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2024</v>
      </c>
    </row>
    <row r="18">
      <c r="A18" t="inlineStr">
        <is>
          <t>AT</t>
        </is>
      </c>
      <c r="B18" t="inlineStr">
        <is>
          <t>Autumn2024</t>
        </is>
      </c>
      <c r="C18" t="inlineStr">
        <is>
          <t>Autumn</t>
        </is>
      </c>
      <c r="D18" t="n">
        <v>2025</v>
      </c>
      <c r="E18" t="n">
        <v>0.9930391223853752</v>
      </c>
      <c r="F18" t="n">
        <v>0.9524130020840387</v>
      </c>
      <c r="G18">
        <f>IF(OR(F18="",E18=""),"",F18-E18)</f>
        <v/>
      </c>
      <c r="H18" t="n">
        <v>2025</v>
      </c>
    </row>
    <row r="19">
      <c r="A19" t="inlineStr">
        <is>
          <t>AT</t>
        </is>
      </c>
      <c r="B19" t="inlineStr">
        <is>
          <t>Autumn2025</t>
        </is>
      </c>
      <c r="C19" t="inlineStr">
        <is>
          <t>Autumn</t>
        </is>
      </c>
      <c r="D19" t="n">
        <v>2025</v>
      </c>
      <c r="E19" t="n">
        <v>0.3143623002578089</v>
      </c>
      <c r="F19" t="n">
        <v>0.9524130020840387</v>
      </c>
      <c r="G19">
        <f>IF(OR(F19="",E19=""),"",F19-E19)</f>
        <v/>
      </c>
      <c r="H19" t="n">
        <v>2025</v>
      </c>
    </row>
    <row r="20">
      <c r="A20" t="inlineStr">
        <is>
          <t>AT</t>
        </is>
      </c>
      <c r="B20" t="inlineStr">
        <is>
          <t>Spring2024</t>
        </is>
      </c>
      <c r="C20" t="inlineStr">
        <is>
          <t>Spring</t>
        </is>
      </c>
      <c r="D20" t="n">
        <v>2025</v>
      </c>
      <c r="E20" t="n">
        <v>1.602019532183996</v>
      </c>
      <c r="F20" t="n">
        <v>0.9524130020840387</v>
      </c>
      <c r="G20">
        <f>IF(OR(F20="",E20=""),"",F20-E20)</f>
        <v/>
      </c>
      <c r="H20" t="n">
        <v>2025</v>
      </c>
    </row>
    <row r="21">
      <c r="A21" t="inlineStr">
        <is>
          <t>AT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-0.2827078301863684</v>
      </c>
      <c r="F21" t="n">
        <v>0.9524130020840387</v>
      </c>
      <c r="G21">
        <f>IF(OR(F21="",E21=""),"",F21-E21)</f>
        <v/>
      </c>
      <c r="H21" t="n">
        <v>2025</v>
      </c>
    </row>
    <row r="22">
      <c r="A22" t="inlineStr">
        <is>
          <t>AT</t>
        </is>
      </c>
      <c r="B22" t="inlineStr">
        <is>
          <t>Autumn2025</t>
        </is>
      </c>
      <c r="C22" t="inlineStr">
        <is>
          <t>Autumn</t>
        </is>
      </c>
      <c r="D22" t="n">
        <v>2026</v>
      </c>
      <c r="E22" t="n">
        <v>0.8846357045854569</v>
      </c>
      <c r="F22" t="n">
        <v/>
      </c>
      <c r="G22">
        <f>IF(OR(F22="",E22=""),"",F22-E22)</f>
        <v/>
      </c>
      <c r="H22" t="n">
        <v>2026</v>
      </c>
    </row>
    <row r="23">
      <c r="A23" t="inlineStr">
        <is>
          <t>AT</t>
        </is>
      </c>
      <c r="B23" t="inlineStr">
        <is>
          <t>Spring2025</t>
        </is>
      </c>
      <c r="C23" t="inlineStr">
        <is>
          <t>Spring</t>
        </is>
      </c>
      <c r="D23" t="n">
        <v>2026</v>
      </c>
      <c r="E23" t="n">
        <v>0.97202851159921</v>
      </c>
      <c r="F23" t="n">
        <v/>
      </c>
      <c r="G23">
        <f>IF(OR(F23="",E23=""),"",F23-E23)</f>
        <v/>
      </c>
      <c r="H23" t="n">
        <v>2026</v>
      </c>
    </row>
    <row r="24">
      <c r="A24" t="inlineStr">
        <is>
          <t>BE</t>
        </is>
      </c>
      <c r="B24" t="inlineStr">
        <is>
          <t>Autumn2020</t>
        </is>
      </c>
      <c r="C24" t="inlineStr">
        <is>
          <t>Autumn</t>
        </is>
      </c>
      <c r="D24" t="n">
        <v>2021</v>
      </c>
      <c r="E24" t="n">
        <v>4.123904979564874</v>
      </c>
      <c r="F24" t="n">
        <v>6.066717579844368</v>
      </c>
      <c r="G24">
        <f>IF(OR(F24="",E24=""),"",F24-E24)</f>
        <v/>
      </c>
      <c r="H24" t="n">
        <v>2021</v>
      </c>
    </row>
    <row r="25">
      <c r="A25" t="inlineStr">
        <is>
          <t>BE</t>
        </is>
      </c>
      <c r="B25" t="inlineStr">
        <is>
          <t>Autumn2021</t>
        </is>
      </c>
      <c r="C25" t="inlineStr">
        <is>
          <t>Autumn</t>
        </is>
      </c>
      <c r="D25" t="n">
        <v>2021</v>
      </c>
      <c r="E25" t="n">
        <v>5.983602933941645</v>
      </c>
      <c r="F25" t="n">
        <v>6.066717579844368</v>
      </c>
      <c r="G25">
        <f>IF(OR(F25="",E25=""),"",F25-E25)</f>
        <v/>
      </c>
      <c r="H25" t="n">
        <v>2021</v>
      </c>
    </row>
    <row r="26">
      <c r="A26" t="inlineStr">
        <is>
          <t>BE</t>
        </is>
      </c>
      <c r="B26" t="inlineStr">
        <is>
          <t>Spring2020</t>
        </is>
      </c>
      <c r="C26" t="inlineStr">
        <is>
          <t>Spring</t>
        </is>
      </c>
      <c r="D26" t="n">
        <v>2021</v>
      </c>
      <c r="E26" t="n">
        <v>6.68991298414483</v>
      </c>
      <c r="F26" t="n">
        <v>6.066717579844368</v>
      </c>
      <c r="G26">
        <f>IF(OR(F26="",E26=""),"",F26-E26)</f>
        <v/>
      </c>
      <c r="H26" t="n">
        <v>2021</v>
      </c>
    </row>
    <row r="27">
      <c r="A27" t="inlineStr">
        <is>
          <t>BE</t>
        </is>
      </c>
      <c r="B27" t="inlineStr">
        <is>
          <t>Spring2021</t>
        </is>
      </c>
      <c r="C27" t="inlineStr">
        <is>
          <t>Spring</t>
        </is>
      </c>
      <c r="D27" t="n">
        <v>2021</v>
      </c>
      <c r="E27" t="n">
        <v>4.542307146368851</v>
      </c>
      <c r="F27" t="n">
        <v>6.066717579844368</v>
      </c>
      <c r="G27">
        <f>IF(OR(F27="",E27=""),"",F27-E27)</f>
        <v/>
      </c>
      <c r="H27" t="n">
        <v>2021</v>
      </c>
    </row>
    <row r="28">
      <c r="A28" t="inlineStr">
        <is>
          <t>BE</t>
        </is>
      </c>
      <c r="B28" t="inlineStr">
        <is>
          <t>Autumn2021</t>
        </is>
      </c>
      <c r="C28" t="inlineStr">
        <is>
          <t>Autumn</t>
        </is>
      </c>
      <c r="D28" t="n">
        <v>2022</v>
      </c>
      <c r="E28" t="n">
        <v>2.647136452938059</v>
      </c>
      <c r="F28" t="n">
        <v>3.945716681463399</v>
      </c>
      <c r="G28">
        <f>IF(OR(F28="",E28=""),"",F28-E28)</f>
        <v/>
      </c>
      <c r="H28" t="n">
        <v>2022</v>
      </c>
    </row>
    <row r="29">
      <c r="A29" t="inlineStr">
        <is>
          <t>BE</t>
        </is>
      </c>
      <c r="B29" t="inlineStr">
        <is>
          <t>Autumn2022</t>
        </is>
      </c>
      <c r="C29" t="inlineStr">
        <is>
          <t>Autumn</t>
        </is>
      </c>
      <c r="D29" t="n">
        <v>2022</v>
      </c>
      <c r="E29" t="n">
        <v>2.817114751231209</v>
      </c>
      <c r="F29" t="n">
        <v>3.945716681463399</v>
      </c>
      <c r="G29">
        <f>IF(OR(F29="",E29=""),"",F29-E29)</f>
        <v/>
      </c>
      <c r="H29" t="n">
        <v>2022</v>
      </c>
    </row>
    <row r="30">
      <c r="A30" t="inlineStr">
        <is>
          <t>BE</t>
        </is>
      </c>
      <c r="B30" t="inlineStr">
        <is>
          <t>Spring2021</t>
        </is>
      </c>
      <c r="C30" t="inlineStr">
        <is>
          <t>Spring</t>
        </is>
      </c>
      <c r="D30" t="n">
        <v>2022</v>
      </c>
      <c r="E30" t="n">
        <v>3.671117125209777</v>
      </c>
      <c r="F30" t="n">
        <v>3.945716681463399</v>
      </c>
      <c r="G30">
        <f>IF(OR(F30="",E30=""),"",F30-E30)</f>
        <v/>
      </c>
      <c r="H30" t="n">
        <v>2022</v>
      </c>
    </row>
    <row r="31">
      <c r="A31" t="inlineStr">
        <is>
          <t>BE</t>
        </is>
      </c>
      <c r="B31" t="inlineStr">
        <is>
          <t>Spring2022</t>
        </is>
      </c>
      <c r="C31" t="inlineStr">
        <is>
          <t>Spring</t>
        </is>
      </c>
      <c r="D31" t="n">
        <v>2022</v>
      </c>
      <c r="E31" t="n">
        <v>2.016579561869025</v>
      </c>
      <c r="F31" t="n">
        <v>3.945716681463399</v>
      </c>
      <c r="G31">
        <f>IF(OR(F31="",E31=""),"",F31-E31)</f>
        <v/>
      </c>
      <c r="H31" t="n">
        <v>2022</v>
      </c>
    </row>
    <row r="32">
      <c r="A32" t="inlineStr">
        <is>
          <t>BE</t>
        </is>
      </c>
      <c r="B32" t="inlineStr">
        <is>
          <t>Autumn2022</t>
        </is>
      </c>
      <c r="C32" t="inlineStr">
        <is>
          <t>Autumn</t>
        </is>
      </c>
      <c r="D32" t="n">
        <v>2023</v>
      </c>
      <c r="E32" t="n">
        <v>0.1608186912456899</v>
      </c>
      <c r="F32" t="n">
        <v>1.549182781075526</v>
      </c>
      <c r="G32">
        <f>IF(OR(F32="",E32=""),"",F32-E32)</f>
        <v/>
      </c>
      <c r="H32" t="n">
        <v>2023</v>
      </c>
    </row>
    <row r="33">
      <c r="A33" t="inlineStr">
        <is>
          <t>BE</t>
        </is>
      </c>
      <c r="B33" t="inlineStr">
        <is>
          <t>Autumn2023</t>
        </is>
      </c>
      <c r="C33" t="inlineStr">
        <is>
          <t>Autumn</t>
        </is>
      </c>
      <c r="D33" t="n">
        <v>2023</v>
      </c>
      <c r="E33" t="n">
        <v>1.44096095579862</v>
      </c>
      <c r="F33" t="n">
        <v>1.549182781075526</v>
      </c>
      <c r="G33">
        <f>IF(OR(F33="",E33=""),"",F33-E33)</f>
        <v/>
      </c>
      <c r="H33" t="n">
        <v>2023</v>
      </c>
    </row>
    <row r="34">
      <c r="A34" t="inlineStr">
        <is>
          <t>BE</t>
        </is>
      </c>
      <c r="B34" t="inlineStr">
        <is>
          <t>Spring2022</t>
        </is>
      </c>
      <c r="C34" t="inlineStr">
        <is>
          <t>Spring</t>
        </is>
      </c>
      <c r="D34" t="n">
        <v>2023</v>
      </c>
      <c r="E34" t="n">
        <v>1.776624080830547</v>
      </c>
      <c r="F34" t="n">
        <v>1.549182781075526</v>
      </c>
      <c r="G34">
        <f>IF(OR(F34="",E34=""),"",F34-E34)</f>
        <v/>
      </c>
      <c r="H34" t="n">
        <v>2023</v>
      </c>
    </row>
    <row r="35">
      <c r="A35" t="inlineStr">
        <is>
          <t>BE</t>
        </is>
      </c>
      <c r="B35" t="inlineStr">
        <is>
          <t>Spring2023</t>
        </is>
      </c>
      <c r="C35" t="inlineStr">
        <is>
          <t>Spring</t>
        </is>
      </c>
      <c r="D35" t="n">
        <v>2023</v>
      </c>
      <c r="E35" t="n">
        <v>1.233072806561886</v>
      </c>
      <c r="F35" t="n">
        <v>1.549182781075526</v>
      </c>
      <c r="G35">
        <f>IF(OR(F35="",E35=""),"",F35-E35)</f>
        <v/>
      </c>
      <c r="H35" t="n">
        <v>2023</v>
      </c>
    </row>
    <row r="36">
      <c r="A36" t="inlineStr">
        <is>
          <t>BE</t>
        </is>
      </c>
      <c r="B36" t="inlineStr">
        <is>
          <t>Autumn2023</t>
        </is>
      </c>
      <c r="C36" t="inlineStr">
        <is>
          <t>Autumn</t>
        </is>
      </c>
      <c r="D36" t="n">
        <v>2024</v>
      </c>
      <c r="E36" t="n">
        <v>1.366814397179428</v>
      </c>
      <c r="F36" t="n">
        <v>1.091758418498549</v>
      </c>
      <c r="G36">
        <f>IF(OR(F36="",E36=""),"",F36-E36)</f>
        <v/>
      </c>
      <c r="H36" t="n">
        <v>2024</v>
      </c>
    </row>
    <row r="37">
      <c r="A37" t="inlineStr">
        <is>
          <t>BE</t>
        </is>
      </c>
      <c r="B37" t="inlineStr">
        <is>
          <t>Autumn2024</t>
        </is>
      </c>
      <c r="C37" t="inlineStr">
        <is>
          <t>Autumn</t>
        </is>
      </c>
      <c r="D37" t="n">
        <v>2024</v>
      </c>
      <c r="E37" t="n">
        <v>1.144309940913812</v>
      </c>
      <c r="F37" t="n">
        <v>1.091758418498549</v>
      </c>
      <c r="G37">
        <f>IF(OR(F37="",E37=""),"",F37-E37)</f>
        <v/>
      </c>
      <c r="H37" t="n">
        <v>2024</v>
      </c>
    </row>
    <row r="38">
      <c r="A38" t="inlineStr">
        <is>
          <t>BE</t>
        </is>
      </c>
      <c r="B38" t="inlineStr">
        <is>
          <t>Spring2023</t>
        </is>
      </c>
      <c r="C38" t="inlineStr">
        <is>
          <t>Spring</t>
        </is>
      </c>
      <c r="D38" t="n">
        <v>2024</v>
      </c>
      <c r="E38" t="n">
        <v>1.361184496232393</v>
      </c>
      <c r="F38" t="n">
        <v>1.091758418498549</v>
      </c>
      <c r="G38">
        <f>IF(OR(F38="",E38=""),"",F38-E38)</f>
        <v/>
      </c>
      <c r="H38" t="n">
        <v>2024</v>
      </c>
    </row>
    <row r="39">
      <c r="A39" t="inlineStr">
        <is>
          <t>BE</t>
        </is>
      </c>
      <c r="B39" t="inlineStr">
        <is>
          <t>Spring2024</t>
        </is>
      </c>
      <c r="C39" t="inlineStr">
        <is>
          <t>Spring</t>
        </is>
      </c>
      <c r="D39" t="n">
        <v>2024</v>
      </c>
      <c r="E39" t="n">
        <v>1.27417313530005</v>
      </c>
      <c r="F39" t="n">
        <v>1.091758418498549</v>
      </c>
      <c r="G39">
        <f>IF(OR(F39="",E39=""),"",F39-E39)</f>
        <v/>
      </c>
      <c r="H39" t="n">
        <v>2024</v>
      </c>
    </row>
    <row r="40">
      <c r="A40" t="inlineStr">
        <is>
          <t>BE</t>
        </is>
      </c>
      <c r="B40" t="inlineStr">
        <is>
          <t>Autumn2024</t>
        </is>
      </c>
      <c r="C40" t="inlineStr">
        <is>
          <t>Autumn</t>
        </is>
      </c>
      <c r="D40" t="n">
        <v>2025</v>
      </c>
      <c r="E40" t="n">
        <v>1.244583216913275</v>
      </c>
      <c r="F40" t="n">
        <v>0.9783351307489526</v>
      </c>
      <c r="G40">
        <f>IF(OR(F40="",E40=""),"",F40-E40)</f>
        <v/>
      </c>
      <c r="H40" t="n">
        <v>2025</v>
      </c>
    </row>
    <row r="41">
      <c r="A41" t="inlineStr">
        <is>
          <t>BE</t>
        </is>
      </c>
      <c r="B41" t="inlineStr">
        <is>
          <t>Autumn2025</t>
        </is>
      </c>
      <c r="C41" t="inlineStr">
        <is>
          <t>Autumn</t>
        </is>
      </c>
      <c r="D41" t="n">
        <v>2025</v>
      </c>
      <c r="E41" t="n">
        <v>0.9978473576010671</v>
      </c>
      <c r="F41" t="n">
        <v>0.9783351307489526</v>
      </c>
      <c r="G41">
        <f>IF(OR(F41="",E41=""),"",F41-E41)</f>
        <v/>
      </c>
      <c r="H41" t="n">
        <v>2025</v>
      </c>
    </row>
    <row r="42">
      <c r="A42" t="inlineStr">
        <is>
          <t>BE</t>
        </is>
      </c>
      <c r="B42" t="inlineStr">
        <is>
          <t>Spring2024</t>
        </is>
      </c>
      <c r="C42" t="inlineStr">
        <is>
          <t>Spring</t>
        </is>
      </c>
      <c r="D42" t="n">
        <v>2025</v>
      </c>
      <c r="E42" t="n">
        <v>1.3772936758913</v>
      </c>
      <c r="F42" t="n">
        <v>0.9783351307489526</v>
      </c>
      <c r="G42">
        <f>IF(OR(F42="",E42=""),"",F42-E42)</f>
        <v/>
      </c>
      <c r="H42" t="n">
        <v>2025</v>
      </c>
    </row>
    <row r="43">
      <c r="A43" t="inlineStr">
        <is>
          <t>BE</t>
        </is>
      </c>
      <c r="B43" t="inlineStr">
        <is>
          <t>Spring2025</t>
        </is>
      </c>
      <c r="C43" t="inlineStr">
        <is>
          <t>Spring</t>
        </is>
      </c>
      <c r="D43" t="n">
        <v>2025</v>
      </c>
      <c r="E43" t="n">
        <v>0.7689381594133238</v>
      </c>
      <c r="F43" t="n">
        <v>0.9783351307489526</v>
      </c>
      <c r="G43">
        <f>IF(OR(F43="",E43=""),"",F43-E43)</f>
        <v/>
      </c>
      <c r="H43" t="n">
        <v>2025</v>
      </c>
    </row>
    <row r="44">
      <c r="A44" t="inlineStr">
        <is>
          <t>BE</t>
        </is>
      </c>
      <c r="B44" t="inlineStr">
        <is>
          <t>Autumn2025</t>
        </is>
      </c>
      <c r="C44" t="inlineStr">
        <is>
          <t>Autumn</t>
        </is>
      </c>
      <c r="D44" t="n">
        <v>2026</v>
      </c>
      <c r="E44" t="n">
        <v>1.147005147092761</v>
      </c>
      <c r="F44" t="n">
        <v/>
      </c>
      <c r="G44">
        <f>IF(OR(F44="",E44=""),"",F44-E44)</f>
        <v/>
      </c>
      <c r="H44" t="n">
        <v>2026</v>
      </c>
    </row>
    <row r="45">
      <c r="A45" t="inlineStr">
        <is>
          <t>BE</t>
        </is>
      </c>
      <c r="B45" t="inlineStr">
        <is>
          <t>Spring2025</t>
        </is>
      </c>
      <c r="C45" t="inlineStr">
        <is>
          <t>Spring</t>
        </is>
      </c>
      <c r="D45" t="n">
        <v>2026</v>
      </c>
      <c r="E45" t="n">
        <v>0.8575282054287259</v>
      </c>
      <c r="F45" t="n">
        <v/>
      </c>
      <c r="G45">
        <f>IF(OR(F45="",E45=""),"",F45-E45)</f>
        <v/>
      </c>
      <c r="H45" t="n">
        <v>2026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2021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2021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2021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2021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2022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2022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2022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2023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2023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2023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2023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2024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2024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2024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2024</v>
      </c>
    </row>
    <row r="62">
      <c r="A62" t="inlineStr">
        <is>
          <t>DE</t>
        </is>
      </c>
      <c r="B62" t="inlineStr">
        <is>
          <t>Autumn2024</t>
        </is>
      </c>
      <c r="C62" t="inlineStr">
        <is>
          <t>Autumn</t>
        </is>
      </c>
      <c r="D62" t="n">
        <v>2025</v>
      </c>
      <c r="E62" t="n">
        <v>0.6933380823341828</v>
      </c>
      <c r="F62" t="n">
        <v>0.3402558811283772</v>
      </c>
      <c r="G62">
        <f>IF(OR(F62="",E62=""),"",F62-E62)</f>
        <v/>
      </c>
      <c r="H62" t="n">
        <v>2025</v>
      </c>
    </row>
    <row r="63">
      <c r="A63" t="inlineStr">
        <is>
          <t>DE</t>
        </is>
      </c>
      <c r="B63" t="inlineStr">
        <is>
          <t>Autumn2025</t>
        </is>
      </c>
      <c r="C63" t="inlineStr">
        <is>
          <t>Autumn</t>
        </is>
      </c>
      <c r="D63" t="n">
        <v>2025</v>
      </c>
      <c r="E63" t="n">
        <v>0.1706874881985287</v>
      </c>
      <c r="F63" t="n">
        <v>0.3402558811283772</v>
      </c>
      <c r="G63">
        <f>IF(OR(F63="",E63=""),"",F63-E63)</f>
        <v/>
      </c>
      <c r="H63" t="n">
        <v>2025</v>
      </c>
    </row>
    <row r="64">
      <c r="A64" t="inlineStr">
        <is>
          <t>DE</t>
        </is>
      </c>
      <c r="B64" t="inlineStr">
        <is>
          <t>Spring2024</t>
        </is>
      </c>
      <c r="C64" t="inlineStr">
        <is>
          <t>Spring</t>
        </is>
      </c>
      <c r="D64" t="n">
        <v>2025</v>
      </c>
      <c r="E64" t="n">
        <v>1.014129227832639</v>
      </c>
      <c r="F64" t="n">
        <v>0.3402558811283772</v>
      </c>
      <c r="G64">
        <f>IF(OR(F64="",E64=""),"",F64-E64)</f>
        <v/>
      </c>
      <c r="H64" t="n">
        <v>2025</v>
      </c>
    </row>
    <row r="65">
      <c r="A65" t="inlineStr">
        <is>
          <t>DE</t>
        </is>
      </c>
      <c r="B65" t="inlineStr">
        <is>
          <t>Spring2025</t>
        </is>
      </c>
      <c r="C65" t="inlineStr">
        <is>
          <t>Spring</t>
        </is>
      </c>
      <c r="D65" t="n">
        <v>2025</v>
      </c>
      <c r="E65" t="n">
        <v>-0.02983152121627253</v>
      </c>
      <c r="F65" t="n">
        <v>0.3402558811283772</v>
      </c>
      <c r="G65">
        <f>IF(OR(F65="",E65=""),"",F65-E65)</f>
        <v/>
      </c>
      <c r="H65" t="n">
        <v>2025</v>
      </c>
    </row>
    <row r="66">
      <c r="A66" t="inlineStr">
        <is>
          <t>DE</t>
        </is>
      </c>
      <c r="B66" t="inlineStr">
        <is>
          <t>Autumn2025</t>
        </is>
      </c>
      <c r="C66" t="inlineStr">
        <is>
          <t>Autumn</t>
        </is>
      </c>
      <c r="D66" t="n">
        <v>2026</v>
      </c>
      <c r="E66" t="n">
        <v>1.215589257836536</v>
      </c>
      <c r="F66" t="n">
        <v/>
      </c>
      <c r="G66">
        <f>IF(OR(F66="",E66=""),"",F66-E66)</f>
        <v/>
      </c>
      <c r="H66" t="n">
        <v>2026</v>
      </c>
    </row>
    <row r="67">
      <c r="A67" t="inlineStr">
        <is>
          <t>DE</t>
        </is>
      </c>
      <c r="B67" t="inlineStr">
        <is>
          <t>Spring2025</t>
        </is>
      </c>
      <c r="C67" t="inlineStr">
        <is>
          <t>Spring</t>
        </is>
      </c>
      <c r="D67" t="n">
        <v>2026</v>
      </c>
      <c r="E67" t="n">
        <v>1.095748100238314</v>
      </c>
      <c r="F67" t="n">
        <v/>
      </c>
      <c r="G67">
        <f>IF(OR(F67="",E67=""),"",F67-E67)</f>
        <v/>
      </c>
      <c r="H67" t="n">
        <v>2026</v>
      </c>
    </row>
    <row r="68">
      <c r="A68" t="inlineStr">
        <is>
          <t>ES</t>
        </is>
      </c>
      <c r="B68" t="inlineStr">
        <is>
          <t>Autumn2020</t>
        </is>
      </c>
      <c r="C68" t="inlineStr">
        <is>
          <t>Autumn</t>
        </is>
      </c>
      <c r="D68" t="n">
        <v>2021</v>
      </c>
      <c r="E68" t="n">
        <v>5.350853621568263</v>
      </c>
      <c r="F68" t="n">
        <v>6.469314314287704</v>
      </c>
      <c r="G68">
        <f>IF(OR(F68="",E68=""),"",F68-E68)</f>
        <v/>
      </c>
      <c r="H68" t="n">
        <v>2021</v>
      </c>
    </row>
    <row r="69">
      <c r="A69" t="inlineStr">
        <is>
          <t>ES</t>
        </is>
      </c>
      <c r="B69" t="inlineStr">
        <is>
          <t>Autumn2021</t>
        </is>
      </c>
      <c r="C69" t="inlineStr">
        <is>
          <t>Autumn</t>
        </is>
      </c>
      <c r="D69" t="n">
        <v>2021</v>
      </c>
      <c r="E69" t="n">
        <v>4.623451084710362</v>
      </c>
      <c r="F69" t="n">
        <v>6.469314314287704</v>
      </c>
      <c r="G69">
        <f>IF(OR(F69="",E69=""),"",F69-E69)</f>
        <v/>
      </c>
      <c r="H69" t="n">
        <v>2021</v>
      </c>
    </row>
    <row r="70">
      <c r="A70" t="inlineStr">
        <is>
          <t>ES</t>
        </is>
      </c>
      <c r="B70" t="inlineStr">
        <is>
          <t>Spring2020</t>
        </is>
      </c>
      <c r="C70" t="inlineStr">
        <is>
          <t>Spring</t>
        </is>
      </c>
      <c r="D70" t="n">
        <v>2021</v>
      </c>
      <c r="E70" t="n">
        <v>6.976175954197417</v>
      </c>
      <c r="F70" t="n">
        <v>6.469314314287704</v>
      </c>
      <c r="G70">
        <f>IF(OR(F70="",E70=""),"",F70-E70)</f>
        <v/>
      </c>
      <c r="H70" t="n">
        <v>2021</v>
      </c>
    </row>
    <row r="71">
      <c r="A71" t="inlineStr">
        <is>
          <t>ES</t>
        </is>
      </c>
      <c r="B71" t="inlineStr">
        <is>
          <t>Spring2021</t>
        </is>
      </c>
      <c r="C71" t="inlineStr">
        <is>
          <t>Spring</t>
        </is>
      </c>
      <c r="D71" t="n">
        <v>2021</v>
      </c>
      <c r="E71" t="n">
        <v>5.88125326449247</v>
      </c>
      <c r="F71" t="n">
        <v>6.469314314287704</v>
      </c>
      <c r="G71">
        <f>IF(OR(F71="",E71=""),"",F71-E71)</f>
        <v/>
      </c>
      <c r="H71" t="n">
        <v>2021</v>
      </c>
    </row>
    <row r="72">
      <c r="A72" t="inlineStr">
        <is>
          <t>ES</t>
        </is>
      </c>
      <c r="B72" t="inlineStr">
        <is>
          <t>Autumn2021</t>
        </is>
      </c>
      <c r="C72" t="inlineStr">
        <is>
          <t>Autumn</t>
        </is>
      </c>
      <c r="D72" t="n">
        <v>2022</v>
      </c>
      <c r="E72" t="n">
        <v>5.527823615283389</v>
      </c>
      <c r="F72" t="n">
        <v>6.175712557377276</v>
      </c>
      <c r="G72">
        <f>IF(OR(F72="",E72=""),"",F72-E72)</f>
        <v/>
      </c>
      <c r="H72" t="n">
        <v>2022</v>
      </c>
    </row>
    <row r="73">
      <c r="A73" t="inlineStr">
        <is>
          <t>ES</t>
        </is>
      </c>
      <c r="B73" t="inlineStr">
        <is>
          <t>Autumn2022</t>
        </is>
      </c>
      <c r="C73" t="inlineStr">
        <is>
          <t>Autumn</t>
        </is>
      </c>
      <c r="D73" t="n">
        <v>2022</v>
      </c>
      <c r="E73" t="n">
        <v>4.547669246739372</v>
      </c>
      <c r="F73" t="n">
        <v>6.175712557377276</v>
      </c>
      <c r="G73">
        <f>IF(OR(F73="",E73=""),"",F73-E73)</f>
        <v/>
      </c>
      <c r="H73" t="n">
        <v>2022</v>
      </c>
    </row>
    <row r="74">
      <c r="A74" t="inlineStr">
        <is>
          <t>ES</t>
        </is>
      </c>
      <c r="B74" t="inlineStr">
        <is>
          <t>Spring2021</t>
        </is>
      </c>
      <c r="C74" t="inlineStr">
        <is>
          <t>Spring</t>
        </is>
      </c>
      <c r="D74" t="n">
        <v>2022</v>
      </c>
      <c r="E74" t="n">
        <v>6.777991800115157</v>
      </c>
      <c r="F74" t="n">
        <v>6.175712557377276</v>
      </c>
      <c r="G74">
        <f>IF(OR(F74="",E74=""),"",F74-E74)</f>
        <v/>
      </c>
      <c r="H74" t="n">
        <v>2022</v>
      </c>
    </row>
    <row r="75">
      <c r="A75" t="inlineStr">
        <is>
          <t>ES</t>
        </is>
      </c>
      <c r="B75" t="inlineStr">
        <is>
          <t>Spring2022</t>
        </is>
      </c>
      <c r="C75" t="inlineStr">
        <is>
          <t>Spring</t>
        </is>
      </c>
      <c r="D75" t="n">
        <v>2022</v>
      </c>
      <c r="E75" t="n">
        <v>4.026089481560913</v>
      </c>
      <c r="F75" t="n">
        <v>6.175712557377276</v>
      </c>
      <c r="G75">
        <f>IF(OR(F75="",E75=""),"",F75-E75)</f>
        <v/>
      </c>
      <c r="H75" t="n">
        <v>2022</v>
      </c>
    </row>
    <row r="76">
      <c r="A76" t="inlineStr">
        <is>
          <t>ES</t>
        </is>
      </c>
      <c r="B76" t="inlineStr">
        <is>
          <t>Autumn2022</t>
        </is>
      </c>
      <c r="C76" t="inlineStr">
        <is>
          <t>Autumn</t>
        </is>
      </c>
      <c r="D76" t="n">
        <v>2023</v>
      </c>
      <c r="E76" t="n">
        <v>0.9550399603865944</v>
      </c>
      <c r="F76" t="n">
        <v>2.430978463969634</v>
      </c>
      <c r="G76">
        <f>IF(OR(F76="",E76=""),"",F76-E76)</f>
        <v/>
      </c>
      <c r="H76" t="n">
        <v>2023</v>
      </c>
    </row>
    <row r="77">
      <c r="A77" t="inlineStr">
        <is>
          <t>ES</t>
        </is>
      </c>
      <c r="B77" t="inlineStr">
        <is>
          <t>Autumn2023</t>
        </is>
      </c>
      <c r="C77" t="inlineStr">
        <is>
          <t>Autumn</t>
        </is>
      </c>
      <c r="D77" t="n">
        <v>2023</v>
      </c>
      <c r="E77" t="n">
        <v>2.365484497228709</v>
      </c>
      <c r="F77" t="n">
        <v>2.430978463969634</v>
      </c>
      <c r="G77">
        <f>IF(OR(F77="",E77=""),"",F77-E77)</f>
        <v/>
      </c>
      <c r="H77" t="n">
        <v>2023</v>
      </c>
    </row>
    <row r="78">
      <c r="A78" t="inlineStr">
        <is>
          <t>ES</t>
        </is>
      </c>
      <c r="B78" t="inlineStr">
        <is>
          <t>Spring2022</t>
        </is>
      </c>
      <c r="C78" t="inlineStr">
        <is>
          <t>Spring</t>
        </is>
      </c>
      <c r="D78" t="n">
        <v>2023</v>
      </c>
      <c r="E78" t="n">
        <v>3.37296849743105</v>
      </c>
      <c r="F78" t="n">
        <v>2.430978463969634</v>
      </c>
      <c r="G78">
        <f>IF(OR(F78="",E78=""),"",F78-E78)</f>
        <v/>
      </c>
      <c r="H78" t="n">
        <v>2023</v>
      </c>
    </row>
    <row r="79">
      <c r="A79" t="inlineStr">
        <is>
          <t>ES</t>
        </is>
      </c>
      <c r="B79" t="inlineStr">
        <is>
          <t>Spring2023</t>
        </is>
      </c>
      <c r="C79" t="inlineStr">
        <is>
          <t>Spring</t>
        </is>
      </c>
      <c r="D79" t="n">
        <v>2023</v>
      </c>
      <c r="E79" t="n">
        <v>1.936681176345667</v>
      </c>
      <c r="F79" t="n">
        <v>2.430978463969634</v>
      </c>
      <c r="G79">
        <f>IF(OR(F79="",E79=""),"",F79-E79)</f>
        <v/>
      </c>
      <c r="H79" t="n">
        <v>2023</v>
      </c>
    </row>
    <row r="80">
      <c r="A80" t="inlineStr">
        <is>
          <t>ES</t>
        </is>
      </c>
      <c r="B80" t="inlineStr">
        <is>
          <t>Autumn2023</t>
        </is>
      </c>
      <c r="C80" t="inlineStr">
        <is>
          <t>Autumn</t>
        </is>
      </c>
      <c r="D80" t="n">
        <v>2024</v>
      </c>
      <c r="E80" t="n">
        <v>1.660542743130144</v>
      </c>
      <c r="F80" t="n">
        <v>3.396903137344779</v>
      </c>
      <c r="G80">
        <f>IF(OR(F80="",E80=""),"",F80-E80)</f>
        <v/>
      </c>
      <c r="H80" t="n">
        <v>2024</v>
      </c>
    </row>
    <row r="81">
      <c r="A81" t="inlineStr">
        <is>
          <t>ES</t>
        </is>
      </c>
      <c r="B81" t="inlineStr">
        <is>
          <t>Autumn2024</t>
        </is>
      </c>
      <c r="C81" t="inlineStr">
        <is>
          <t>Autumn</t>
        </is>
      </c>
      <c r="D81" t="n">
        <v>2024</v>
      </c>
      <c r="E81" t="n">
        <v>2.966936931003072</v>
      </c>
      <c r="F81" t="n">
        <v>3.396903137344779</v>
      </c>
      <c r="G81">
        <f>IF(OR(F81="",E81=""),"",F81-E81)</f>
        <v/>
      </c>
      <c r="H81" t="n">
        <v>2024</v>
      </c>
    </row>
    <row r="82">
      <c r="A82" t="inlineStr">
        <is>
          <t>ES</t>
        </is>
      </c>
      <c r="B82" t="inlineStr">
        <is>
          <t>Spring2023</t>
        </is>
      </c>
      <c r="C82" t="inlineStr">
        <is>
          <t>Spring</t>
        </is>
      </c>
      <c r="D82" t="n">
        <v>2024</v>
      </c>
      <c r="E82" t="n">
        <v>1.964876847331687</v>
      </c>
      <c r="F82" t="n">
        <v>3.396903137344779</v>
      </c>
      <c r="G82">
        <f>IF(OR(F82="",E82=""),"",F82-E82)</f>
        <v/>
      </c>
      <c r="H82" t="n">
        <v>2024</v>
      </c>
    </row>
    <row r="83">
      <c r="A83" t="inlineStr">
        <is>
          <t>ES</t>
        </is>
      </c>
      <c r="B83" t="inlineStr">
        <is>
          <t>Spring2024</t>
        </is>
      </c>
      <c r="C83" t="inlineStr">
        <is>
          <t>Spring</t>
        </is>
      </c>
      <c r="D83" t="n">
        <v>2024</v>
      </c>
      <c r="E83" t="n">
        <v>2.144730461207822</v>
      </c>
      <c r="F83" t="n">
        <v>3.396903137344779</v>
      </c>
      <c r="G83">
        <f>IF(OR(F83="",E83=""),"",F83-E83)</f>
        <v/>
      </c>
      <c r="H83" t="n">
        <v>2024</v>
      </c>
    </row>
    <row r="84">
      <c r="A84" t="inlineStr">
        <is>
          <t>ES</t>
        </is>
      </c>
      <c r="B84" t="inlineStr">
        <is>
          <t>Autumn2024</t>
        </is>
      </c>
      <c r="C84" t="inlineStr">
        <is>
          <t>Autumn</t>
        </is>
      </c>
      <c r="D84" t="n">
        <v>2025</v>
      </c>
      <c r="E84" t="n">
        <v>2.346065305084433</v>
      </c>
      <c r="F84" t="n">
        <v>2.785785224373413</v>
      </c>
      <c r="G84">
        <f>IF(OR(F84="",E84=""),"",F84-E84)</f>
        <v/>
      </c>
      <c r="H84" t="n">
        <v>2025</v>
      </c>
    </row>
    <row r="85">
      <c r="A85" t="inlineStr">
        <is>
          <t>ES</t>
        </is>
      </c>
      <c r="B85" t="inlineStr">
        <is>
          <t>Autumn2025</t>
        </is>
      </c>
      <c r="C85" t="inlineStr">
        <is>
          <t>Autumn</t>
        </is>
      </c>
      <c r="D85" t="n">
        <v>2025</v>
      </c>
      <c r="E85" t="n">
        <v>2.868040959329998</v>
      </c>
      <c r="F85" t="n">
        <v>2.785785224373413</v>
      </c>
      <c r="G85">
        <f>IF(OR(F85="",E85=""),"",F85-E85)</f>
        <v/>
      </c>
      <c r="H85" t="n">
        <v>2025</v>
      </c>
    </row>
    <row r="86">
      <c r="A86" t="inlineStr">
        <is>
          <t>ES</t>
        </is>
      </c>
      <c r="B86" t="inlineStr">
        <is>
          <t>Spring2024</t>
        </is>
      </c>
      <c r="C86" t="inlineStr">
        <is>
          <t>Spring</t>
        </is>
      </c>
      <c r="D86" t="n">
        <v>2025</v>
      </c>
      <c r="E86" t="n">
        <v>1.947420292593427</v>
      </c>
      <c r="F86" t="n">
        <v>2.785785224373413</v>
      </c>
      <c r="G86">
        <f>IF(OR(F86="",E86=""),"",F86-E86)</f>
        <v/>
      </c>
      <c r="H86" t="n">
        <v>2025</v>
      </c>
    </row>
    <row r="87">
      <c r="A87" t="inlineStr">
        <is>
          <t>ES</t>
        </is>
      </c>
      <c r="B87" t="inlineStr">
        <is>
          <t>Spring2025</t>
        </is>
      </c>
      <c r="C87" t="inlineStr">
        <is>
          <t>Spring</t>
        </is>
      </c>
      <c r="D87" t="n">
        <v>2025</v>
      </c>
      <c r="E87" t="n">
        <v>2.551006850124016</v>
      </c>
      <c r="F87" t="n">
        <v>2.785785224373413</v>
      </c>
      <c r="G87">
        <f>IF(OR(F87="",E87=""),"",F87-E87)</f>
        <v/>
      </c>
      <c r="H87" t="n">
        <v>2025</v>
      </c>
    </row>
    <row r="88">
      <c r="A88" t="inlineStr">
        <is>
          <t>ES</t>
        </is>
      </c>
      <c r="B88" t="inlineStr">
        <is>
          <t>Autumn2025</t>
        </is>
      </c>
      <c r="C88" t="inlineStr">
        <is>
          <t>Autumn</t>
        </is>
      </c>
      <c r="D88" t="n">
        <v>2026</v>
      </c>
      <c r="E88" t="n">
        <v>2.279179840413703</v>
      </c>
      <c r="F88" t="n">
        <v/>
      </c>
      <c r="G88">
        <f>IF(OR(F88="",E88=""),"",F88-E88)</f>
        <v/>
      </c>
      <c r="H88" t="n">
        <v>2026</v>
      </c>
    </row>
    <row r="89">
      <c r="A89" t="inlineStr">
        <is>
          <t>ES</t>
        </is>
      </c>
      <c r="B89" t="inlineStr">
        <is>
          <t>Spring2025</t>
        </is>
      </c>
      <c r="C89" t="inlineStr">
        <is>
          <t>Spring</t>
        </is>
      </c>
      <c r="D89" t="n">
        <v>2026</v>
      </c>
      <c r="E89" t="n">
        <v>2.048256685662131</v>
      </c>
      <c r="F89" t="n">
        <v/>
      </c>
      <c r="G89">
        <f>IF(OR(F89="",E89=""),"",F89-E89)</f>
        <v/>
      </c>
      <c r="H89" t="n">
        <v>2026</v>
      </c>
    </row>
    <row r="90">
      <c r="A90" t="inlineStr">
        <is>
          <t>FI</t>
        </is>
      </c>
      <c r="B90" t="inlineStr">
        <is>
          <t>Autumn2020</t>
        </is>
      </c>
      <c r="C90" t="inlineStr">
        <is>
          <t>Autumn</t>
        </is>
      </c>
      <c r="D90" t="n">
        <v>2021</v>
      </c>
      <c r="E90" t="n">
        <v>2.900169440971712</v>
      </c>
      <c r="F90" t="n">
        <v>2.641572009022019</v>
      </c>
      <c r="G90">
        <f>IF(OR(F90="",E90=""),"",F90-E90)</f>
        <v/>
      </c>
      <c r="H90" t="n">
        <v>2021</v>
      </c>
    </row>
    <row r="91">
      <c r="A91" t="inlineStr">
        <is>
          <t>FI</t>
        </is>
      </c>
      <c r="B91" t="inlineStr">
        <is>
          <t>Autumn2021</t>
        </is>
      </c>
      <c r="C91" t="inlineStr">
        <is>
          <t>Autumn</t>
        </is>
      </c>
      <c r="D91" t="n">
        <v>2021</v>
      </c>
      <c r="E91" t="n">
        <v>3.40412762679374</v>
      </c>
      <c r="F91" t="n">
        <v>2.641572009022019</v>
      </c>
      <c r="G91">
        <f>IF(OR(F91="",E91=""),"",F91-E91)</f>
        <v/>
      </c>
      <c r="H91" t="n">
        <v>2021</v>
      </c>
    </row>
    <row r="92">
      <c r="A92" t="inlineStr">
        <is>
          <t>FI</t>
        </is>
      </c>
      <c r="B92" t="inlineStr">
        <is>
          <t>Spring2020</t>
        </is>
      </c>
      <c r="C92" t="inlineStr">
        <is>
          <t>Spring</t>
        </is>
      </c>
      <c r="D92" t="n">
        <v>2021</v>
      </c>
      <c r="E92" t="n">
        <v>3.673560818821353</v>
      </c>
      <c r="F92" t="n">
        <v>2.641572009022019</v>
      </c>
      <c r="G92">
        <f>IF(OR(F92="",E92=""),"",F92-E92)</f>
        <v/>
      </c>
      <c r="H92" t="n">
        <v>2021</v>
      </c>
    </row>
    <row r="93">
      <c r="A93" t="inlineStr">
        <is>
          <t>FI</t>
        </is>
      </c>
      <c r="B93" t="inlineStr">
        <is>
          <t>Spring2021</t>
        </is>
      </c>
      <c r="C93" t="inlineStr">
        <is>
          <t>Spring</t>
        </is>
      </c>
      <c r="D93" t="n">
        <v>2021</v>
      </c>
      <c r="E93" t="n">
        <v>2.739564988065335</v>
      </c>
      <c r="F93" t="n">
        <v>2.641572009022019</v>
      </c>
      <c r="G93">
        <f>IF(OR(F93="",E93=""),"",F93-E93)</f>
        <v/>
      </c>
      <c r="H93" t="n">
        <v>2021</v>
      </c>
    </row>
    <row r="94">
      <c r="A94" t="inlineStr">
        <is>
          <t>FI</t>
        </is>
      </c>
      <c r="B94" t="inlineStr">
        <is>
          <t>Autumn2021</t>
        </is>
      </c>
      <c r="C94" t="inlineStr">
        <is>
          <t>Autumn</t>
        </is>
      </c>
      <c r="D94" t="n">
        <v>2022</v>
      </c>
      <c r="E94" t="n">
        <v>2.827224586640664</v>
      </c>
      <c r="F94" t="n">
        <v>0.7600629155646718</v>
      </c>
      <c r="G94">
        <f>IF(OR(F94="",E94=""),"",F94-E94)</f>
        <v/>
      </c>
      <c r="H94" t="n">
        <v>2022</v>
      </c>
    </row>
    <row r="95">
      <c r="A95" t="inlineStr">
        <is>
          <t>FI</t>
        </is>
      </c>
      <c r="B95" t="inlineStr">
        <is>
          <t>Autumn2022</t>
        </is>
      </c>
      <c r="C95" t="inlineStr">
        <is>
          <t>Autumn</t>
        </is>
      </c>
      <c r="D95" t="n">
        <v>2022</v>
      </c>
      <c r="E95" t="n">
        <v>2.327853537647107</v>
      </c>
      <c r="F95" t="n">
        <v>0.7600629155646718</v>
      </c>
      <c r="G95">
        <f>IF(OR(F95="",E95=""),"",F95-E95)</f>
        <v/>
      </c>
      <c r="H95" t="n">
        <v>2022</v>
      </c>
    </row>
    <row r="96">
      <c r="A96" t="inlineStr">
        <is>
          <t>FI</t>
        </is>
      </c>
      <c r="B96" t="inlineStr">
        <is>
          <t>Spring2021</t>
        </is>
      </c>
      <c r="C96" t="inlineStr">
        <is>
          <t>Spring</t>
        </is>
      </c>
      <c r="D96" t="n">
        <v>2022</v>
      </c>
      <c r="E96" t="n">
        <v>2.751701241130511</v>
      </c>
      <c r="F96" t="n">
        <v>0.7600629155646718</v>
      </c>
      <c r="G96">
        <f>IF(OR(F96="",E96=""),"",F96-E96)</f>
        <v/>
      </c>
      <c r="H96" t="n">
        <v>2022</v>
      </c>
    </row>
    <row r="97">
      <c r="A97" t="inlineStr">
        <is>
          <t>FI</t>
        </is>
      </c>
      <c r="B97" t="inlineStr">
        <is>
          <t>Spring2022</t>
        </is>
      </c>
      <c r="C97" t="inlineStr">
        <is>
          <t>Spring</t>
        </is>
      </c>
      <c r="D97" t="n">
        <v>2022</v>
      </c>
      <c r="E97" t="n">
        <v>1.603112304026943</v>
      </c>
      <c r="F97" t="n">
        <v>0.7600629155646718</v>
      </c>
      <c r="G97">
        <f>IF(OR(F97="",E97=""),"",F97-E97)</f>
        <v/>
      </c>
      <c r="H97" t="n">
        <v>2022</v>
      </c>
    </row>
    <row r="98">
      <c r="A98" t="inlineStr">
        <is>
          <t>FI</t>
        </is>
      </c>
      <c r="B98" t="inlineStr">
        <is>
          <t>Autumn2022</t>
        </is>
      </c>
      <c r="C98" t="inlineStr">
        <is>
          <t>Autumn</t>
        </is>
      </c>
      <c r="D98" t="n">
        <v>2023</v>
      </c>
      <c r="E98" t="n">
        <v>0.2399878611282436</v>
      </c>
      <c r="F98" t="n">
        <v>-1.298005405307383</v>
      </c>
      <c r="G98">
        <f>IF(OR(F98="",E98=""),"",F98-E98)</f>
        <v/>
      </c>
      <c r="H98" t="n">
        <v>2023</v>
      </c>
    </row>
    <row r="99">
      <c r="A99" t="inlineStr">
        <is>
          <t>FI</t>
        </is>
      </c>
      <c r="B99" t="inlineStr">
        <is>
          <t>Autumn2023</t>
        </is>
      </c>
      <c r="C99" t="inlineStr">
        <is>
          <t>Autumn</t>
        </is>
      </c>
      <c r="D99" t="n">
        <v>2023</v>
      </c>
      <c r="E99" t="n">
        <v>0.1370597471564761</v>
      </c>
      <c r="F99" t="n">
        <v>-1.298005405307383</v>
      </c>
      <c r="G99">
        <f>IF(OR(F99="",E99=""),"",F99-E99)</f>
        <v/>
      </c>
      <c r="H99" t="n">
        <v>2023</v>
      </c>
    </row>
    <row r="100">
      <c r="A100" t="inlineStr">
        <is>
          <t>FI</t>
        </is>
      </c>
      <c r="B100" t="inlineStr">
        <is>
          <t>Spring2022</t>
        </is>
      </c>
      <c r="C100" t="inlineStr">
        <is>
          <t>Spring</t>
        </is>
      </c>
      <c r="D100" t="n">
        <v>2023</v>
      </c>
      <c r="E100" t="n">
        <v>1.664320363648697</v>
      </c>
      <c r="F100" t="n">
        <v>-1.298005405307383</v>
      </c>
      <c r="G100">
        <f>IF(OR(F100="",E100=""),"",F100-E100)</f>
        <v/>
      </c>
      <c r="H100" t="n">
        <v>2023</v>
      </c>
    </row>
    <row r="101">
      <c r="A101" t="inlineStr">
        <is>
          <t>FI</t>
        </is>
      </c>
      <c r="B101" t="inlineStr">
        <is>
          <t>Spring2023</t>
        </is>
      </c>
      <c r="C101" t="inlineStr">
        <is>
          <t>Spring</t>
        </is>
      </c>
      <c r="D101" t="n">
        <v>2023</v>
      </c>
      <c r="E101" t="n">
        <v>0.1978909161836295</v>
      </c>
      <c r="F101" t="n">
        <v>-1.298005405307383</v>
      </c>
      <c r="G101">
        <f>IF(OR(F101="",E101=""),"",F101-E101)</f>
        <v/>
      </c>
      <c r="H101" t="n">
        <v>2023</v>
      </c>
    </row>
    <row r="102">
      <c r="A102" t="inlineStr">
        <is>
          <t>FI</t>
        </is>
      </c>
      <c r="B102" t="inlineStr">
        <is>
          <t>Autumn2023</t>
        </is>
      </c>
      <c r="C102" t="inlineStr">
        <is>
          <t>Autumn</t>
        </is>
      </c>
      <c r="D102" t="n">
        <v>2024</v>
      </c>
      <c r="E102" t="n">
        <v>0.8259921956103033</v>
      </c>
      <c r="F102" t="n">
        <v>0.8814466149882676</v>
      </c>
      <c r="G102">
        <f>IF(OR(F102="",E102=""),"",F102-E102)</f>
        <v/>
      </c>
      <c r="H102" t="n">
        <v>2024</v>
      </c>
    </row>
    <row r="103">
      <c r="A103" t="inlineStr">
        <is>
          <t>FI</t>
        </is>
      </c>
      <c r="B103" t="inlineStr">
        <is>
          <t>Autumn2024</t>
        </is>
      </c>
      <c r="C103" t="inlineStr">
        <is>
          <t>Autumn</t>
        </is>
      </c>
      <c r="D103" t="n">
        <v>2024</v>
      </c>
      <c r="E103" t="n">
        <v>-0.2781603584441905</v>
      </c>
      <c r="F103" t="n">
        <v>0.8814466149882676</v>
      </c>
      <c r="G103">
        <f>IF(OR(F103="",E103=""),"",F103-E103)</f>
        <v/>
      </c>
      <c r="H103" t="n">
        <v>2024</v>
      </c>
    </row>
    <row r="104">
      <c r="A104" t="inlineStr">
        <is>
          <t>FI</t>
        </is>
      </c>
      <c r="B104" t="inlineStr">
        <is>
          <t>Spring2023</t>
        </is>
      </c>
      <c r="C104" t="inlineStr">
        <is>
          <t>Spring</t>
        </is>
      </c>
      <c r="D104" t="n">
        <v>2024</v>
      </c>
      <c r="E104" t="n">
        <v>1.375433393552461</v>
      </c>
      <c r="F104" t="n">
        <v>0.8814466149882676</v>
      </c>
      <c r="G104">
        <f>IF(OR(F104="",E104=""),"",F104-E104)</f>
        <v/>
      </c>
      <c r="H104" t="n">
        <v>2024</v>
      </c>
    </row>
    <row r="105">
      <c r="A105" t="inlineStr">
        <is>
          <t>FI</t>
        </is>
      </c>
      <c r="B105" t="inlineStr">
        <is>
          <t>Spring2024</t>
        </is>
      </c>
      <c r="C105" t="inlineStr">
        <is>
          <t>Spring</t>
        </is>
      </c>
      <c r="D105" t="n">
        <v>2024</v>
      </c>
      <c r="E105" t="n">
        <v>0.03957338592484039</v>
      </c>
      <c r="F105" t="n">
        <v>0.8814466149882676</v>
      </c>
      <c r="G105">
        <f>IF(OR(F105="",E105=""),"",F105-E105)</f>
        <v/>
      </c>
      <c r="H105" t="n">
        <v>2024</v>
      </c>
    </row>
    <row r="106">
      <c r="A106" t="inlineStr">
        <is>
          <t>FI</t>
        </is>
      </c>
      <c r="B106" t="inlineStr">
        <is>
          <t>Autumn2024</t>
        </is>
      </c>
      <c r="C106" t="inlineStr">
        <is>
          <t>Autumn</t>
        </is>
      </c>
      <c r="D106" t="n">
        <v>2025</v>
      </c>
      <c r="E106" t="n">
        <v>1.544507858030109</v>
      </c>
      <c r="F106" t="n">
        <v>0.7999014912137302</v>
      </c>
      <c r="G106">
        <f>IF(OR(F106="",E106=""),"",F106-E106)</f>
        <v/>
      </c>
      <c r="H106" t="n">
        <v>2025</v>
      </c>
    </row>
    <row r="107">
      <c r="A107" t="inlineStr">
        <is>
          <t>FI</t>
        </is>
      </c>
      <c r="B107" t="inlineStr">
        <is>
          <t>Autumn2025</t>
        </is>
      </c>
      <c r="C107" t="inlineStr">
        <is>
          <t>Autumn</t>
        </is>
      </c>
      <c r="D107" t="n">
        <v>2025</v>
      </c>
      <c r="E107" t="n">
        <v>0.07572023836193154</v>
      </c>
      <c r="F107" t="n">
        <v>0.7999014912137302</v>
      </c>
      <c r="G107">
        <f>IF(OR(F107="",E107=""),"",F107-E107)</f>
        <v/>
      </c>
      <c r="H107" t="n">
        <v>2025</v>
      </c>
    </row>
    <row r="108">
      <c r="A108" t="inlineStr">
        <is>
          <t>FI</t>
        </is>
      </c>
      <c r="B108" t="inlineStr">
        <is>
          <t>Spring2024</t>
        </is>
      </c>
      <c r="C108" t="inlineStr">
        <is>
          <t>Spring</t>
        </is>
      </c>
      <c r="D108" t="n">
        <v>2025</v>
      </c>
      <c r="E108" t="n">
        <v>1.36065626925197</v>
      </c>
      <c r="F108" t="n">
        <v>0.7999014912137302</v>
      </c>
      <c r="G108">
        <f>IF(OR(F108="",E108=""),"",F108-E108)</f>
        <v/>
      </c>
      <c r="H108" t="n">
        <v>2025</v>
      </c>
    </row>
    <row r="109">
      <c r="A109" t="inlineStr">
        <is>
          <t>FI</t>
        </is>
      </c>
      <c r="B109" t="inlineStr">
        <is>
          <t>Spring2025</t>
        </is>
      </c>
      <c r="C109" t="inlineStr">
        <is>
          <t>Spring</t>
        </is>
      </c>
      <c r="D109" t="n">
        <v>2025</v>
      </c>
      <c r="E109" t="n">
        <v>0.9759636250904258</v>
      </c>
      <c r="F109" t="n">
        <v>0.7999014912137302</v>
      </c>
      <c r="G109">
        <f>IF(OR(F109="",E109=""),"",F109-E109)</f>
        <v/>
      </c>
      <c r="H109" t="n">
        <v>2025</v>
      </c>
    </row>
    <row r="110">
      <c r="A110" t="inlineStr">
        <is>
          <t>FI</t>
        </is>
      </c>
      <c r="B110" t="inlineStr">
        <is>
          <t>Autumn2025</t>
        </is>
      </c>
      <c r="C110" t="inlineStr">
        <is>
          <t>Autumn</t>
        </is>
      </c>
      <c r="D110" t="n">
        <v>2026</v>
      </c>
      <c r="E110" t="n">
        <v>0.9057660948263324</v>
      </c>
      <c r="F110" t="n">
        <v/>
      </c>
      <c r="G110">
        <f>IF(OR(F110="",E110=""),"",F110-E110)</f>
        <v/>
      </c>
      <c r="H110" t="n">
        <v>2026</v>
      </c>
    </row>
    <row r="111">
      <c r="A111" t="inlineStr">
        <is>
          <t>FI</t>
        </is>
      </c>
      <c r="B111" t="inlineStr">
        <is>
          <t>Spring2025</t>
        </is>
      </c>
      <c r="C111" t="inlineStr">
        <is>
          <t>Spring</t>
        </is>
      </c>
      <c r="D111" t="n">
        <v>2026</v>
      </c>
      <c r="E111" t="n">
        <v>1.276904416583657</v>
      </c>
      <c r="F111" t="n">
        <v/>
      </c>
      <c r="G111">
        <f>IF(OR(F111="",E111=""),"",F111-E111)</f>
        <v/>
      </c>
      <c r="H111" t="n">
        <v>2026</v>
      </c>
    </row>
    <row r="112">
      <c r="A112" t="inlineStr">
        <is>
          <t>FR</t>
        </is>
      </c>
      <c r="B112" t="inlineStr">
        <is>
          <t>Autumn2020</t>
        </is>
      </c>
      <c r="C112" t="inlineStr">
        <is>
          <t>Autumn</t>
        </is>
      </c>
      <c r="D112" t="n">
        <v>2021</v>
      </c>
      <c r="E112" t="n">
        <v>5.795265902617808</v>
      </c>
      <c r="F112" t="n">
        <v>6.570188477254643</v>
      </c>
      <c r="G112">
        <f>IF(OR(F112="",E112=""),"",F112-E112)</f>
        <v/>
      </c>
      <c r="H112" t="n">
        <v>2021</v>
      </c>
    </row>
    <row r="113">
      <c r="A113" t="inlineStr">
        <is>
          <t>FR</t>
        </is>
      </c>
      <c r="B113" t="inlineStr">
        <is>
          <t>Autumn2021</t>
        </is>
      </c>
      <c r="C113" t="inlineStr">
        <is>
          <t>Autumn</t>
        </is>
      </c>
      <c r="D113" t="n">
        <v>2021</v>
      </c>
      <c r="E113" t="n">
        <v>6.542579429206707</v>
      </c>
      <c r="F113" t="n">
        <v>6.570188477254643</v>
      </c>
      <c r="G113">
        <f>IF(OR(F113="",E113=""),"",F113-E113)</f>
        <v/>
      </c>
      <c r="H113" t="n">
        <v>2021</v>
      </c>
    </row>
    <row r="114">
      <c r="A114" t="inlineStr">
        <is>
          <t>FR</t>
        </is>
      </c>
      <c r="B114" t="inlineStr">
        <is>
          <t>Spring2020</t>
        </is>
      </c>
      <c r="C114" t="inlineStr">
        <is>
          <t>Spring</t>
        </is>
      </c>
      <c r="D114" t="n">
        <v>2021</v>
      </c>
      <c r="E114" t="n">
        <v>7.401134491337769</v>
      </c>
      <c r="F114" t="n">
        <v>6.570188477254643</v>
      </c>
      <c r="G114">
        <f>IF(OR(F114="",E114=""),"",F114-E114)</f>
        <v/>
      </c>
      <c r="H114" t="n">
        <v>2021</v>
      </c>
    </row>
    <row r="115">
      <c r="A115" t="inlineStr">
        <is>
          <t>FR</t>
        </is>
      </c>
      <c r="B115" t="inlineStr">
        <is>
          <t>Spring2021</t>
        </is>
      </c>
      <c r="C115" t="inlineStr">
        <is>
          <t>Spring</t>
        </is>
      </c>
      <c r="D115" t="n">
        <v>2021</v>
      </c>
      <c r="E115" t="n">
        <v>5.714702673402861</v>
      </c>
      <c r="F115" t="n">
        <v>6.570188477254643</v>
      </c>
      <c r="G115">
        <f>IF(OR(F115="",E115=""),"",F115-E115)</f>
        <v/>
      </c>
      <c r="H115" t="n">
        <v>2021</v>
      </c>
    </row>
    <row r="116">
      <c r="A116" t="inlineStr">
        <is>
          <t>FR</t>
        </is>
      </c>
      <c r="B116" t="inlineStr">
        <is>
          <t>Autumn2021</t>
        </is>
      </c>
      <c r="C116" t="inlineStr">
        <is>
          <t>Autumn</t>
        </is>
      </c>
      <c r="D116" t="n">
        <v>2022</v>
      </c>
      <c r="E116" t="n">
        <v>3.766147557940314</v>
      </c>
      <c r="F116" t="n">
        <v>2.761671160127166</v>
      </c>
      <c r="G116">
        <f>IF(OR(F116="",E116=""),"",F116-E116)</f>
        <v/>
      </c>
      <c r="H116" t="n">
        <v>2022</v>
      </c>
    </row>
    <row r="117">
      <c r="A117" t="inlineStr">
        <is>
          <t>FR</t>
        </is>
      </c>
      <c r="B117" t="inlineStr">
        <is>
          <t>Autumn2022</t>
        </is>
      </c>
      <c r="C117" t="inlineStr">
        <is>
          <t>Autumn</t>
        </is>
      </c>
      <c r="D117" t="n">
        <v>2022</v>
      </c>
      <c r="E117" t="n">
        <v>2.629458440119525</v>
      </c>
      <c r="F117" t="n">
        <v>2.761671160127166</v>
      </c>
      <c r="G117">
        <f>IF(OR(F117="",E117=""),"",F117-E117)</f>
        <v/>
      </c>
      <c r="H117" t="n">
        <v>2022</v>
      </c>
    </row>
    <row r="118">
      <c r="A118" t="inlineStr">
        <is>
          <t>FR</t>
        </is>
      </c>
      <c r="B118" t="inlineStr">
        <is>
          <t>Spring2021</t>
        </is>
      </c>
      <c r="C118" t="inlineStr">
        <is>
          <t>Spring</t>
        </is>
      </c>
      <c r="D118" t="n">
        <v>2022</v>
      </c>
      <c r="E118" t="n">
        <v>4.211477073724845</v>
      </c>
      <c r="F118" t="n">
        <v>2.761671160127166</v>
      </c>
      <c r="G118">
        <f>IF(OR(F118="",E118=""),"",F118-E118)</f>
        <v/>
      </c>
      <c r="H118" t="n">
        <v>2022</v>
      </c>
    </row>
    <row r="119">
      <c r="A119" t="inlineStr">
        <is>
          <t>FR</t>
        </is>
      </c>
      <c r="B119" t="inlineStr">
        <is>
          <t>Spring2022</t>
        </is>
      </c>
      <c r="C119" t="inlineStr">
        <is>
          <t>Spring</t>
        </is>
      </c>
      <c r="D119" t="n">
        <v>2022</v>
      </c>
      <c r="E119" t="n">
        <v>3.098952418316858</v>
      </c>
      <c r="F119" t="n">
        <v>2.761671160127166</v>
      </c>
      <c r="G119">
        <f>IF(OR(F119="",E119=""),"",F119-E119)</f>
        <v/>
      </c>
      <c r="H119" t="n">
        <v>2022</v>
      </c>
    </row>
    <row r="120">
      <c r="A120" t="inlineStr">
        <is>
          <t>FR</t>
        </is>
      </c>
      <c r="B120" t="inlineStr">
        <is>
          <t>Autumn2022</t>
        </is>
      </c>
      <c r="C120" t="inlineStr">
        <is>
          <t>Autumn</t>
        </is>
      </c>
      <c r="D120" t="n">
        <v>2023</v>
      </c>
      <c r="E120" t="n">
        <v>0.4395065145862631</v>
      </c>
      <c r="F120" t="n">
        <v>1.802247083175507</v>
      </c>
      <c r="G120">
        <f>IF(OR(F120="",E120=""),"",F120-E120)</f>
        <v/>
      </c>
      <c r="H120" t="n">
        <v>2023</v>
      </c>
    </row>
    <row r="121">
      <c r="A121" t="inlineStr">
        <is>
          <t>FR</t>
        </is>
      </c>
      <c r="B121" t="inlineStr">
        <is>
          <t>Autumn2023</t>
        </is>
      </c>
      <c r="C121" t="inlineStr">
        <is>
          <t>Autumn</t>
        </is>
      </c>
      <c r="D121" t="n">
        <v>2023</v>
      </c>
      <c r="E121" t="n">
        <v>1.002276295034399</v>
      </c>
      <c r="F121" t="n">
        <v>1.802247083175507</v>
      </c>
      <c r="G121">
        <f>IF(OR(F121="",E121=""),"",F121-E121)</f>
        <v/>
      </c>
      <c r="H121" t="n">
        <v>2023</v>
      </c>
    </row>
    <row r="122">
      <c r="A122" t="inlineStr">
        <is>
          <t>FR</t>
        </is>
      </c>
      <c r="B122" t="inlineStr">
        <is>
          <t>Spring2022</t>
        </is>
      </c>
      <c r="C122" t="inlineStr">
        <is>
          <t>Spring</t>
        </is>
      </c>
      <c r="D122" t="n">
        <v>2023</v>
      </c>
      <c r="E122" t="n">
        <v>1.769109124061696</v>
      </c>
      <c r="F122" t="n">
        <v>1.802247083175507</v>
      </c>
      <c r="G122">
        <f>IF(OR(F122="",E122=""),"",F122-E122)</f>
        <v/>
      </c>
      <c r="H122" t="n">
        <v>2023</v>
      </c>
    </row>
    <row r="123">
      <c r="A123" t="inlineStr">
        <is>
          <t>FR</t>
        </is>
      </c>
      <c r="B123" t="inlineStr">
        <is>
          <t>Spring2023</t>
        </is>
      </c>
      <c r="C123" t="inlineStr">
        <is>
          <t>Spring</t>
        </is>
      </c>
      <c r="D123" t="n">
        <v>2023</v>
      </c>
      <c r="E123" t="n">
        <v>0.7242602636413187</v>
      </c>
      <c r="F123" t="n">
        <v>1.802247083175507</v>
      </c>
      <c r="G123">
        <f>IF(OR(F123="",E123=""),"",F123-E123)</f>
        <v/>
      </c>
      <c r="H123" t="n">
        <v>2023</v>
      </c>
    </row>
    <row r="124">
      <c r="A124" t="inlineStr">
        <is>
          <t>FR</t>
        </is>
      </c>
      <c r="B124" t="inlineStr">
        <is>
          <t>Autumn2023</t>
        </is>
      </c>
      <c r="C124" t="inlineStr">
        <is>
          <t>Autumn</t>
        </is>
      </c>
      <c r="D124" t="n">
        <v>2024</v>
      </c>
      <c r="E124" t="n">
        <v>1.247095433006873</v>
      </c>
      <c r="F124" t="n">
        <v>1.414482884555374</v>
      </c>
      <c r="G124">
        <f>IF(OR(F124="",E124=""),"",F124-E124)</f>
        <v/>
      </c>
      <c r="H124" t="n">
        <v>2024</v>
      </c>
    </row>
    <row r="125">
      <c r="A125" t="inlineStr">
        <is>
          <t>FR</t>
        </is>
      </c>
      <c r="B125" t="inlineStr">
        <is>
          <t>Autumn2024</t>
        </is>
      </c>
      <c r="C125" t="inlineStr">
        <is>
          <t>Autumn</t>
        </is>
      </c>
      <c r="D125" t="n">
        <v>2024</v>
      </c>
      <c r="E125" t="n">
        <v>1.13903040986485</v>
      </c>
      <c r="F125" t="n">
        <v>1.414482884555374</v>
      </c>
      <c r="G125">
        <f>IF(OR(F125="",E125=""),"",F125-E125)</f>
        <v/>
      </c>
      <c r="H125" t="n">
        <v>2024</v>
      </c>
    </row>
    <row r="126">
      <c r="A126" t="inlineStr">
        <is>
          <t>FR</t>
        </is>
      </c>
      <c r="B126" t="inlineStr">
        <is>
          <t>Spring2023</t>
        </is>
      </c>
      <c r="C126" t="inlineStr">
        <is>
          <t>Spring</t>
        </is>
      </c>
      <c r="D126" t="n">
        <v>2024</v>
      </c>
      <c r="E126" t="n">
        <v>1.41860461240253</v>
      </c>
      <c r="F126" t="n">
        <v>1.414482884555374</v>
      </c>
      <c r="G126">
        <f>IF(OR(F126="",E126=""),"",F126-E126)</f>
        <v/>
      </c>
      <c r="H126" t="n">
        <v>2024</v>
      </c>
    </row>
    <row r="127">
      <c r="A127" t="inlineStr">
        <is>
          <t>FR</t>
        </is>
      </c>
      <c r="B127" t="inlineStr">
        <is>
          <t>Spring2024</t>
        </is>
      </c>
      <c r="C127" t="inlineStr">
        <is>
          <t>Spring</t>
        </is>
      </c>
      <c r="D127" t="n">
        <v>2024</v>
      </c>
      <c r="E127" t="n">
        <v>0.728519105148373</v>
      </c>
      <c r="F127" t="n">
        <v>1.414482884555374</v>
      </c>
      <c r="G127">
        <f>IF(OR(F127="",E127=""),"",F127-E127)</f>
        <v/>
      </c>
      <c r="H127" t="n">
        <v>2024</v>
      </c>
    </row>
    <row r="128">
      <c r="A128" t="inlineStr">
        <is>
          <t>FR</t>
        </is>
      </c>
      <c r="B128" t="inlineStr">
        <is>
          <t>Autumn2024</t>
        </is>
      </c>
      <c r="C128" t="inlineStr">
        <is>
          <t>Autumn</t>
        </is>
      </c>
      <c r="D128" t="n">
        <v>2025</v>
      </c>
      <c r="E128" t="n">
        <v>0.8225882824496322</v>
      </c>
      <c r="F128" t="n">
        <v>0.8856194604563682</v>
      </c>
      <c r="G128">
        <f>IF(OR(F128="",E128=""),"",F128-E128)</f>
        <v/>
      </c>
      <c r="H128" t="n">
        <v>2025</v>
      </c>
    </row>
    <row r="129">
      <c r="A129" t="inlineStr">
        <is>
          <t>FR</t>
        </is>
      </c>
      <c r="B129" t="inlineStr">
        <is>
          <t>Autumn2025</t>
        </is>
      </c>
      <c r="C129" t="inlineStr">
        <is>
          <t>Autumn</t>
        </is>
      </c>
      <c r="D129" t="n">
        <v>2025</v>
      </c>
      <c r="E129" t="n">
        <v>0.69714532745484</v>
      </c>
      <c r="F129" t="n">
        <v>0.8856194604563682</v>
      </c>
      <c r="G129">
        <f>IF(OR(F129="",E129=""),"",F129-E129)</f>
        <v/>
      </c>
      <c r="H129" t="n">
        <v>2025</v>
      </c>
    </row>
    <row r="130">
      <c r="A130" t="inlineStr">
        <is>
          <t>FR</t>
        </is>
      </c>
      <c r="B130" t="inlineStr">
        <is>
          <t>Spring2024</t>
        </is>
      </c>
      <c r="C130" t="inlineStr">
        <is>
          <t>Spring</t>
        </is>
      </c>
      <c r="D130" t="n">
        <v>2025</v>
      </c>
      <c r="E130" t="n">
        <v>1.259406997940027</v>
      </c>
      <c r="F130" t="n">
        <v>0.8856194604563682</v>
      </c>
      <c r="G130">
        <f>IF(OR(F130="",E130=""),"",F130-E130)</f>
        <v/>
      </c>
      <c r="H130" t="n">
        <v>2025</v>
      </c>
    </row>
    <row r="131">
      <c r="A131" t="inlineStr">
        <is>
          <t>FR</t>
        </is>
      </c>
      <c r="B131" t="inlineStr">
        <is>
          <t>Spring2025</t>
        </is>
      </c>
      <c r="C131" t="inlineStr">
        <is>
          <t>Spring</t>
        </is>
      </c>
      <c r="D131" t="n">
        <v>2025</v>
      </c>
      <c r="E131" t="n">
        <v>0.5726626965854908</v>
      </c>
      <c r="F131" t="n">
        <v>0.8856194604563682</v>
      </c>
      <c r="G131">
        <f>IF(OR(F131="",E131=""),"",F131-E131)</f>
        <v/>
      </c>
      <c r="H131" t="n">
        <v>2025</v>
      </c>
    </row>
    <row r="132">
      <c r="A132" t="inlineStr">
        <is>
          <t>FR</t>
        </is>
      </c>
      <c r="B132" t="inlineStr">
        <is>
          <t>Autumn2025</t>
        </is>
      </c>
      <c r="C132" t="inlineStr">
        <is>
          <t>Autumn</t>
        </is>
      </c>
      <c r="D132" t="n">
        <v>2026</v>
      </c>
      <c r="E132" t="n">
        <v>0.9244763489504759</v>
      </c>
      <c r="F132" t="n">
        <v/>
      </c>
      <c r="G132">
        <f>IF(OR(F132="",E132=""),"",F132-E132)</f>
        <v/>
      </c>
      <c r="H132" t="n">
        <v>2026</v>
      </c>
    </row>
    <row r="133">
      <c r="A133" t="inlineStr">
        <is>
          <t>FR</t>
        </is>
      </c>
      <c r="B133" t="inlineStr">
        <is>
          <t>Spring2025</t>
        </is>
      </c>
      <c r="C133" t="inlineStr">
        <is>
          <t>Spring</t>
        </is>
      </c>
      <c r="D133" t="n">
        <v>2026</v>
      </c>
      <c r="E133" t="n">
        <v>1.332665672326838</v>
      </c>
      <c r="F133" t="n">
        <v/>
      </c>
      <c r="G133">
        <f>IF(OR(F133="",E133=""),"",F133-E133)</f>
        <v/>
      </c>
      <c r="H133" t="n">
        <v>2026</v>
      </c>
    </row>
    <row r="134">
      <c r="A134" t="inlineStr">
        <is>
          <t>IE</t>
        </is>
      </c>
      <c r="B134" t="inlineStr">
        <is>
          <t>Autumn2020</t>
        </is>
      </c>
      <c r="C134" t="inlineStr">
        <is>
          <t>Autumn</t>
        </is>
      </c>
      <c r="D134" t="n">
        <v>2021</v>
      </c>
      <c r="E134" t="n">
        <v>2.947813244873676</v>
      </c>
      <c r="F134" t="n">
        <v>15.1246997065809</v>
      </c>
      <c r="G134">
        <f>IF(OR(F134="",E134=""),"",F134-E134)</f>
        <v/>
      </c>
      <c r="H134" t="n">
        <v>2021</v>
      </c>
    </row>
    <row r="135">
      <c r="A135" t="inlineStr">
        <is>
          <t>IE</t>
        </is>
      </c>
      <c r="B135" t="inlineStr">
        <is>
          <t>Autumn2021</t>
        </is>
      </c>
      <c r="C135" t="inlineStr">
        <is>
          <t>Autumn</t>
        </is>
      </c>
      <c r="D135" t="n">
        <v>2021</v>
      </c>
      <c r="E135" t="n">
        <v>14.56298111140442</v>
      </c>
      <c r="F135" t="n">
        <v>15.1246997065809</v>
      </c>
      <c r="G135">
        <f>IF(OR(F135="",E135=""),"",F135-E135)</f>
        <v/>
      </c>
      <c r="H135" t="n">
        <v>2021</v>
      </c>
    </row>
    <row r="136">
      <c r="A136" t="inlineStr">
        <is>
          <t>IE</t>
        </is>
      </c>
      <c r="B136" t="inlineStr">
        <is>
          <t>Spring2020</t>
        </is>
      </c>
      <c r="C136" t="inlineStr">
        <is>
          <t>Spring</t>
        </is>
      </c>
      <c r="D136" t="n">
        <v>2021</v>
      </c>
      <c r="E136" t="n">
        <v>6.084441522850637</v>
      </c>
      <c r="F136" t="n">
        <v>15.1246997065809</v>
      </c>
      <c r="G136">
        <f>IF(OR(F136="",E136=""),"",F136-E136)</f>
        <v/>
      </c>
      <c r="H136" t="n">
        <v>2021</v>
      </c>
    </row>
    <row r="137">
      <c r="A137" t="inlineStr">
        <is>
          <t>IE</t>
        </is>
      </c>
      <c r="B137" t="inlineStr">
        <is>
          <t>Spring2021</t>
        </is>
      </c>
      <c r="C137" t="inlineStr">
        <is>
          <t>Spring</t>
        </is>
      </c>
      <c r="D137" t="n">
        <v>2021</v>
      </c>
      <c r="E137" t="n">
        <v>4.59932575419888</v>
      </c>
      <c r="F137" t="n">
        <v>15.1246997065809</v>
      </c>
      <c r="G137">
        <f>IF(OR(F137="",E137=""),"",F137-E137)</f>
        <v/>
      </c>
      <c r="H137" t="n">
        <v>2021</v>
      </c>
    </row>
    <row r="138">
      <c r="A138" t="inlineStr">
        <is>
          <t>IE</t>
        </is>
      </c>
      <c r="B138" t="inlineStr">
        <is>
          <t>Autumn2021</t>
        </is>
      </c>
      <c r="C138" t="inlineStr">
        <is>
          <t>Autumn</t>
        </is>
      </c>
      <c r="D138" t="n">
        <v>2022</v>
      </c>
      <c r="E138" t="n">
        <v>5.091872298073152</v>
      </c>
      <c r="F138" t="n">
        <v>7.989444336924596</v>
      </c>
      <c r="G138">
        <f>IF(OR(F138="",E138=""),"",F138-E138)</f>
        <v/>
      </c>
      <c r="H138" t="n">
        <v>2022</v>
      </c>
    </row>
    <row r="139">
      <c r="A139" t="inlineStr">
        <is>
          <t>IE</t>
        </is>
      </c>
      <c r="B139" t="inlineStr">
        <is>
          <t>Autumn2022</t>
        </is>
      </c>
      <c r="C139" t="inlineStr">
        <is>
          <t>Autumn</t>
        </is>
      </c>
      <c r="D139" t="n">
        <v>2022</v>
      </c>
      <c r="E139" t="n">
        <v>7.871083766264508</v>
      </c>
      <c r="F139" t="n">
        <v>7.989444336924596</v>
      </c>
      <c r="G139">
        <f>IF(OR(F139="",E139=""),"",F139-E139)</f>
        <v/>
      </c>
      <c r="H139" t="n">
        <v>2022</v>
      </c>
    </row>
    <row r="140">
      <c r="A140" t="inlineStr">
        <is>
          <t>IE</t>
        </is>
      </c>
      <c r="B140" t="inlineStr">
        <is>
          <t>Spring2021</t>
        </is>
      </c>
      <c r="C140" t="inlineStr">
        <is>
          <t>Spring</t>
        </is>
      </c>
      <c r="D140" t="n">
        <v>2022</v>
      </c>
      <c r="E140" t="n">
        <v>4.975986839927704</v>
      </c>
      <c r="F140" t="n">
        <v>7.989444336924596</v>
      </c>
      <c r="G140">
        <f>IF(OR(F140="",E140=""),"",F140-E140)</f>
        <v/>
      </c>
      <c r="H140" t="n">
        <v>2022</v>
      </c>
    </row>
    <row r="141">
      <c r="A141" t="inlineStr">
        <is>
          <t>IE</t>
        </is>
      </c>
      <c r="B141" t="inlineStr">
        <is>
          <t>Spring2022</t>
        </is>
      </c>
      <c r="C141" t="inlineStr">
        <is>
          <t>Spring</t>
        </is>
      </c>
      <c r="D141" t="n">
        <v>2022</v>
      </c>
      <c r="E141" t="n">
        <v>5.381686196249635</v>
      </c>
      <c r="F141" t="n">
        <v>7.989444336924596</v>
      </c>
      <c r="G141">
        <f>IF(OR(F141="",E141=""),"",F141-E141)</f>
        <v/>
      </c>
      <c r="H141" t="n">
        <v>2022</v>
      </c>
    </row>
    <row r="142">
      <c r="A142" t="inlineStr">
        <is>
          <t>IE</t>
        </is>
      </c>
      <c r="B142" t="inlineStr">
        <is>
          <t>Autumn2022</t>
        </is>
      </c>
      <c r="C142" t="inlineStr">
        <is>
          <t>Autumn</t>
        </is>
      </c>
      <c r="D142" t="n">
        <v>2023</v>
      </c>
      <c r="E142" t="n">
        <v>3.172255506856847</v>
      </c>
      <c r="F142" t="n">
        <v>-3.520510301376442</v>
      </c>
      <c r="G142">
        <f>IF(OR(F142="",E142=""),"",F142-E142)</f>
        <v/>
      </c>
      <c r="H142" t="n">
        <v>2023</v>
      </c>
    </row>
    <row r="143">
      <c r="A143" t="inlineStr">
        <is>
          <t>IE</t>
        </is>
      </c>
      <c r="B143" t="inlineStr">
        <is>
          <t>Autumn2023</t>
        </is>
      </c>
      <c r="C143" t="inlineStr">
        <is>
          <t>Autumn</t>
        </is>
      </c>
      <c r="D143" t="n">
        <v>2023</v>
      </c>
      <c r="E143" t="n">
        <v>-0.9349560050788241</v>
      </c>
      <c r="F143" t="n">
        <v>-3.520510301376442</v>
      </c>
      <c r="G143">
        <f>IF(OR(F143="",E143=""),"",F143-E143)</f>
        <v/>
      </c>
      <c r="H143" t="n">
        <v>2023</v>
      </c>
    </row>
    <row r="144">
      <c r="A144" t="inlineStr">
        <is>
          <t>IE</t>
        </is>
      </c>
      <c r="B144" t="inlineStr">
        <is>
          <t>Spring2022</t>
        </is>
      </c>
      <c r="C144" t="inlineStr">
        <is>
          <t>Spring</t>
        </is>
      </c>
      <c r="D144" t="n">
        <v>2023</v>
      </c>
      <c r="E144" t="n">
        <v>4.434831401716832</v>
      </c>
      <c r="F144" t="n">
        <v>-3.520510301376442</v>
      </c>
      <c r="G144">
        <f>IF(OR(F144="",E144=""),"",F144-E144)</f>
        <v/>
      </c>
      <c r="H144" t="n">
        <v>2023</v>
      </c>
    </row>
    <row r="145">
      <c r="A145" t="inlineStr">
        <is>
          <t>IE</t>
        </is>
      </c>
      <c r="B145" t="inlineStr">
        <is>
          <t>Spring2023</t>
        </is>
      </c>
      <c r="C145" t="inlineStr">
        <is>
          <t>Spring</t>
        </is>
      </c>
      <c r="D145" t="n">
        <v>2023</v>
      </c>
      <c r="E145" t="n">
        <v>5.517073045513365</v>
      </c>
      <c r="F145" t="n">
        <v>-3.520510301376442</v>
      </c>
      <c r="G145">
        <f>IF(OR(F145="",E145=""),"",F145-E145)</f>
        <v/>
      </c>
      <c r="H145" t="n">
        <v>2023</v>
      </c>
    </row>
    <row r="146">
      <c r="A146" t="inlineStr">
        <is>
          <t>IE</t>
        </is>
      </c>
      <c r="B146" t="inlineStr">
        <is>
          <t>Autumn2023</t>
        </is>
      </c>
      <c r="C146" t="inlineStr">
        <is>
          <t>Autumn</t>
        </is>
      </c>
      <c r="D146" t="n">
        <v>2024</v>
      </c>
      <c r="E146" t="n">
        <v>3.044064013446279</v>
      </c>
      <c r="F146" t="n">
        <v>3.620379562913446</v>
      </c>
      <c r="G146">
        <f>IF(OR(F146="",E146=""),"",F146-E146)</f>
        <v/>
      </c>
      <c r="H146" t="n">
        <v>2024</v>
      </c>
    </row>
    <row r="147">
      <c r="A147" t="inlineStr">
        <is>
          <t>IE</t>
        </is>
      </c>
      <c r="B147" t="inlineStr">
        <is>
          <t>Autumn2024</t>
        </is>
      </c>
      <c r="C147" t="inlineStr">
        <is>
          <t>Autumn</t>
        </is>
      </c>
      <c r="D147" t="n">
        <v>2024</v>
      </c>
      <c r="E147" t="n">
        <v>-0.5406263528774158</v>
      </c>
      <c r="F147" t="n">
        <v>3.620379562913446</v>
      </c>
      <c r="G147">
        <f>IF(OR(F147="",E147=""),"",F147-E147)</f>
        <v/>
      </c>
      <c r="H147" t="n">
        <v>2024</v>
      </c>
    </row>
    <row r="148">
      <c r="A148" t="inlineStr">
        <is>
          <t>IE</t>
        </is>
      </c>
      <c r="B148" t="inlineStr">
        <is>
          <t>Spring2023</t>
        </is>
      </c>
      <c r="C148" t="inlineStr">
        <is>
          <t>Spring</t>
        </is>
      </c>
      <c r="D148" t="n">
        <v>2024</v>
      </c>
      <c r="E148" t="n">
        <v>4.967945256214601</v>
      </c>
      <c r="F148" t="n">
        <v>3.620379562913446</v>
      </c>
      <c r="G148">
        <f>IF(OR(F148="",E148=""),"",F148-E148)</f>
        <v/>
      </c>
      <c r="H148" t="n">
        <v>2024</v>
      </c>
    </row>
    <row r="149">
      <c r="A149" t="inlineStr">
        <is>
          <t>IE</t>
        </is>
      </c>
      <c r="B149" t="inlineStr">
        <is>
          <t>Spring2024</t>
        </is>
      </c>
      <c r="C149" t="inlineStr">
        <is>
          <t>Spring</t>
        </is>
      </c>
      <c r="D149" t="n">
        <v>2024</v>
      </c>
      <c r="E149" t="n">
        <v>1.243712466321201</v>
      </c>
      <c r="F149" t="n">
        <v>3.620379562913446</v>
      </c>
      <c r="G149">
        <f>IF(OR(F149="",E149=""),"",F149-E149)</f>
        <v/>
      </c>
      <c r="H149" t="n">
        <v>2024</v>
      </c>
    </row>
    <row r="150">
      <c r="A150" t="inlineStr">
        <is>
          <t>IE</t>
        </is>
      </c>
      <c r="B150" t="inlineStr">
        <is>
          <t>Autumn2024</t>
        </is>
      </c>
      <c r="C150" t="inlineStr">
        <is>
          <t>Autumn</t>
        </is>
      </c>
      <c r="D150" t="n">
        <v>2025</v>
      </c>
      <c r="E150" t="n">
        <v>4.023669914633099</v>
      </c>
      <c r="F150" t="n">
        <v>7.779175438550681</v>
      </c>
      <c r="G150">
        <f>IF(OR(F150="",E150=""),"",F150-E150)</f>
        <v/>
      </c>
      <c r="H150" t="n">
        <v>2025</v>
      </c>
    </row>
    <row r="151">
      <c r="A151" t="inlineStr">
        <is>
          <t>IE</t>
        </is>
      </c>
      <c r="B151" t="inlineStr">
        <is>
          <t>Autumn2025</t>
        </is>
      </c>
      <c r="C151" t="inlineStr">
        <is>
          <t>Autumn</t>
        </is>
      </c>
      <c r="D151" t="n">
        <v>2025</v>
      </c>
      <c r="E151" t="n">
        <v>10.65081995793598</v>
      </c>
      <c r="F151" t="n">
        <v>7.779175438550681</v>
      </c>
      <c r="G151">
        <f>IF(OR(F151="",E151=""),"",F151-E151)</f>
        <v/>
      </c>
      <c r="H151" t="n">
        <v>2025</v>
      </c>
    </row>
    <row r="152">
      <c r="A152" t="inlineStr">
        <is>
          <t>IE</t>
        </is>
      </c>
      <c r="B152" t="inlineStr">
        <is>
          <t>Spring2024</t>
        </is>
      </c>
      <c r="C152" t="inlineStr">
        <is>
          <t>Spring</t>
        </is>
      </c>
      <c r="D152" t="n">
        <v>2025</v>
      </c>
      <c r="E152" t="n">
        <v>3.592776601346959</v>
      </c>
      <c r="F152" t="n">
        <v>7.779175438550681</v>
      </c>
      <c r="G152">
        <f>IF(OR(F152="",E152=""),"",F152-E152)</f>
        <v/>
      </c>
      <c r="H152" t="n">
        <v>2025</v>
      </c>
    </row>
    <row r="153">
      <c r="A153" t="inlineStr">
        <is>
          <t>IE</t>
        </is>
      </c>
      <c r="B153" t="inlineStr">
        <is>
          <t>Spring2025</t>
        </is>
      </c>
      <c r="C153" t="inlineStr">
        <is>
          <t>Spring</t>
        </is>
      </c>
      <c r="D153" t="n">
        <v>2025</v>
      </c>
      <c r="E153" t="n">
        <v>3.377198218825495</v>
      </c>
      <c r="F153" t="n">
        <v>7.779175438550681</v>
      </c>
      <c r="G153">
        <f>IF(OR(F153="",E153=""),"",F153-E153)</f>
        <v/>
      </c>
      <c r="H153" t="n">
        <v>2025</v>
      </c>
    </row>
    <row r="154">
      <c r="A154" t="inlineStr">
        <is>
          <t>IE</t>
        </is>
      </c>
      <c r="B154" t="inlineStr">
        <is>
          <t>Autumn2025</t>
        </is>
      </c>
      <c r="C154" t="inlineStr">
        <is>
          <t>Autumn</t>
        </is>
      </c>
      <c r="D154" t="n">
        <v>2026</v>
      </c>
      <c r="E154" t="n">
        <v>0.2094530818921525</v>
      </c>
      <c r="F154" t="n">
        <v/>
      </c>
      <c r="G154">
        <f>IF(OR(F154="",E154=""),"",F154-E154)</f>
        <v/>
      </c>
      <c r="H154" t="n">
        <v>2026</v>
      </c>
    </row>
    <row r="155">
      <c r="A155" t="inlineStr">
        <is>
          <t>IE</t>
        </is>
      </c>
      <c r="B155" t="inlineStr">
        <is>
          <t>Spring2025</t>
        </is>
      </c>
      <c r="C155" t="inlineStr">
        <is>
          <t>Spring</t>
        </is>
      </c>
      <c r="D155" t="n">
        <v>2026</v>
      </c>
      <c r="E155" t="n">
        <v>2.459515994483374</v>
      </c>
      <c r="F155" t="n">
        <v/>
      </c>
      <c r="G155">
        <f>IF(OR(F155="",E155=""),"",F155-E155)</f>
        <v/>
      </c>
      <c r="H155" t="n">
        <v>2026</v>
      </c>
    </row>
    <row r="156">
      <c r="A156" t="inlineStr">
        <is>
          <t>IT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4.051033813756133</v>
      </c>
      <c r="F156" t="n">
        <v>8.437067175906481</v>
      </c>
      <c r="G156">
        <f>IF(OR(F156="",E156=""),"",F156-E156)</f>
        <v/>
      </c>
      <c r="H156" t="n">
        <v>2021</v>
      </c>
    </row>
    <row r="157">
      <c r="A157" t="inlineStr">
        <is>
          <t>IT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6.229273312894534</v>
      </c>
      <c r="F157" t="n">
        <v>8.437067175906481</v>
      </c>
      <c r="G157">
        <f>IF(OR(F157="",E157=""),"",F157-E157)</f>
        <v/>
      </c>
      <c r="H157" t="n">
        <v>2021</v>
      </c>
    </row>
    <row r="158">
      <c r="A158" t="inlineStr">
        <is>
          <t>IT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6.54965690288567</v>
      </c>
      <c r="F158" t="n">
        <v>8.437067175906481</v>
      </c>
      <c r="G158">
        <f>IF(OR(F158="",E158=""),"",F158-E158)</f>
        <v/>
      </c>
      <c r="H158" t="n">
        <v>2021</v>
      </c>
    </row>
    <row r="159">
      <c r="A159" t="inlineStr">
        <is>
          <t>IT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4.206872388548932</v>
      </c>
      <c r="F159" t="n">
        <v>8.437067175906481</v>
      </c>
      <c r="G159">
        <f>IF(OR(F159="",E159=""),"",F159-E159)</f>
        <v/>
      </c>
      <c r="H159" t="n">
        <v>2021</v>
      </c>
    </row>
    <row r="160">
      <c r="A160" t="inlineStr">
        <is>
          <t>IT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4.268919168787466</v>
      </c>
      <c r="F160" t="n">
        <v>4.854613486697751</v>
      </c>
      <c r="G160">
        <f>IF(OR(F160="",E160=""),"",F160-E160)</f>
        <v/>
      </c>
      <c r="H160" t="n">
        <v>2022</v>
      </c>
    </row>
    <row r="161">
      <c r="A161" t="inlineStr">
        <is>
          <t>IT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3.826892027953699</v>
      </c>
      <c r="F161" t="n">
        <v>4.854613486697751</v>
      </c>
      <c r="G161">
        <f>IF(OR(F161="",E161=""),"",F161-E161)</f>
        <v/>
      </c>
      <c r="H161" t="n">
        <v>2022</v>
      </c>
    </row>
    <row r="162">
      <c r="A162" t="inlineStr">
        <is>
          <t>IT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4.39345862826459</v>
      </c>
      <c r="F162" t="n">
        <v>4.854613486697751</v>
      </c>
      <c r="G162">
        <f>IF(OR(F162="",E162=""),"",F162-E162)</f>
        <v/>
      </c>
      <c r="H162" t="n">
        <v>2022</v>
      </c>
    </row>
    <row r="163">
      <c r="A163" t="inlineStr">
        <is>
          <t>IT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2.425654280482226</v>
      </c>
      <c r="F163" t="n">
        <v>4.854613486697751</v>
      </c>
      <c r="G163">
        <f>IF(OR(F163="",E163=""),"",F163-E163)</f>
        <v/>
      </c>
      <c r="H163" t="n">
        <v>2022</v>
      </c>
    </row>
    <row r="164">
      <c r="A164" t="inlineStr">
        <is>
          <t>IT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0.3147371586091685</v>
      </c>
      <c r="F164" t="n">
        <v>1.014274087639002</v>
      </c>
      <c r="G164">
        <f>IF(OR(F164="",E164=""),"",F164-E164)</f>
        <v/>
      </c>
      <c r="H164" t="n">
        <v>2023</v>
      </c>
    </row>
    <row r="165">
      <c r="A165" t="inlineStr">
        <is>
          <t>IT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0.6915731805126502</v>
      </c>
      <c r="F165" t="n">
        <v>1.014274087639002</v>
      </c>
      <c r="G165">
        <f>IF(OR(F165="",E165=""),"",F165-E165)</f>
        <v/>
      </c>
      <c r="H165" t="n">
        <v>2023</v>
      </c>
    </row>
    <row r="166">
      <c r="A166" t="inlineStr">
        <is>
          <t>IT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1.851291422718337</v>
      </c>
      <c r="F166" t="n">
        <v>1.014274087639002</v>
      </c>
      <c r="G166">
        <f>IF(OR(F166="",E166=""),"",F166-E166)</f>
        <v/>
      </c>
      <c r="H166" t="n">
        <v>2023</v>
      </c>
    </row>
    <row r="167">
      <c r="A167" t="inlineStr">
        <is>
          <t>IT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1.206598132351089</v>
      </c>
      <c r="F167" t="n">
        <v>1.014274087639002</v>
      </c>
      <c r="G167">
        <f>IF(OR(F167="",E167=""),"",F167-E167)</f>
        <v/>
      </c>
      <c r="H167" t="n">
        <v>2023</v>
      </c>
    </row>
    <row r="168">
      <c r="A168" t="inlineStr">
        <is>
          <t>IT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0.852195649426335</v>
      </c>
      <c r="F168" t="n">
        <v>0.5846325798952693</v>
      </c>
      <c r="G168">
        <f>IF(OR(F168="",E168=""),"",F168-E168)</f>
        <v/>
      </c>
      <c r="H168" t="n">
        <v>2024</v>
      </c>
    </row>
    <row r="169">
      <c r="A169" t="inlineStr">
        <is>
          <t>IT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0.6687507310409346</v>
      </c>
      <c r="F169" t="n">
        <v>0.5846325798952693</v>
      </c>
      <c r="G169">
        <f>IF(OR(F169="",E169=""),"",F169-E169)</f>
        <v/>
      </c>
      <c r="H169" t="n">
        <v>2024</v>
      </c>
    </row>
    <row r="170">
      <c r="A170" t="inlineStr">
        <is>
          <t>IT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1.088219792885559</v>
      </c>
      <c r="F170" t="n">
        <v>0.5846325798952693</v>
      </c>
      <c r="G170">
        <f>IF(OR(F170="",E170=""),"",F170-E170)</f>
        <v/>
      </c>
      <c r="H170" t="n">
        <v>2024</v>
      </c>
    </row>
    <row r="171">
      <c r="A171" t="inlineStr">
        <is>
          <t>IT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0.9364833821859708</v>
      </c>
      <c r="F171" t="n">
        <v>0.5846325798952693</v>
      </c>
      <c r="G171">
        <f>IF(OR(F171="",E171=""),"",F171-E171)</f>
        <v/>
      </c>
      <c r="H171" t="n">
        <v>2024</v>
      </c>
    </row>
    <row r="172">
      <c r="A172" t="inlineStr">
        <is>
          <t>IT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1.037649244631034</v>
      </c>
      <c r="F172" t="n">
        <v>0.6613584275917628</v>
      </c>
      <c r="G172">
        <f>IF(OR(F172="",E172=""),"",F172-E172)</f>
        <v/>
      </c>
      <c r="H172" t="n">
        <v>2025</v>
      </c>
    </row>
    <row r="173">
      <c r="A173" t="inlineStr">
        <is>
          <t>IT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0.3598162212145484</v>
      </c>
      <c r="F173" t="n">
        <v>0.6613584275917628</v>
      </c>
      <c r="G173">
        <f>IF(OR(F173="",E173=""),"",F173-E173)</f>
        <v/>
      </c>
      <c r="H173" t="n">
        <v>2025</v>
      </c>
    </row>
    <row r="174">
      <c r="A174" t="inlineStr">
        <is>
          <t>IT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1.097944905021642</v>
      </c>
      <c r="F174" t="n">
        <v>0.6613584275917628</v>
      </c>
      <c r="G174">
        <f>IF(OR(F174="",E174=""),"",F174-E174)</f>
        <v/>
      </c>
      <c r="H174" t="n">
        <v>2025</v>
      </c>
    </row>
    <row r="175">
      <c r="A175" t="inlineStr">
        <is>
          <t>IT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0.6644793059721987</v>
      </c>
      <c r="F175" t="n">
        <v>0.6613584275917628</v>
      </c>
      <c r="G175">
        <f>IF(OR(F175="",E175=""),"",F175-E175)</f>
        <v/>
      </c>
      <c r="H175" t="n">
        <v>2025</v>
      </c>
    </row>
    <row r="176">
      <c r="A176" t="inlineStr">
        <is>
          <t>IT</t>
        </is>
      </c>
      <c r="B176" t="inlineStr">
        <is>
          <t>Autumn2025</t>
        </is>
      </c>
      <c r="C176" t="inlineStr">
        <is>
          <t>Autumn</t>
        </is>
      </c>
      <c r="D176" t="n">
        <v>2026</v>
      </c>
      <c r="E176" t="n">
        <v>0.7921212892264773</v>
      </c>
      <c r="F176" t="n">
        <v/>
      </c>
      <c r="G176">
        <f>IF(OR(F176="",E176=""),"",F176-E176)</f>
        <v/>
      </c>
      <c r="H176" t="n">
        <v>2026</v>
      </c>
    </row>
    <row r="177">
      <c r="A177" t="inlineStr">
        <is>
          <t>IT</t>
        </is>
      </c>
      <c r="B177" t="inlineStr">
        <is>
          <t>Spring2025</t>
        </is>
      </c>
      <c r="C177" t="inlineStr">
        <is>
          <t>Spring</t>
        </is>
      </c>
      <c r="D177" t="n">
        <v>2026</v>
      </c>
      <c r="E177" t="n">
        <v>0.9465408788882579</v>
      </c>
      <c r="F177" t="n">
        <v/>
      </c>
      <c r="G177">
        <f>IF(OR(F177="",E177=""),"",F177-E177)</f>
        <v/>
      </c>
      <c r="H177" t="n">
        <v>2026</v>
      </c>
    </row>
    <row r="178">
      <c r="A178" t="inlineStr">
        <is>
          <t>NL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2.161323818880434</v>
      </c>
      <c r="F178" t="n">
        <v>6.01976435632946</v>
      </c>
      <c r="G178">
        <f>IF(OR(F178="",E178=""),"",F178-E178)</f>
        <v/>
      </c>
      <c r="H178" t="n">
        <v>2021</v>
      </c>
    </row>
    <row r="179">
      <c r="A179" t="inlineStr">
        <is>
          <t>NL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3.972824818052256</v>
      </c>
      <c r="F179" t="n">
        <v>6.01976435632946</v>
      </c>
      <c r="G179">
        <f>IF(OR(F179="",E179=""),"",F179-E179)</f>
        <v/>
      </c>
      <c r="H179" t="n">
        <v>2021</v>
      </c>
    </row>
    <row r="180">
      <c r="A180" t="inlineStr">
        <is>
          <t>NL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4.963640025345617</v>
      </c>
      <c r="F180" t="n">
        <v>6.01976435632946</v>
      </c>
      <c r="G180">
        <f>IF(OR(F180="",E180=""),"",F180-E180)</f>
        <v/>
      </c>
      <c r="H180" t="n">
        <v>2021</v>
      </c>
    </row>
    <row r="181">
      <c r="A181" t="inlineStr">
        <is>
          <t>NL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2.338236916434577</v>
      </c>
      <c r="F181" t="n">
        <v>6.01976435632946</v>
      </c>
      <c r="G181">
        <f>IF(OR(F181="",E181=""),"",F181-E181)</f>
        <v/>
      </c>
      <c r="H181" t="n">
        <v>2021</v>
      </c>
    </row>
    <row r="182">
      <c r="A182" t="inlineStr">
        <is>
          <t>NL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3.348977083556104</v>
      </c>
      <c r="F182" t="n">
        <v>4.889291210402315</v>
      </c>
      <c r="G182">
        <f>IF(OR(F182="",E182=""),"",F182-E182)</f>
        <v/>
      </c>
      <c r="H182" t="n">
        <v>2022</v>
      </c>
    </row>
    <row r="183">
      <c r="A183" t="inlineStr">
        <is>
          <t>NL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4.649019663074072</v>
      </c>
      <c r="F183" t="n">
        <v>4.889291210402315</v>
      </c>
      <c r="G183">
        <f>IF(OR(F183="",E183=""),"",F183-E183)</f>
        <v/>
      </c>
      <c r="H183" t="n">
        <v>2022</v>
      </c>
    </row>
    <row r="184">
      <c r="A184" t="inlineStr">
        <is>
          <t>NL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3.579048671287688</v>
      </c>
      <c r="F184" t="n">
        <v>4.889291210402315</v>
      </c>
      <c r="G184">
        <f>IF(OR(F184="",E184=""),"",F184-E184)</f>
        <v/>
      </c>
      <c r="H184" t="n">
        <v>2022</v>
      </c>
    </row>
    <row r="185">
      <c r="A185" t="inlineStr">
        <is>
          <t>NL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3.271330674458595</v>
      </c>
      <c r="F185" t="n">
        <v>4.889291210402315</v>
      </c>
      <c r="G185">
        <f>IF(OR(F185="",E185=""),"",F185-E185)</f>
        <v/>
      </c>
      <c r="H185" t="n">
        <v>2022</v>
      </c>
    </row>
    <row r="186">
      <c r="A186" t="inlineStr">
        <is>
          <t>NL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0.6485732352807583</v>
      </c>
      <c r="F186" t="n">
        <v>-0.5846935562217797</v>
      </c>
      <c r="G186">
        <f>IF(OR(F186="",E186=""),"",F186-E186)</f>
        <v/>
      </c>
      <c r="H186" t="n">
        <v>2023</v>
      </c>
    </row>
    <row r="187">
      <c r="A187" t="inlineStr">
        <is>
          <t>NL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0.5799247285826814</v>
      </c>
      <c r="F187" t="n">
        <v>-0.5846935562217797</v>
      </c>
      <c r="G187">
        <f>IF(OR(F187="",E187=""),"",F187-E187)</f>
        <v/>
      </c>
      <c r="H187" t="n">
        <v>2023</v>
      </c>
    </row>
    <row r="188">
      <c r="A188" t="inlineStr">
        <is>
          <t>NL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1.568250017019501</v>
      </c>
      <c r="F188" t="n">
        <v>-0.5846935562217797</v>
      </c>
      <c r="G188">
        <f>IF(OR(F188="",E188=""),"",F188-E188)</f>
        <v/>
      </c>
      <c r="H188" t="n">
        <v>2023</v>
      </c>
    </row>
    <row r="189">
      <c r="A189" t="inlineStr">
        <is>
          <t>NL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1.800994175168302</v>
      </c>
      <c r="F189" t="n">
        <v>-0.5846935562217797</v>
      </c>
      <c r="G189">
        <f>IF(OR(F189="",E189=""),"",F189-E189)</f>
        <v/>
      </c>
      <c r="H189" t="n">
        <v>2023</v>
      </c>
    </row>
    <row r="190">
      <c r="A190" t="inlineStr">
        <is>
          <t>NL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1.090974188365412</v>
      </c>
      <c r="F190" t="n">
        <v>1.058640812818894</v>
      </c>
      <c r="G190">
        <f>IF(OR(F190="",E190=""),"",F190-E190)</f>
        <v/>
      </c>
      <c r="H190" t="n">
        <v>2024</v>
      </c>
    </row>
    <row r="191">
      <c r="A191" t="inlineStr">
        <is>
          <t>NL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0.8413433186627683</v>
      </c>
      <c r="F191" t="n">
        <v>1.058640812818894</v>
      </c>
      <c r="G191">
        <f>IF(OR(F191="",E191=""),"",F191-E191)</f>
        <v/>
      </c>
      <c r="H191" t="n">
        <v>2024</v>
      </c>
    </row>
    <row r="192">
      <c r="A192" t="inlineStr">
        <is>
          <t>NL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1.181076174566176</v>
      </c>
      <c r="F192" t="n">
        <v>1.058640812818894</v>
      </c>
      <c r="G192">
        <f>IF(OR(F192="",E192=""),"",F192-E192)</f>
        <v/>
      </c>
      <c r="H192" t="n">
        <v>2024</v>
      </c>
    </row>
    <row r="193">
      <c r="A193" t="inlineStr">
        <is>
          <t>NL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0.7604211807421546</v>
      </c>
      <c r="F193" t="n">
        <v>1.058640812818894</v>
      </c>
      <c r="G193">
        <f>IF(OR(F193="",E193=""),"",F193-E193)</f>
        <v/>
      </c>
      <c r="H193" t="n">
        <v>2024</v>
      </c>
    </row>
    <row r="194">
      <c r="A194" t="inlineStr">
        <is>
          <t>NL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1.551316113361789</v>
      </c>
      <c r="F194" t="n">
        <v>1.56298017110206</v>
      </c>
      <c r="G194">
        <f>IF(OR(F194="",E194=""),"",F194-E194)</f>
        <v/>
      </c>
      <c r="H194" t="n">
        <v>2025</v>
      </c>
    </row>
    <row r="195">
      <c r="A195" t="inlineStr">
        <is>
          <t>NL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1.696670837427194</v>
      </c>
      <c r="F195" t="n">
        <v>1.56298017110206</v>
      </c>
      <c r="G195">
        <f>IF(OR(F195="",E195=""),"",F195-E195)</f>
        <v/>
      </c>
      <c r="H195" t="n">
        <v>2025</v>
      </c>
    </row>
    <row r="196">
      <c r="A196" t="inlineStr">
        <is>
          <t>NL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1.466418224705546</v>
      </c>
      <c r="F196" t="n">
        <v>1.56298017110206</v>
      </c>
      <c r="G196">
        <f>IF(OR(F196="",E196=""),"",F196-E196)</f>
        <v/>
      </c>
      <c r="H196" t="n">
        <v>2025</v>
      </c>
    </row>
    <row r="197">
      <c r="A197" t="inlineStr">
        <is>
          <t>NL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1.282511180567347</v>
      </c>
      <c r="F197" t="n">
        <v>1.56298017110206</v>
      </c>
      <c r="G197">
        <f>IF(OR(F197="",E197=""),"",F197-E197)</f>
        <v/>
      </c>
      <c r="H197" t="n">
        <v>2025</v>
      </c>
    </row>
    <row r="198">
      <c r="A198" t="inlineStr">
        <is>
          <t>NL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1.296599919446506</v>
      </c>
      <c r="F198" t="n">
        <v/>
      </c>
      <c r="G198">
        <f>IF(OR(F198="",E198=""),"",F198-E198)</f>
        <v/>
      </c>
      <c r="H198" t="n">
        <v>2026</v>
      </c>
    </row>
    <row r="199">
      <c r="A199" t="inlineStr">
        <is>
          <t>NL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1.244771632095754</v>
      </c>
      <c r="F199" t="n">
        <v/>
      </c>
      <c r="G199">
        <f>IF(OR(F199="",E199=""),"",F199-E199)</f>
        <v/>
      </c>
      <c r="H199" t="n">
        <v>2026</v>
      </c>
    </row>
    <row r="200">
      <c r="A200" t="inlineStr">
        <is>
          <t>PT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5.360660936400219</v>
      </c>
      <c r="F200" t="n">
        <v>5.40983730275</v>
      </c>
      <c r="G200">
        <f>IF(OR(F200="",E200=""),"",F200-E200)</f>
        <v/>
      </c>
      <c r="H200" t="n">
        <v>2021</v>
      </c>
    </row>
    <row r="201">
      <c r="A201" t="inlineStr">
        <is>
          <t>PT</t>
        </is>
      </c>
      <c r="B201" t="inlineStr">
        <is>
          <t>Autumn2021</t>
        </is>
      </c>
      <c r="C201" t="inlineStr">
        <is>
          <t>Autumn</t>
        </is>
      </c>
      <c r="D201" t="n">
        <v>2021</v>
      </c>
      <c r="E201" t="n">
        <v>4.542806460139137</v>
      </c>
      <c r="F201" t="n">
        <v>5.40983730275</v>
      </c>
      <c r="G201">
        <f>IF(OR(F201="",E201=""),"",F201-E201)</f>
        <v/>
      </c>
      <c r="H201" t="n">
        <v>2021</v>
      </c>
    </row>
    <row r="202">
      <c r="A202" t="inlineStr">
        <is>
          <t>PT</t>
        </is>
      </c>
      <c r="B202" t="inlineStr">
        <is>
          <t>Spring2020</t>
        </is>
      </c>
      <c r="C202" t="inlineStr">
        <is>
          <t>Spring</t>
        </is>
      </c>
      <c r="D202" t="n">
        <v>2021</v>
      </c>
      <c r="E202" t="n">
        <v>5.817909162111334</v>
      </c>
      <c r="F202" t="n">
        <v>5.40983730275</v>
      </c>
      <c r="G202">
        <f>IF(OR(F202="",E202=""),"",F202-E202)</f>
        <v/>
      </c>
      <c r="H202" t="n">
        <v>2021</v>
      </c>
    </row>
    <row r="203">
      <c r="A203" t="inlineStr">
        <is>
          <t>PT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3.94410787739945</v>
      </c>
      <c r="F203" t="n">
        <v>5.40983730275</v>
      </c>
      <c r="G203">
        <f>IF(OR(F203="",E203=""),"",F203-E203)</f>
        <v/>
      </c>
      <c r="H203" t="n">
        <v>2021</v>
      </c>
    </row>
    <row r="204">
      <c r="A204" t="inlineStr">
        <is>
          <t>PT</t>
        </is>
      </c>
      <c r="B204" t="inlineStr">
        <is>
          <t>Autumn2021</t>
        </is>
      </c>
      <c r="C204" t="inlineStr">
        <is>
          <t>Autumn</t>
        </is>
      </c>
      <c r="D204" t="n">
        <v>2022</v>
      </c>
      <c r="E204" t="n">
        <v>5.321265722881097</v>
      </c>
      <c r="F204" t="n">
        <v>6.752612450243378</v>
      </c>
      <c r="G204">
        <f>IF(OR(F204="",E204=""),"",F204-E204)</f>
        <v/>
      </c>
      <c r="H204" t="n">
        <v>2022</v>
      </c>
    </row>
    <row r="205">
      <c r="A205" t="inlineStr">
        <is>
          <t>PT</t>
        </is>
      </c>
      <c r="B205" t="inlineStr">
        <is>
          <t>Autumn2022</t>
        </is>
      </c>
      <c r="C205" t="inlineStr">
        <is>
          <t>Autumn</t>
        </is>
      </c>
      <c r="D205" t="n">
        <v>2022</v>
      </c>
      <c r="E205" t="n">
        <v>6.586125160880973</v>
      </c>
      <c r="F205" t="n">
        <v>6.752612450243378</v>
      </c>
      <c r="G205">
        <f>IF(OR(F205="",E205=""),"",F205-E205)</f>
        <v/>
      </c>
      <c r="H205" t="n">
        <v>2022</v>
      </c>
    </row>
    <row r="206">
      <c r="A206" t="inlineStr">
        <is>
          <t>PT</t>
        </is>
      </c>
      <c r="B206" t="inlineStr">
        <is>
          <t>Spring2021</t>
        </is>
      </c>
      <c r="C206" t="inlineStr">
        <is>
          <t>Spring</t>
        </is>
      </c>
      <c r="D206" t="n">
        <v>2022</v>
      </c>
      <c r="E206" t="n">
        <v>5.098879235126508</v>
      </c>
      <c r="F206" t="n">
        <v>6.752612450243378</v>
      </c>
      <c r="G206">
        <f>IF(OR(F206="",E206=""),"",F206-E206)</f>
        <v/>
      </c>
      <c r="H206" t="n">
        <v>2022</v>
      </c>
    </row>
    <row r="207">
      <c r="A207" t="inlineStr">
        <is>
          <t>PT</t>
        </is>
      </c>
      <c r="B207" t="inlineStr">
        <is>
          <t>Spring2022</t>
        </is>
      </c>
      <c r="C207" t="inlineStr">
        <is>
          <t>Spring</t>
        </is>
      </c>
      <c r="D207" t="n">
        <v>2022</v>
      </c>
      <c r="E207" t="n">
        <v>5.805468708187478</v>
      </c>
      <c r="F207" t="n">
        <v>6.752612450243378</v>
      </c>
      <c r="G207">
        <f>IF(OR(F207="",E207=""),"",F207-E207)</f>
        <v/>
      </c>
      <c r="H207" t="n">
        <v>2022</v>
      </c>
    </row>
    <row r="208">
      <c r="A208" t="inlineStr">
        <is>
          <t>PT</t>
        </is>
      </c>
      <c r="B208" t="inlineStr">
        <is>
          <t>Autumn2022</t>
        </is>
      </c>
      <c r="C208" t="inlineStr">
        <is>
          <t>Autumn</t>
        </is>
      </c>
      <c r="D208" t="n">
        <v>2023</v>
      </c>
      <c r="E208" t="n">
        <v>0.7169614077881192</v>
      </c>
      <c r="F208" t="n">
        <v>3.052920210484774</v>
      </c>
      <c r="G208">
        <f>IF(OR(F208="",E208=""),"",F208-E208)</f>
        <v/>
      </c>
      <c r="H208" t="n">
        <v>2023</v>
      </c>
    </row>
    <row r="209">
      <c r="A209" t="inlineStr">
        <is>
          <t>PT</t>
        </is>
      </c>
      <c r="B209" t="inlineStr">
        <is>
          <t>Autumn2023</t>
        </is>
      </c>
      <c r="C209" t="inlineStr">
        <is>
          <t>Autumn</t>
        </is>
      </c>
      <c r="D209" t="n">
        <v>2023</v>
      </c>
      <c r="E209" t="n">
        <v>2.226883105497079</v>
      </c>
      <c r="F209" t="n">
        <v>3.052920210484774</v>
      </c>
      <c r="G209">
        <f>IF(OR(F209="",E209=""),"",F209-E209)</f>
        <v/>
      </c>
      <c r="H209" t="n">
        <v>2023</v>
      </c>
    </row>
    <row r="210">
      <c r="A210" t="inlineStr">
        <is>
          <t>PT</t>
        </is>
      </c>
      <c r="B210" t="inlineStr">
        <is>
          <t>Spring2022</t>
        </is>
      </c>
      <c r="C210" t="inlineStr">
        <is>
          <t>Spring</t>
        </is>
      </c>
      <c r="D210" t="n">
        <v>2023</v>
      </c>
      <c r="E210" t="n">
        <v>2.660491887007432</v>
      </c>
      <c r="F210" t="n">
        <v>3.052920210484774</v>
      </c>
      <c r="G210">
        <f>IF(OR(F210="",E210=""),"",F210-E210)</f>
        <v/>
      </c>
      <c r="H210" t="n">
        <v>2023</v>
      </c>
    </row>
    <row r="211">
      <c r="A211" t="inlineStr">
        <is>
          <t>PT</t>
        </is>
      </c>
      <c r="B211" t="inlineStr">
        <is>
          <t>Spring2023</t>
        </is>
      </c>
      <c r="C211" t="inlineStr">
        <is>
          <t>Spring</t>
        </is>
      </c>
      <c r="D211" t="n">
        <v>2023</v>
      </c>
      <c r="E211" t="n">
        <v>2.43876145125812</v>
      </c>
      <c r="F211" t="n">
        <v>3.052920210484774</v>
      </c>
      <c r="G211">
        <f>IF(OR(F211="",E211=""),"",F211-E211)</f>
        <v/>
      </c>
      <c r="H211" t="n">
        <v>2023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2024</v>
      </c>
      <c r="E212" t="n">
        <v>1.313347790478825</v>
      </c>
      <c r="F212" t="n">
        <v>2.190407278036138</v>
      </c>
      <c r="G212">
        <f>IF(OR(F212="",E212=""),"",F212-E212)</f>
        <v/>
      </c>
      <c r="H212" t="n">
        <v>2024</v>
      </c>
    </row>
    <row r="213">
      <c r="A213" t="inlineStr">
        <is>
          <t>PT</t>
        </is>
      </c>
      <c r="B213" t="inlineStr">
        <is>
          <t>Autumn2024</t>
        </is>
      </c>
      <c r="C213" t="inlineStr">
        <is>
          <t>Autumn</t>
        </is>
      </c>
      <c r="D213" t="n">
        <v>2024</v>
      </c>
      <c r="E213" t="n">
        <v>1.651473269423054</v>
      </c>
      <c r="F213" t="n">
        <v>2.190407278036138</v>
      </c>
      <c r="G213">
        <f>IF(OR(F213="",E213=""),"",F213-E213)</f>
        <v/>
      </c>
      <c r="H213" t="n">
        <v>2024</v>
      </c>
    </row>
    <row r="214">
      <c r="A214" t="inlineStr">
        <is>
          <t>PT</t>
        </is>
      </c>
      <c r="B214" t="inlineStr">
        <is>
          <t>Spring2023</t>
        </is>
      </c>
      <c r="C214" t="inlineStr">
        <is>
          <t>Spring</t>
        </is>
      </c>
      <c r="D214" t="n">
        <v>2024</v>
      </c>
      <c r="E214" t="n">
        <v>1.756916125884089</v>
      </c>
      <c r="F214" t="n">
        <v>2.190407278036138</v>
      </c>
      <c r="G214">
        <f>IF(OR(F214="",E214=""),"",F214-E214)</f>
        <v/>
      </c>
      <c r="H214" t="n">
        <v>2024</v>
      </c>
    </row>
    <row r="215">
      <c r="A215" t="inlineStr">
        <is>
          <t>PT</t>
        </is>
      </c>
      <c r="B215" t="inlineStr">
        <is>
          <t>Spring2024</t>
        </is>
      </c>
      <c r="C215" t="inlineStr">
        <is>
          <t>Spring</t>
        </is>
      </c>
      <c r="D215" t="n">
        <v>2024</v>
      </c>
      <c r="E215" t="n">
        <v>1.734179743438991</v>
      </c>
      <c r="F215" t="n">
        <v>2.190407278036138</v>
      </c>
      <c r="G215">
        <f>IF(OR(F215="",E215=""),"",F215-E215)</f>
        <v/>
      </c>
      <c r="H215" t="n">
        <v>2024</v>
      </c>
    </row>
    <row r="216">
      <c r="A216" t="inlineStr">
        <is>
          <t>PT</t>
        </is>
      </c>
      <c r="B216" t="inlineStr">
        <is>
          <t>Autumn2024</t>
        </is>
      </c>
      <c r="C216" t="inlineStr">
        <is>
          <t>Autumn</t>
        </is>
      </c>
      <c r="D216" t="n">
        <v>2025</v>
      </c>
      <c r="E216" t="n">
        <v>1.851074416505627</v>
      </c>
      <c r="F216" t="n">
        <v>1.84420000904056</v>
      </c>
      <c r="G216">
        <f>IF(OR(F216="",E216=""),"",F216-E216)</f>
        <v/>
      </c>
      <c r="H216" t="n">
        <v>2025</v>
      </c>
    </row>
    <row r="217">
      <c r="A217" t="inlineStr">
        <is>
          <t>PT</t>
        </is>
      </c>
      <c r="B217" t="inlineStr">
        <is>
          <t>Autumn2025</t>
        </is>
      </c>
      <c r="C217" t="inlineStr">
        <is>
          <t>Autumn</t>
        </is>
      </c>
      <c r="D217" t="n">
        <v>2025</v>
      </c>
      <c r="E217" t="n">
        <v>1.898720252436026</v>
      </c>
      <c r="F217" t="n">
        <v>1.84420000904056</v>
      </c>
      <c r="G217">
        <f>IF(OR(F217="",E217=""),"",F217-E217)</f>
        <v/>
      </c>
      <c r="H217" t="n">
        <v>2025</v>
      </c>
    </row>
    <row r="218">
      <c r="A218" t="inlineStr">
        <is>
          <t>PT</t>
        </is>
      </c>
      <c r="B218" t="inlineStr">
        <is>
          <t>Spring2024</t>
        </is>
      </c>
      <c r="C218" t="inlineStr">
        <is>
          <t>Spring</t>
        </is>
      </c>
      <c r="D218" t="n">
        <v>2025</v>
      </c>
      <c r="E218" t="n">
        <v>1.87529344869708</v>
      </c>
      <c r="F218" t="n">
        <v>1.84420000904056</v>
      </c>
      <c r="G218">
        <f>IF(OR(F218="",E218=""),"",F218-E218)</f>
        <v/>
      </c>
      <c r="H218" t="n">
        <v>2025</v>
      </c>
    </row>
    <row r="219">
      <c r="A219" t="inlineStr">
        <is>
          <t>PT</t>
        </is>
      </c>
      <c r="B219" t="inlineStr">
        <is>
          <t>Spring2025</t>
        </is>
      </c>
      <c r="C219" t="inlineStr">
        <is>
          <t>Spring</t>
        </is>
      </c>
      <c r="D219" t="n">
        <v>2025</v>
      </c>
      <c r="E219" t="n">
        <v>1.750587684359384</v>
      </c>
      <c r="F219" t="n">
        <v>1.84420000904056</v>
      </c>
      <c r="G219">
        <f>IF(OR(F219="",E219=""),"",F219-E219)</f>
        <v/>
      </c>
      <c r="H219" t="n">
        <v>2025</v>
      </c>
    </row>
    <row r="220">
      <c r="A220" t="inlineStr">
        <is>
          <t>PT</t>
        </is>
      </c>
      <c r="B220" t="inlineStr">
        <is>
          <t>Autumn2025</t>
        </is>
      </c>
      <c r="C220" t="inlineStr">
        <is>
          <t>Autumn</t>
        </is>
      </c>
      <c r="D220" t="n">
        <v>2026</v>
      </c>
      <c r="E220" t="n">
        <v>2.230218535318218</v>
      </c>
      <c r="F220" t="n">
        <v/>
      </c>
      <c r="G220">
        <f>IF(OR(F220="",E220=""),"",F220-E220)</f>
        <v/>
      </c>
      <c r="H220" t="n">
        <v>2026</v>
      </c>
    </row>
    <row r="221">
      <c r="A221" t="inlineStr">
        <is>
          <t>PT</t>
        </is>
      </c>
      <c r="B221" t="inlineStr">
        <is>
          <t>Spring2025</t>
        </is>
      </c>
      <c r="C221" t="inlineStr">
        <is>
          <t>Spring</t>
        </is>
      </c>
      <c r="D221" t="n">
        <v>2026</v>
      </c>
      <c r="E221" t="n">
        <v>2.245562452222405</v>
      </c>
      <c r="F221" t="n">
        <v/>
      </c>
      <c r="G221">
        <f>IF(OR(F221="",E221=""),"",F221-E221)</f>
        <v/>
      </c>
      <c r="H221" t="n">
        <v>2026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Target year (time)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2011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2011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2012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2012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2012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2012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2013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2013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2013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2013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2014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2014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2014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2014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2015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2015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2015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2015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2016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2016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2016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2016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2017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2017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2017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2017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2018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2018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2018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2018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2019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2019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2019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2019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2011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2011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2012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2012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2012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2012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2013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2013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2013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2013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2014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2014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2014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2014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2015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2015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2015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2015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2016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2016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2016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2016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2017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2017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2017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2017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2018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2018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2018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2018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2019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2019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2019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2019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2011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2011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2012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2012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2012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2012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2013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2013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2013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2014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2014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2014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2014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2015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2015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2015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2015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2016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2016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2016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2016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2017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2017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2017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2017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2018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2018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2018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2018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2019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2019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2019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2019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2011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2011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2012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2012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2012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2012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2013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2013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2013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2013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2014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2014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2014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2014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2015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2015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2015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2015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2016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2016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2016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2017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2017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2017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2017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2018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2018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2018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2018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2019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2019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2019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2019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2011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2011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2012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2012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2012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2012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2013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2013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2013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2013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2014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2014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2014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2014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2015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2015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2015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2015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2016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2016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2016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2016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2017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2017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2017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2017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2018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2018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2018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2018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2019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2019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2019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2019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2011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2011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2012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2012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2012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2012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2013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2013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2013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2013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2014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2014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2014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2014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2015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2015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2015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2015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2016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2016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2016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2016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2017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2017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2017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2017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2018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2018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2018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2018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2019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2019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2019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2019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2011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2011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2012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2012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2012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2012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2013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2013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2013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2013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2014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2014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2014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2014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2015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2015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2015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2015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2016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2016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2016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2016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2017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2017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2017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2017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2018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2018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2018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2018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2019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2019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2019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2019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2011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2011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2012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2012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2012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2012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2013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2013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2013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2013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2014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2014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2014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2014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2015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2015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2015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2015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2016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2016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2016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2016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2017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2017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2017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2017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2018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2018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2018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2018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2019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2019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2019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2019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2011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2011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2012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2012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2012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2012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2013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2013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2013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2013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2014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2014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2014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2014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2015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2015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2015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2015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2016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2016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2016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2016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2017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2017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2017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2017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2018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2018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2018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2018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2019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2019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2019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2019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2011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2011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2012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2012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2012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2012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2013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2013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2013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2013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2014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2014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2014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2014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2015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2015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2015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2015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2016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2016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2016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2016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2017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2017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2017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2017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2018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2018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2018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2018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2019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2019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2019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2019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  <c r="I1" s="1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  <row r="551">
      <c r="B551" s="1" t="inlineStr">
        <is>
          <t>full sample</t>
        </is>
      </c>
      <c r="C551" s="1" t="inlineStr">
        <is>
          <t>below</t>
        </is>
      </c>
      <c r="D551" s="1" t="inlineStr">
        <is>
          <t>above</t>
        </is>
      </c>
    </row>
    <row r="552">
      <c r="A552" s="1" t="inlineStr">
        <is>
          <t>share positive surprises</t>
        </is>
      </c>
      <c r="B552" s="4">
        <f>COUNTIF($G$2:$G$549,"&gt;0")/COUNT($G$2:$G$549)</f>
        <v/>
      </c>
      <c r="C552" s="4">
        <f>COUNTIF($G$2:$G$275,"&gt;0")/COUNT($G$2:$G$275)</f>
        <v/>
      </c>
      <c r="D552" s="4">
        <f>COUNTIF($G$276:$G$549,"&gt;0")/COUNT($G$276:$G$549)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  <c r="I1" s="1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0.0003841529634689243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0.0003841529634689243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9.057990567226861e-05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9.057990567226861e-05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0.0002208059966333934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0.0002208059966333934</v>
      </c>
      <c r="I7" t="inlineStr">
        <is>
          <t>Below median</t>
        </is>
      </c>
    </row>
    <row r="8">
      <c r="A8" t="inlineStr">
        <is>
          <t>IE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1.085473342594079</v>
      </c>
      <c r="F8" t="n">
        <v>1.585963389687955</v>
      </c>
      <c r="G8">
        <f>IF(OR(F8="",E8=""),"",F8-E8)</f>
        <v/>
      </c>
      <c r="H8" t="n">
        <v>0.0001501342638873479</v>
      </c>
      <c r="I8" t="inlineStr">
        <is>
          <t>Below median</t>
        </is>
      </c>
    </row>
    <row r="9">
      <c r="A9" t="inlineStr">
        <is>
          <t>IE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0.6446375206867305</v>
      </c>
      <c r="F9" t="n">
        <v>1.585963389687955</v>
      </c>
      <c r="G9">
        <f>IF(OR(F9="",E9=""),"",F9-E9)</f>
        <v/>
      </c>
      <c r="H9" t="n">
        <v>0.0001501342638873479</v>
      </c>
      <c r="I9" t="inlineStr">
        <is>
          <t>Below median</t>
        </is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5.708343033184935e-05</v>
      </c>
      <c r="I10" t="inlineStr">
        <is>
          <t>Below median</t>
        </is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5.708343033184935e-05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0.0001390264361000922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0.0001390264361000922</v>
      </c>
      <c r="I13" t="inlineStr">
        <is>
          <t>Below median</t>
        </is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0.0001390264361000922</v>
      </c>
      <c r="I14" t="inlineStr">
        <is>
          <t>Below median</t>
        </is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0.0001390264361000922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3.503918839643609e-05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3.503918839643609e-05</v>
      </c>
      <c r="I17" t="inlineStr">
        <is>
          <t>Below median</t>
        </is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3.503918839643609e-05</v>
      </c>
      <c r="I18" t="inlineStr">
        <is>
          <t>Below median</t>
        </is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3.503918839643609e-05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0.0002406941715906578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0.0002406941715906578</v>
      </c>
      <c r="I21" t="inlineStr">
        <is>
          <t>Below median</t>
        </is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0.0002406941715906578</v>
      </c>
      <c r="I22" t="inlineStr">
        <is>
          <t>Below median</t>
        </is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0.0002406941715906578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0.5516730832740402</v>
      </c>
      <c r="F24" t="n">
        <v>0.226946609537066</v>
      </c>
      <c r="G24">
        <f>IF(OR(F24="",E24=""),"",F24-E24)</f>
        <v/>
      </c>
      <c r="H24" t="n">
        <v>0.0003504166350459876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2.040883011076966</v>
      </c>
      <c r="F25" t="n">
        <v>0.226946609537066</v>
      </c>
      <c r="G25">
        <f>IF(OR(F25="",E25=""),"",F25-E25)</f>
        <v/>
      </c>
      <c r="H25" t="n">
        <v>0.0003504166350459876</v>
      </c>
      <c r="I25" t="inlineStr">
        <is>
          <t>Below median</t>
        </is>
      </c>
    </row>
    <row r="26">
      <c r="A26" t="inlineStr">
        <is>
          <t>FR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0.191602674222735</v>
      </c>
      <c r="F26" t="n">
        <v>0.226946609537066</v>
      </c>
      <c r="G26">
        <f>IF(OR(F26="",E26=""),"",F26-E26)</f>
        <v/>
      </c>
      <c r="H26" t="n">
        <v>0.0003504166350459876</v>
      </c>
      <c r="I26" t="inlineStr">
        <is>
          <t>Below median</t>
        </is>
      </c>
    </row>
    <row r="27">
      <c r="A27" t="inlineStr">
        <is>
          <t>FR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0.4730801711129162</v>
      </c>
      <c r="F27" t="n">
        <v>0.226946609537066</v>
      </c>
      <c r="G27">
        <f>IF(OR(F27="",E27=""),"",F27-E27)</f>
        <v/>
      </c>
      <c r="H27" t="n">
        <v>0.0003504166350459876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1.090113097409695</v>
      </c>
      <c r="F28" t="n">
        <v>-0.537950489164068</v>
      </c>
      <c r="G28">
        <f>IF(OR(F28="",E28=""),"",F28-E28)</f>
        <v/>
      </c>
      <c r="H28" t="n">
        <v>0.000180841469338877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1.915684733449208</v>
      </c>
      <c r="F29" t="n">
        <v>-0.537950489164068</v>
      </c>
      <c r="G29">
        <f>IF(OR(F29="",E29=""),"",F29-E29)</f>
        <v/>
      </c>
      <c r="H29" t="n">
        <v>0.000180841469338877</v>
      </c>
      <c r="I29" t="inlineStr">
        <is>
          <t>Below median</t>
        </is>
      </c>
    </row>
    <row r="30">
      <c r="A30" t="inlineStr">
        <is>
          <t>IE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0.4312747664570127</v>
      </c>
      <c r="F30" t="n">
        <v>-0.537950489164068</v>
      </c>
      <c r="G30">
        <f>IF(OR(F30="",E30=""),"",F30-E30)</f>
        <v/>
      </c>
      <c r="H30" t="n">
        <v>0.000180841469338877</v>
      </c>
      <c r="I30" t="inlineStr">
        <is>
          <t>Below median</t>
        </is>
      </c>
    </row>
    <row r="31">
      <c r="A31" t="inlineStr">
        <is>
          <t>IE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0.5344829059463763</v>
      </c>
      <c r="F31" t="n">
        <v>-0.537950489164068</v>
      </c>
      <c r="G31">
        <f>IF(OR(F31="",E31=""),"",F31-E31)</f>
        <v/>
      </c>
      <c r="H31" t="n">
        <v>0.000180841469338877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0.0571283527944999</v>
      </c>
      <c r="F32" t="n">
        <v>-3.226554523422377</v>
      </c>
      <c r="G32">
        <f>IF(OR(F32="",E32=""),"",F32-E32)</f>
        <v/>
      </c>
      <c r="H32" t="n">
        <v>0.0003528745100217031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1.314970893331791</v>
      </c>
      <c r="F33" t="n">
        <v>-3.226554523422377</v>
      </c>
      <c r="G33">
        <f>IF(OR(F33="",E33=""),"",F33-E33)</f>
        <v/>
      </c>
      <c r="H33" t="n">
        <v>0.0003528745100217031</v>
      </c>
      <c r="I33" t="inlineStr">
        <is>
          <t>Below median</t>
        </is>
      </c>
    </row>
    <row r="34">
      <c r="A34" t="inlineStr">
        <is>
          <t>IT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-2.286799196516742</v>
      </c>
      <c r="F34" t="n">
        <v>-3.226554523422377</v>
      </c>
      <c r="G34">
        <f>IF(OR(F34="",E34=""),"",F34-E34)</f>
        <v/>
      </c>
      <c r="H34" t="n">
        <v>0.0003528745100217031</v>
      </c>
      <c r="I34" t="inlineStr">
        <is>
          <t>Below median</t>
        </is>
      </c>
    </row>
    <row r="35">
      <c r="A35" t="inlineStr">
        <is>
          <t>IT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-1.40660916214409</v>
      </c>
      <c r="F35" t="n">
        <v>-3.226554523422377</v>
      </c>
      <c r="G35">
        <f>IF(OR(F35="",E35=""),"",F35-E35)</f>
        <v/>
      </c>
      <c r="H35" t="n">
        <v>0.0003528745100217031</v>
      </c>
      <c r="I35" t="inlineStr">
        <is>
          <t>Below median</t>
        </is>
      </c>
    </row>
    <row r="36">
      <c r="A36" t="inlineStr">
        <is>
          <t>PT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-3.035670582279193</v>
      </c>
      <c r="F36" t="n">
        <v>-4.135224792158519</v>
      </c>
      <c r="G36">
        <f>IF(OR(F36="",E36=""),"",F36-E36)</f>
        <v/>
      </c>
      <c r="H36" t="n">
        <v>3.876805643465773e-05</v>
      </c>
      <c r="I36" t="inlineStr">
        <is>
          <t>Below median</t>
        </is>
      </c>
    </row>
    <row r="37">
      <c r="A37" t="inlineStr">
        <is>
          <t>PT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-1.754233909410796</v>
      </c>
      <c r="F37" t="n">
        <v>-4.135224792158519</v>
      </c>
      <c r="G37">
        <f>IF(OR(F37="",E37=""),"",F37-E37)</f>
        <v/>
      </c>
      <c r="H37" t="n">
        <v>3.876805643465773e-05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-2.95922210384848</v>
      </c>
      <c r="F38" t="n">
        <v>-4.135224792158519</v>
      </c>
      <c r="G38">
        <f>IF(OR(F38="",E38=""),"",F38-E38)</f>
        <v/>
      </c>
      <c r="H38" t="n">
        <v>3.876805643465773e-05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-3.262225693612053</v>
      </c>
      <c r="F39" t="n">
        <v>-4.135224792158519</v>
      </c>
      <c r="G39">
        <f>IF(OR(F39="",E39=""),"",F39-E39)</f>
        <v/>
      </c>
      <c r="H39" t="n">
        <v>3.876805643465773e-05</v>
      </c>
      <c r="I39" t="inlineStr">
        <is>
          <t>Below median</t>
        </is>
      </c>
    </row>
    <row r="40">
      <c r="A40" t="inlineStr">
        <is>
          <t>BE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0.7402241931803832</v>
      </c>
      <c r="F40" t="n">
        <v>0.3050404775723975</v>
      </c>
      <c r="G40">
        <f>IF(OR(F40="",E40=""),"",F40-E40)</f>
        <v/>
      </c>
      <c r="H40" t="n">
        <v>0.000111779330140243</v>
      </c>
      <c r="I40" t="inlineStr">
        <is>
          <t>Below median</t>
        </is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1.243358392394422</v>
      </c>
      <c r="F41" t="n">
        <v>0.3050404775723975</v>
      </c>
      <c r="G41">
        <f>IF(OR(F41="",E41=""),"",F41-E41)</f>
        <v/>
      </c>
      <c r="H41" t="n">
        <v>0.000111779330140243</v>
      </c>
      <c r="I41" t="inlineStr">
        <is>
          <t>Below median</t>
        </is>
      </c>
    </row>
    <row r="42">
      <c r="A42" t="inlineStr">
        <is>
          <t>BE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0.1418580624652277</v>
      </c>
      <c r="F42" t="n">
        <v>0.3050404775723975</v>
      </c>
      <c r="G42">
        <f>IF(OR(F42="",E42=""),"",F42-E42)</f>
        <v/>
      </c>
      <c r="H42" t="n">
        <v>0.000111779330140243</v>
      </c>
      <c r="I42" t="inlineStr">
        <is>
          <t>Below median</t>
        </is>
      </c>
    </row>
    <row r="43">
      <c r="A43" t="inlineStr">
        <is>
          <t>BE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0.04224283490654734</v>
      </c>
      <c r="F43" t="n">
        <v>0.3050404775723975</v>
      </c>
      <c r="G43">
        <f>IF(OR(F43="",E43=""),"",F43-E43)</f>
        <v/>
      </c>
      <c r="H43" t="n">
        <v>0.000111779330140243</v>
      </c>
      <c r="I43" t="inlineStr">
        <is>
          <t>Below median</t>
        </is>
      </c>
    </row>
    <row r="44">
      <c r="A44" t="inlineStr">
        <is>
          <t>ES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-1.444080028615158</v>
      </c>
      <c r="F44" t="n">
        <v>-1.437599419188256</v>
      </c>
      <c r="G44">
        <f>IF(OR(F44="",E44=""),"",F44-E44)</f>
        <v/>
      </c>
      <c r="H44" t="n">
        <v>3.982044200799853e-05</v>
      </c>
      <c r="I44" t="inlineStr">
        <is>
          <t>Below median</t>
        </is>
      </c>
    </row>
    <row r="45">
      <c r="A45" t="inlineStr">
        <is>
          <t>ES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-0.3312062646812497</v>
      </c>
      <c r="F45" t="n">
        <v>-1.437599419188256</v>
      </c>
      <c r="G45">
        <f>IF(OR(F45="",E45=""),"",F45-E45)</f>
        <v/>
      </c>
      <c r="H45" t="n">
        <v>3.982044200799853e-05</v>
      </c>
      <c r="I45" t="inlineStr">
        <is>
          <t>Below median</t>
        </is>
      </c>
    </row>
    <row r="46">
      <c r="A46" t="inlineStr">
        <is>
          <t>ES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-1.306791214215364</v>
      </c>
      <c r="F46" t="n">
        <v>-1.437599419188256</v>
      </c>
      <c r="G46">
        <f>IF(OR(F46="",E46=""),"",F46-E46)</f>
        <v/>
      </c>
      <c r="H46" t="n">
        <v>3.982044200799853e-05</v>
      </c>
      <c r="I46" t="inlineStr">
        <is>
          <t>Below median</t>
        </is>
      </c>
    </row>
    <row r="47">
      <c r="A47" t="inlineStr">
        <is>
          <t>ES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-1.474157069656223</v>
      </c>
      <c r="F47" t="n">
        <v>-1.437599419188256</v>
      </c>
      <c r="G47">
        <f>IF(OR(F47="",E47=""),"",F47-E47)</f>
        <v/>
      </c>
      <c r="H47" t="n">
        <v>3.982044200799853e-05</v>
      </c>
      <c r="I47" t="inlineStr">
        <is>
          <t>Below median</t>
        </is>
      </c>
    </row>
    <row r="48">
      <c r="A48" t="inlineStr">
        <is>
          <t>FI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0.819638614691609</v>
      </c>
      <c r="F48" t="n">
        <v>-0.9830423878256561</v>
      </c>
      <c r="G48">
        <f>IF(OR(F48="",E48=""),"",F48-E48)</f>
        <v/>
      </c>
      <c r="H48" t="n">
        <v>0.0001594746327182085</v>
      </c>
      <c r="I48" t="inlineStr">
        <is>
          <t>Below median</t>
        </is>
      </c>
    </row>
    <row r="49">
      <c r="A49" t="inlineStr">
        <is>
          <t>FI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1.599538463157146</v>
      </c>
      <c r="F49" t="n">
        <v>-0.9830423878256561</v>
      </c>
      <c r="G49">
        <f>IF(OR(F49="",E49=""),"",F49-E49)</f>
        <v/>
      </c>
      <c r="H49" t="n">
        <v>0.0001594746327182085</v>
      </c>
      <c r="I49" t="inlineStr">
        <is>
          <t>Below median</t>
        </is>
      </c>
    </row>
    <row r="50">
      <c r="A50" t="inlineStr">
        <is>
          <t>FI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-0.6447963665629053</v>
      </c>
      <c r="F50" t="n">
        <v>-0.9830423878256561</v>
      </c>
      <c r="G50">
        <f>IF(OR(F50="",E50=""),"",F50-E50)</f>
        <v/>
      </c>
      <c r="H50" t="n">
        <v>0.0001594746327182085</v>
      </c>
      <c r="I50" t="inlineStr">
        <is>
          <t>Below median</t>
        </is>
      </c>
    </row>
    <row r="51">
      <c r="A51" t="inlineStr">
        <is>
          <t>FI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0.2870923698310657</v>
      </c>
      <c r="F51" t="n">
        <v>-0.9830423878256561</v>
      </c>
      <c r="G51">
        <f>IF(OR(F51="",E51=""),"",F51-E51)</f>
        <v/>
      </c>
      <c r="H51" t="n">
        <v>0.0001594746327182085</v>
      </c>
      <c r="I51" t="inlineStr">
        <is>
          <t>Below median</t>
        </is>
      </c>
    </row>
    <row r="52">
      <c r="A52" t="inlineStr">
        <is>
          <t>FR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0.3804781682092306</v>
      </c>
      <c r="F52" t="n">
        <v>0.9263481598437984</v>
      </c>
      <c r="G52">
        <f>IF(OR(F52="",E52=""),"",F52-E52)</f>
        <v/>
      </c>
      <c r="H52" t="n">
        <v>0.0003223172017899923</v>
      </c>
      <c r="I52" t="inlineStr">
        <is>
          <t>Below median</t>
        </is>
      </c>
    </row>
    <row r="53">
      <c r="A53" t="inlineStr">
        <is>
          <t>FR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1.336994479620457</v>
      </c>
      <c r="F53" t="n">
        <v>0.9263481598437984</v>
      </c>
      <c r="G53">
        <f>IF(OR(F53="",E53=""),"",F53-E53)</f>
        <v/>
      </c>
      <c r="H53" t="n">
        <v>0.0003223172017899923</v>
      </c>
      <c r="I53" t="inlineStr">
        <is>
          <t>Below median</t>
        </is>
      </c>
    </row>
    <row r="54">
      <c r="A54" t="inlineStr">
        <is>
          <t>FR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0.2199216508387281</v>
      </c>
      <c r="F54" t="n">
        <v>0.9263481598437984</v>
      </c>
      <c r="G54">
        <f>IF(OR(F54="",E54=""),"",F54-E54)</f>
        <v/>
      </c>
      <c r="H54" t="n">
        <v>0.0003223172017899923</v>
      </c>
      <c r="I54" t="inlineStr">
        <is>
          <t>Below median</t>
        </is>
      </c>
    </row>
    <row r="55">
      <c r="A55" t="inlineStr">
        <is>
          <t>FR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-0.09629369242994956</v>
      </c>
      <c r="F55" t="n">
        <v>0.9263481598437984</v>
      </c>
      <c r="G55">
        <f>IF(OR(F55="",E55=""),"",F55-E55)</f>
        <v/>
      </c>
      <c r="H55" t="n">
        <v>0.0003223172017899923</v>
      </c>
      <c r="I55" t="inlineStr">
        <is>
          <t>Below median</t>
        </is>
      </c>
    </row>
    <row r="56">
      <c r="A56" t="inlineStr">
        <is>
          <t>IE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1.055742969234341</v>
      </c>
      <c r="F56" t="n">
        <v>2.260800070139938</v>
      </c>
      <c r="G56">
        <f>IF(OR(F56="",E56=""),"",F56-E56)</f>
        <v/>
      </c>
      <c r="H56" t="n">
        <v>0.0002741898995379309</v>
      </c>
      <c r="I56" t="inlineStr">
        <is>
          <t>Below median</t>
        </is>
      </c>
    </row>
    <row r="57">
      <c r="A57" t="inlineStr">
        <is>
          <t>IE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1.906065155664627</v>
      </c>
      <c r="F57" t="n">
        <v>2.260800070139938</v>
      </c>
      <c r="G57">
        <f>IF(OR(F57="",E57=""),"",F57-E57)</f>
        <v/>
      </c>
      <c r="H57" t="n">
        <v>0.0002741898995379309</v>
      </c>
      <c r="I57" t="inlineStr">
        <is>
          <t>Below median</t>
        </is>
      </c>
    </row>
    <row r="58">
      <c r="A58" t="inlineStr">
        <is>
          <t>IE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0.3040213185534935</v>
      </c>
      <c r="F58" t="n">
        <v>2.260800070139938</v>
      </c>
      <c r="G58">
        <f>IF(OR(F58="",E58=""),"",F58-E58)</f>
        <v/>
      </c>
      <c r="H58" t="n">
        <v>0.0002741898995379309</v>
      </c>
      <c r="I58" t="inlineStr">
        <is>
          <t>Below median</t>
        </is>
      </c>
    </row>
    <row r="59">
      <c r="A59" t="inlineStr">
        <is>
          <t>IE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1.069987927348115</v>
      </c>
      <c r="F59" t="n">
        <v>2.260800070139938</v>
      </c>
      <c r="G59">
        <f>IF(OR(F59="",E59=""),"",F59-E59)</f>
        <v/>
      </c>
      <c r="H59" t="n">
        <v>0.0002741898995379309</v>
      </c>
      <c r="I59" t="inlineStr">
        <is>
          <t>Below median</t>
        </is>
      </c>
    </row>
    <row r="60">
      <c r="A60" t="inlineStr">
        <is>
          <t>IT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-0.5402720524954496</v>
      </c>
      <c r="F60" t="n">
        <v>-1.843520911707673</v>
      </c>
      <c r="G60">
        <f>IF(OR(F60="",E60=""),"",F60-E60)</f>
        <v/>
      </c>
      <c r="H60" t="n">
        <v>0.0003011088462783783</v>
      </c>
      <c r="I60" t="inlineStr">
        <is>
          <t>Below median</t>
        </is>
      </c>
    </row>
    <row r="61">
      <c r="A61" t="inlineStr">
        <is>
          <t>IT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0.4438755981541975</v>
      </c>
      <c r="F61" t="n">
        <v>-1.843520911707673</v>
      </c>
      <c r="G61">
        <f>IF(OR(F61="",E61=""),"",F61-E61)</f>
        <v/>
      </c>
      <c r="H61" t="n">
        <v>0.0003011088462783783</v>
      </c>
      <c r="I61" t="inlineStr">
        <is>
          <t>Below median</t>
        </is>
      </c>
    </row>
    <row r="62">
      <c r="A62" t="inlineStr">
        <is>
          <t>IT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-1.829892955077694</v>
      </c>
      <c r="F62" t="n">
        <v>-1.843520911707673</v>
      </c>
      <c r="G62">
        <f>IF(OR(F62="",E62=""),"",F62-E62)</f>
        <v/>
      </c>
      <c r="H62" t="n">
        <v>0.0003011088462783783</v>
      </c>
      <c r="I62" t="inlineStr">
        <is>
          <t>Below median</t>
        </is>
      </c>
    </row>
    <row r="63">
      <c r="A63" t="inlineStr">
        <is>
          <t>IT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-1.340985418159535</v>
      </c>
      <c r="F63" t="n">
        <v>-1.843520911707673</v>
      </c>
      <c r="G63">
        <f>IF(OR(F63="",E63=""),"",F63-E63)</f>
        <v/>
      </c>
      <c r="H63" t="n">
        <v>0.0003011088462783783</v>
      </c>
      <c r="I63" t="inlineStr">
        <is>
          <t>Below median</t>
        </is>
      </c>
    </row>
    <row r="64">
      <c r="A64" t="inlineStr">
        <is>
          <t>PT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-0.9945127352788519</v>
      </c>
      <c r="F64" t="n">
        <v>-0.98897197690871</v>
      </c>
      <c r="G64">
        <f>IF(OR(F64="",E64=""),"",F64-E64)</f>
        <v/>
      </c>
      <c r="H64" t="n">
        <v>3.230258714149396e-05</v>
      </c>
      <c r="I64" t="inlineStr">
        <is>
          <t>Below median</t>
        </is>
      </c>
    </row>
    <row r="65">
      <c r="A65" t="inlineStr">
        <is>
          <t>PT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0.2547446524607588</v>
      </c>
      <c r="F65" t="n">
        <v>-0.98897197690871</v>
      </c>
      <c r="G65">
        <f>IF(OR(F65="",E65=""),"",F65-E65)</f>
        <v/>
      </c>
      <c r="H65" t="n">
        <v>3.230258714149396e-05</v>
      </c>
      <c r="I65" t="inlineStr">
        <is>
          <t>Below median</t>
        </is>
      </c>
    </row>
    <row r="66">
      <c r="A66" t="inlineStr">
        <is>
          <t>PT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-1.763884360467349</v>
      </c>
      <c r="F66" t="n">
        <v>-0.98897197690871</v>
      </c>
      <c r="G66">
        <f>IF(OR(F66="",E66=""),"",F66-E66)</f>
        <v/>
      </c>
      <c r="H66" t="n">
        <v>3.230258714149396e-05</v>
      </c>
      <c r="I66" t="inlineStr">
        <is>
          <t>Below median</t>
        </is>
      </c>
    </row>
    <row r="67">
      <c r="A67" t="inlineStr">
        <is>
          <t>PT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-2.343066113608139</v>
      </c>
      <c r="F67" t="n">
        <v>-0.98897197690871</v>
      </c>
      <c r="G67">
        <f>IF(OR(F67="",E67=""),"",F67-E67)</f>
        <v/>
      </c>
      <c r="H67" t="n">
        <v>3.230258714149396e-05</v>
      </c>
      <c r="I67" t="inlineStr">
        <is>
          <t>Below median</t>
        </is>
      </c>
    </row>
    <row r="68">
      <c r="A68" t="inlineStr">
        <is>
          <t>BE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1.142047499237697</v>
      </c>
      <c r="F68" t="n">
        <v>1.750092739581359</v>
      </c>
      <c r="G68">
        <f>IF(OR(F68="",E68=""),"",F68-E68)</f>
        <v/>
      </c>
      <c r="H68" t="n">
        <v>0.0001231751469036109</v>
      </c>
      <c r="I68" t="inlineStr">
        <is>
          <t>Below median</t>
        </is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1.19023811784591</v>
      </c>
      <c r="F69" t="n">
        <v>1.750092739581359</v>
      </c>
      <c r="G69">
        <f>IF(OR(F69="",E69=""),"",F69-E69)</f>
        <v/>
      </c>
      <c r="H69" t="n">
        <v>0.0001231751469036109</v>
      </c>
      <c r="I69" t="inlineStr">
        <is>
          <t>Below median</t>
        </is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0.9228298543176638</v>
      </c>
      <c r="F70" t="n">
        <v>1.750092739581359</v>
      </c>
      <c r="G70">
        <f>IF(OR(F70="",E70=""),"",F70-E70)</f>
        <v/>
      </c>
      <c r="H70" t="n">
        <v>0.0001231751469036109</v>
      </c>
      <c r="I70" t="inlineStr">
        <is>
          <t>Below median</t>
        </is>
      </c>
    </row>
    <row r="71">
      <c r="A71" t="inlineStr">
        <is>
          <t>BE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1.443053096414237</v>
      </c>
      <c r="F71" t="n">
        <v>1.750092739581359</v>
      </c>
      <c r="G71">
        <f>IF(OR(F71="",E71=""),"",F71-E71)</f>
        <v/>
      </c>
      <c r="H71" t="n">
        <v>0.0001231751469036109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0.5346086775235293</v>
      </c>
      <c r="F72" t="n">
        <v>1.509054117610189</v>
      </c>
      <c r="G72">
        <f>IF(OR(F72="",E72=""),"",F72-E72)</f>
        <v/>
      </c>
      <c r="H72" t="n">
        <v>2.587438725908248e-05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0.9358959966065505</v>
      </c>
      <c r="F73" t="n">
        <v>1.509054117610189</v>
      </c>
      <c r="G73">
        <f>IF(OR(F73="",E73=""),"",F73-E73)</f>
        <v/>
      </c>
      <c r="H73" t="n">
        <v>2.587438725908248e-05</v>
      </c>
      <c r="I73" t="inlineStr">
        <is>
          <t>Below median</t>
        </is>
      </c>
    </row>
    <row r="74">
      <c r="A74" t="inlineStr">
        <is>
          <t>ES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1.249540362435053</v>
      </c>
      <c r="F74" t="n">
        <v>1.509054117610189</v>
      </c>
      <c r="G74">
        <f>IF(OR(F74="",E74=""),"",F74-E74)</f>
        <v/>
      </c>
      <c r="H74" t="n">
        <v>2.587438725908248e-05</v>
      </c>
      <c r="I74" t="inlineStr">
        <is>
          <t>Below median</t>
        </is>
      </c>
    </row>
    <row r="75">
      <c r="A75" t="inlineStr">
        <is>
          <t>ES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1.14800430968125</v>
      </c>
      <c r="F75" t="n">
        <v>1.509054117610189</v>
      </c>
      <c r="G75">
        <f>IF(OR(F75="",E75=""),"",F75-E75)</f>
        <v/>
      </c>
      <c r="H75" t="n">
        <v>2.587438725908248e-05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0.5801350679612627</v>
      </c>
      <c r="F76" t="n">
        <v>-0.4797096156202156</v>
      </c>
      <c r="G76">
        <f>IF(OR(F76="",E76=""),"",F76-E76)</f>
        <v/>
      </c>
      <c r="H76" t="n">
        <v>0.0001851830272816686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1.00425732590641</v>
      </c>
      <c r="F77" t="n">
        <v>-0.4797096156202156</v>
      </c>
      <c r="G77">
        <f>IF(OR(F77="",E77=""),"",F77-E77)</f>
        <v/>
      </c>
      <c r="H77" t="n">
        <v>0.0001851830272816686</v>
      </c>
      <c r="I77" t="inlineStr">
        <is>
          <t>Below median</t>
        </is>
      </c>
    </row>
    <row r="78">
      <c r="A78" t="inlineStr">
        <is>
          <t>FI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-0.4425389790773449</v>
      </c>
      <c r="F78" t="n">
        <v>-0.4797096156202156</v>
      </c>
      <c r="G78">
        <f>IF(OR(F78="",E78=""),"",F78-E78)</f>
        <v/>
      </c>
      <c r="H78" t="n">
        <v>0.0001851830272816686</v>
      </c>
      <c r="I78" t="inlineStr">
        <is>
          <t>Below median</t>
        </is>
      </c>
    </row>
    <row r="79">
      <c r="A79" t="inlineStr">
        <is>
          <t>FI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0.1752479290949793</v>
      </c>
      <c r="F79" t="n">
        <v>-0.4797096156202156</v>
      </c>
      <c r="G79">
        <f>IF(OR(F79="",E79=""),"",F79-E79)</f>
        <v/>
      </c>
      <c r="H79" t="n">
        <v>0.0001851830272816686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0.910192166389745</v>
      </c>
      <c r="F80" t="n">
        <v>0.9928179291028251</v>
      </c>
      <c r="G80">
        <f>IF(OR(F80="",E80=""),"",F80-E80)</f>
        <v/>
      </c>
      <c r="H80" t="n">
        <v>0.0002868207033714324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1.095437649770115</v>
      </c>
      <c r="F81" t="n">
        <v>0.9928179291028251</v>
      </c>
      <c r="G81">
        <f>IF(OR(F81="",E81=""),"",F81-E81)</f>
        <v/>
      </c>
      <c r="H81" t="n">
        <v>0.0002868207033714324</v>
      </c>
      <c r="I81" t="inlineStr">
        <is>
          <t>Below median</t>
        </is>
      </c>
    </row>
    <row r="82">
      <c r="A82" t="inlineStr">
        <is>
          <t>FR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0.3181188410146474</v>
      </c>
      <c r="F82" t="n">
        <v>0.9928179291028251</v>
      </c>
      <c r="G82">
        <f>IF(OR(F82="",E82=""),"",F82-E82)</f>
        <v/>
      </c>
      <c r="H82" t="n">
        <v>0.0002868207033714324</v>
      </c>
      <c r="I82" t="inlineStr">
        <is>
          <t>Below median</t>
        </is>
      </c>
    </row>
    <row r="83">
      <c r="A83" t="inlineStr">
        <is>
          <t>FR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0.9756234805015973</v>
      </c>
      <c r="F83" t="n">
        <v>0.9928179291028251</v>
      </c>
      <c r="G83">
        <f>IF(OR(F83="",E83=""),"",F83-E83)</f>
        <v/>
      </c>
      <c r="H83" t="n">
        <v>0.0002868207033714324</v>
      </c>
      <c r="I83" t="inlineStr">
        <is>
          <t>Below median</t>
        </is>
      </c>
    </row>
    <row r="84">
      <c r="A84" t="inlineStr">
        <is>
          <t>IT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0.710825923549363</v>
      </c>
      <c r="F84" t="n">
        <v>0.07523394739152882</v>
      </c>
      <c r="G84">
        <f>IF(OR(F84="",E84=""),"",F84-E84)</f>
        <v/>
      </c>
      <c r="H84" t="n">
        <v>0.0003222174792008529</v>
      </c>
      <c r="I84" t="inlineStr">
        <is>
          <t>Below median</t>
        </is>
      </c>
    </row>
    <row r="85">
      <c r="A85" t="inlineStr">
        <is>
          <t>IT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0.7176354855105593</v>
      </c>
      <c r="F85" t="n">
        <v>0.07523394739152882</v>
      </c>
      <c r="G85">
        <f>IF(OR(F85="",E85=""),"",F85-E85)</f>
        <v/>
      </c>
      <c r="H85" t="n">
        <v>0.0003222174792008529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-0.3946109668130138</v>
      </c>
      <c r="F86" t="n">
        <v>0.07523394739152882</v>
      </c>
      <c r="G86">
        <f>IF(OR(F86="",E86=""),"",F86-E86)</f>
        <v/>
      </c>
      <c r="H86" t="n">
        <v>0.0003222174792008529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0.5709673189879583</v>
      </c>
      <c r="F87" t="n">
        <v>0.07523394739152882</v>
      </c>
      <c r="G87">
        <f>IF(OR(F87="",E87=""),"",F87-E87)</f>
        <v/>
      </c>
      <c r="H87" t="n">
        <v>0.0003222174792008529</v>
      </c>
      <c r="I87" t="inlineStr">
        <is>
          <t>Below median</t>
        </is>
      </c>
    </row>
    <row r="88">
      <c r="A88" t="inlineStr">
        <is>
          <t>PT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0.77627138458356</v>
      </c>
      <c r="F88" t="n">
        <v>0.7386254135653634</v>
      </c>
      <c r="G88">
        <f>IF(OR(F88="",E88=""),"",F88-E88)</f>
        <v/>
      </c>
      <c r="H88" t="n">
        <v>0.0001016340983504862</v>
      </c>
      <c r="I88" t="inlineStr">
        <is>
          <t>Below median</t>
        </is>
      </c>
    </row>
    <row r="89">
      <c r="A89" t="inlineStr">
        <is>
          <t>PT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0.5586266659710626</v>
      </c>
      <c r="F89" t="n">
        <v>0.7386254135653634</v>
      </c>
      <c r="G89">
        <f>IF(OR(F89="",E89=""),"",F89-E89)</f>
        <v/>
      </c>
      <c r="H89" t="n">
        <v>0.0001016340983504862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0.9376626753034856</v>
      </c>
      <c r="F90" t="n">
        <v>0.7386254135653634</v>
      </c>
      <c r="G90">
        <f>IF(OR(F90="",E90=""),"",F90-E90)</f>
        <v/>
      </c>
      <c r="H90" t="n">
        <v>0.0001016340983504862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1.244291809650244</v>
      </c>
      <c r="F91" t="n">
        <v>0.7386254135653634</v>
      </c>
      <c r="G91">
        <f>IF(OR(F91="",E91=""),"",F91-E91)</f>
        <v/>
      </c>
      <c r="H91" t="n">
        <v>0.0001016340983504862</v>
      </c>
      <c r="I91" t="inlineStr">
        <is>
          <t>Below median</t>
        </is>
      </c>
    </row>
    <row r="92">
      <c r="A92" t="inlineStr">
        <is>
          <t>BE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0.8615973596518334</v>
      </c>
      <c r="F92" t="n">
        <v>1.463441071479124</v>
      </c>
      <c r="G92">
        <f>IF(OR(F92="",E92=""),"",F92-E92)</f>
        <v/>
      </c>
      <c r="H92" t="n">
        <v>0.0001345258605471943</v>
      </c>
      <c r="I92" t="inlineStr">
        <is>
          <t>Below median</t>
        </is>
      </c>
    </row>
    <row r="93">
      <c r="A93" t="inlineStr">
        <is>
          <t>BE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1.559313516124394</v>
      </c>
      <c r="F93" t="n">
        <v>1.463441071479124</v>
      </c>
      <c r="G93">
        <f>IF(OR(F93="",E93=""),"",F93-E93)</f>
        <v/>
      </c>
      <c r="H93" t="n">
        <v>0.0001345258605471943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1.262482967982592</v>
      </c>
      <c r="F94" t="n">
        <v>1.463441071479124</v>
      </c>
      <c r="G94">
        <f>IF(OR(F94="",E94=""),"",F94-E94)</f>
        <v/>
      </c>
      <c r="H94" t="n">
        <v>0.0001345258605471943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1.08741840250608</v>
      </c>
      <c r="F95" t="n">
        <v>1.463441071479124</v>
      </c>
      <c r="G95">
        <f>IF(OR(F95="",E95=""),"",F95-E95)</f>
        <v/>
      </c>
      <c r="H95" t="n">
        <v>0.0001345258605471943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1.729820895323719</v>
      </c>
      <c r="F96" t="n">
        <v>3.980574024380553</v>
      </c>
      <c r="G96">
        <f>IF(OR(F96="",E96=""),"",F96-E96)</f>
        <v/>
      </c>
      <c r="H96" t="n">
        <v>2.526664787077954e-05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2.057855009699994</v>
      </c>
      <c r="F97" t="n">
        <v>3.980574024380553</v>
      </c>
      <c r="G97">
        <f>IF(OR(F97="",E97=""),"",F97-E97)</f>
        <v/>
      </c>
      <c r="H97" t="n">
        <v>2.526664787077954e-05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3.133021754661636</v>
      </c>
      <c r="F98" t="n">
        <v>3.980574024380553</v>
      </c>
      <c r="G98">
        <f>IF(OR(F98="",E98=""),"",F98-E98)</f>
        <v/>
      </c>
      <c r="H98" t="n">
        <v>2.526664787077954e-05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2.816302349956712</v>
      </c>
      <c r="F99" t="n">
        <v>3.980574024380553</v>
      </c>
      <c r="G99">
        <f>IF(OR(F99="",E99=""),"",F99-E99)</f>
        <v/>
      </c>
      <c r="H99" t="n">
        <v>2.526664787077954e-05</v>
      </c>
      <c r="I99" t="inlineStr">
        <is>
          <t>Below median</t>
        </is>
      </c>
    </row>
    <row r="100">
      <c r="A100" t="inlineStr">
        <is>
          <t>FI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0.6115453306968277</v>
      </c>
      <c r="F100" t="n">
        <v>0.4653357874617425</v>
      </c>
      <c r="G100">
        <f>IF(OR(F100="",E100=""),"",F100-E100)</f>
        <v/>
      </c>
      <c r="H100" t="n">
        <v>0.0001597196130332002</v>
      </c>
      <c r="I100" t="inlineStr">
        <is>
          <t>Below median</t>
        </is>
      </c>
    </row>
    <row r="101">
      <c r="A101" t="inlineStr">
        <is>
          <t>FI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1.03813878882193</v>
      </c>
      <c r="F101" t="n">
        <v>0.4653357874617425</v>
      </c>
      <c r="G101">
        <f>IF(OR(F101="",E101=""),"",F101-E101)</f>
        <v/>
      </c>
      <c r="H101" t="n">
        <v>0.0001597196130332002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0.3399983896508418</v>
      </c>
      <c r="F102" t="n">
        <v>0.4653357874617425</v>
      </c>
      <c r="G102">
        <f>IF(OR(F102="",E102=""),"",F102-E102)</f>
        <v/>
      </c>
      <c r="H102" t="n">
        <v>0.0001597196130332002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0.3422181701169036</v>
      </c>
      <c r="F103" t="n">
        <v>0.4653357874617425</v>
      </c>
      <c r="G103">
        <f>IF(OR(F103="",E103=""),"",F103-E103)</f>
        <v/>
      </c>
      <c r="H103" t="n">
        <v>0.0001597196130332002</v>
      </c>
      <c r="I103" t="inlineStr">
        <is>
          <t>Below median</t>
        </is>
      </c>
    </row>
    <row r="104">
      <c r="A104" t="inlineStr">
        <is>
          <t>IE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3.622166591088383</v>
      </c>
      <c r="F104" t="n">
        <v>21.95074465450742</v>
      </c>
      <c r="G104">
        <f>IF(OR(F104="",E104=""),"",F104-E104)</f>
        <v/>
      </c>
      <c r="H104" t="n">
        <v>0.0003665754948697212</v>
      </c>
      <c r="I104" t="inlineStr">
        <is>
          <t>Below median</t>
        </is>
      </c>
    </row>
    <row r="105">
      <c r="A105" t="inlineStr">
        <is>
          <t>IE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2.99572233370986</v>
      </c>
      <c r="F105" t="n">
        <v>21.95074465450742</v>
      </c>
      <c r="G105">
        <f>IF(OR(F105="",E105=""),"",F105-E105)</f>
        <v/>
      </c>
      <c r="H105" t="n">
        <v>0.0003665754948697212</v>
      </c>
      <c r="I105" t="inlineStr">
        <is>
          <t>Below median</t>
        </is>
      </c>
    </row>
    <row r="106">
      <c r="A106" t="inlineStr">
        <is>
          <t>IE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6.044934494316778</v>
      </c>
      <c r="F106" t="n">
        <v>21.95074465450742</v>
      </c>
      <c r="G106">
        <f>IF(OR(F106="",E106=""),"",F106-E106)</f>
        <v/>
      </c>
      <c r="H106" t="n">
        <v>0.0003665754948697212</v>
      </c>
      <c r="I106" t="inlineStr">
        <is>
          <t>Below median</t>
        </is>
      </c>
    </row>
    <row r="107">
      <c r="A107" t="inlineStr">
        <is>
          <t>IE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3.607041892993634</v>
      </c>
      <c r="F107" t="n">
        <v>21.95074465450742</v>
      </c>
      <c r="G107">
        <f>IF(OR(F107="",E107=""),"",F107-E107)</f>
        <v/>
      </c>
      <c r="H107" t="n">
        <v>0.0003665754948697212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0.6287297389490742</v>
      </c>
      <c r="F108" t="n">
        <v>0.7428515339022007</v>
      </c>
      <c r="G108">
        <f>IF(OR(F108="",E108=""),"",F108-E108)</f>
        <v/>
      </c>
      <c r="H108" t="n">
        <v>0.0002940679432833707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1.229987574853153</v>
      </c>
      <c r="F109" t="n">
        <v>0.7428515339022007</v>
      </c>
      <c r="G109">
        <f>IF(OR(F109="",E109=""),"",F109-E109)</f>
        <v/>
      </c>
      <c r="H109" t="n">
        <v>0.0002940679432833707</v>
      </c>
      <c r="I109" t="inlineStr">
        <is>
          <t>Below median</t>
        </is>
      </c>
    </row>
    <row r="110">
      <c r="A110" t="inlineStr">
        <is>
          <t>IT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0.8666535098946104</v>
      </c>
      <c r="F110" t="n">
        <v>0.7428515339022007</v>
      </c>
      <c r="G110">
        <f>IF(OR(F110="",E110=""),"",F110-E110)</f>
        <v/>
      </c>
      <c r="H110" t="n">
        <v>0.0002940679432833707</v>
      </c>
      <c r="I110" t="inlineStr">
        <is>
          <t>Below median</t>
        </is>
      </c>
    </row>
    <row r="111">
      <c r="A111" t="inlineStr">
        <is>
          <t>IT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0.6068597463795955</v>
      </c>
      <c r="F111" t="n">
        <v>0.7428515339022007</v>
      </c>
      <c r="G111">
        <f>IF(OR(F111="",E111=""),"",F111-E111)</f>
        <v/>
      </c>
      <c r="H111" t="n">
        <v>0.0002940679432833707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Autumn2014</t>
        </is>
      </c>
      <c r="C112" t="inlineStr">
        <is>
          <t>Autumn</t>
        </is>
      </c>
      <c r="D112" t="n">
        <v>2015</v>
      </c>
      <c r="E112" t="n">
        <v>1.29819266835165</v>
      </c>
      <c r="F112" t="n">
        <v>1.577275555295227</v>
      </c>
      <c r="G112">
        <f>IF(OR(F112="",E112=""),"",F112-E112)</f>
        <v/>
      </c>
      <c r="H112" t="n">
        <v>5.4892305598032e-05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Spring2014</t>
        </is>
      </c>
      <c r="C113" t="inlineStr">
        <is>
          <t>Spring</t>
        </is>
      </c>
      <c r="D113" t="n">
        <v>2015</v>
      </c>
      <c r="E113" t="n">
        <v>1.493187427376386</v>
      </c>
      <c r="F113" t="n">
        <v>1.577275555295227</v>
      </c>
      <c r="G113">
        <f>IF(OR(F113="",E113=""),"",F113-E113)</f>
        <v/>
      </c>
      <c r="H113" t="n">
        <v>5.4892305598032e-05</v>
      </c>
      <c r="I113" t="inlineStr">
        <is>
          <t>Below median</t>
        </is>
      </c>
    </row>
    <row r="114">
      <c r="A114" t="inlineStr">
        <is>
          <t>PT</t>
        </is>
      </c>
      <c r="B114" t="inlineStr">
        <is>
          <t>Autumn2015</t>
        </is>
      </c>
      <c r="C114" t="inlineStr">
        <is>
          <t>Autumn</t>
        </is>
      </c>
      <c r="D114" t="n">
        <v>2015</v>
      </c>
      <c r="E114" t="n">
        <v>1.741329419958926</v>
      </c>
      <c r="F114" t="n">
        <v>1.577275555295227</v>
      </c>
      <c r="G114">
        <f>IF(OR(F114="",E114=""),"",F114-E114)</f>
        <v/>
      </c>
      <c r="H114" t="n">
        <v>5.4892305598032e-05</v>
      </c>
      <c r="I114" t="inlineStr">
        <is>
          <t>Below median</t>
        </is>
      </c>
    </row>
    <row r="115">
      <c r="A115" t="inlineStr">
        <is>
          <t>PT</t>
        </is>
      </c>
      <c r="B115" t="inlineStr">
        <is>
          <t>Spring2015</t>
        </is>
      </c>
      <c r="C115" t="inlineStr">
        <is>
          <t>Spring</t>
        </is>
      </c>
      <c r="D115" t="n">
        <v>2015</v>
      </c>
      <c r="E115" t="n">
        <v>1.641885396577547</v>
      </c>
      <c r="F115" t="n">
        <v>1.577275555295227</v>
      </c>
      <c r="G115">
        <f>IF(OR(F115="",E115=""),"",F115-E115)</f>
        <v/>
      </c>
      <c r="H115" t="n">
        <v>5.4892305598032e-05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2.666458784768477</v>
      </c>
      <c r="F116" t="n">
        <v>2.87337241117204</v>
      </c>
      <c r="G116">
        <f>IF(OR(F116="",E116=""),"",F116-E116)</f>
        <v/>
      </c>
      <c r="H116" t="n">
        <v>4.160857451933271e-05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2.580427716628497</v>
      </c>
      <c r="F117" t="n">
        <v>2.87337241117204</v>
      </c>
      <c r="G117">
        <f>IF(OR(F117="",E117=""),"",F117-E117)</f>
        <v/>
      </c>
      <c r="H117" t="n">
        <v>4.160857451933271e-05</v>
      </c>
      <c r="I117" t="inlineStr">
        <is>
          <t>Below median</t>
        </is>
      </c>
    </row>
    <row r="118">
      <c r="A118" t="inlineStr">
        <is>
          <t>ES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3.197748162237923</v>
      </c>
      <c r="F118" t="n">
        <v>2.87337241117204</v>
      </c>
      <c r="G118">
        <f>IF(OR(F118="",E118=""),"",F118-E118)</f>
        <v/>
      </c>
      <c r="H118" t="n">
        <v>4.160857451933271e-05</v>
      </c>
      <c r="I118" t="inlineStr">
        <is>
          <t>Below median</t>
        </is>
      </c>
    </row>
    <row r="119">
      <c r="A119" t="inlineStr">
        <is>
          <t>ES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2.593468798334264</v>
      </c>
      <c r="F119" t="n">
        <v>2.87337241117204</v>
      </c>
      <c r="G119">
        <f>IF(OR(F119="",E119=""),"",F119-E119)</f>
        <v/>
      </c>
      <c r="H119" t="n">
        <v>4.160857451933271e-05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0.0002443095340322702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0.0002443095340322702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0.0002443095340322702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0.0002443095340322702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4.484124334232487</v>
      </c>
      <c r="F124" t="n">
        <v>1.172546278585649</v>
      </c>
      <c r="G124">
        <f>IF(OR(F124="",E124=""),"",F124-E124)</f>
        <v/>
      </c>
      <c r="H124" t="n">
        <v>0.000351161032275658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3.476457466822014</v>
      </c>
      <c r="F125" t="n">
        <v>1.172546278585649</v>
      </c>
      <c r="G125">
        <f>IF(OR(F125="",E125=""),"",F125-E125)</f>
        <v/>
      </c>
      <c r="H125" t="n">
        <v>0.000351161032275658</v>
      </c>
      <c r="I125" t="inlineStr">
        <is>
          <t>Below median</t>
        </is>
      </c>
    </row>
    <row r="126">
      <c r="A126" t="inlineStr">
        <is>
          <t>IE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4.088441116262898</v>
      </c>
      <c r="F126" t="n">
        <v>1.172546278585649</v>
      </c>
      <c r="G126">
        <f>IF(OR(F126="",E126=""),"",F126-E126)</f>
        <v/>
      </c>
      <c r="H126" t="n">
        <v>0.000351161032275658</v>
      </c>
      <c r="I126" t="inlineStr">
        <is>
          <t>Below median</t>
        </is>
      </c>
    </row>
    <row r="127">
      <c r="A127" t="inlineStr">
        <is>
          <t>IE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4.868709807176286</v>
      </c>
      <c r="F127" t="n">
        <v>1.172546278585649</v>
      </c>
      <c r="G127">
        <f>IF(OR(F127="",E127=""),"",F127-E127)</f>
        <v/>
      </c>
      <c r="H127" t="n">
        <v>0.000351161032275658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3.297192221297011e-05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3.297192221297011e-05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3.297192221297011e-05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3.297192221297011e-05</v>
      </c>
      <c r="I131" t="inlineStr">
        <is>
          <t>Below median</t>
        </is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5.515369387842226e-05</v>
      </c>
      <c r="I132" t="inlineStr">
        <is>
          <t>Below median</t>
        </is>
      </c>
    </row>
    <row r="133">
      <c r="A133" t="inlineStr">
        <is>
          <t>ES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2.504994257853732</v>
      </c>
      <c r="F133" t="n">
        <v>2.855001546118654</v>
      </c>
      <c r="G133">
        <f>IF(OR(F133="",E133=""),"",F133-E133)</f>
        <v/>
      </c>
      <c r="H133" t="n">
        <v>5.515369387842226e-05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3.068359604619419</v>
      </c>
      <c r="F134" t="n">
        <v>2.855001546118654</v>
      </c>
      <c r="G134">
        <f>IF(OR(F134="",E134=""),"",F134-E134)</f>
        <v/>
      </c>
      <c r="H134" t="n">
        <v>5.515369387842226e-05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5.515369387842226e-05</v>
      </c>
      <c r="I135" t="inlineStr">
        <is>
          <t>Below median</t>
        </is>
      </c>
    </row>
    <row r="136">
      <c r="A136" t="inlineStr">
        <is>
          <t>FI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0.7788253796826794</v>
      </c>
      <c r="F136" t="n">
        <v>3.250919380421948</v>
      </c>
      <c r="G136">
        <f>IF(OR(F136="",E136=""),"",F136-E136)</f>
        <v/>
      </c>
      <c r="H136" t="n">
        <v>0.0002585009724587897</v>
      </c>
      <c r="I136" t="inlineStr">
        <is>
          <t>Below median</t>
        </is>
      </c>
    </row>
    <row r="137">
      <c r="A137" t="inlineStr">
        <is>
          <t>FI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0.7265233755491707</v>
      </c>
      <c r="F137" t="n">
        <v>3.250919380421948</v>
      </c>
      <c r="G137">
        <f>IF(OR(F137="",E137=""),"",F137-E137)</f>
        <v/>
      </c>
      <c r="H137" t="n">
        <v>0.0002585009724587897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3.299970546778019</v>
      </c>
      <c r="F138" t="n">
        <v>3.250919380421948</v>
      </c>
      <c r="G138">
        <f>IF(OR(F138="",E138=""),"",F138-E138)</f>
        <v/>
      </c>
      <c r="H138" t="n">
        <v>0.0002585009724587897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1.298187704654374</v>
      </c>
      <c r="F139" t="n">
        <v>3.250919380421948</v>
      </c>
      <c r="G139">
        <f>IF(OR(F139="",E139=""),"",F139-E139)</f>
        <v/>
      </c>
      <c r="H139" t="n">
        <v>0.0002585009724587897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3.60142096481646</v>
      </c>
      <c r="F140" t="n">
        <v>9.624294995761334</v>
      </c>
      <c r="G140">
        <f>IF(OR(F140="",E140=""),"",F140-E140)</f>
        <v/>
      </c>
      <c r="H140" t="n">
        <v>0.0003140712425546385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3.671798756063094</v>
      </c>
      <c r="F141" t="n">
        <v>9.624294995761334</v>
      </c>
      <c r="G141">
        <f>IF(OR(F141="",E141=""),"",F141-E141)</f>
        <v/>
      </c>
      <c r="H141" t="n">
        <v>0.0003140712425546385</v>
      </c>
      <c r="I141" t="inlineStr">
        <is>
          <t>Below median</t>
        </is>
      </c>
    </row>
    <row r="142">
      <c r="A142" t="inlineStr">
        <is>
          <t>IE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4.826302521879056</v>
      </c>
      <c r="F142" t="n">
        <v>9.624294995761334</v>
      </c>
      <c r="G142">
        <f>IF(OR(F142="",E142=""),"",F142-E142)</f>
        <v/>
      </c>
      <c r="H142" t="n">
        <v>0.0003140712425546385</v>
      </c>
      <c r="I142" t="inlineStr">
        <is>
          <t>Below median</t>
        </is>
      </c>
    </row>
    <row r="143">
      <c r="A143" t="inlineStr">
        <is>
          <t>IE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3.95094524465267</v>
      </c>
      <c r="F143" t="n">
        <v>9.624294995761334</v>
      </c>
      <c r="G143">
        <f>IF(OR(F143="",E143=""),"",F143-E143)</f>
        <v/>
      </c>
      <c r="H143" t="n">
        <v>0.0003140712425546385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0.9028836169022947</v>
      </c>
      <c r="F144" t="n">
        <v>1.677771433336312</v>
      </c>
      <c r="G144">
        <f>IF(OR(F144="",E144=""),"",F144-E144)</f>
        <v/>
      </c>
      <c r="H144" t="n">
        <v>0.0003359132775435746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1.33546021526687</v>
      </c>
      <c r="F145" t="n">
        <v>1.677771433336312</v>
      </c>
      <c r="G145">
        <f>IF(OR(F145="",E145=""),"",F145-E145)</f>
        <v/>
      </c>
      <c r="H145" t="n">
        <v>0.0003359132775435746</v>
      </c>
      <c r="I145" t="inlineStr">
        <is>
          <t>Below median</t>
        </is>
      </c>
    </row>
    <row r="146">
      <c r="A146" t="inlineStr">
        <is>
          <t>IT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1.454734323287576</v>
      </c>
      <c r="F146" t="n">
        <v>1.677771433336312</v>
      </c>
      <c r="G146">
        <f>IF(OR(F146="",E146=""),"",F146-E146)</f>
        <v/>
      </c>
      <c r="H146" t="n">
        <v>0.0003359132775435746</v>
      </c>
      <c r="I146" t="inlineStr">
        <is>
          <t>Below median</t>
        </is>
      </c>
    </row>
    <row r="147">
      <c r="A147" t="inlineStr">
        <is>
          <t>IT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0.9288636194126232</v>
      </c>
      <c r="F147" t="n">
        <v>1.677771433336312</v>
      </c>
      <c r="G147">
        <f>IF(OR(F147="",E147=""),"",F147-E147)</f>
        <v/>
      </c>
      <c r="H147" t="n">
        <v>0.0003359132775435746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Autumn2016</t>
        </is>
      </c>
      <c r="C148" t="inlineStr">
        <is>
          <t>Autumn</t>
        </is>
      </c>
      <c r="D148" t="n">
        <v>2017</v>
      </c>
      <c r="E148" t="n">
        <v>1.244384468550153</v>
      </c>
      <c r="F148" t="n">
        <v>3.260896558994415</v>
      </c>
      <c r="G148">
        <f>IF(OR(F148="",E148=""),"",F148-E148)</f>
        <v/>
      </c>
      <c r="H148" t="n">
        <v>3.396654149228996e-05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2017</v>
      </c>
      <c r="E149" t="n">
        <v>1.743981675067907</v>
      </c>
      <c r="F149" t="n">
        <v>3.260896558994415</v>
      </c>
      <c r="G149">
        <f>IF(OR(F149="",E149=""),"",F149-E149)</f>
        <v/>
      </c>
      <c r="H149" t="n">
        <v>3.396654149228996e-05</v>
      </c>
      <c r="I149" t="inlineStr">
        <is>
          <t>Below median</t>
        </is>
      </c>
    </row>
    <row r="150">
      <c r="A150" t="inlineStr">
        <is>
          <t>PT</t>
        </is>
      </c>
      <c r="B150" t="inlineStr">
        <is>
          <t>Autumn2017</t>
        </is>
      </c>
      <c r="C150" t="inlineStr">
        <is>
          <t>Autumn</t>
        </is>
      </c>
      <c r="D150" t="n">
        <v>2017</v>
      </c>
      <c r="E150" t="n">
        <v>2.629384452245875</v>
      </c>
      <c r="F150" t="n">
        <v>3.260896558994415</v>
      </c>
      <c r="G150">
        <f>IF(OR(F150="",E150=""),"",F150-E150)</f>
        <v/>
      </c>
      <c r="H150" t="n">
        <v>3.396654149228996e-05</v>
      </c>
      <c r="I150" t="inlineStr">
        <is>
          <t>Below median</t>
        </is>
      </c>
    </row>
    <row r="151">
      <c r="A151" t="inlineStr">
        <is>
          <t>PT</t>
        </is>
      </c>
      <c r="B151" t="inlineStr">
        <is>
          <t>Spring2017</t>
        </is>
      </c>
      <c r="C151" t="inlineStr">
        <is>
          <t>Spring</t>
        </is>
      </c>
      <c r="D151" t="n">
        <v>2017</v>
      </c>
      <c r="E151" t="n">
        <v>1.838683940143615</v>
      </c>
      <c r="F151" t="n">
        <v>3.260896558994415</v>
      </c>
      <c r="G151">
        <f>IF(OR(F151="",E151=""),"",F151-E151)</f>
        <v/>
      </c>
      <c r="H151" t="n">
        <v>3.396654149228996e-05</v>
      </c>
      <c r="I151" t="inlineStr">
        <is>
          <t>Below median</t>
        </is>
      </c>
    </row>
    <row r="152">
      <c r="A152" t="inlineStr">
        <is>
          <t>ES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2.537248870096387</v>
      </c>
      <c r="F152" t="n">
        <v>2.367158610415725</v>
      </c>
      <c r="G152">
        <f>IF(OR(F152="",E152=""),"",F152-E152)</f>
        <v/>
      </c>
      <c r="H152" t="n">
        <v>6.668823513724901e-05</v>
      </c>
      <c r="I152" t="inlineStr">
        <is>
          <t>Below median</t>
        </is>
      </c>
    </row>
    <row r="153">
      <c r="A153" t="inlineStr">
        <is>
          <t>ES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2.36419385436657</v>
      </c>
      <c r="F153" t="n">
        <v>2.367158610415725</v>
      </c>
      <c r="G153">
        <f>IF(OR(F153="",E153=""),"",F153-E153)</f>
        <v/>
      </c>
      <c r="H153" t="n">
        <v>6.668823513724901e-05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2.557973061409258</v>
      </c>
      <c r="F154" t="n">
        <v>2.367158610415725</v>
      </c>
      <c r="G154">
        <f>IF(OR(F154="",E154=""),"",F154-E154)</f>
        <v/>
      </c>
      <c r="H154" t="n">
        <v>6.668823513724901e-05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2.851300772697152</v>
      </c>
      <c r="F155" t="n">
        <v>2.367158610415725</v>
      </c>
      <c r="G155">
        <f>IF(OR(F155="",E155=""),"",F155-E155)</f>
        <v/>
      </c>
      <c r="H155" t="n">
        <v>6.668823513724901e-05</v>
      </c>
      <c r="I155" t="inlineStr">
        <is>
          <t>Below median</t>
        </is>
      </c>
    </row>
    <row r="156">
      <c r="A156" t="inlineStr">
        <is>
          <t>IE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3.905545251583953</v>
      </c>
      <c r="F156" t="n">
        <v>7.444687452116322</v>
      </c>
      <c r="G156">
        <f>IF(OR(F156="",E156=""),"",F156-E156)</f>
        <v/>
      </c>
      <c r="H156" t="n">
        <v>0.0003868157525857134</v>
      </c>
      <c r="I156" t="inlineStr">
        <is>
          <t>Below median</t>
        </is>
      </c>
    </row>
    <row r="157">
      <c r="A157" t="inlineStr">
        <is>
          <t>IE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3.64322712666465</v>
      </c>
      <c r="F157" t="n">
        <v>7.444687452116322</v>
      </c>
      <c r="G157">
        <f>IF(OR(F157="",E157=""),"",F157-E157)</f>
        <v/>
      </c>
      <c r="H157" t="n">
        <v>0.0003868157525857134</v>
      </c>
      <c r="I157" t="inlineStr">
        <is>
          <t>Below median</t>
        </is>
      </c>
    </row>
    <row r="158">
      <c r="A158" t="inlineStr">
        <is>
          <t>IE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7.811776008276849</v>
      </c>
      <c r="F158" t="n">
        <v>7.444687452116322</v>
      </c>
      <c r="G158">
        <f>IF(OR(F158="",E158=""),"",F158-E158)</f>
        <v/>
      </c>
      <c r="H158" t="n">
        <v>0.0003868157525857134</v>
      </c>
      <c r="I158" t="inlineStr">
        <is>
          <t>Below median</t>
        </is>
      </c>
    </row>
    <row r="159">
      <c r="A159" t="inlineStr">
        <is>
          <t>IE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5.680892802553816</v>
      </c>
      <c r="F159" t="n">
        <v>7.444687452116322</v>
      </c>
      <c r="G159">
        <f>IF(OR(F159="",E159=""),"",F159-E159)</f>
        <v/>
      </c>
      <c r="H159" t="n">
        <v>0.0003868157525857134</v>
      </c>
      <c r="I159" t="inlineStr">
        <is>
          <t>Below median</t>
        </is>
      </c>
    </row>
    <row r="160">
      <c r="A160" t="inlineStr">
        <is>
          <t>IT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1.301033595779133</v>
      </c>
      <c r="F160" t="n">
        <v>0.6791561609769646</v>
      </c>
      <c r="G160">
        <f>IF(OR(F160="",E160=""),"",F160-E160)</f>
        <v/>
      </c>
      <c r="H160" t="n">
        <v>0.0003217891442840365</v>
      </c>
      <c r="I160" t="inlineStr">
        <is>
          <t>Below median</t>
        </is>
      </c>
    </row>
    <row r="161">
      <c r="A161" t="inlineStr">
        <is>
          <t>IT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1.132219430517512</v>
      </c>
      <c r="F161" t="n">
        <v>0.6791561609769646</v>
      </c>
      <c r="G161">
        <f>IF(OR(F161="",E161=""),"",F161-E161)</f>
        <v/>
      </c>
      <c r="H161" t="n">
        <v>0.0003217891442840365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1.148974792689472</v>
      </c>
      <c r="F162" t="n">
        <v>0.6791561609769646</v>
      </c>
      <c r="G162">
        <f>IF(OR(F162="",E162=""),"",F162-E162)</f>
        <v/>
      </c>
      <c r="H162" t="n">
        <v>0.0003217891442840365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1.453547985332837</v>
      </c>
      <c r="F163" t="n">
        <v>0.6791561609769646</v>
      </c>
      <c r="G163">
        <f>IF(OR(F163="",E163=""),"",F163-E163)</f>
        <v/>
      </c>
      <c r="H163" t="n">
        <v>0.0003217891442840365</v>
      </c>
      <c r="I163" t="inlineStr">
        <is>
          <t>Below median</t>
        </is>
      </c>
    </row>
    <row r="164">
      <c r="A164" t="inlineStr">
        <is>
          <t>PT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2.062511215660567</v>
      </c>
      <c r="F164" t="n">
        <v>2.903725267458769</v>
      </c>
      <c r="G164">
        <f>IF(OR(F164="",E164=""),"",F164-E164)</f>
        <v/>
      </c>
      <c r="H164" t="n">
        <v>4.076093498661358e-05</v>
      </c>
      <c r="I164" t="inlineStr">
        <is>
          <t>Below median</t>
        </is>
      </c>
    </row>
    <row r="165">
      <c r="A165" t="inlineStr">
        <is>
          <t>PT</t>
        </is>
      </c>
      <c r="B165" t="inlineStr">
        <is>
          <t>Spring2017</t>
        </is>
      </c>
      <c r="C165" t="inlineStr">
        <is>
          <t>Spring</t>
        </is>
      </c>
      <c r="D165" t="n">
        <v>2018</v>
      </c>
      <c r="E165" t="n">
        <v>1.567746193642994</v>
      </c>
      <c r="F165" t="n">
        <v>2.903725267458769</v>
      </c>
      <c r="G165">
        <f>IF(OR(F165="",E165=""),"",F165-E165)</f>
        <v/>
      </c>
      <c r="H165" t="n">
        <v>4.076093498661358e-05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2018</v>
      </c>
      <c r="E166" t="n">
        <v>2.167274815435216</v>
      </c>
      <c r="F166" t="n">
        <v>2.903725267458769</v>
      </c>
      <c r="G166">
        <f>IF(OR(F166="",E166=""),"",F166-E166)</f>
        <v/>
      </c>
      <c r="H166" t="n">
        <v>4.076093498661358e-05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2.333738005262398</v>
      </c>
      <c r="F167" t="n">
        <v>2.903725267458769</v>
      </c>
      <c r="G167">
        <f>IF(OR(F167="",E167=""),"",F167-E167)</f>
        <v/>
      </c>
      <c r="H167" t="n">
        <v>4.076093498661358e-05</v>
      </c>
      <c r="I167" t="inlineStr">
        <is>
          <t>Below median</t>
        </is>
      </c>
    </row>
    <row r="168">
      <c r="A168" t="inlineStr">
        <is>
          <t>BE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1.515238392393714</v>
      </c>
      <c r="F168" t="n">
        <v>2.41352301254788</v>
      </c>
      <c r="G168">
        <f>IF(OR(F168="",E168=""),"",F168-E168)</f>
        <v/>
      </c>
      <c r="H168" t="n">
        <v>0.0002502099458267251</v>
      </c>
      <c r="I168" t="inlineStr">
        <is>
          <t>Below median</t>
        </is>
      </c>
    </row>
    <row r="169">
      <c r="A169" t="inlineStr">
        <is>
          <t>BE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1.732938056571376</v>
      </c>
      <c r="F169" t="n">
        <v>2.41352301254788</v>
      </c>
      <c r="G169">
        <f>IF(OR(F169="",E169=""),"",F169-E169)</f>
        <v/>
      </c>
      <c r="H169" t="n">
        <v>0.0002502099458267251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1.136502566631536</v>
      </c>
      <c r="F170" t="n">
        <v>2.41352301254788</v>
      </c>
      <c r="G170">
        <f>IF(OR(F170="",E170=""),"",F170-E170)</f>
        <v/>
      </c>
      <c r="H170" t="n">
        <v>0.0002502099458267251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1.226379558982393</v>
      </c>
      <c r="F171" t="n">
        <v>2.41352301254788</v>
      </c>
      <c r="G171">
        <f>IF(OR(F171="",E171=""),"",F171-E171)</f>
        <v/>
      </c>
      <c r="H171" t="n">
        <v>0.0002502099458267251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4.16343961259382e-05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4.16343961259382e-05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4.16343961259382e-05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4.16343961259382e-05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0.0003261007082368225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0.0003261007082368225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0.0003261007082368225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0.0003261007082368225</v>
      </c>
      <c r="I179" t="inlineStr">
        <is>
          <t>Below median</t>
        </is>
      </c>
    </row>
    <row r="180">
      <c r="A180" t="inlineStr">
        <is>
          <t>FR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1.641202261320762</v>
      </c>
      <c r="F180" t="n">
        <v>2.079618940333049</v>
      </c>
      <c r="G180">
        <f>IF(OR(F180="",E180=""),"",F180-E180)</f>
        <v/>
      </c>
      <c r="H180" t="n">
        <v>0.0003646358917262959</v>
      </c>
      <c r="I180" t="inlineStr">
        <is>
          <t>Below median</t>
        </is>
      </c>
    </row>
    <row r="181">
      <c r="A181" t="inlineStr">
        <is>
          <t>FR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1.837933157898797</v>
      </c>
      <c r="F181" t="n">
        <v>2.079618940333049</v>
      </c>
      <c r="G181">
        <f>IF(OR(F181="",E181=""),"",F181-E181)</f>
        <v/>
      </c>
      <c r="H181" t="n">
        <v>0.0003646358917262959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1.287008245416965</v>
      </c>
      <c r="F182" t="n">
        <v>2.079618940333049</v>
      </c>
      <c r="G182">
        <f>IF(OR(F182="",E182=""),"",F182-E182)</f>
        <v/>
      </c>
      <c r="H182" t="n">
        <v>0.0003646358917262959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1.333589129915191</v>
      </c>
      <c r="F183" t="n">
        <v>2.079618940333049</v>
      </c>
      <c r="G183">
        <f>IF(OR(F183="",E183=""),"",F183-E183)</f>
        <v/>
      </c>
      <c r="H183" t="n">
        <v>0.0003646358917262959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1.150816825335021</v>
      </c>
      <c r="F184" t="n">
        <v>0.4175115296833533</v>
      </c>
      <c r="G184">
        <f>IF(OR(F184="",E184=""),"",F184-E184)</f>
        <v/>
      </c>
      <c r="H184" t="n">
        <v>0.0002944772869532268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Spring2018</t>
        </is>
      </c>
      <c r="C185" t="inlineStr">
        <is>
          <t>Spring</t>
        </is>
      </c>
      <c r="D185" t="n">
        <v>2019</v>
      </c>
      <c r="E185" t="n">
        <v>1.208894526316961</v>
      </c>
      <c r="F185" t="n">
        <v>0.4175115296833533</v>
      </c>
      <c r="G185">
        <f>IF(OR(F185="",E185=""),"",F185-E185)</f>
        <v/>
      </c>
      <c r="H185" t="n">
        <v>0.0002944772869532268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2019</v>
      </c>
      <c r="E186" t="n">
        <v>0.1046834039854172</v>
      </c>
      <c r="F186" t="n">
        <v>0.4175115296833533</v>
      </c>
      <c r="G186">
        <f>IF(OR(F186="",E186=""),"",F186-E186)</f>
        <v/>
      </c>
      <c r="H186" t="n">
        <v>0.0002944772869532268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0.1006276066420453</v>
      </c>
      <c r="F187" t="n">
        <v>0.4175115296833533</v>
      </c>
      <c r="G187">
        <f>IF(OR(F187="",E187=""),"",F187-E187)</f>
        <v/>
      </c>
      <c r="H187" t="n">
        <v>0.0002944772869532268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1.839454993980616</v>
      </c>
      <c r="F188" t="n">
        <v>2.708692295537219</v>
      </c>
      <c r="G188">
        <f>IF(OR(F188="",E188=""),"",F188-E188)</f>
        <v/>
      </c>
      <c r="H188" t="n">
        <v>3.504126964292177e-05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Spring2018</t>
        </is>
      </c>
      <c r="C189" t="inlineStr">
        <is>
          <t>Spring</t>
        </is>
      </c>
      <c r="D189" t="n">
        <v>2019</v>
      </c>
      <c r="E189" t="n">
        <v>2.037267405081367</v>
      </c>
      <c r="F189" t="n">
        <v>2.708692295537219</v>
      </c>
      <c r="G189">
        <f>IF(OR(F189="",E189=""),"",F189-E189)</f>
        <v/>
      </c>
      <c r="H189" t="n">
        <v>3.504126964292177e-05</v>
      </c>
      <c r="I189" t="inlineStr">
        <is>
          <t>Below median</t>
        </is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2019</v>
      </c>
      <c r="E190" t="n">
        <v>1.950475273387009</v>
      </c>
      <c r="F190" t="n">
        <v>2.708692295537219</v>
      </c>
      <c r="G190">
        <f>IF(OR(F190="",E190=""),"",F190-E190)</f>
        <v/>
      </c>
      <c r="H190" t="n">
        <v>3.504126964292177e-05</v>
      </c>
      <c r="I190" t="inlineStr">
        <is>
          <t>Below median</t>
        </is>
      </c>
    </row>
    <row r="191">
      <c r="A191" t="inlineStr">
        <is>
          <t>PT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1.672451894689297</v>
      </c>
      <c r="F191" t="n">
        <v>2.708692295537219</v>
      </c>
      <c r="G191">
        <f>IF(OR(F191="",E191=""),"",F191-E191)</f>
        <v/>
      </c>
      <c r="H191" t="n">
        <v>3.504126964292177e-05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0.9603448221321642</v>
      </c>
      <c r="F192" t="n">
        <v>-4.911676496558489</v>
      </c>
      <c r="G192">
        <f>IF(OR(F192="",E192=""),"",F192-E192)</f>
        <v/>
      </c>
      <c r="H192" t="n">
        <v>0.0001645254597392064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1.199077085455502</v>
      </c>
      <c r="F193" t="n">
        <v>-4.911676496558489</v>
      </c>
      <c r="G193">
        <f>IF(OR(F193="",E193=""),"",F193-E193)</f>
        <v/>
      </c>
      <c r="H193" t="n">
        <v>0.0001645254597392064</v>
      </c>
      <c r="I193" t="inlineStr">
        <is>
          <t>Below median</t>
        </is>
      </c>
    </row>
    <row r="194">
      <c r="A194" t="inlineStr">
        <is>
          <t>BE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-8.420158667688538</v>
      </c>
      <c r="F194" t="n">
        <v>-4.911676496558489</v>
      </c>
      <c r="G194">
        <f>IF(OR(F194="",E194=""),"",F194-E194)</f>
        <v/>
      </c>
      <c r="H194" t="n">
        <v>0.0001645254597392064</v>
      </c>
      <c r="I194" t="inlineStr">
        <is>
          <t>Below median</t>
        </is>
      </c>
    </row>
    <row r="195">
      <c r="A195" t="inlineStr">
        <is>
          <t>BE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-7.157599524765502</v>
      </c>
      <c r="F195" t="n">
        <v>-4.911676496558489</v>
      </c>
      <c r="G195">
        <f>IF(OR(F195="",E195=""),"",F195-E195)</f>
        <v/>
      </c>
      <c r="H195" t="n">
        <v>0.0001645254597392064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1.490576223487361</v>
      </c>
      <c r="F196" t="n">
        <v>-11.58616521695834</v>
      </c>
      <c r="G196">
        <f>IF(OR(F196="",E196=""),"",F196-E196)</f>
        <v/>
      </c>
      <c r="H196" t="n">
        <v>3.57150244245127e-05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1.863359760106897</v>
      </c>
      <c r="F197" t="n">
        <v>-11.58616521695834</v>
      </c>
      <c r="G197">
        <f>IF(OR(F197="",E197=""),"",F197-E197)</f>
        <v/>
      </c>
      <c r="H197" t="n">
        <v>3.57150244245127e-05</v>
      </c>
      <c r="I197" t="inlineStr">
        <is>
          <t>Below median</t>
        </is>
      </c>
    </row>
    <row r="198">
      <c r="A198" t="inlineStr">
        <is>
          <t>ES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-12.41053397761432</v>
      </c>
      <c r="F198" t="n">
        <v>-11.58616521695834</v>
      </c>
      <c r="G198">
        <f>IF(OR(F198="",E198=""),"",F198-E198)</f>
        <v/>
      </c>
      <c r="H198" t="n">
        <v>3.57150244245127e-05</v>
      </c>
      <c r="I198" t="inlineStr">
        <is>
          <t>Below median</t>
        </is>
      </c>
    </row>
    <row r="199">
      <c r="A199" t="inlineStr">
        <is>
          <t>ES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-9.384345976627827</v>
      </c>
      <c r="F199" t="n">
        <v>-11.58616521695834</v>
      </c>
      <c r="G199">
        <f>IF(OR(F199="",E199=""),"",F199-E199)</f>
        <v/>
      </c>
      <c r="H199" t="n">
        <v>3.57150244245127e-05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1.101386656602399</v>
      </c>
      <c r="F200" t="n">
        <v>-2.521663955161345</v>
      </c>
      <c r="G200">
        <f>IF(OR(F200="",E200=""),"",F200-E200)</f>
        <v/>
      </c>
      <c r="H200" t="n">
        <v>0.0003402502816420123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Spring2019</t>
        </is>
      </c>
      <c r="C201" t="inlineStr">
        <is>
          <t>Spring</t>
        </is>
      </c>
      <c r="D201" t="n">
        <v>2020</v>
      </c>
      <c r="E201" t="n">
        <v>1.165865571577451</v>
      </c>
      <c r="F201" t="n">
        <v>-2.521663955161345</v>
      </c>
      <c r="G201">
        <f>IF(OR(F201="",E201=""),"",F201-E201)</f>
        <v/>
      </c>
      <c r="H201" t="n">
        <v>0.0003402502816420123</v>
      </c>
      <c r="I201" t="inlineStr">
        <is>
          <t>Below median</t>
        </is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2020</v>
      </c>
      <c r="E202" t="n">
        <v>-4.271276757315001</v>
      </c>
      <c r="F202" t="n">
        <v>-2.521663955161345</v>
      </c>
      <c r="G202">
        <f>IF(OR(F202="",E202=""),"",F202-E202)</f>
        <v/>
      </c>
      <c r="H202" t="n">
        <v>0.0003402502816420123</v>
      </c>
      <c r="I202" t="inlineStr">
        <is>
          <t>Below median</t>
        </is>
      </c>
    </row>
    <row r="203">
      <c r="A203" t="inlineStr">
        <is>
          <t>FI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-6.334008638214483</v>
      </c>
      <c r="F203" t="n">
        <v>-2.521663955161345</v>
      </c>
      <c r="G203">
        <f>IF(OR(F203="",E203=""),"",F203-E203)</f>
        <v/>
      </c>
      <c r="H203" t="n">
        <v>0.0003402502816420123</v>
      </c>
      <c r="I203" t="inlineStr">
        <is>
          <t>Below median</t>
        </is>
      </c>
    </row>
    <row r="204">
      <c r="A204" t="inlineStr">
        <is>
          <t>IE</t>
        </is>
      </c>
      <c r="B204" t="inlineStr">
        <is>
          <t>Autumn2019</t>
        </is>
      </c>
      <c r="C204" t="inlineStr">
        <is>
          <t>Autumn</t>
        </is>
      </c>
      <c r="D204" t="n">
        <v>2020</v>
      </c>
      <c r="E204" t="n">
        <v>3.528571869780794</v>
      </c>
      <c r="F204" t="n">
        <v>6.986381430371383</v>
      </c>
      <c r="G204">
        <f>IF(OR(F204="",E204=""),"",F204-E204)</f>
        <v/>
      </c>
      <c r="H204" t="n">
        <v>0.0003727896714410862</v>
      </c>
      <c r="I204" t="inlineStr">
        <is>
          <t>Below median</t>
        </is>
      </c>
    </row>
    <row r="205">
      <c r="A205" t="inlineStr">
        <is>
          <t>IE</t>
        </is>
      </c>
      <c r="B205" t="inlineStr">
        <is>
          <t>Spring2019</t>
        </is>
      </c>
      <c r="C205" t="inlineStr">
        <is>
          <t>Spring</t>
        </is>
      </c>
      <c r="D205" t="n">
        <v>2020</v>
      </c>
      <c r="E205" t="n">
        <v>3.367615623428599</v>
      </c>
      <c r="F205" t="n">
        <v>6.986381430371383</v>
      </c>
      <c r="G205">
        <f>IF(OR(F205="",E205=""),"",F205-E205)</f>
        <v/>
      </c>
      <c r="H205" t="n">
        <v>0.0003727896714410862</v>
      </c>
      <c r="I205" t="inlineStr">
        <is>
          <t>Below median</t>
        </is>
      </c>
    </row>
    <row r="206">
      <c r="A206" t="inlineStr">
        <is>
          <t>IE</t>
        </is>
      </c>
      <c r="B206" t="inlineStr">
        <is>
          <t>Autumn2020</t>
        </is>
      </c>
      <c r="C206" t="inlineStr">
        <is>
          <t>Autumn</t>
        </is>
      </c>
      <c r="D206" t="n">
        <v>2020</v>
      </c>
      <c r="E206" t="n">
        <v>-2.337399617191471</v>
      </c>
      <c r="F206" t="n">
        <v>6.986381430371383</v>
      </c>
      <c r="G206">
        <f>IF(OR(F206="",E206=""),"",F206-E206)</f>
        <v/>
      </c>
      <c r="H206" t="n">
        <v>0.0003727896714410862</v>
      </c>
      <c r="I206" t="inlineStr">
        <is>
          <t>Below median</t>
        </is>
      </c>
    </row>
    <row r="207">
      <c r="A207" t="inlineStr">
        <is>
          <t>IE</t>
        </is>
      </c>
      <c r="B207" t="inlineStr">
        <is>
          <t>Spring2020</t>
        </is>
      </c>
      <c r="C207" t="inlineStr">
        <is>
          <t>Spring</t>
        </is>
      </c>
      <c r="D207" t="n">
        <v>2020</v>
      </c>
      <c r="E207" t="n">
        <v>-7.947048013854707</v>
      </c>
      <c r="F207" t="n">
        <v>6.986381430371383</v>
      </c>
      <c r="G207">
        <f>IF(OR(F207="",E207=""),"",F207-E207)</f>
        <v/>
      </c>
      <c r="H207" t="n">
        <v>0.0003727896714410862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Autumn2019</t>
        </is>
      </c>
      <c r="C208" t="inlineStr">
        <is>
          <t>Autumn</t>
        </is>
      </c>
      <c r="D208" t="n">
        <v>2020</v>
      </c>
      <c r="E208" t="n">
        <v>0.4323629290931663</v>
      </c>
      <c r="F208" t="n">
        <v>-9.378376752242147</v>
      </c>
      <c r="G208">
        <f>IF(OR(F208="",E208=""),"",F208-E208)</f>
        <v/>
      </c>
      <c r="H208" t="n">
        <v>0.0003287367015904826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Spring2019</t>
        </is>
      </c>
      <c r="C209" t="inlineStr">
        <is>
          <t>Spring</t>
        </is>
      </c>
      <c r="D209" t="n">
        <v>2020</v>
      </c>
      <c r="E209" t="n">
        <v>0.711789123347506</v>
      </c>
      <c r="F209" t="n">
        <v>-9.378376752242147</v>
      </c>
      <c r="G209">
        <f>IF(OR(F209="",E209=""),"",F209-E209)</f>
        <v/>
      </c>
      <c r="H209" t="n">
        <v>0.0003287367015904826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Autumn2020</t>
        </is>
      </c>
      <c r="C210" t="inlineStr">
        <is>
          <t>Autumn</t>
        </is>
      </c>
      <c r="D210" t="n">
        <v>2020</v>
      </c>
      <c r="E210" t="n">
        <v>-9.851545469918754</v>
      </c>
      <c r="F210" t="n">
        <v>-9.378376752242147</v>
      </c>
      <c r="G210">
        <f>IF(OR(F210="",E210=""),"",F210-E210)</f>
        <v/>
      </c>
      <c r="H210" t="n">
        <v>0.0003287367015904826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Spring2020</t>
        </is>
      </c>
      <c r="C211" t="inlineStr">
        <is>
          <t>Spring</t>
        </is>
      </c>
      <c r="D211" t="n">
        <v>2020</v>
      </c>
      <c r="E211" t="n">
        <v>-9.517990850094149</v>
      </c>
      <c r="F211" t="n">
        <v>-9.378376752242147</v>
      </c>
      <c r="G211">
        <f>IF(OR(F211="",E211=""),"",F211-E211)</f>
        <v/>
      </c>
      <c r="H211" t="n">
        <v>0.0003287367015904826</v>
      </c>
      <c r="I211" t="inlineStr">
        <is>
          <t>Below median</t>
        </is>
      </c>
    </row>
    <row r="212">
      <c r="A212" t="inlineStr">
        <is>
          <t>PT</t>
        </is>
      </c>
      <c r="B212" t="inlineStr">
        <is>
          <t>Autumn2019</t>
        </is>
      </c>
      <c r="C212" t="inlineStr">
        <is>
          <t>Autumn</t>
        </is>
      </c>
      <c r="D212" t="n">
        <v>2020</v>
      </c>
      <c r="E212" t="n">
        <v>1.699885517193356</v>
      </c>
      <c r="F212" t="n">
        <v>-8.560903203336046</v>
      </c>
      <c r="G212">
        <f>IF(OR(F212="",E212=""),"",F212-E212)</f>
        <v/>
      </c>
      <c r="H212" t="n">
        <v>4.331353929071872e-05</v>
      </c>
      <c r="I212" t="inlineStr">
        <is>
          <t>Below median</t>
        </is>
      </c>
    </row>
    <row r="213">
      <c r="A213" t="inlineStr">
        <is>
          <t>PT</t>
        </is>
      </c>
      <c r="B213" t="inlineStr">
        <is>
          <t>Spring2019</t>
        </is>
      </c>
      <c r="C213" t="inlineStr">
        <is>
          <t>Spring</t>
        </is>
      </c>
      <c r="D213" t="n">
        <v>2020</v>
      </c>
      <c r="E213" t="n">
        <v>1.715399630946468</v>
      </c>
      <c r="F213" t="n">
        <v>-8.560903203336046</v>
      </c>
      <c r="G213">
        <f>IF(OR(F213="",E213=""),"",F213-E213)</f>
        <v/>
      </c>
      <c r="H213" t="n">
        <v>4.331353929071872e-05</v>
      </c>
      <c r="I213" t="inlineStr">
        <is>
          <t>Below median</t>
        </is>
      </c>
    </row>
    <row r="214">
      <c r="A214" t="inlineStr">
        <is>
          <t>PT</t>
        </is>
      </c>
      <c r="B214" t="inlineStr">
        <is>
          <t>Autumn2020</t>
        </is>
      </c>
      <c r="C214" t="inlineStr">
        <is>
          <t>Autumn</t>
        </is>
      </c>
      <c r="D214" t="n">
        <v>2020</v>
      </c>
      <c r="E214" t="n">
        <v>-9.290556793944537</v>
      </c>
      <c r="F214" t="n">
        <v>-8.560903203336046</v>
      </c>
      <c r="G214">
        <f>IF(OR(F214="",E214=""),"",F214-E214)</f>
        <v/>
      </c>
      <c r="H214" t="n">
        <v>4.331353929071872e-05</v>
      </c>
      <c r="I214" t="inlineStr">
        <is>
          <t>Below median</t>
        </is>
      </c>
    </row>
    <row r="215">
      <c r="A215" t="inlineStr">
        <is>
          <t>PT</t>
        </is>
      </c>
      <c r="B215" t="inlineStr">
        <is>
          <t>Spring2020</t>
        </is>
      </c>
      <c r="C215" t="inlineStr">
        <is>
          <t>Spring</t>
        </is>
      </c>
      <c r="D215" t="n">
        <v>2020</v>
      </c>
      <c r="E215" t="n">
        <v>-6.765180961341111</v>
      </c>
      <c r="F215" t="n">
        <v>-8.560903203336046</v>
      </c>
      <c r="G215">
        <f>IF(OR(F215="",E215=""),"",F215-E215)</f>
        <v/>
      </c>
      <c r="H215" t="n">
        <v>4.331353929071872e-05</v>
      </c>
      <c r="I215" t="inlineStr">
        <is>
          <t>Below median</t>
        </is>
      </c>
    </row>
    <row r="216">
      <c r="A216" t="inlineStr">
        <is>
          <t>BE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4.123904979564874</v>
      </c>
      <c r="F216" t="n">
        <v>6.066717579844368</v>
      </c>
      <c r="G216">
        <f>IF(OR(F216="",E216=""),"",F216-E216)</f>
        <v/>
      </c>
      <c r="H216" t="n">
        <v>0.0001303991852963366</v>
      </c>
      <c r="I216" t="inlineStr">
        <is>
          <t>Below median</t>
        </is>
      </c>
    </row>
    <row r="217">
      <c r="A217" t="inlineStr">
        <is>
          <t>BE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6.68991298414483</v>
      </c>
      <c r="F217" t="n">
        <v>6.066717579844368</v>
      </c>
      <c r="G217">
        <f>IF(OR(F217="",E217=""),"",F217-E217)</f>
        <v/>
      </c>
      <c r="H217" t="n">
        <v>0.0001303991852963366</v>
      </c>
      <c r="I217" t="inlineStr">
        <is>
          <t>Below median</t>
        </is>
      </c>
    </row>
    <row r="218">
      <c r="A218" t="inlineStr">
        <is>
          <t>BE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5.983602933941645</v>
      </c>
      <c r="F218" t="n">
        <v>6.066717579844368</v>
      </c>
      <c r="G218">
        <f>IF(OR(F218="",E218=""),"",F218-E218)</f>
        <v/>
      </c>
      <c r="H218" t="n">
        <v>0.0001303991852963366</v>
      </c>
      <c r="I218" t="inlineStr">
        <is>
          <t>Below median</t>
        </is>
      </c>
    </row>
    <row r="219">
      <c r="A219" t="inlineStr">
        <is>
          <t>BE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4.542307146368851</v>
      </c>
      <c r="F219" t="n">
        <v>6.066717579844368</v>
      </c>
      <c r="G219">
        <f>IF(OR(F219="",E219=""),"",F219-E219)</f>
        <v/>
      </c>
      <c r="H219" t="n">
        <v>0.0001303991852963366</v>
      </c>
      <c r="I219" t="inlineStr">
        <is>
          <t>Below median</t>
        </is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3.558884613179242e-05</v>
      </c>
      <c r="I220" t="inlineStr">
        <is>
          <t>Below median</t>
        </is>
      </c>
    </row>
    <row r="221">
      <c r="A221" t="inlineStr">
        <is>
          <t>ES</t>
        </is>
      </c>
      <c r="B221" t="inlineStr">
        <is>
          <t>Spring2020</t>
        </is>
      </c>
      <c r="C221" t="inlineStr">
        <is>
          <t>Spring</t>
        </is>
      </c>
      <c r="D221" t="n">
        <v>2021</v>
      </c>
      <c r="E221" t="n">
        <v>6.976175954197417</v>
      </c>
      <c r="F221" t="n">
        <v>6.469314314287704</v>
      </c>
      <c r="G221">
        <f>IF(OR(F221="",E221=""),"",F221-E221)</f>
        <v/>
      </c>
      <c r="H221" t="n">
        <v>3.558884613179242e-05</v>
      </c>
      <c r="I221" t="inlineStr">
        <is>
          <t>Below median</t>
        </is>
      </c>
    </row>
    <row r="222">
      <c r="A222" t="inlineStr">
        <is>
          <t>ES</t>
        </is>
      </c>
      <c r="B222" t="inlineStr">
        <is>
          <t>Autumn2021</t>
        </is>
      </c>
      <c r="C222" t="inlineStr">
        <is>
          <t>Autumn</t>
        </is>
      </c>
      <c r="D222" t="n">
        <v>2021</v>
      </c>
      <c r="E222" t="n">
        <v>4.623451084710362</v>
      </c>
      <c r="F222" t="n">
        <v>6.469314314287704</v>
      </c>
      <c r="G222">
        <f>IF(OR(F222="",E222=""),"",F222-E222)</f>
        <v/>
      </c>
      <c r="H222" t="n">
        <v>3.558884613179242e-05</v>
      </c>
      <c r="I222" t="inlineStr">
        <is>
          <t>Below median</t>
        </is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3.558884613179242e-05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Autumn2020</t>
        </is>
      </c>
      <c r="C224" t="inlineStr">
        <is>
          <t>Autumn</t>
        </is>
      </c>
      <c r="D224" t="n">
        <v>2021</v>
      </c>
      <c r="E224" t="n">
        <v>4.051033813756133</v>
      </c>
      <c r="F224" t="n">
        <v>8.437067175906481</v>
      </c>
      <c r="G224">
        <f>IF(OR(F224="",E224=""),"",F224-E224)</f>
        <v/>
      </c>
      <c r="H224" t="n">
        <v>0.000295841565881631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Spring2020</t>
        </is>
      </c>
      <c r="C225" t="inlineStr">
        <is>
          <t>Spring</t>
        </is>
      </c>
      <c r="D225" t="n">
        <v>2021</v>
      </c>
      <c r="E225" t="n">
        <v>6.54965690288567</v>
      </c>
      <c r="F225" t="n">
        <v>8.437067175906481</v>
      </c>
      <c r="G225">
        <f>IF(OR(F225="",E225=""),"",F225-E225)</f>
        <v/>
      </c>
      <c r="H225" t="n">
        <v>0.000295841565881631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Autumn2021</t>
        </is>
      </c>
      <c r="C226" t="inlineStr">
        <is>
          <t>Autumn</t>
        </is>
      </c>
      <c r="D226" t="n">
        <v>2021</v>
      </c>
      <c r="E226" t="n">
        <v>6.229273312894534</v>
      </c>
      <c r="F226" t="n">
        <v>8.437067175906481</v>
      </c>
      <c r="G226">
        <f>IF(OR(F226="",E226=""),"",F226-E226)</f>
        <v/>
      </c>
      <c r="H226" t="n">
        <v>0.000295841565881631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Spring2021</t>
        </is>
      </c>
      <c r="C227" t="inlineStr">
        <is>
          <t>Spring</t>
        </is>
      </c>
      <c r="D227" t="n">
        <v>2021</v>
      </c>
      <c r="E227" t="n">
        <v>4.206872388548932</v>
      </c>
      <c r="F227" t="n">
        <v>8.437067175906481</v>
      </c>
      <c r="G227">
        <f>IF(OR(F227="",E227=""),"",F227-E227)</f>
        <v/>
      </c>
      <c r="H227" t="n">
        <v>0.000295841565881631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5.288398436208387e-05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Spring2020</t>
        </is>
      </c>
      <c r="C229" t="inlineStr">
        <is>
          <t>Spring</t>
        </is>
      </c>
      <c r="D229" t="n">
        <v>2021</v>
      </c>
      <c r="E229" t="n">
        <v>5.817909162111334</v>
      </c>
      <c r="F229" t="n">
        <v>5.40983730275</v>
      </c>
      <c r="G229">
        <f>IF(OR(F229="",E229=""),"",F229-E229)</f>
        <v/>
      </c>
      <c r="H229" t="n">
        <v>5.288398436208387e-05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Autumn2021</t>
        </is>
      </c>
      <c r="C230" t="inlineStr">
        <is>
          <t>Autumn</t>
        </is>
      </c>
      <c r="D230" t="n">
        <v>2021</v>
      </c>
      <c r="E230" t="n">
        <v>4.542806460139137</v>
      </c>
      <c r="F230" t="n">
        <v>5.40983730275</v>
      </c>
      <c r="G230">
        <f>IF(OR(F230="",E230=""),"",F230-E230)</f>
        <v/>
      </c>
      <c r="H230" t="n">
        <v>5.288398436208387e-05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5.288398436208387e-05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2.647136452938059</v>
      </c>
      <c r="F232" t="n">
        <v>3.945716681463399</v>
      </c>
      <c r="G232">
        <f>IF(OR(F232="",E232=""),"",F232-E232)</f>
        <v/>
      </c>
      <c r="H232" t="n">
        <v>0.0001077045685150238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3.671117125209777</v>
      </c>
      <c r="F233" t="n">
        <v>3.945716681463399</v>
      </c>
      <c r="G233">
        <f>IF(OR(F233="",E233=""),"",F233-E233)</f>
        <v/>
      </c>
      <c r="H233" t="n">
        <v>0.0001077045685150238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2.817114751231209</v>
      </c>
      <c r="F234" t="n">
        <v>3.945716681463399</v>
      </c>
      <c r="G234">
        <f>IF(OR(F234="",E234=""),"",F234-E234)</f>
        <v/>
      </c>
      <c r="H234" t="n">
        <v>0.0001077045685150238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2.016579561869025</v>
      </c>
      <c r="F235" t="n">
        <v>3.945716681463399</v>
      </c>
      <c r="G235">
        <f>IF(OR(F235="",E235=""),"",F235-E235)</f>
        <v/>
      </c>
      <c r="H235" t="n">
        <v>0.0001077045685150238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5.527823615283389</v>
      </c>
      <c r="F236" t="n">
        <v>6.175712557377276</v>
      </c>
      <c r="G236">
        <f>IF(OR(F236="",E236=""),"",F236-E236)</f>
        <v/>
      </c>
      <c r="H236" t="n">
        <v>2.844404131730766e-05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6.777991800115157</v>
      </c>
      <c r="F237" t="n">
        <v>6.175712557377276</v>
      </c>
      <c r="G237">
        <f>IF(OR(F237="",E237=""),"",F237-E237)</f>
        <v/>
      </c>
      <c r="H237" t="n">
        <v>2.844404131730766e-05</v>
      </c>
      <c r="I237" t="inlineStr">
        <is>
          <t>Below median</t>
        </is>
      </c>
    </row>
    <row r="238">
      <c r="A238" t="inlineStr">
        <is>
          <t>ES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4.547669246739372</v>
      </c>
      <c r="F238" t="n">
        <v>6.175712557377276</v>
      </c>
      <c r="G238">
        <f>IF(OR(F238="",E238=""),"",F238-E238)</f>
        <v/>
      </c>
      <c r="H238" t="n">
        <v>2.844404131730766e-05</v>
      </c>
      <c r="I238" t="inlineStr">
        <is>
          <t>Below median</t>
        </is>
      </c>
    </row>
    <row r="239">
      <c r="A239" t="inlineStr">
        <is>
          <t>ES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4.026089481560913</v>
      </c>
      <c r="F239" t="n">
        <v>6.175712557377276</v>
      </c>
      <c r="G239">
        <f>IF(OR(F239="",E239=""),"",F239-E239)</f>
        <v/>
      </c>
      <c r="H239" t="n">
        <v>2.844404131730766e-05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Autumn2021</t>
        </is>
      </c>
      <c r="C240" t="inlineStr">
        <is>
          <t>Autumn</t>
        </is>
      </c>
      <c r="D240" t="n">
        <v>2022</v>
      </c>
      <c r="E240" t="n">
        <v>4.268919168787466</v>
      </c>
      <c r="F240" t="n">
        <v>4.854613486697751</v>
      </c>
      <c r="G240">
        <f>IF(OR(F240="",E240=""),"",F240-E240)</f>
        <v/>
      </c>
      <c r="H240" t="n">
        <v>0.0003078769285171514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Spring2021</t>
        </is>
      </c>
      <c r="C241" t="inlineStr">
        <is>
          <t>Spring</t>
        </is>
      </c>
      <c r="D241" t="n">
        <v>2022</v>
      </c>
      <c r="E241" t="n">
        <v>4.39345862826459</v>
      </c>
      <c r="F241" t="n">
        <v>4.854613486697751</v>
      </c>
      <c r="G241">
        <f>IF(OR(F241="",E241=""),"",F241-E241)</f>
        <v/>
      </c>
      <c r="H241" t="n">
        <v>0.0003078769285171514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Autumn2022</t>
        </is>
      </c>
      <c r="C242" t="inlineStr">
        <is>
          <t>Autumn</t>
        </is>
      </c>
      <c r="D242" t="n">
        <v>2022</v>
      </c>
      <c r="E242" t="n">
        <v>3.826892027953699</v>
      </c>
      <c r="F242" t="n">
        <v>4.854613486697751</v>
      </c>
      <c r="G242">
        <f>IF(OR(F242="",E242=""),"",F242-E242)</f>
        <v/>
      </c>
      <c r="H242" t="n">
        <v>0.0003078769285171514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Spring2022</t>
        </is>
      </c>
      <c r="C243" t="inlineStr">
        <is>
          <t>Spring</t>
        </is>
      </c>
      <c r="D243" t="n">
        <v>2022</v>
      </c>
      <c r="E243" t="n">
        <v>2.425654280482226</v>
      </c>
      <c r="F243" t="n">
        <v>4.854613486697751</v>
      </c>
      <c r="G243">
        <f>IF(OR(F243="",E243=""),"",F243-E243)</f>
        <v/>
      </c>
      <c r="H243" t="n">
        <v>0.0003078769285171514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5.137157295813951e-05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Spring2021</t>
        </is>
      </c>
      <c r="C245" t="inlineStr">
        <is>
          <t>Spring</t>
        </is>
      </c>
      <c r="D245" t="n">
        <v>2022</v>
      </c>
      <c r="E245" t="n">
        <v>5.098879235126508</v>
      </c>
      <c r="F245" t="n">
        <v>6.752612450243378</v>
      </c>
      <c r="G245">
        <f>IF(OR(F245="",E245=""),"",F245-E245)</f>
        <v/>
      </c>
      <c r="H245" t="n">
        <v>5.137157295813951e-05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Autumn2022</t>
        </is>
      </c>
      <c r="C246" t="inlineStr">
        <is>
          <t>Autumn</t>
        </is>
      </c>
      <c r="D246" t="n">
        <v>2022</v>
      </c>
      <c r="E246" t="n">
        <v>6.586125160880973</v>
      </c>
      <c r="F246" t="n">
        <v>6.752612450243378</v>
      </c>
      <c r="G246">
        <f>IF(OR(F246="",E246=""),"",F246-E246)</f>
        <v/>
      </c>
      <c r="H246" t="n">
        <v>5.137157295813951e-05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5.137157295813951e-05</v>
      </c>
      <c r="I247" t="inlineStr">
        <is>
          <t>Below median</t>
        </is>
      </c>
    </row>
    <row r="248">
      <c r="A248" t="inlineStr">
        <is>
          <t>BE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0.1608186912456899</v>
      </c>
      <c r="F248" t="n">
        <v>1.549182781075526</v>
      </c>
      <c r="G248">
        <f>IF(OR(F248="",E248=""),"",F248-E248)</f>
        <v/>
      </c>
      <c r="H248" t="n">
        <v>0.0002378470134432856</v>
      </c>
      <c r="I248" t="inlineStr">
        <is>
          <t>Below median</t>
        </is>
      </c>
    </row>
    <row r="249">
      <c r="A249" t="inlineStr">
        <is>
          <t>BE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1.776624080830547</v>
      </c>
      <c r="F249" t="n">
        <v>1.549182781075526</v>
      </c>
      <c r="G249">
        <f>IF(OR(F249="",E249=""),"",F249-E249)</f>
        <v/>
      </c>
      <c r="H249" t="n">
        <v>0.0002378470134432856</v>
      </c>
      <c r="I249" t="inlineStr">
        <is>
          <t>Below median</t>
        </is>
      </c>
    </row>
    <row r="250">
      <c r="A250" t="inlineStr">
        <is>
          <t>BE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1.44096095579862</v>
      </c>
      <c r="F250" t="n">
        <v>1.549182781075526</v>
      </c>
      <c r="G250">
        <f>IF(OR(F250="",E250=""),"",F250-E250)</f>
        <v/>
      </c>
      <c r="H250" t="n">
        <v>0.0002378470134432856</v>
      </c>
      <c r="I250" t="inlineStr">
        <is>
          <t>Below median</t>
        </is>
      </c>
    </row>
    <row r="251">
      <c r="A251" t="inlineStr">
        <is>
          <t>BE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1.233072806561886</v>
      </c>
      <c r="F251" t="n">
        <v>1.549182781075526</v>
      </c>
      <c r="G251">
        <f>IF(OR(F251="",E251=""),"",F251-E251)</f>
        <v/>
      </c>
      <c r="H251" t="n">
        <v>0.0002378470134432856</v>
      </c>
      <c r="I251" t="inlineStr">
        <is>
          <t>Below median</t>
        </is>
      </c>
    </row>
    <row r="252">
      <c r="A252" t="inlineStr">
        <is>
          <t>ES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0.9550399603865944</v>
      </c>
      <c r="F252" t="n">
        <v>2.430978463969634</v>
      </c>
      <c r="G252">
        <f>IF(OR(F252="",E252=""),"",F252-E252)</f>
        <v/>
      </c>
      <c r="H252" t="n">
        <v>6.229279340805835e-05</v>
      </c>
      <c r="I252" t="inlineStr">
        <is>
          <t>Below median</t>
        </is>
      </c>
    </row>
    <row r="253">
      <c r="A253" t="inlineStr">
        <is>
          <t>ES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3.37296849743105</v>
      </c>
      <c r="F253" t="n">
        <v>2.430978463969634</v>
      </c>
      <c r="G253">
        <f>IF(OR(F253="",E253=""),"",F253-E253)</f>
        <v/>
      </c>
      <c r="H253" t="n">
        <v>6.229279340805835e-05</v>
      </c>
      <c r="I253" t="inlineStr">
        <is>
          <t>Below median</t>
        </is>
      </c>
    </row>
    <row r="254">
      <c r="A254" t="inlineStr">
        <is>
          <t>ES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2.365484497228709</v>
      </c>
      <c r="F254" t="n">
        <v>2.430978463969634</v>
      </c>
      <c r="G254">
        <f>IF(OR(F254="",E254=""),"",F254-E254)</f>
        <v/>
      </c>
      <c r="H254" t="n">
        <v>6.229279340805835e-05</v>
      </c>
      <c r="I254" t="inlineStr">
        <is>
          <t>Below median</t>
        </is>
      </c>
    </row>
    <row r="255">
      <c r="A255" t="inlineStr">
        <is>
          <t>ES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1.936681176345667</v>
      </c>
      <c r="F255" t="n">
        <v>2.430978463969634</v>
      </c>
      <c r="G255">
        <f>IF(OR(F255="",E255=""),"",F255-E255)</f>
        <v/>
      </c>
      <c r="H255" t="n">
        <v>6.229279340805835e-05</v>
      </c>
      <c r="I255" t="inlineStr">
        <is>
          <t>Below median</t>
        </is>
      </c>
    </row>
    <row r="256">
      <c r="A256" t="inlineStr">
        <is>
          <t>PT</t>
        </is>
      </c>
      <c r="B256" t="inlineStr">
        <is>
          <t>Autumn2022</t>
        </is>
      </c>
      <c r="C256" t="inlineStr">
        <is>
          <t>Autumn</t>
        </is>
      </c>
      <c r="D256" t="n">
        <v>2023</v>
      </c>
      <c r="E256" t="n">
        <v>0.7169614077881192</v>
      </c>
      <c r="F256" t="n">
        <v>3.052920210484774</v>
      </c>
      <c r="G256">
        <f>IF(OR(F256="",E256=""),"",F256-E256)</f>
        <v/>
      </c>
      <c r="H256" t="n">
        <v>6.29618585617478e-05</v>
      </c>
      <c r="I256" t="inlineStr">
        <is>
          <t>Below median</t>
        </is>
      </c>
    </row>
    <row r="257">
      <c r="A257" t="inlineStr">
        <is>
          <t>PT</t>
        </is>
      </c>
      <c r="B257" t="inlineStr">
        <is>
          <t>Spring2022</t>
        </is>
      </c>
      <c r="C257" t="inlineStr">
        <is>
          <t>Spring</t>
        </is>
      </c>
      <c r="D257" t="n">
        <v>2023</v>
      </c>
      <c r="E257" t="n">
        <v>2.660491887007432</v>
      </c>
      <c r="F257" t="n">
        <v>3.052920210484774</v>
      </c>
      <c r="G257">
        <f>IF(OR(F257="",E257=""),"",F257-E257)</f>
        <v/>
      </c>
      <c r="H257" t="n">
        <v>6.29618585617478e-05</v>
      </c>
      <c r="I257" t="inlineStr">
        <is>
          <t>Below median</t>
        </is>
      </c>
    </row>
    <row r="258">
      <c r="A258" t="inlineStr">
        <is>
          <t>PT</t>
        </is>
      </c>
      <c r="B258" t="inlineStr">
        <is>
          <t>Autumn2023</t>
        </is>
      </c>
      <c r="C258" t="inlineStr">
        <is>
          <t>Autumn</t>
        </is>
      </c>
      <c r="D258" t="n">
        <v>2023</v>
      </c>
      <c r="E258" t="n">
        <v>2.226883105497079</v>
      </c>
      <c r="F258" t="n">
        <v>3.052920210484774</v>
      </c>
      <c r="G258">
        <f>IF(OR(F258="",E258=""),"",F258-E258)</f>
        <v/>
      </c>
      <c r="H258" t="n">
        <v>6.29618585617478e-05</v>
      </c>
      <c r="I258" t="inlineStr">
        <is>
          <t>Below median</t>
        </is>
      </c>
    </row>
    <row r="259">
      <c r="A259" t="inlineStr">
        <is>
          <t>PT</t>
        </is>
      </c>
      <c r="B259" t="inlineStr">
        <is>
          <t>Spring2023</t>
        </is>
      </c>
      <c r="C259" t="inlineStr">
        <is>
          <t>Spring</t>
        </is>
      </c>
      <c r="D259" t="n">
        <v>2023</v>
      </c>
      <c r="E259" t="n">
        <v>2.43876145125812</v>
      </c>
      <c r="F259" t="n">
        <v>3.052920210484774</v>
      </c>
      <c r="G259">
        <f>IF(OR(F259="",E259=""),"",F259-E259)</f>
        <v/>
      </c>
      <c r="H259" t="n">
        <v>6.29618585617478e-05</v>
      </c>
      <c r="I259" t="inlineStr">
        <is>
          <t>Below median</t>
        </is>
      </c>
    </row>
    <row r="260">
      <c r="A260" t="inlineStr">
        <is>
          <t>BE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1.366814397179428</v>
      </c>
      <c r="F260" t="n">
        <v>1.091758418498549</v>
      </c>
      <c r="G260">
        <f>IF(OR(F260="",E260=""),"",F260-E260)</f>
        <v/>
      </c>
      <c r="H260" t="n">
        <v>0.0002230486855862554</v>
      </c>
      <c r="I260" t="inlineStr">
        <is>
          <t>Below median</t>
        </is>
      </c>
    </row>
    <row r="261">
      <c r="A261" t="inlineStr">
        <is>
          <t>BE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1.361184496232393</v>
      </c>
      <c r="F261" t="n">
        <v>1.091758418498549</v>
      </c>
      <c r="G261">
        <f>IF(OR(F261="",E261=""),"",F261-E261)</f>
        <v/>
      </c>
      <c r="H261" t="n">
        <v>0.0002230486855862554</v>
      </c>
      <c r="I261" t="inlineStr">
        <is>
          <t>Below median</t>
        </is>
      </c>
    </row>
    <row r="262">
      <c r="A262" t="inlineStr">
        <is>
          <t>BE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1.144309940913812</v>
      </c>
      <c r="F262" t="n">
        <v>1.091758418498549</v>
      </c>
      <c r="G262">
        <f>IF(OR(F262="",E262=""),"",F262-E262)</f>
        <v/>
      </c>
      <c r="H262" t="n">
        <v>0.0002230486855862554</v>
      </c>
      <c r="I262" t="inlineStr">
        <is>
          <t>Below median</t>
        </is>
      </c>
    </row>
    <row r="263">
      <c r="A263" t="inlineStr">
        <is>
          <t>BE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1.27417313530005</v>
      </c>
      <c r="F263" t="n">
        <v>1.091758418498549</v>
      </c>
      <c r="G263">
        <f>IF(OR(F263="",E263=""),"",F263-E263)</f>
        <v/>
      </c>
      <c r="H263" t="n">
        <v>0.0002230486855862554</v>
      </c>
      <c r="I263" t="inlineStr">
        <is>
          <t>Below median</t>
        </is>
      </c>
    </row>
    <row r="264">
      <c r="A264" t="inlineStr">
        <is>
          <t>ES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1.660542743130144</v>
      </c>
      <c r="F264" t="n">
        <v>3.396903137344779</v>
      </c>
      <c r="G264">
        <f>IF(OR(F264="",E264=""),"",F264-E264)</f>
        <v/>
      </c>
      <c r="H264" t="n">
        <v>7.682895081699989e-05</v>
      </c>
      <c r="I264" t="inlineStr">
        <is>
          <t>Below median</t>
        </is>
      </c>
    </row>
    <row r="265">
      <c r="A265" t="inlineStr">
        <is>
          <t>ES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1.964876847331687</v>
      </c>
      <c r="F265" t="n">
        <v>3.396903137344779</v>
      </c>
      <c r="G265">
        <f>IF(OR(F265="",E265=""),"",F265-E265)</f>
        <v/>
      </c>
      <c r="H265" t="n">
        <v>7.682895081699989e-05</v>
      </c>
      <c r="I265" t="inlineStr">
        <is>
          <t>Below median</t>
        </is>
      </c>
    </row>
    <row r="266">
      <c r="A266" t="inlineStr">
        <is>
          <t>ES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2.966936931003072</v>
      </c>
      <c r="F266" t="n">
        <v>3.396903137344779</v>
      </c>
      <c r="G266">
        <f>IF(OR(F266="",E266=""),"",F266-E266)</f>
        <v/>
      </c>
      <c r="H266" t="n">
        <v>7.682895081699989e-05</v>
      </c>
      <c r="I266" t="inlineStr">
        <is>
          <t>Below median</t>
        </is>
      </c>
    </row>
    <row r="267">
      <c r="A267" t="inlineStr">
        <is>
          <t>ES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2.144730461207822</v>
      </c>
      <c r="F267" t="n">
        <v>3.396903137344779</v>
      </c>
      <c r="G267">
        <f>IF(OR(F267="",E267=""),"",F267-E267)</f>
        <v/>
      </c>
      <c r="H267" t="n">
        <v>7.682895081699989e-05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5.244608877569774e-05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5.244608877569774e-05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5.244608877569774e-05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5.244608877569774e-05</v>
      </c>
      <c r="I271" t="inlineStr">
        <is>
          <t>Below median</t>
        </is>
      </c>
    </row>
    <row r="272">
      <c r="A272" t="inlineStr">
        <is>
          <t>AT</t>
        </is>
      </c>
      <c r="B272" t="inlineStr">
        <is>
          <t>Autumn2011</t>
        </is>
      </c>
      <c r="C272" t="inlineStr">
        <is>
          <t>Autumn</t>
        </is>
      </c>
      <c r="D272" t="n">
        <v>2011</v>
      </c>
      <c r="E272" t="n">
        <v>2.887577328854141</v>
      </c>
      <c r="F272" t="n">
        <v>2.98019333147692</v>
      </c>
      <c r="G272">
        <f>IF(OR(F272="",E272=""),"",F272-E272)</f>
        <v/>
      </c>
      <c r="H272" t="n">
        <v>0.003430106067615103</v>
      </c>
      <c r="I272" t="inlineStr">
        <is>
          <t>Above median</t>
        </is>
      </c>
    </row>
    <row r="273">
      <c r="A273" t="inlineStr">
        <is>
          <t>AT</t>
        </is>
      </c>
      <c r="B273" t="inlineStr">
        <is>
          <t>Spring2011</t>
        </is>
      </c>
      <c r="C273" t="inlineStr">
        <is>
          <t>Spring</t>
        </is>
      </c>
      <c r="D273" t="n">
        <v>2011</v>
      </c>
      <c r="E273" t="n">
        <v>2.365644972000913</v>
      </c>
      <c r="F273" t="n">
        <v>2.98019333147692</v>
      </c>
      <c r="G273">
        <f>IF(OR(F273="",E273=""),"",F273-E273)</f>
        <v/>
      </c>
      <c r="H273" t="n">
        <v>0.003430106067615103</v>
      </c>
      <c r="I273" t="inlineStr">
        <is>
          <t>Above median</t>
        </is>
      </c>
    </row>
    <row r="274">
      <c r="A274" t="inlineStr">
        <is>
          <t>DE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2.871708621036118</v>
      </c>
      <c r="F274" t="n">
        <v>3.771103460992674</v>
      </c>
      <c r="G274">
        <f>IF(OR(F274="",E274=""),"",F274-E274)</f>
        <v/>
      </c>
      <c r="H274" t="n">
        <v>0.003124358001628617</v>
      </c>
      <c r="I274" t="inlineStr">
        <is>
          <t>Above median</t>
        </is>
      </c>
    </row>
    <row r="275">
      <c r="A275" t="inlineStr">
        <is>
          <t>DE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2.590247428412562</v>
      </c>
      <c r="F275" t="n">
        <v>3.771103460992674</v>
      </c>
      <c r="G275">
        <f>IF(OR(F275="",E275=""),"",F275-E275)</f>
        <v/>
      </c>
      <c r="H275" t="n">
        <v>0.003124358001628617</v>
      </c>
      <c r="I275" t="inlineStr">
        <is>
          <t>Above median</t>
        </is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0.000424521823558062</v>
      </c>
      <c r="I276" t="inlineStr">
        <is>
          <t>Above median</t>
        </is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0.000424521823558062</v>
      </c>
      <c r="I277" t="inlineStr">
        <is>
          <t>Above median</t>
        </is>
      </c>
    </row>
    <row r="278">
      <c r="A278" t="inlineStr">
        <is>
          <t>IT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0.5399906638770879</v>
      </c>
      <c r="F278" t="n">
        <v>0.8533116278384609</v>
      </c>
      <c r="G278">
        <f>IF(OR(F278="",E278=""),"",F278-E278)</f>
        <v/>
      </c>
      <c r="H278" t="n">
        <v>0.001953468073068516</v>
      </c>
      <c r="I278" t="inlineStr">
        <is>
          <t>Above median</t>
        </is>
      </c>
    </row>
    <row r="279">
      <c r="A279" t="inlineStr">
        <is>
          <t>IT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0.9597439809230224</v>
      </c>
      <c r="F279" t="n">
        <v>0.8533116278384609</v>
      </c>
      <c r="G279">
        <f>IF(OR(F279="",E279=""),"",F279-E279)</f>
        <v/>
      </c>
      <c r="H279" t="n">
        <v>0.001953468073068516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0.01746350432609218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0.01746350432609218</v>
      </c>
      <c r="I281" t="inlineStr">
        <is>
          <t>Above median</t>
        </is>
      </c>
    </row>
    <row r="282">
      <c r="A282" t="inlineStr">
        <is>
          <t>AT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0.9228294834083162</v>
      </c>
      <c r="F282" t="n">
        <v>0.7376170147659937</v>
      </c>
      <c r="G282">
        <f>IF(OR(F282="",E282=""),"",F282-E282)</f>
        <v/>
      </c>
      <c r="H282" t="n">
        <v>0.002941327462807491</v>
      </c>
      <c r="I282" t="inlineStr">
        <is>
          <t>Above median</t>
        </is>
      </c>
    </row>
    <row r="283">
      <c r="A283" t="inlineStr">
        <is>
          <t>AT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2.001395495121816</v>
      </c>
      <c r="F283" t="n">
        <v>0.7376170147659937</v>
      </c>
      <c r="G283">
        <f>IF(OR(F283="",E283=""),"",F283-E283)</f>
        <v/>
      </c>
      <c r="H283" t="n">
        <v>0.002941327462807491</v>
      </c>
      <c r="I283" t="inlineStr">
        <is>
          <t>Above median</t>
        </is>
      </c>
    </row>
    <row r="284">
      <c r="A284" t="inlineStr">
        <is>
          <t>AT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0.7904128560278334</v>
      </c>
      <c r="F284" t="n">
        <v>0.7376170147659937</v>
      </c>
      <c r="G284">
        <f>IF(OR(F284="",E284=""),"",F284-E284)</f>
        <v/>
      </c>
      <c r="H284" t="n">
        <v>0.002941327462807491</v>
      </c>
      <c r="I284" t="inlineStr">
        <is>
          <t>Above median</t>
        </is>
      </c>
    </row>
    <row r="285">
      <c r="A285" t="inlineStr">
        <is>
          <t>AT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0.7770671382911098</v>
      </c>
      <c r="F285" t="n">
        <v>0.7376170147659937</v>
      </c>
      <c r="G285">
        <f>IF(OR(F285="",E285=""),"",F285-E285)</f>
        <v/>
      </c>
      <c r="H285" t="n">
        <v>0.002941327462807491</v>
      </c>
      <c r="I285" t="inlineStr">
        <is>
          <t>Above median</t>
        </is>
      </c>
    </row>
    <row r="286">
      <c r="A286" t="inlineStr">
        <is>
          <t>DE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0.7585395200567335</v>
      </c>
      <c r="F286" t="n">
        <v>0.7045102657191583</v>
      </c>
      <c r="G286">
        <f>IF(OR(F286="",E286=""),"",F286-E286)</f>
        <v/>
      </c>
      <c r="H286" t="n">
        <v>0.001632220780761479</v>
      </c>
      <c r="I286" t="inlineStr">
        <is>
          <t>Above median</t>
        </is>
      </c>
    </row>
    <row r="287">
      <c r="A287" t="inlineStr">
        <is>
          <t>DE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1.947486880825489</v>
      </c>
      <c r="F287" t="n">
        <v>0.7045102657191583</v>
      </c>
      <c r="G287">
        <f>IF(OR(F287="",E287=""),"",F287-E287)</f>
        <v/>
      </c>
      <c r="H287" t="n">
        <v>0.001632220780761479</v>
      </c>
      <c r="I287" t="inlineStr">
        <is>
          <t>Above median</t>
        </is>
      </c>
    </row>
    <row r="288">
      <c r="A288" t="inlineStr">
        <is>
          <t>DE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0.8314871930005685</v>
      </c>
      <c r="F288" t="n">
        <v>0.7045102657191583</v>
      </c>
      <c r="G288">
        <f>IF(OR(F288="",E288=""),"",F288-E288)</f>
        <v/>
      </c>
      <c r="H288" t="n">
        <v>0.001632220780761479</v>
      </c>
      <c r="I288" t="inlineStr">
        <is>
          <t>Above median</t>
        </is>
      </c>
    </row>
    <row r="289">
      <c r="A289" t="inlineStr">
        <is>
          <t>DE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0.6832335815309953</v>
      </c>
      <c r="F289" t="n">
        <v>0.7045102657191583</v>
      </c>
      <c r="G289">
        <f>IF(OR(F289="",E289=""),"",F289-E289)</f>
        <v/>
      </c>
      <c r="H289" t="n">
        <v>0.001632220780761479</v>
      </c>
      <c r="I289" t="inlineStr">
        <is>
          <t>Above median</t>
        </is>
      </c>
    </row>
    <row r="290">
      <c r="A290" t="inlineStr">
        <is>
          <t>NL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0.4986192357013142</v>
      </c>
      <c r="F290" t="n">
        <v>-0.9876196681877605</v>
      </c>
      <c r="G290">
        <f>IF(OR(F290="",E290=""),"",F290-E290)</f>
        <v/>
      </c>
      <c r="H290" t="n">
        <v>0.01160327020615414</v>
      </c>
      <c r="I290" t="inlineStr">
        <is>
          <t>Above median</t>
        </is>
      </c>
    </row>
    <row r="291">
      <c r="A291" t="inlineStr">
        <is>
          <t>NL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1.661047212655653</v>
      </c>
      <c r="F291" t="n">
        <v>-0.9876196681877605</v>
      </c>
      <c r="G291">
        <f>IF(OR(F291="",E291=""),"",F291-E291)</f>
        <v/>
      </c>
      <c r="H291" t="n">
        <v>0.01160327020615414</v>
      </c>
      <c r="I291" t="inlineStr">
        <is>
          <t>Above median</t>
        </is>
      </c>
    </row>
    <row r="292">
      <c r="A292" t="inlineStr">
        <is>
          <t>NL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-0.280007419800421</v>
      </c>
      <c r="F292" t="n">
        <v>-0.9876196681877605</v>
      </c>
      <c r="G292">
        <f>IF(OR(F292="",E292=""),"",F292-E292)</f>
        <v/>
      </c>
      <c r="H292" t="n">
        <v>0.01160327020615414</v>
      </c>
      <c r="I292" t="inlineStr">
        <is>
          <t>Above median</t>
        </is>
      </c>
    </row>
    <row r="293">
      <c r="A293" t="inlineStr">
        <is>
          <t>NL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-0.8873745855401904</v>
      </c>
      <c r="F293" t="n">
        <v>-0.9876196681877605</v>
      </c>
      <c r="G293">
        <f>IF(OR(F293="",E293=""),"",F293-E293)</f>
        <v/>
      </c>
      <c r="H293" t="n">
        <v>0.01160327020615414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0.002680125065045206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0.002680125065045206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0.002680125065045206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0.002680125065045206</v>
      </c>
      <c r="I297" t="inlineStr">
        <is>
          <t>Above median</t>
        </is>
      </c>
    </row>
    <row r="298">
      <c r="A298" t="inlineStr">
        <is>
          <t>DE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0.837616484518966</v>
      </c>
      <c r="F298" t="n">
        <v>0.5708050506883823</v>
      </c>
      <c r="G298">
        <f>IF(OR(F298="",E298=""),"",F298-E298)</f>
        <v/>
      </c>
      <c r="H298" t="n">
        <v>0.00140158663664389</v>
      </c>
      <c r="I298" t="inlineStr">
        <is>
          <t>Above median</t>
        </is>
      </c>
    </row>
    <row r="299">
      <c r="A299" t="inlineStr">
        <is>
          <t>DE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1.674407698122993</v>
      </c>
      <c r="F299" t="n">
        <v>0.5708050506883823</v>
      </c>
      <c r="G299">
        <f>IF(OR(F299="",E299=""),"",F299-E299)</f>
        <v/>
      </c>
      <c r="H299" t="n">
        <v>0.00140158663664389</v>
      </c>
      <c r="I299" t="inlineStr">
        <is>
          <t>Above median</t>
        </is>
      </c>
    </row>
    <row r="300">
      <c r="A300" t="inlineStr">
        <is>
          <t>DE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0.4647309015099577</v>
      </c>
      <c r="F300" t="n">
        <v>0.5708050506883823</v>
      </c>
      <c r="G300">
        <f>IF(OR(F300="",E300=""),"",F300-E300)</f>
        <v/>
      </c>
      <c r="H300" t="n">
        <v>0.00140158663664389</v>
      </c>
      <c r="I300" t="inlineStr">
        <is>
          <t>Above median</t>
        </is>
      </c>
    </row>
    <row r="301">
      <c r="A301" t="inlineStr">
        <is>
          <t>DE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0.3798198277053411</v>
      </c>
      <c r="F301" t="n">
        <v>0.5708050506883823</v>
      </c>
      <c r="G301">
        <f>IF(OR(F301="",E301=""),"",F301-E301)</f>
        <v/>
      </c>
      <c r="H301" t="n">
        <v>0.00140158663664389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0.01279835574733507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0.01279835574733507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0.01279835574733507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0.01279835574733507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Autumn2013</t>
        </is>
      </c>
      <c r="C306" t="inlineStr">
        <is>
          <t>Autumn</t>
        </is>
      </c>
      <c r="D306" t="n">
        <v>2014</v>
      </c>
      <c r="E306" t="n">
        <v>1.617278947242928</v>
      </c>
      <c r="F306" t="n">
        <v>0.8795276727937255</v>
      </c>
      <c r="G306">
        <f>IF(OR(F306="",E306=""),"",F306-E306)</f>
        <v/>
      </c>
      <c r="H306" t="n">
        <v>0.002858646131144403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Spring2013</t>
        </is>
      </c>
      <c r="C307" t="inlineStr">
        <is>
          <t>Spring</t>
        </is>
      </c>
      <c r="D307" t="n">
        <v>2014</v>
      </c>
      <c r="E307" t="n">
        <v>1.753478025840405</v>
      </c>
      <c r="F307" t="n">
        <v>0.8795276727937255</v>
      </c>
      <c r="G307">
        <f>IF(OR(F307="",E307=""),"",F307-E307)</f>
        <v/>
      </c>
      <c r="H307" t="n">
        <v>0.002858646131144403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Autumn2014</t>
        </is>
      </c>
      <c r="C308" t="inlineStr">
        <is>
          <t>Autumn</t>
        </is>
      </c>
      <c r="D308" t="n">
        <v>2014</v>
      </c>
      <c r="E308" t="n">
        <v>0.6766963883870103</v>
      </c>
      <c r="F308" t="n">
        <v>0.8795276727937255</v>
      </c>
      <c r="G308">
        <f>IF(OR(F308="",E308=""),"",F308-E308)</f>
        <v/>
      </c>
      <c r="H308" t="n">
        <v>0.002858646131144403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Spring2014</t>
        </is>
      </c>
      <c r="C309" t="inlineStr">
        <is>
          <t>Spring</t>
        </is>
      </c>
      <c r="D309" t="n">
        <v>2014</v>
      </c>
      <c r="E309" t="n">
        <v>1.649915264806645</v>
      </c>
      <c r="F309" t="n">
        <v>0.8795276727937255</v>
      </c>
      <c r="G309">
        <f>IF(OR(F309="",E309=""),"",F309-E309)</f>
        <v/>
      </c>
      <c r="H309" t="n">
        <v>0.002858646131144403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1.702614326444496</v>
      </c>
      <c r="F310" t="n">
        <v>2.206529437080535</v>
      </c>
      <c r="G310">
        <f>IF(OR(F310="",E310=""),"",F310-E310)</f>
        <v/>
      </c>
      <c r="H310" t="n">
        <v>0.001692686298776073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1.821630101383787</v>
      </c>
      <c r="F311" t="n">
        <v>2.206529437080535</v>
      </c>
      <c r="G311">
        <f>IF(OR(F311="",E311=""),"",F311-E311)</f>
        <v/>
      </c>
      <c r="H311" t="n">
        <v>0.001692686298776073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1.267570285804642</v>
      </c>
      <c r="F312" t="n">
        <v>2.206529437080535</v>
      </c>
      <c r="G312">
        <f>IF(OR(F312="",E312=""),"",F312-E312)</f>
        <v/>
      </c>
      <c r="H312" t="n">
        <v>0.001692686298776073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1.846054067989833</v>
      </c>
      <c r="F313" t="n">
        <v>2.206529437080535</v>
      </c>
      <c r="G313">
        <f>IF(OR(F313="",E313=""),"",F313-E313)</f>
        <v/>
      </c>
      <c r="H313" t="n">
        <v>0.001692686298776073</v>
      </c>
      <c r="I313" t="inlineStr">
        <is>
          <t>Above median</t>
        </is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1.703044407164489</v>
      </c>
      <c r="F314" t="n">
        <v>9.050420993593926</v>
      </c>
      <c r="G314">
        <f>IF(OR(F314="",E314=""),"",F314-E314)</f>
        <v/>
      </c>
      <c r="H314" t="n">
        <v>0.0004153917249743678</v>
      </c>
      <c r="I314" t="inlineStr">
        <is>
          <t>Above median</t>
        </is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2.176261060739271</v>
      </c>
      <c r="F315" t="n">
        <v>9.050420993593926</v>
      </c>
      <c r="G315">
        <f>IF(OR(F315="",E315=""),"",F315-E315)</f>
        <v/>
      </c>
      <c r="H315" t="n">
        <v>0.0004153917249743678</v>
      </c>
      <c r="I315" t="inlineStr">
        <is>
          <t>Above median</t>
        </is>
      </c>
    </row>
    <row r="316">
      <c r="A316" t="inlineStr">
        <is>
          <t>IE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4.615191020582277</v>
      </c>
      <c r="F316" t="n">
        <v>9.050420993593926</v>
      </c>
      <c r="G316">
        <f>IF(OR(F316="",E316=""),"",F316-E316)</f>
        <v/>
      </c>
      <c r="H316" t="n">
        <v>0.0004153917249743678</v>
      </c>
      <c r="I316" t="inlineStr">
        <is>
          <t>Above median</t>
        </is>
      </c>
    </row>
    <row r="317">
      <c r="A317" t="inlineStr">
        <is>
          <t>IE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1.740487538042057</v>
      </c>
      <c r="F317" t="n">
        <v>9.050420993593926</v>
      </c>
      <c r="G317">
        <f>IF(OR(F317="",E317=""),"",F317-E317)</f>
        <v/>
      </c>
      <c r="H317" t="n">
        <v>0.0004153917249743678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0.2460103096358246</v>
      </c>
      <c r="F318" t="n">
        <v>1.601372191248683</v>
      </c>
      <c r="G318">
        <f>IF(OR(F318="",E318=""),"",F318-E318)</f>
        <v/>
      </c>
      <c r="H318" t="n">
        <v>0.01474450928555945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0.8959442595254608</v>
      </c>
      <c r="F319" t="n">
        <v>1.601372191248683</v>
      </c>
      <c r="G319">
        <f>IF(OR(F319="",E319=""),"",F319-E319)</f>
        <v/>
      </c>
      <c r="H319" t="n">
        <v>0.01474450928555945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0.8781300951306248</v>
      </c>
      <c r="F320" t="n">
        <v>1.601372191248683</v>
      </c>
      <c r="G320">
        <f>IF(OR(F320="",E320=""),"",F320-E320)</f>
        <v/>
      </c>
      <c r="H320" t="n">
        <v>0.01474450928555945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1.16344678868503</v>
      </c>
      <c r="F321" t="n">
        <v>1.601372191248683</v>
      </c>
      <c r="G321">
        <f>IF(OR(F321="",E321=""),"",F321-E321)</f>
        <v/>
      </c>
      <c r="H321" t="n">
        <v>0.01474450928555945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0.003623667777585765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0.003623667777585765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0.003623667777585765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0.003623667777585765</v>
      </c>
      <c r="I325" t="inlineStr">
        <is>
          <t>Above median</t>
        </is>
      </c>
    </row>
    <row r="326">
      <c r="A326" t="inlineStr">
        <is>
          <t>DE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1.095015499462715</v>
      </c>
      <c r="F326" t="n">
        <v>1.511701771928704</v>
      </c>
      <c r="G326">
        <f>IF(OR(F326="",E326=""),"",F326-E326)</f>
        <v/>
      </c>
      <c r="H326" t="n">
        <v>0.001793760568655381</v>
      </c>
      <c r="I326" t="inlineStr">
        <is>
          <t>Above median</t>
        </is>
      </c>
    </row>
    <row r="327">
      <c r="A327" t="inlineStr">
        <is>
          <t>DE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1.98405462735789</v>
      </c>
      <c r="F327" t="n">
        <v>1.511701771928704</v>
      </c>
      <c r="G327">
        <f>IF(OR(F327="",E327=""),"",F327-E327)</f>
        <v/>
      </c>
      <c r="H327" t="n">
        <v>0.001793760568655381</v>
      </c>
      <c r="I327" t="inlineStr">
        <is>
          <t>Above median</t>
        </is>
      </c>
    </row>
    <row r="328">
      <c r="A328" t="inlineStr">
        <is>
          <t>DE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1.710561128952803</v>
      </c>
      <c r="F328" t="n">
        <v>1.511701771928704</v>
      </c>
      <c r="G328">
        <f>IF(OR(F328="",E328=""),"",F328-E328)</f>
        <v/>
      </c>
      <c r="H328" t="n">
        <v>0.001793760568655381</v>
      </c>
      <c r="I328" t="inlineStr">
        <is>
          <t>Above median</t>
        </is>
      </c>
    </row>
    <row r="329">
      <c r="A329" t="inlineStr">
        <is>
          <t>DE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1.87179082510891</v>
      </c>
      <c r="F329" t="n">
        <v>1.511701771928704</v>
      </c>
      <c r="G329">
        <f>IF(OR(F329="",E329=""),"",F329-E329)</f>
        <v/>
      </c>
      <c r="H329" t="n">
        <v>0.001793760568655381</v>
      </c>
      <c r="I329" t="inlineStr">
        <is>
          <t>Above median</t>
        </is>
      </c>
    </row>
    <row r="330">
      <c r="A330" t="inlineStr">
        <is>
          <t>FR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0.6949712075725589</v>
      </c>
      <c r="F330" t="n">
        <v>0.9935247504241893</v>
      </c>
      <c r="G330">
        <f>IF(OR(F330="",E330=""),"",F330-E330)</f>
        <v/>
      </c>
      <c r="H330" t="n">
        <v>0.0004369880048209471</v>
      </c>
      <c r="I330" t="inlineStr">
        <is>
          <t>Above median</t>
        </is>
      </c>
    </row>
    <row r="331">
      <c r="A331" t="inlineStr">
        <is>
          <t>FR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1.473252431746119</v>
      </c>
      <c r="F331" t="n">
        <v>0.9935247504241893</v>
      </c>
      <c r="G331">
        <f>IF(OR(F331="",E331=""),"",F331-E331)</f>
        <v/>
      </c>
      <c r="H331" t="n">
        <v>0.0004369880048209471</v>
      </c>
      <c r="I331" t="inlineStr">
        <is>
          <t>Above median</t>
        </is>
      </c>
    </row>
    <row r="332">
      <c r="A332" t="inlineStr">
        <is>
          <t>FR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1.082939648847692</v>
      </c>
      <c r="F332" t="n">
        <v>0.9935247504241893</v>
      </c>
      <c r="G332">
        <f>IF(OR(F332="",E332=""),"",F332-E332)</f>
        <v/>
      </c>
      <c r="H332" t="n">
        <v>0.0004369880048209471</v>
      </c>
      <c r="I332" t="inlineStr">
        <is>
          <t>Above median</t>
        </is>
      </c>
    </row>
    <row r="333">
      <c r="A333" t="inlineStr">
        <is>
          <t>FR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1.081963871443703</v>
      </c>
      <c r="F333" t="n">
        <v>0.9935247504241893</v>
      </c>
      <c r="G333">
        <f>IF(OR(F333="",E333=""),"",F333-E333)</f>
        <v/>
      </c>
      <c r="H333" t="n">
        <v>0.0004369880048209471</v>
      </c>
      <c r="I333" t="inlineStr">
        <is>
          <t>Above median</t>
        </is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1.415241195180372</v>
      </c>
      <c r="F334" t="n">
        <v>2.075992985655045</v>
      </c>
      <c r="G334">
        <f>IF(OR(F334="",E334=""),"",F334-E334)</f>
        <v/>
      </c>
      <c r="H334" t="n">
        <v>0.01511723534841359</v>
      </c>
      <c r="I334" t="inlineStr">
        <is>
          <t>Above median</t>
        </is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1.358712618837976</v>
      </c>
      <c r="F335" t="n">
        <v>2.075992985655045</v>
      </c>
      <c r="G335">
        <f>IF(OR(F335="",E335=""),"",F335-E335)</f>
        <v/>
      </c>
      <c r="H335" t="n">
        <v>0.01511723534841359</v>
      </c>
      <c r="I335" t="inlineStr">
        <is>
          <t>Above median</t>
        </is>
      </c>
    </row>
    <row r="336">
      <c r="A336" t="inlineStr">
        <is>
          <t>NL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2.048080115775686</v>
      </c>
      <c r="F336" t="n">
        <v>2.075992985655045</v>
      </c>
      <c r="G336">
        <f>IF(OR(F336="",E336=""),"",F336-E336)</f>
        <v/>
      </c>
      <c r="H336" t="n">
        <v>0.01511723534841359</v>
      </c>
      <c r="I336" t="inlineStr">
        <is>
          <t>Above median</t>
        </is>
      </c>
    </row>
    <row r="337">
      <c r="A337" t="inlineStr">
        <is>
          <t>NL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1.634744403265187</v>
      </c>
      <c r="F337" t="n">
        <v>2.075992985655045</v>
      </c>
      <c r="G337">
        <f>IF(OR(F337="",E337=""),"",F337-E337)</f>
        <v/>
      </c>
      <c r="H337" t="n">
        <v>0.01511723534841359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1.457100965016367</v>
      </c>
      <c r="F338" t="n">
        <v>2.149538672873777</v>
      </c>
      <c r="G338">
        <f>IF(OR(F338="",E338=""),"",F338-E338)</f>
        <v/>
      </c>
      <c r="H338" t="n">
        <v>0.003438438068527427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Spring2015</t>
        </is>
      </c>
      <c r="C339" t="inlineStr">
        <is>
          <t>Spring</t>
        </is>
      </c>
      <c r="D339" t="n">
        <v>2016</v>
      </c>
      <c r="E339" t="n">
        <v>1.452866121230345</v>
      </c>
      <c r="F339" t="n">
        <v>2.149538672873777</v>
      </c>
      <c r="G339">
        <f>IF(OR(F339="",E339=""),"",F339-E339)</f>
        <v/>
      </c>
      <c r="H339" t="n">
        <v>0.003438438068527427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Autumn2016</t>
        </is>
      </c>
      <c r="C340" t="inlineStr">
        <is>
          <t>Autumn</t>
        </is>
      </c>
      <c r="D340" t="n">
        <v>2016</v>
      </c>
      <c r="E340" t="n">
        <v>1.493056987075114</v>
      </c>
      <c r="F340" t="n">
        <v>2.149538672873777</v>
      </c>
      <c r="G340">
        <f>IF(OR(F340="",E340=""),"",F340-E340)</f>
        <v/>
      </c>
      <c r="H340" t="n">
        <v>0.003438438068527427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1.475667362159894</v>
      </c>
      <c r="F341" t="n">
        <v>2.149538672873777</v>
      </c>
      <c r="G341">
        <f>IF(OR(F341="",E341=""),"",F341-E341)</f>
        <v/>
      </c>
      <c r="H341" t="n">
        <v>0.003438438068527427</v>
      </c>
      <c r="I341" t="inlineStr">
        <is>
          <t>Above median</t>
        </is>
      </c>
    </row>
    <row r="342">
      <c r="A342" t="inlineStr">
        <is>
          <t>BE</t>
        </is>
      </c>
      <c r="B342" t="inlineStr">
        <is>
          <t>Autumn2015</t>
        </is>
      </c>
      <c r="C342" t="inlineStr">
        <is>
          <t>Autumn</t>
        </is>
      </c>
      <c r="D342" t="n">
        <v>2016</v>
      </c>
      <c r="E342" t="n">
        <v>1.305005005659998</v>
      </c>
      <c r="F342" t="n">
        <v>1.186394667984409</v>
      </c>
      <c r="G342">
        <f>IF(OR(F342="",E342=""),"",F342-E342)</f>
        <v/>
      </c>
      <c r="H342" t="n">
        <v>0.0006513467572015561</v>
      </c>
      <c r="I342" t="inlineStr">
        <is>
          <t>Above median</t>
        </is>
      </c>
    </row>
    <row r="343">
      <c r="A343" t="inlineStr">
        <is>
          <t>BE</t>
        </is>
      </c>
      <c r="B343" t="inlineStr">
        <is>
          <t>Spring2015</t>
        </is>
      </c>
      <c r="C343" t="inlineStr">
        <is>
          <t>Spring</t>
        </is>
      </c>
      <c r="D343" t="n">
        <v>2016</v>
      </c>
      <c r="E343" t="n">
        <v>1.466822845081617</v>
      </c>
      <c r="F343" t="n">
        <v>1.186394667984409</v>
      </c>
      <c r="G343">
        <f>IF(OR(F343="",E343=""),"",F343-E343)</f>
        <v/>
      </c>
      <c r="H343" t="n">
        <v>0.0006513467572015561</v>
      </c>
      <c r="I343" t="inlineStr">
        <is>
          <t>Above median</t>
        </is>
      </c>
    </row>
    <row r="344">
      <c r="A344" t="inlineStr">
        <is>
          <t>BE</t>
        </is>
      </c>
      <c r="B344" t="inlineStr">
        <is>
          <t>Autumn2016</t>
        </is>
      </c>
      <c r="C344" t="inlineStr">
        <is>
          <t>Autumn</t>
        </is>
      </c>
      <c r="D344" t="n">
        <v>2016</v>
      </c>
      <c r="E344" t="n">
        <v>1.233699257987553</v>
      </c>
      <c r="F344" t="n">
        <v>1.186394667984409</v>
      </c>
      <c r="G344">
        <f>IF(OR(F344="",E344=""),"",F344-E344)</f>
        <v/>
      </c>
      <c r="H344" t="n">
        <v>0.0006513467572015561</v>
      </c>
      <c r="I344" t="inlineStr">
        <is>
          <t>Above median</t>
        </is>
      </c>
    </row>
    <row r="345">
      <c r="A345" t="inlineStr">
        <is>
          <t>BE</t>
        </is>
      </c>
      <c r="B345" t="inlineStr">
        <is>
          <t>Spring2016</t>
        </is>
      </c>
      <c r="C345" t="inlineStr">
        <is>
          <t>Spring</t>
        </is>
      </c>
      <c r="D345" t="n">
        <v>2016</v>
      </c>
      <c r="E345" t="n">
        <v>1.197250966203911</v>
      </c>
      <c r="F345" t="n">
        <v>1.186394667984409</v>
      </c>
      <c r="G345">
        <f>IF(OR(F345="",E345=""),"",F345-E345)</f>
        <v/>
      </c>
      <c r="H345" t="n">
        <v>0.0006513467572015561</v>
      </c>
      <c r="I345" t="inlineStr">
        <is>
          <t>Above median</t>
        </is>
      </c>
    </row>
    <row r="346">
      <c r="A346" t="inlineStr">
        <is>
          <t>DE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1.906460861879422</v>
      </c>
      <c r="F346" t="n">
        <v>2.1850659941992</v>
      </c>
      <c r="G346">
        <f>IF(OR(F346="",E346=""),"",F346-E346)</f>
        <v/>
      </c>
      <c r="H346" t="n">
        <v>0.001948682866075438</v>
      </c>
      <c r="I346" t="inlineStr">
        <is>
          <t>Above median</t>
        </is>
      </c>
    </row>
    <row r="347">
      <c r="A347" t="inlineStr">
        <is>
          <t>DE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2.024744839781101</v>
      </c>
      <c r="F347" t="n">
        <v>2.1850659941992</v>
      </c>
      <c r="G347">
        <f>IF(OR(F347="",E347=""),"",F347-E347)</f>
        <v/>
      </c>
      <c r="H347" t="n">
        <v>0.001948682866075438</v>
      </c>
      <c r="I347" t="inlineStr">
        <is>
          <t>Above median</t>
        </is>
      </c>
    </row>
    <row r="348">
      <c r="A348" t="inlineStr">
        <is>
          <t>DE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1.938870893254263</v>
      </c>
      <c r="F348" t="n">
        <v>2.1850659941992</v>
      </c>
      <c r="G348">
        <f>IF(OR(F348="",E348=""),"",F348-E348)</f>
        <v/>
      </c>
      <c r="H348" t="n">
        <v>0.001948682866075438</v>
      </c>
      <c r="I348" t="inlineStr">
        <is>
          <t>Above median</t>
        </is>
      </c>
    </row>
    <row r="349">
      <c r="A349" t="inlineStr">
        <is>
          <t>DE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1.624850184809512</v>
      </c>
      <c r="F349" t="n">
        <v>2.1850659941992</v>
      </c>
      <c r="G349">
        <f>IF(OR(F349="",E349=""),"",F349-E349)</f>
        <v/>
      </c>
      <c r="H349" t="n">
        <v>0.001948682866075438</v>
      </c>
      <c r="I349" t="inlineStr">
        <is>
          <t>Above median</t>
        </is>
      </c>
    </row>
    <row r="350">
      <c r="A350" t="inlineStr">
        <is>
          <t>FR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1.429394342330759</v>
      </c>
      <c r="F350" t="n">
        <v>0.7341997048160207</v>
      </c>
      <c r="G350">
        <f>IF(OR(F350="",E350=""),"",F350-E350)</f>
        <v/>
      </c>
      <c r="H350" t="n">
        <v>0.0004070565583372327</v>
      </c>
      <c r="I350" t="inlineStr">
        <is>
          <t>Above median</t>
        </is>
      </c>
    </row>
    <row r="351">
      <c r="A351" t="inlineStr">
        <is>
          <t>FR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1.6816047146198</v>
      </c>
      <c r="F351" t="n">
        <v>0.7341997048160207</v>
      </c>
      <c r="G351">
        <f>IF(OR(F351="",E351=""),"",F351-E351)</f>
        <v/>
      </c>
      <c r="H351" t="n">
        <v>0.0004070565583372327</v>
      </c>
      <c r="I351" t="inlineStr">
        <is>
          <t>Above median</t>
        </is>
      </c>
    </row>
    <row r="352">
      <c r="A352" t="inlineStr">
        <is>
          <t>FR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1.254473785454957</v>
      </c>
      <c r="F352" t="n">
        <v>0.7341997048160207</v>
      </c>
      <c r="G352">
        <f>IF(OR(F352="",E352=""),"",F352-E352)</f>
        <v/>
      </c>
      <c r="H352" t="n">
        <v>0.0004070565583372327</v>
      </c>
      <c r="I352" t="inlineStr">
        <is>
          <t>Above median</t>
        </is>
      </c>
    </row>
    <row r="353">
      <c r="A353" t="inlineStr">
        <is>
          <t>FR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1.331417785335498</v>
      </c>
      <c r="F353" t="n">
        <v>0.7341997048160207</v>
      </c>
      <c r="G353">
        <f>IF(OR(F353="",E353=""),"",F353-E353)</f>
        <v/>
      </c>
      <c r="H353" t="n">
        <v>0.0004070565583372327</v>
      </c>
      <c r="I353" t="inlineStr">
        <is>
          <t>Above median</t>
        </is>
      </c>
    </row>
    <row r="354">
      <c r="A354" t="inlineStr">
        <is>
          <t>IT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1.451276186737127</v>
      </c>
      <c r="F354" t="n">
        <v>1.34543552139666</v>
      </c>
      <c r="G354">
        <f>IF(OR(F354="",E354=""),"",F354-E354)</f>
        <v/>
      </c>
      <c r="H354" t="n">
        <v>0.0004782380537953871</v>
      </c>
      <c r="I354" t="inlineStr">
        <is>
          <t>Above median</t>
        </is>
      </c>
    </row>
    <row r="355">
      <c r="A355" t="inlineStr">
        <is>
          <t>IT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1.410977849936668</v>
      </c>
      <c r="F355" t="n">
        <v>1.34543552139666</v>
      </c>
      <c r="G355">
        <f>IF(OR(F355="",E355=""),"",F355-E355)</f>
        <v/>
      </c>
      <c r="H355" t="n">
        <v>0.0004782380537953871</v>
      </c>
      <c r="I355" t="inlineStr">
        <is>
          <t>Above median</t>
        </is>
      </c>
    </row>
    <row r="356">
      <c r="A356" t="inlineStr">
        <is>
          <t>IT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0.7078428394543756</v>
      </c>
      <c r="F356" t="n">
        <v>1.34543552139666</v>
      </c>
      <c r="G356">
        <f>IF(OR(F356="",E356=""),"",F356-E356)</f>
        <v/>
      </c>
      <c r="H356" t="n">
        <v>0.0004782380537953871</v>
      </c>
      <c r="I356" t="inlineStr">
        <is>
          <t>Above median</t>
        </is>
      </c>
    </row>
    <row r="357">
      <c r="A357" t="inlineStr">
        <is>
          <t>IT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1.090462780977397</v>
      </c>
      <c r="F357" t="n">
        <v>1.34543552139666</v>
      </c>
      <c r="G357">
        <f>IF(OR(F357="",E357=""),"",F357-E357)</f>
        <v/>
      </c>
      <c r="H357" t="n">
        <v>0.0004782380537953871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0.01525719723073514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1.732711988861091</v>
      </c>
      <c r="F359" t="n">
        <v>2.39097826564383</v>
      </c>
      <c r="G359">
        <f>IF(OR(F359="",E359=""),"",F359-E359)</f>
        <v/>
      </c>
      <c r="H359" t="n">
        <v>0.01525719723073514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1.658974421945225</v>
      </c>
      <c r="F360" t="n">
        <v>2.39097826564383</v>
      </c>
      <c r="G360">
        <f>IF(OR(F360="",E360=""),"",F360-E360)</f>
        <v/>
      </c>
      <c r="H360" t="n">
        <v>0.01525719723073514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0.01525719723073514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1.581849149762027</v>
      </c>
      <c r="F362" t="n">
        <v>2.368013278827778</v>
      </c>
      <c r="G362">
        <f>IF(OR(F362="",E362=""),"",F362-E362)</f>
        <v/>
      </c>
      <c r="H362" t="n">
        <v>0.003549318871635101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1.626978361111475</v>
      </c>
      <c r="F363" t="n">
        <v>2.368013278827778</v>
      </c>
      <c r="G363">
        <f>IF(OR(F363="",E363=""),"",F363-E363)</f>
        <v/>
      </c>
      <c r="H363" t="n">
        <v>0.003549318871635101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2.571658656771847</v>
      </c>
      <c r="F364" t="n">
        <v>2.368013278827778</v>
      </c>
      <c r="G364">
        <f>IF(OR(F364="",E364=""),"",F364-E364)</f>
        <v/>
      </c>
      <c r="H364" t="n">
        <v>0.003549318871635101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1.728692467241477</v>
      </c>
      <c r="F365" t="n">
        <v>2.368013278827778</v>
      </c>
      <c r="G365">
        <f>IF(OR(F365="",E365=""),"",F365-E365)</f>
        <v/>
      </c>
      <c r="H365" t="n">
        <v>0.003549318871635101</v>
      </c>
      <c r="I365" t="inlineStr">
        <is>
          <t>Above median</t>
        </is>
      </c>
    </row>
    <row r="366">
      <c r="A366" t="inlineStr">
        <is>
          <t>BE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1.312930787717281</v>
      </c>
      <c r="F366" t="n">
        <v>1.463710503935746</v>
      </c>
      <c r="G366">
        <f>IF(OR(F366="",E366=""),"",F366-E366)</f>
        <v/>
      </c>
      <c r="H366" t="n">
        <v>0.001315653038820061</v>
      </c>
      <c r="I366" t="inlineStr">
        <is>
          <t>Above median</t>
        </is>
      </c>
    </row>
    <row r="367">
      <c r="A367" t="inlineStr">
        <is>
          <t>BE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1.566209901734994</v>
      </c>
      <c r="F367" t="n">
        <v>1.463710503935746</v>
      </c>
      <c r="G367">
        <f>IF(OR(F367="",E367=""),"",F367-E367)</f>
        <v/>
      </c>
      <c r="H367" t="n">
        <v>0.001315653038820061</v>
      </c>
      <c r="I367" t="inlineStr">
        <is>
          <t>Above median</t>
        </is>
      </c>
    </row>
    <row r="368">
      <c r="A368" t="inlineStr">
        <is>
          <t>BE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1.732555567629479</v>
      </c>
      <c r="F368" t="n">
        <v>1.463710503935746</v>
      </c>
      <c r="G368">
        <f>IF(OR(F368="",E368=""),"",F368-E368)</f>
        <v/>
      </c>
      <c r="H368" t="n">
        <v>0.001315653038820061</v>
      </c>
      <c r="I368" t="inlineStr">
        <is>
          <t>Above median</t>
        </is>
      </c>
    </row>
    <row r="369">
      <c r="A369" t="inlineStr">
        <is>
          <t>BE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1.543494370971477</v>
      </c>
      <c r="F369" t="n">
        <v>1.463710503935746</v>
      </c>
      <c r="G369">
        <f>IF(OR(F369="",E369=""),"",F369-E369)</f>
        <v/>
      </c>
      <c r="H369" t="n">
        <v>0.001315653038820061</v>
      </c>
      <c r="I369" t="inlineStr">
        <is>
          <t>Above median</t>
        </is>
      </c>
    </row>
    <row r="370">
      <c r="A370" t="inlineStr">
        <is>
          <t>DE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1.474400091381178</v>
      </c>
      <c r="F370" t="n">
        <v>3.139119319610074</v>
      </c>
      <c r="G370">
        <f>IF(OR(F370="",E370=""),"",F370-E370)</f>
        <v/>
      </c>
      <c r="H370" t="n">
        <v>0.002165982249223189</v>
      </c>
      <c r="I370" t="inlineStr">
        <is>
          <t>Above median</t>
        </is>
      </c>
    </row>
    <row r="371">
      <c r="A371" t="inlineStr">
        <is>
          <t>DE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1.566513709558781</v>
      </c>
      <c r="F371" t="n">
        <v>3.139119319610074</v>
      </c>
      <c r="G371">
        <f>IF(OR(F371="",E371=""),"",F371-E371)</f>
        <v/>
      </c>
      <c r="H371" t="n">
        <v>0.002165982249223189</v>
      </c>
      <c r="I371" t="inlineStr">
        <is>
          <t>Above median</t>
        </is>
      </c>
    </row>
    <row r="372">
      <c r="A372" t="inlineStr">
        <is>
          <t>DE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2.15185378195053</v>
      </c>
      <c r="F372" t="n">
        <v>3.139119319610074</v>
      </c>
      <c r="G372">
        <f>IF(OR(F372="",E372=""),"",F372-E372)</f>
        <v/>
      </c>
      <c r="H372" t="n">
        <v>0.002165982249223189</v>
      </c>
      <c r="I372" t="inlineStr">
        <is>
          <t>Above median</t>
        </is>
      </c>
    </row>
    <row r="373">
      <c r="A373" t="inlineStr">
        <is>
          <t>DE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1.641172183436468</v>
      </c>
      <c r="F373" t="n">
        <v>3.139119319610074</v>
      </c>
      <c r="G373">
        <f>IF(OR(F373="",E373=""),"",F373-E373)</f>
        <v/>
      </c>
      <c r="H373" t="n">
        <v>0.002165982249223189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0.0004653402003036945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0.0004653402003036945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0.0004653402003036945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0.0004653402003036945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1.651753058558825</v>
      </c>
      <c r="F378" t="n">
        <v>2.743190608906558</v>
      </c>
      <c r="G378">
        <f>IF(OR(F378="",E378=""),"",F378-E378)</f>
        <v/>
      </c>
      <c r="H378" t="n">
        <v>0.01955140239185482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1.969404126722973</v>
      </c>
      <c r="F379" t="n">
        <v>2.743190608906558</v>
      </c>
      <c r="G379">
        <f>IF(OR(F379="",E379=""),"",F379-E379)</f>
        <v/>
      </c>
      <c r="H379" t="n">
        <v>0.01955140239185482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3.2081591137888</v>
      </c>
      <c r="F380" t="n">
        <v>2.743190608906558</v>
      </c>
      <c r="G380">
        <f>IF(OR(F380="",E380=""),"",F380-E380)</f>
        <v/>
      </c>
      <c r="H380" t="n">
        <v>0.01955140239185482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2.110825621251378</v>
      </c>
      <c r="F381" t="n">
        <v>2.743190608906558</v>
      </c>
      <c r="G381">
        <f>IF(OR(F381="",E381=""),"",F381-E381)</f>
        <v/>
      </c>
      <c r="H381" t="n">
        <v>0.01955140239185482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2018</v>
      </c>
      <c r="E382" t="n">
        <v>2.39313580407825</v>
      </c>
      <c r="F382" t="n">
        <v>2.36224530866489</v>
      </c>
      <c r="G382">
        <f>IF(OR(F382="",E382=""),"",F382-E382)</f>
        <v/>
      </c>
      <c r="H382" t="n">
        <v>0.004307699399854103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2018</v>
      </c>
      <c r="E383" t="n">
        <v>1.65788346393998</v>
      </c>
      <c r="F383" t="n">
        <v>2.36224530866489</v>
      </c>
      <c r="G383">
        <f>IF(OR(F383="",E383=""),"",F383-E383)</f>
        <v/>
      </c>
      <c r="H383" t="n">
        <v>0.004307699399854103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Autumn2018</t>
        </is>
      </c>
      <c r="C384" t="inlineStr">
        <is>
          <t>Autumn</t>
        </is>
      </c>
      <c r="D384" t="n">
        <v>2018</v>
      </c>
      <c r="E384" t="n">
        <v>2.740700342709967</v>
      </c>
      <c r="F384" t="n">
        <v>2.36224530866489</v>
      </c>
      <c r="G384">
        <f>IF(OR(F384="",E384=""),"",F384-E384)</f>
        <v/>
      </c>
      <c r="H384" t="n">
        <v>0.004307699399854103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Spring2018</t>
        </is>
      </c>
      <c r="C385" t="inlineStr">
        <is>
          <t>Spring</t>
        </is>
      </c>
      <c r="D385" t="n">
        <v>2018</v>
      </c>
      <c r="E385" t="n">
        <v>2.802963050096263</v>
      </c>
      <c r="F385" t="n">
        <v>2.36224530866489</v>
      </c>
      <c r="G385">
        <f>IF(OR(F385="",E385=""),"",F385-E385)</f>
        <v/>
      </c>
      <c r="H385" t="n">
        <v>0.004307699399854103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Autumn2017</t>
        </is>
      </c>
      <c r="C386" t="inlineStr">
        <is>
          <t>Autumn</t>
        </is>
      </c>
      <c r="D386" t="n">
        <v>2018</v>
      </c>
      <c r="E386" t="n">
        <v>1.802338911935264</v>
      </c>
      <c r="F386" t="n">
        <v>1.860550192705469</v>
      </c>
      <c r="G386">
        <f>IF(OR(F386="",E386=""),"",F386-E386)</f>
        <v/>
      </c>
      <c r="H386" t="n">
        <v>0.0008732508120770123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Spring2017</t>
        </is>
      </c>
      <c r="C387" t="inlineStr">
        <is>
          <t>Spring</t>
        </is>
      </c>
      <c r="D387" t="n">
        <v>2018</v>
      </c>
      <c r="E387" t="n">
        <v>1.683052740046365</v>
      </c>
      <c r="F387" t="n">
        <v>1.860550192705469</v>
      </c>
      <c r="G387">
        <f>IF(OR(F387="",E387=""),"",F387-E387)</f>
        <v/>
      </c>
      <c r="H387" t="n">
        <v>0.0008732508120770123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Autumn2018</t>
        </is>
      </c>
      <c r="C388" t="inlineStr">
        <is>
          <t>Autumn</t>
        </is>
      </c>
      <c r="D388" t="n">
        <v>2018</v>
      </c>
      <c r="E388" t="n">
        <v>1.532383873463594</v>
      </c>
      <c r="F388" t="n">
        <v>1.860550192705469</v>
      </c>
      <c r="G388">
        <f>IF(OR(F388="",E388=""),"",F388-E388)</f>
        <v/>
      </c>
      <c r="H388" t="n">
        <v>0.0008732508120770123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Spring2018</t>
        </is>
      </c>
      <c r="C389" t="inlineStr">
        <is>
          <t>Spring</t>
        </is>
      </c>
      <c r="D389" t="n">
        <v>2018</v>
      </c>
      <c r="E389" t="n">
        <v>1.808334253332</v>
      </c>
      <c r="F389" t="n">
        <v>1.860550192705469</v>
      </c>
      <c r="G389">
        <f>IF(OR(F389="",E389=""),"",F389-E389)</f>
        <v/>
      </c>
      <c r="H389" t="n">
        <v>0.0008732508120770123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2.120786685385845</v>
      </c>
      <c r="F390" t="n">
        <v>1.267322781405923</v>
      </c>
      <c r="G390">
        <f>IF(OR(F390="",E390=""),"",F390-E390)</f>
        <v/>
      </c>
      <c r="H390" t="n">
        <v>0.002592886630570088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1.853976950650349</v>
      </c>
      <c r="F391" t="n">
        <v>1.267322781405923</v>
      </c>
      <c r="G391">
        <f>IF(OR(F391="",E391=""),"",F391-E391)</f>
        <v/>
      </c>
      <c r="H391" t="n">
        <v>0.002592886630570088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1.718160911387434</v>
      </c>
      <c r="F392" t="n">
        <v>1.267322781405923</v>
      </c>
      <c r="G392">
        <f>IF(OR(F392="",E392=""),"",F392-E392)</f>
        <v/>
      </c>
      <c r="H392" t="n">
        <v>0.002592886630570088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2.306204352303776</v>
      </c>
      <c r="F393" t="n">
        <v>1.267322781405923</v>
      </c>
      <c r="G393">
        <f>IF(OR(F393="",E393=""),"",F393-E393)</f>
        <v/>
      </c>
      <c r="H393" t="n">
        <v>0.002592886630570088</v>
      </c>
      <c r="I393" t="inlineStr">
        <is>
          <t>Above median</t>
        </is>
      </c>
    </row>
    <row r="394">
      <c r="A394" t="inlineStr">
        <is>
          <t>FI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2.654344590779423</v>
      </c>
      <c r="F394" t="n">
        <v>1.185856903043547</v>
      </c>
      <c r="G394">
        <f>IF(OR(F394="",E394=""),"",F394-E394)</f>
        <v/>
      </c>
      <c r="H394" t="n">
        <v>0.0004293942760772108</v>
      </c>
      <c r="I394" t="inlineStr">
        <is>
          <t>Above median</t>
        </is>
      </c>
    </row>
    <row r="395">
      <c r="A395" t="inlineStr">
        <is>
          <t>FI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1.745345139008192</v>
      </c>
      <c r="F395" t="n">
        <v>1.185856903043547</v>
      </c>
      <c r="G395">
        <f>IF(OR(F395="",E395=""),"",F395-E395)</f>
        <v/>
      </c>
      <c r="H395" t="n">
        <v>0.0004293942760772108</v>
      </c>
      <c r="I395" t="inlineStr">
        <is>
          <t>Above median</t>
        </is>
      </c>
    </row>
    <row r="396">
      <c r="A396" t="inlineStr">
        <is>
          <t>FI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2.88935300932982</v>
      </c>
      <c r="F396" t="n">
        <v>1.185856903043547</v>
      </c>
      <c r="G396">
        <f>IF(OR(F396="",E396=""),"",F396-E396)</f>
        <v/>
      </c>
      <c r="H396" t="n">
        <v>0.0004293942760772108</v>
      </c>
      <c r="I396" t="inlineStr">
        <is>
          <t>Above median</t>
        </is>
      </c>
    </row>
    <row r="397">
      <c r="A397" t="inlineStr">
        <is>
          <t>FI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2.519865182310288</v>
      </c>
      <c r="F397" t="n">
        <v>1.185856903043547</v>
      </c>
      <c r="G397">
        <f>IF(OR(F397="",E397=""),"",F397-E397)</f>
        <v/>
      </c>
      <c r="H397" t="n">
        <v>0.0004293942760772108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0.0004741618381988007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0.0004741618381988007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0.0004741618381988007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0.0004741618381988007</v>
      </c>
      <c r="I401" t="inlineStr">
        <is>
          <t>Above median</t>
        </is>
      </c>
    </row>
    <row r="402">
      <c r="A402" t="inlineStr">
        <is>
          <t>NL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2.719855882122268</v>
      </c>
      <c r="F402" t="n">
        <v>2.227648933574525</v>
      </c>
      <c r="G402">
        <f>IF(OR(F402="",E402=""),"",F402-E402)</f>
        <v/>
      </c>
      <c r="H402" t="n">
        <v>0.0231608823112768</v>
      </c>
      <c r="I402" t="inlineStr">
        <is>
          <t>Above median</t>
        </is>
      </c>
    </row>
    <row r="403">
      <c r="A403" t="inlineStr">
        <is>
          <t>NL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1.81696463155987</v>
      </c>
      <c r="F403" t="n">
        <v>2.227648933574525</v>
      </c>
      <c r="G403">
        <f>IF(OR(F403="",E403=""),"",F403-E403)</f>
        <v/>
      </c>
      <c r="H403" t="n">
        <v>0.0231608823112768</v>
      </c>
      <c r="I403" t="inlineStr">
        <is>
          <t>Above median</t>
        </is>
      </c>
    </row>
    <row r="404">
      <c r="A404" t="inlineStr">
        <is>
          <t>NL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2.836804692292016</v>
      </c>
      <c r="F404" t="n">
        <v>2.227648933574525</v>
      </c>
      <c r="G404">
        <f>IF(OR(F404="",E404=""),"",F404-E404)</f>
        <v/>
      </c>
      <c r="H404" t="n">
        <v>0.0231608823112768</v>
      </c>
      <c r="I404" t="inlineStr">
        <is>
          <t>Above median</t>
        </is>
      </c>
    </row>
    <row r="405">
      <c r="A405" t="inlineStr">
        <is>
          <t>NL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2.95040453130444</v>
      </c>
      <c r="F405" t="n">
        <v>2.227648933574525</v>
      </c>
      <c r="G405">
        <f>IF(OR(F405="",E405=""),"",F405-E405)</f>
        <v/>
      </c>
      <c r="H405" t="n">
        <v>0.0231608823112768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1.956993039697497</v>
      </c>
      <c r="F406" t="n">
        <v>1.685708482737397</v>
      </c>
      <c r="G406">
        <f>IF(OR(F406="",E406=""),"",F406-E406)</f>
        <v/>
      </c>
      <c r="H406" t="n">
        <v>0.004488110344736434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2.158686474515914</v>
      </c>
      <c r="F407" t="n">
        <v>1.685708482737397</v>
      </c>
      <c r="G407">
        <f>IF(OR(F407="",E407=""),"",F407-E407)</f>
        <v/>
      </c>
      <c r="H407" t="n">
        <v>0.004488110344736434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1.548243112232184</v>
      </c>
      <c r="F408" t="n">
        <v>1.685708482737397</v>
      </c>
      <c r="G408">
        <f>IF(OR(F408="",E408=""),"",F408-E408)</f>
        <v/>
      </c>
      <c r="H408" t="n">
        <v>0.004488110344736434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1.523271063063336</v>
      </c>
      <c r="F409" t="n">
        <v>1.685708482737397</v>
      </c>
      <c r="G409">
        <f>IF(OR(F409="",E409=""),"",F409-E409)</f>
        <v/>
      </c>
      <c r="H409" t="n">
        <v>0.004488110344736434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1.837083008004692</v>
      </c>
      <c r="F410" t="n">
        <v>1.110244719033926</v>
      </c>
      <c r="G410">
        <f>IF(OR(F410="",E410=""),"",F410-E410)</f>
        <v/>
      </c>
      <c r="H410" t="n">
        <v>0.002899026218331452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2.050241516126516</v>
      </c>
      <c r="F411" t="n">
        <v>1.110244719033926</v>
      </c>
      <c r="G411">
        <f>IF(OR(F411="",E411=""),"",F411-E411)</f>
        <v/>
      </c>
      <c r="H411" t="n">
        <v>0.002899026218331452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0.4365272822569155</v>
      </c>
      <c r="F412" t="n">
        <v>1.110244719033926</v>
      </c>
      <c r="G412">
        <f>IF(OR(F412="",E412=""),"",F412-E412)</f>
        <v/>
      </c>
      <c r="H412" t="n">
        <v>0.002899026218331452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0.5436249891991096</v>
      </c>
      <c r="F413" t="n">
        <v>1.110244719033926</v>
      </c>
      <c r="G413">
        <f>IF(OR(F413="",E413=""),"",F413-E413)</f>
        <v/>
      </c>
      <c r="H413" t="n">
        <v>0.002899026218331452</v>
      </c>
      <c r="I413" t="inlineStr">
        <is>
          <t>Above median</t>
        </is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4.529975693716137</v>
      </c>
      <c r="F414" t="n">
        <v>4.823763826344694</v>
      </c>
      <c r="G414">
        <f>IF(OR(F414="",E414=""),"",F414-E414)</f>
        <v/>
      </c>
      <c r="H414" t="n">
        <v>0.0004515435907302009</v>
      </c>
      <c r="I414" t="inlineStr">
        <is>
          <t>Above median</t>
        </is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4.058674421459818</v>
      </c>
      <c r="F415" t="n">
        <v>4.823763826344694</v>
      </c>
      <c r="G415">
        <f>IF(OR(F415="",E415=""),"",F415-E415)</f>
        <v/>
      </c>
      <c r="H415" t="n">
        <v>0.0004515435907302009</v>
      </c>
      <c r="I415" t="inlineStr">
        <is>
          <t>Above median</t>
        </is>
      </c>
    </row>
    <row r="416">
      <c r="A416" t="inlineStr">
        <is>
          <t>IE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5.63559357923733</v>
      </c>
      <c r="F416" t="n">
        <v>4.823763826344694</v>
      </c>
      <c r="G416">
        <f>IF(OR(F416="",E416=""),"",F416-E416)</f>
        <v/>
      </c>
      <c r="H416" t="n">
        <v>0.0004515435907302009</v>
      </c>
      <c r="I416" t="inlineStr">
        <is>
          <t>Above median</t>
        </is>
      </c>
    </row>
    <row r="417">
      <c r="A417" t="inlineStr">
        <is>
          <t>IE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3.759569376747196</v>
      </c>
      <c r="F417" t="n">
        <v>4.823763826344694</v>
      </c>
      <c r="G417">
        <f>IF(OR(F417="",E417=""),"",F417-E417)</f>
        <v/>
      </c>
      <c r="H417" t="n">
        <v>0.0004515435907302009</v>
      </c>
      <c r="I417" t="inlineStr">
        <is>
          <t>Above median</t>
        </is>
      </c>
    </row>
    <row r="418">
      <c r="A418" t="inlineStr">
        <is>
          <t>NL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2.397385517030304</v>
      </c>
      <c r="F418" t="n">
        <v>2.268792157142676</v>
      </c>
      <c r="G418">
        <f>IF(OR(F418="",E418=""),"",F418-E418)</f>
        <v/>
      </c>
      <c r="H418" t="n">
        <v>0.02513608296300211</v>
      </c>
      <c r="I418" t="inlineStr">
        <is>
          <t>Above median</t>
        </is>
      </c>
    </row>
    <row r="419">
      <c r="A419" t="inlineStr">
        <is>
          <t>NL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2.590339815475473</v>
      </c>
      <c r="F419" t="n">
        <v>2.268792157142676</v>
      </c>
      <c r="G419">
        <f>IF(OR(F419="",E419=""),"",F419-E419)</f>
        <v/>
      </c>
      <c r="H419" t="n">
        <v>0.02513608296300211</v>
      </c>
      <c r="I419" t="inlineStr">
        <is>
          <t>Above median</t>
        </is>
      </c>
    </row>
    <row r="420">
      <c r="A420" t="inlineStr">
        <is>
          <t>NL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1.699934171052897</v>
      </c>
      <c r="F420" t="n">
        <v>2.268792157142676</v>
      </c>
      <c r="G420">
        <f>IF(OR(F420="",E420=""),"",F420-E420)</f>
        <v/>
      </c>
      <c r="H420" t="n">
        <v>0.02513608296300211</v>
      </c>
      <c r="I420" t="inlineStr">
        <is>
          <t>Above median</t>
        </is>
      </c>
    </row>
    <row r="421">
      <c r="A421" t="inlineStr">
        <is>
          <t>NL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1.627911133653104</v>
      </c>
      <c r="F421" t="n">
        <v>2.268792157142676</v>
      </c>
      <c r="G421">
        <f>IF(OR(F421="",E421=""),"",F421-E421)</f>
        <v/>
      </c>
      <c r="H421" t="n">
        <v>0.02513608296300211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0.006606120127496323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0.006606120127496323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0.006606120127496323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0.006606120127496323</v>
      </c>
      <c r="I425" t="inlineStr">
        <is>
          <t>Above median</t>
        </is>
      </c>
    </row>
    <row r="426">
      <c r="A426" t="inlineStr">
        <is>
          <t>DE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1.009841973511283</v>
      </c>
      <c r="F426" t="n">
        <v>-4.501901267987128</v>
      </c>
      <c r="G426">
        <f>IF(OR(F426="",E426=""),"",F426-E426)</f>
        <v/>
      </c>
      <c r="H426" t="n">
        <v>0.003227788043993982</v>
      </c>
      <c r="I426" t="inlineStr">
        <is>
          <t>Above median</t>
        </is>
      </c>
    </row>
    <row r="427">
      <c r="A427" t="inlineStr">
        <is>
          <t>DE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1.545881539374183</v>
      </c>
      <c r="F427" t="n">
        <v>-4.501901267987128</v>
      </c>
      <c r="G427">
        <f>IF(OR(F427="",E427=""),"",F427-E427)</f>
        <v/>
      </c>
      <c r="H427" t="n">
        <v>0.003227788043993982</v>
      </c>
      <c r="I427" t="inlineStr">
        <is>
          <t>Above median</t>
        </is>
      </c>
    </row>
    <row r="428">
      <c r="A428" t="inlineStr">
        <is>
          <t>DE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-5.568204072502758</v>
      </c>
      <c r="F428" t="n">
        <v>-4.501901267987128</v>
      </c>
      <c r="G428">
        <f>IF(OR(F428="",E428=""),"",F428-E428)</f>
        <v/>
      </c>
      <c r="H428" t="n">
        <v>0.003227788043993982</v>
      </c>
      <c r="I428" t="inlineStr">
        <is>
          <t>Above median</t>
        </is>
      </c>
    </row>
    <row r="429">
      <c r="A429" t="inlineStr">
        <is>
          <t>DE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-6.469577184894426</v>
      </c>
      <c r="F429" t="n">
        <v>-4.501901267987128</v>
      </c>
      <c r="G429">
        <f>IF(OR(F429="",E429=""),"",F429-E429)</f>
        <v/>
      </c>
      <c r="H429" t="n">
        <v>0.003227788043993982</v>
      </c>
      <c r="I429" t="inlineStr">
        <is>
          <t>Above median</t>
        </is>
      </c>
    </row>
    <row r="430">
      <c r="A430" t="inlineStr">
        <is>
          <t>FR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1.285387661815784</v>
      </c>
      <c r="F430" t="n">
        <v>-7.912013894217821</v>
      </c>
      <c r="G430">
        <f>IF(OR(F430="",E430=""),"",F430-E430)</f>
        <v/>
      </c>
      <c r="H430" t="n">
        <v>0.0003873936970994312</v>
      </c>
      <c r="I430" t="inlineStr">
        <is>
          <t>Above median</t>
        </is>
      </c>
    </row>
    <row r="431">
      <c r="A431" t="inlineStr">
        <is>
          <t>FR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1.503749975943047</v>
      </c>
      <c r="F431" t="n">
        <v>-7.912013894217821</v>
      </c>
      <c r="G431">
        <f>IF(OR(F431="",E431=""),"",F431-E431)</f>
        <v/>
      </c>
      <c r="H431" t="n">
        <v>0.0003873936970994312</v>
      </c>
      <c r="I431" t="inlineStr">
        <is>
          <t>Above median</t>
        </is>
      </c>
    </row>
    <row r="432">
      <c r="A432" t="inlineStr">
        <is>
          <t>FR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-9.351142600997642</v>
      </c>
      <c r="F432" t="n">
        <v>-7.912013894217821</v>
      </c>
      <c r="G432">
        <f>IF(OR(F432="",E432=""),"",F432-E432)</f>
        <v/>
      </c>
      <c r="H432" t="n">
        <v>0.0003873936970994312</v>
      </c>
      <c r="I432" t="inlineStr">
        <is>
          <t>Above median</t>
        </is>
      </c>
    </row>
    <row r="433">
      <c r="A433" t="inlineStr">
        <is>
          <t>FR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-8.248298085436833</v>
      </c>
      <c r="F433" t="n">
        <v>-7.912013894217821</v>
      </c>
      <c r="G433">
        <f>IF(OR(F433="",E433=""),"",F433-E433)</f>
        <v/>
      </c>
      <c r="H433" t="n">
        <v>0.0003873936970994312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1.283121405819165</v>
      </c>
      <c r="F434" t="n">
        <v>-3.903950943482849</v>
      </c>
      <c r="G434">
        <f>IF(OR(F434="",E434=""),"",F434-E434)</f>
        <v/>
      </c>
      <c r="H434" t="n">
        <v>0.02869739548789638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1.619436814413677</v>
      </c>
      <c r="F435" t="n">
        <v>-3.903950943482849</v>
      </c>
      <c r="G435">
        <f>IF(OR(F435="",E435=""),"",F435-E435)</f>
        <v/>
      </c>
      <c r="H435" t="n">
        <v>0.02869739548789638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-5.322221758798595</v>
      </c>
      <c r="F436" t="n">
        <v>-3.903950943482849</v>
      </c>
      <c r="G436">
        <f>IF(OR(F436="",E436=""),"",F436-E436)</f>
        <v/>
      </c>
      <c r="H436" t="n">
        <v>0.02869739548789638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-6.84789638206369</v>
      </c>
      <c r="F437" t="n">
        <v>-3.903950943482849</v>
      </c>
      <c r="G437">
        <f>IF(OR(F437="",E437=""),"",F437-E437)</f>
        <v/>
      </c>
      <c r="H437" t="n">
        <v>0.02869739548789638</v>
      </c>
      <c r="I437" t="inlineStr">
        <is>
          <t>Above median</t>
        </is>
      </c>
    </row>
    <row r="438">
      <c r="A438" t="inlineStr">
        <is>
          <t>AT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4.115938410775266</v>
      </c>
      <c r="F438" t="n">
        <v>4.884871278301543</v>
      </c>
      <c r="G438">
        <f>IF(OR(F438="",E438=""),"",F438-E438)</f>
        <v/>
      </c>
      <c r="H438" t="n">
        <v>0.007001327795131728</v>
      </c>
      <c r="I438" t="inlineStr">
        <is>
          <t>Above median</t>
        </is>
      </c>
    </row>
    <row r="439">
      <c r="A439" t="inlineStr">
        <is>
          <t>AT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5.005279001887342</v>
      </c>
      <c r="F439" t="n">
        <v>4.884871278301543</v>
      </c>
      <c r="G439">
        <f>IF(OR(F439="",E439=""),"",F439-E439)</f>
        <v/>
      </c>
      <c r="H439" t="n">
        <v>0.007001327795131728</v>
      </c>
      <c r="I439" t="inlineStr">
        <is>
          <t>Above median</t>
        </is>
      </c>
    </row>
    <row r="440">
      <c r="A440" t="inlineStr">
        <is>
          <t>AT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4.403154287800781</v>
      </c>
      <c r="F440" t="n">
        <v>4.884871278301543</v>
      </c>
      <c r="G440">
        <f>IF(OR(F440="",E440=""),"",F440-E440)</f>
        <v/>
      </c>
      <c r="H440" t="n">
        <v>0.007001327795131728</v>
      </c>
      <c r="I440" t="inlineStr">
        <is>
          <t>Above median</t>
        </is>
      </c>
    </row>
    <row r="441">
      <c r="A441" t="inlineStr">
        <is>
          <t>AT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3.407915196652112</v>
      </c>
      <c r="F441" t="n">
        <v>4.884871278301543</v>
      </c>
      <c r="G441">
        <f>IF(OR(F441="",E441=""),"",F441-E441)</f>
        <v/>
      </c>
      <c r="H441" t="n">
        <v>0.007001327795131728</v>
      </c>
      <c r="I441" t="inlineStr">
        <is>
          <t>Above median</t>
        </is>
      </c>
    </row>
    <row r="442">
      <c r="A442" t="inlineStr">
        <is>
          <t>DE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3.516841814195537</v>
      </c>
      <c r="F442" t="n">
        <v>3.831452641785919</v>
      </c>
      <c r="G442">
        <f>IF(OR(F442="",E442=""),"",F442-E442)</f>
        <v/>
      </c>
      <c r="H442" t="n">
        <v>0.003455324015661036</v>
      </c>
      <c r="I442" t="inlineStr">
        <is>
          <t>Above median</t>
        </is>
      </c>
    </row>
    <row r="443">
      <c r="A443" t="inlineStr">
        <is>
          <t>DE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5.872379539050265</v>
      </c>
      <c r="F443" t="n">
        <v>3.831452641785919</v>
      </c>
      <c r="G443">
        <f>IF(OR(F443="",E443=""),"",F443-E443)</f>
        <v/>
      </c>
      <c r="H443" t="n">
        <v>0.003455324015661036</v>
      </c>
      <c r="I443" t="inlineStr">
        <is>
          <t>Above median</t>
        </is>
      </c>
    </row>
    <row r="444">
      <c r="A444" t="inlineStr">
        <is>
          <t>DE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2.734338923172808</v>
      </c>
      <c r="F444" t="n">
        <v>3.831452641785919</v>
      </c>
      <c r="G444">
        <f>IF(OR(F444="",E444=""),"",F444-E444)</f>
        <v/>
      </c>
      <c r="H444" t="n">
        <v>0.003455324015661036</v>
      </c>
      <c r="I444" t="inlineStr">
        <is>
          <t>Above median</t>
        </is>
      </c>
    </row>
    <row r="445">
      <c r="A445" t="inlineStr">
        <is>
          <t>DE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3.405406776981335</v>
      </c>
      <c r="F445" t="n">
        <v>3.831452641785919</v>
      </c>
      <c r="G445">
        <f>IF(OR(F445="",E445=""),"",F445-E445)</f>
        <v/>
      </c>
      <c r="H445" t="n">
        <v>0.003455324015661036</v>
      </c>
      <c r="I445" t="inlineStr">
        <is>
          <t>Above median</t>
        </is>
      </c>
    </row>
    <row r="446">
      <c r="A446" t="inlineStr">
        <is>
          <t>FI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2.900169440971712</v>
      </c>
      <c r="F446" t="n">
        <v>2.641572009022019</v>
      </c>
      <c r="G446">
        <f>IF(OR(F446="",E446=""),"",F446-E446)</f>
        <v/>
      </c>
      <c r="H446" t="n">
        <v>0.0005107252626341585</v>
      </c>
      <c r="I446" t="inlineStr">
        <is>
          <t>Above median</t>
        </is>
      </c>
    </row>
    <row r="447">
      <c r="A447" t="inlineStr">
        <is>
          <t>FI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3.673560818821353</v>
      </c>
      <c r="F447" t="n">
        <v>2.641572009022019</v>
      </c>
      <c r="G447">
        <f>IF(OR(F447="",E447=""),"",F447-E447)</f>
        <v/>
      </c>
      <c r="H447" t="n">
        <v>0.0005107252626341585</v>
      </c>
      <c r="I447" t="inlineStr">
        <is>
          <t>Above median</t>
        </is>
      </c>
    </row>
    <row r="448">
      <c r="A448" t="inlineStr">
        <is>
          <t>FI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3.40412762679374</v>
      </c>
      <c r="F448" t="n">
        <v>2.641572009022019</v>
      </c>
      <c r="G448">
        <f>IF(OR(F448="",E448=""),"",F448-E448)</f>
        <v/>
      </c>
      <c r="H448" t="n">
        <v>0.0005107252626341585</v>
      </c>
      <c r="I448" t="inlineStr">
        <is>
          <t>Above median</t>
        </is>
      </c>
    </row>
    <row r="449">
      <c r="A449" t="inlineStr">
        <is>
          <t>FI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2.739564988065335</v>
      </c>
      <c r="F449" t="n">
        <v>2.641572009022019</v>
      </c>
      <c r="G449">
        <f>IF(OR(F449="",E449=""),"",F449-E449)</f>
        <v/>
      </c>
      <c r="H449" t="n">
        <v>0.0005107252626341585</v>
      </c>
      <c r="I449" t="inlineStr">
        <is>
          <t>Above median</t>
        </is>
      </c>
    </row>
    <row r="450">
      <c r="A450" t="inlineStr">
        <is>
          <t>FR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5.795265902617808</v>
      </c>
      <c r="F450" t="n">
        <v>6.570188477254643</v>
      </c>
      <c r="G450">
        <f>IF(OR(F450="",E450=""),"",F450-E450)</f>
        <v/>
      </c>
      <c r="H450" t="n">
        <v>0.0004322148502679736</v>
      </c>
      <c r="I450" t="inlineStr">
        <is>
          <t>Above median</t>
        </is>
      </c>
    </row>
    <row r="451">
      <c r="A451" t="inlineStr">
        <is>
          <t>FR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7.401134491337769</v>
      </c>
      <c r="F451" t="n">
        <v>6.570188477254643</v>
      </c>
      <c r="G451">
        <f>IF(OR(F451="",E451=""),"",F451-E451)</f>
        <v/>
      </c>
      <c r="H451" t="n">
        <v>0.0004322148502679736</v>
      </c>
      <c r="I451" t="inlineStr">
        <is>
          <t>Above median</t>
        </is>
      </c>
    </row>
    <row r="452">
      <c r="A452" t="inlineStr">
        <is>
          <t>FR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6.542579429206707</v>
      </c>
      <c r="F452" t="n">
        <v>6.570188477254643</v>
      </c>
      <c r="G452">
        <f>IF(OR(F452="",E452=""),"",F452-E452)</f>
        <v/>
      </c>
      <c r="H452" t="n">
        <v>0.0004322148502679736</v>
      </c>
      <c r="I452" t="inlineStr">
        <is>
          <t>Above median</t>
        </is>
      </c>
    </row>
    <row r="453">
      <c r="A453" t="inlineStr">
        <is>
          <t>FR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5.714702673402861</v>
      </c>
      <c r="F453" t="n">
        <v>6.570188477254643</v>
      </c>
      <c r="G453">
        <f>IF(OR(F453="",E453=""),"",F453-E453)</f>
        <v/>
      </c>
      <c r="H453" t="n">
        <v>0.0004322148502679736</v>
      </c>
      <c r="I453" t="inlineStr">
        <is>
          <t>Above median</t>
        </is>
      </c>
    </row>
    <row r="454">
      <c r="A454" t="inlineStr">
        <is>
          <t>IE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2.947813244873676</v>
      </c>
      <c r="F454" t="n">
        <v>15.1246997065809</v>
      </c>
      <c r="G454">
        <f>IF(OR(F454="",E454=""),"",F454-E454)</f>
        <v/>
      </c>
      <c r="H454" t="n">
        <v>0.0004786603355250339</v>
      </c>
      <c r="I454" t="inlineStr">
        <is>
          <t>Above median</t>
        </is>
      </c>
    </row>
    <row r="455">
      <c r="A455" t="inlineStr">
        <is>
          <t>IE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6.084441522850637</v>
      </c>
      <c r="F455" t="n">
        <v>15.1246997065809</v>
      </c>
      <c r="G455">
        <f>IF(OR(F455="",E455=""),"",F455-E455)</f>
        <v/>
      </c>
      <c r="H455" t="n">
        <v>0.0004786603355250339</v>
      </c>
      <c r="I455" t="inlineStr">
        <is>
          <t>Above median</t>
        </is>
      </c>
    </row>
    <row r="456">
      <c r="A456" t="inlineStr">
        <is>
          <t>IE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14.56298111140442</v>
      </c>
      <c r="F456" t="n">
        <v>15.1246997065809</v>
      </c>
      <c r="G456">
        <f>IF(OR(F456="",E456=""),"",F456-E456)</f>
        <v/>
      </c>
      <c r="H456" t="n">
        <v>0.0004786603355250339</v>
      </c>
      <c r="I456" t="inlineStr">
        <is>
          <t>Above median</t>
        </is>
      </c>
    </row>
    <row r="457">
      <c r="A457" t="inlineStr">
        <is>
          <t>IE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4.59932575419888</v>
      </c>
      <c r="F457" t="n">
        <v>15.1246997065809</v>
      </c>
      <c r="G457">
        <f>IF(OR(F457="",E457=""),"",F457-E457)</f>
        <v/>
      </c>
      <c r="H457" t="n">
        <v>0.0004786603355250339</v>
      </c>
      <c r="I457" t="inlineStr">
        <is>
          <t>Above median</t>
        </is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0.03084467531941015</v>
      </c>
      <c r="I458" t="inlineStr">
        <is>
          <t>Above median</t>
        </is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0.03084467531941015</v>
      </c>
      <c r="I459" t="inlineStr">
        <is>
          <t>Above median</t>
        </is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0.03084467531941015</v>
      </c>
      <c r="I460" t="inlineStr">
        <is>
          <t>Above median</t>
        </is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0.03084467531941015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Autumn2021</t>
        </is>
      </c>
      <c r="C462" t="inlineStr">
        <is>
          <t>Autumn</t>
        </is>
      </c>
      <c r="D462" t="n">
        <v>2022</v>
      </c>
      <c r="E462" t="n">
        <v>4.888358052685327</v>
      </c>
      <c r="F462" t="n">
        <v>5.289900562096076</v>
      </c>
      <c r="G462">
        <f>IF(OR(F462="",E462=""),"",F462-E462)</f>
        <v/>
      </c>
      <c r="H462" t="n">
        <v>0.007081061579358835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Spring2021</t>
        </is>
      </c>
      <c r="C463" t="inlineStr">
        <is>
          <t>Spring</t>
        </is>
      </c>
      <c r="D463" t="n">
        <v>2022</v>
      </c>
      <c r="E463" t="n">
        <v>4.281464653761358</v>
      </c>
      <c r="F463" t="n">
        <v>5.289900562096076</v>
      </c>
      <c r="G463">
        <f>IF(OR(F463="",E463=""),"",F463-E463)</f>
        <v/>
      </c>
      <c r="H463" t="n">
        <v>0.007081061579358835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Autumn2022</t>
        </is>
      </c>
      <c r="C464" t="inlineStr">
        <is>
          <t>Autumn</t>
        </is>
      </c>
      <c r="D464" t="n">
        <v>2022</v>
      </c>
      <c r="E464" t="n">
        <v>4.646911666641573</v>
      </c>
      <c r="F464" t="n">
        <v>5.289900562096076</v>
      </c>
      <c r="G464">
        <f>IF(OR(F464="",E464=""),"",F464-E464)</f>
        <v/>
      </c>
      <c r="H464" t="n">
        <v>0.007081061579358835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Spring2022</t>
        </is>
      </c>
      <c r="C465" t="inlineStr">
        <is>
          <t>Spring</t>
        </is>
      </c>
      <c r="D465" t="n">
        <v>2022</v>
      </c>
      <c r="E465" t="n">
        <v>3.919646006806898</v>
      </c>
      <c r="F465" t="n">
        <v>5.289900562096076</v>
      </c>
      <c r="G465">
        <f>IF(OR(F465="",E465=""),"",F465-E465)</f>
        <v/>
      </c>
      <c r="H465" t="n">
        <v>0.007081061579358835</v>
      </c>
      <c r="I465" t="inlineStr">
        <is>
          <t>Above median</t>
        </is>
      </c>
    </row>
    <row r="466">
      <c r="A466" t="inlineStr">
        <is>
          <t>DE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4.592778443460088</v>
      </c>
      <c r="F466" t="n">
        <v>1.931834126476093</v>
      </c>
      <c r="G466">
        <f>IF(OR(F466="",E466=""),"",F466-E466)</f>
        <v/>
      </c>
      <c r="H466" t="n">
        <v>0.003666465859182284</v>
      </c>
      <c r="I466" t="inlineStr">
        <is>
          <t>Above median</t>
        </is>
      </c>
    </row>
    <row r="467">
      <c r="A467" t="inlineStr">
        <is>
          <t>DE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4.054769973410322</v>
      </c>
      <c r="F467" t="n">
        <v>1.931834126476093</v>
      </c>
      <c r="G467">
        <f>IF(OR(F467="",E467=""),"",F467-E467)</f>
        <v/>
      </c>
      <c r="H467" t="n">
        <v>0.003666465859182284</v>
      </c>
      <c r="I467" t="inlineStr">
        <is>
          <t>Above median</t>
        </is>
      </c>
    </row>
    <row r="468">
      <c r="A468" t="inlineStr">
        <is>
          <t>DE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1.55845355711639</v>
      </c>
      <c r="F468" t="n">
        <v>1.931834126476093</v>
      </c>
      <c r="G468">
        <f>IF(OR(F468="",E468=""),"",F468-E468)</f>
        <v/>
      </c>
      <c r="H468" t="n">
        <v>0.003666465859182284</v>
      </c>
      <c r="I468" t="inlineStr">
        <is>
          <t>Above median</t>
        </is>
      </c>
    </row>
    <row r="469">
      <c r="A469" t="inlineStr">
        <is>
          <t>DE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1.557968342243976</v>
      </c>
      <c r="F469" t="n">
        <v>1.931834126476093</v>
      </c>
      <c r="G469">
        <f>IF(OR(F469="",E469=""),"",F469-E469)</f>
        <v/>
      </c>
      <c r="H469" t="n">
        <v>0.003666465859182284</v>
      </c>
      <c r="I469" t="inlineStr">
        <is>
          <t>Above median</t>
        </is>
      </c>
    </row>
    <row r="470">
      <c r="A470" t="inlineStr">
        <is>
          <t>FI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2.827224586640664</v>
      </c>
      <c r="F470" t="n">
        <v>0.7600629155646718</v>
      </c>
      <c r="G470">
        <f>IF(OR(F470="",E470=""),"",F470-E470)</f>
        <v/>
      </c>
      <c r="H470" t="n">
        <v>0.0004803131356846544</v>
      </c>
      <c r="I470" t="inlineStr">
        <is>
          <t>Above median</t>
        </is>
      </c>
    </row>
    <row r="471">
      <c r="A471" t="inlineStr">
        <is>
          <t>FI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2.751701241130511</v>
      </c>
      <c r="F471" t="n">
        <v>0.7600629155646718</v>
      </c>
      <c r="G471">
        <f>IF(OR(F471="",E471=""),"",F471-E471)</f>
        <v/>
      </c>
      <c r="H471" t="n">
        <v>0.0004803131356846544</v>
      </c>
      <c r="I471" t="inlineStr">
        <is>
          <t>Above median</t>
        </is>
      </c>
    </row>
    <row r="472">
      <c r="A472" t="inlineStr">
        <is>
          <t>FI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2.327853537647107</v>
      </c>
      <c r="F472" t="n">
        <v>0.7600629155646718</v>
      </c>
      <c r="G472">
        <f>IF(OR(F472="",E472=""),"",F472-E472)</f>
        <v/>
      </c>
      <c r="H472" t="n">
        <v>0.0004803131356846544</v>
      </c>
      <c r="I472" t="inlineStr">
        <is>
          <t>Above median</t>
        </is>
      </c>
    </row>
    <row r="473">
      <c r="A473" t="inlineStr">
        <is>
          <t>FI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1.603112304026943</v>
      </c>
      <c r="F473" t="n">
        <v>0.7600629155646718</v>
      </c>
      <c r="G473">
        <f>IF(OR(F473="",E473=""),"",F473-E473)</f>
        <v/>
      </c>
      <c r="H473" t="n">
        <v>0.0004803131356846544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3.766147557940314</v>
      </c>
      <c r="F474" t="n">
        <v>2.761671160127166</v>
      </c>
      <c r="G474">
        <f>IF(OR(F474="",E474=""),"",F474-E474)</f>
        <v/>
      </c>
      <c r="H474" t="n">
        <v>0.0007348831804684841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4.211477073724845</v>
      </c>
      <c r="F475" t="n">
        <v>2.761671160127166</v>
      </c>
      <c r="G475">
        <f>IF(OR(F475="",E475=""),"",F475-E475)</f>
        <v/>
      </c>
      <c r="H475" t="n">
        <v>0.0007348831804684841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2.629458440119525</v>
      </c>
      <c r="F476" t="n">
        <v>2.761671160127166</v>
      </c>
      <c r="G476">
        <f>IF(OR(F476="",E476=""),"",F476-E476)</f>
        <v/>
      </c>
      <c r="H476" t="n">
        <v>0.0007348831804684841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3.098952418316858</v>
      </c>
      <c r="F477" t="n">
        <v>2.761671160127166</v>
      </c>
      <c r="G477">
        <f>IF(OR(F477="",E477=""),"",F477-E477)</f>
        <v/>
      </c>
      <c r="H477" t="n">
        <v>0.0007348831804684841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5.091872298073152</v>
      </c>
      <c r="F478" t="n">
        <v>7.989444336924596</v>
      </c>
      <c r="G478">
        <f>IF(OR(F478="",E478=""),"",F478-E478)</f>
        <v/>
      </c>
      <c r="H478" t="n">
        <v>0.0004671934033553036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4.975986839927704</v>
      </c>
      <c r="F479" t="n">
        <v>7.989444336924596</v>
      </c>
      <c r="G479">
        <f>IF(OR(F479="",E479=""),"",F479-E479)</f>
        <v/>
      </c>
      <c r="H479" t="n">
        <v>0.0004671934033553036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7.871083766264508</v>
      </c>
      <c r="F480" t="n">
        <v>7.989444336924596</v>
      </c>
      <c r="G480">
        <f>IF(OR(F480="",E480=""),"",F480-E480)</f>
        <v/>
      </c>
      <c r="H480" t="n">
        <v>0.0004671934033553036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5.381686196249635</v>
      </c>
      <c r="F481" t="n">
        <v>7.989444336924596</v>
      </c>
      <c r="G481">
        <f>IF(OR(F481="",E481=""),"",F481-E481)</f>
        <v/>
      </c>
      <c r="H481" t="n">
        <v>0.0004671934033553036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3.348977083556104</v>
      </c>
      <c r="F482" t="n">
        <v>4.889291210402315</v>
      </c>
      <c r="G482">
        <f>IF(OR(F482="",E482=""),"",F482-E482)</f>
        <v/>
      </c>
      <c r="H482" t="n">
        <v>0.03054982809633322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3.579048671287688</v>
      </c>
      <c r="F483" t="n">
        <v>4.889291210402315</v>
      </c>
      <c r="G483">
        <f>IF(OR(F483="",E483=""),"",F483-E483)</f>
        <v/>
      </c>
      <c r="H483" t="n">
        <v>0.03054982809633322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4.649019663074072</v>
      </c>
      <c r="F484" t="n">
        <v>4.889291210402315</v>
      </c>
      <c r="G484">
        <f>IF(OR(F484="",E484=""),"",F484-E484)</f>
        <v/>
      </c>
      <c r="H484" t="n">
        <v>0.03054982809633322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3.271330674458595</v>
      </c>
      <c r="F485" t="n">
        <v>4.889291210402315</v>
      </c>
      <c r="G485">
        <f>IF(OR(F485="",E485=""),"",F485-E485)</f>
        <v/>
      </c>
      <c r="H485" t="n">
        <v>0.03054982809633322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Autumn2022</t>
        </is>
      </c>
      <c r="C486" t="inlineStr">
        <is>
          <t>Autumn</t>
        </is>
      </c>
      <c r="D486" t="n">
        <v>2023</v>
      </c>
      <c r="E486" t="n">
        <v>0.3033562315996052</v>
      </c>
      <c r="F486" t="n">
        <v>-0.6768389272940647</v>
      </c>
      <c r="G486">
        <f>IF(OR(F486="",E486=""),"",F486-E486)</f>
        <v/>
      </c>
      <c r="H486" t="n">
        <v>0.008340484800612514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Spring2022</t>
        </is>
      </c>
      <c r="C487" t="inlineStr">
        <is>
          <t>Spring</t>
        </is>
      </c>
      <c r="D487" t="n">
        <v>2023</v>
      </c>
      <c r="E487" t="n">
        <v>1.874018674886258</v>
      </c>
      <c r="F487" t="n">
        <v>-0.6768389272940647</v>
      </c>
      <c r="G487">
        <f>IF(OR(F487="",E487=""),"",F487-E487)</f>
        <v/>
      </c>
      <c r="H487" t="n">
        <v>0.008340484800612514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Autumn2023</t>
        </is>
      </c>
      <c r="C488" t="inlineStr">
        <is>
          <t>Autumn</t>
        </is>
      </c>
      <c r="D488" t="n">
        <v>2023</v>
      </c>
      <c r="E488" t="n">
        <v>-0.5465643960594901</v>
      </c>
      <c r="F488" t="n">
        <v>-0.6768389272940647</v>
      </c>
      <c r="G488">
        <f>IF(OR(F488="",E488=""),"",F488-E488)</f>
        <v/>
      </c>
      <c r="H488" t="n">
        <v>0.008340484800612514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Spring2023</t>
        </is>
      </c>
      <c r="C489" t="inlineStr">
        <is>
          <t>Spring</t>
        </is>
      </c>
      <c r="D489" t="n">
        <v>2023</v>
      </c>
      <c r="E489" t="n">
        <v>0.393397864180578</v>
      </c>
      <c r="F489" t="n">
        <v>-0.6768389272940647</v>
      </c>
      <c r="G489">
        <f>IF(OR(F489="",E489=""),"",F489-E489)</f>
        <v/>
      </c>
      <c r="H489" t="n">
        <v>0.008340484800612514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Autumn2022</t>
        </is>
      </c>
      <c r="C490" t="inlineStr">
        <is>
          <t>Autumn</t>
        </is>
      </c>
      <c r="D490" t="n">
        <v>2023</v>
      </c>
      <c r="E490" t="n">
        <v>-0.6259552448300343</v>
      </c>
      <c r="F490" t="n">
        <v>-0.8168910842708624</v>
      </c>
      <c r="G490">
        <f>IF(OR(F490="",E490=""),"",F490-E490)</f>
        <v/>
      </c>
      <c r="H490" t="n">
        <v>0.004714622271698554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Spring2022</t>
        </is>
      </c>
      <c r="C491" t="inlineStr">
        <is>
          <t>Spring</t>
        </is>
      </c>
      <c r="D491" t="n">
        <v>2023</v>
      </c>
      <c r="E491" t="n">
        <v>2.409031659139682</v>
      </c>
      <c r="F491" t="n">
        <v>-0.8168910842708624</v>
      </c>
      <c r="G491">
        <f>IF(OR(F491="",E491=""),"",F491-E491)</f>
        <v/>
      </c>
      <c r="H491" t="n">
        <v>0.004714622271698554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Autumn2023</t>
        </is>
      </c>
      <c r="C492" t="inlineStr">
        <is>
          <t>Autumn</t>
        </is>
      </c>
      <c r="D492" t="n">
        <v>2023</v>
      </c>
      <c r="E492" t="n">
        <v>-0.2733491870976157</v>
      </c>
      <c r="F492" t="n">
        <v>-0.8168910842708624</v>
      </c>
      <c r="G492">
        <f>IF(OR(F492="",E492=""),"",F492-E492)</f>
        <v/>
      </c>
      <c r="H492" t="n">
        <v>0.004714622271698554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Spring2023</t>
        </is>
      </c>
      <c r="C493" t="inlineStr">
        <is>
          <t>Spring</t>
        </is>
      </c>
      <c r="D493" t="n">
        <v>2023</v>
      </c>
      <c r="E493" t="n">
        <v>0.1895730527823769</v>
      </c>
      <c r="F493" t="n">
        <v>-0.8168910842708624</v>
      </c>
      <c r="G493">
        <f>IF(OR(F493="",E493=""),"",F493-E493)</f>
        <v/>
      </c>
      <c r="H493" t="n">
        <v>0.004714622271698554</v>
      </c>
      <c r="I493" t="inlineStr">
        <is>
          <t>Above median</t>
        </is>
      </c>
    </row>
    <row r="494">
      <c r="A494" t="inlineStr">
        <is>
          <t>FI</t>
        </is>
      </c>
      <c r="B494" t="inlineStr">
        <is>
          <t>Autumn2022</t>
        </is>
      </c>
      <c r="C494" t="inlineStr">
        <is>
          <t>Autumn</t>
        </is>
      </c>
      <c r="D494" t="n">
        <v>2023</v>
      </c>
      <c r="E494" t="n">
        <v>0.2399878611282436</v>
      </c>
      <c r="F494" t="n">
        <v>-1.298005405307383</v>
      </c>
      <c r="G494">
        <f>IF(OR(F494="",E494=""),"",F494-E494)</f>
        <v/>
      </c>
      <c r="H494" t="n">
        <v>0.0008658865674338701</v>
      </c>
      <c r="I494" t="inlineStr">
        <is>
          <t>Above median</t>
        </is>
      </c>
    </row>
    <row r="495">
      <c r="A495" t="inlineStr">
        <is>
          <t>FI</t>
        </is>
      </c>
      <c r="B495" t="inlineStr">
        <is>
          <t>Spring2022</t>
        </is>
      </c>
      <c r="C495" t="inlineStr">
        <is>
          <t>Spring</t>
        </is>
      </c>
      <c r="D495" t="n">
        <v>2023</v>
      </c>
      <c r="E495" t="n">
        <v>1.664320363648697</v>
      </c>
      <c r="F495" t="n">
        <v>-1.298005405307383</v>
      </c>
      <c r="G495">
        <f>IF(OR(F495="",E495=""),"",F495-E495)</f>
        <v/>
      </c>
      <c r="H495" t="n">
        <v>0.0008658865674338701</v>
      </c>
      <c r="I495" t="inlineStr">
        <is>
          <t>Above median</t>
        </is>
      </c>
    </row>
    <row r="496">
      <c r="A496" t="inlineStr">
        <is>
          <t>FI</t>
        </is>
      </c>
      <c r="B496" t="inlineStr">
        <is>
          <t>Autumn2023</t>
        </is>
      </c>
      <c r="C496" t="inlineStr">
        <is>
          <t>Autumn</t>
        </is>
      </c>
      <c r="D496" t="n">
        <v>2023</v>
      </c>
      <c r="E496" t="n">
        <v>0.1370597471564761</v>
      </c>
      <c r="F496" t="n">
        <v>-1.298005405307383</v>
      </c>
      <c r="G496">
        <f>IF(OR(F496="",E496=""),"",F496-E496)</f>
        <v/>
      </c>
      <c r="H496" t="n">
        <v>0.0008658865674338701</v>
      </c>
      <c r="I496" t="inlineStr">
        <is>
          <t>Above median</t>
        </is>
      </c>
    </row>
    <row r="497">
      <c r="A497" t="inlineStr">
        <is>
          <t>FI</t>
        </is>
      </c>
      <c r="B497" t="inlineStr">
        <is>
          <t>Spring2023</t>
        </is>
      </c>
      <c r="C497" t="inlineStr">
        <is>
          <t>Spring</t>
        </is>
      </c>
      <c r="D497" t="n">
        <v>2023</v>
      </c>
      <c r="E497" t="n">
        <v>0.1978909161836295</v>
      </c>
      <c r="F497" t="n">
        <v>-1.298005405307383</v>
      </c>
      <c r="G497">
        <f>IF(OR(F497="",E497=""),"",F497-E497)</f>
        <v/>
      </c>
      <c r="H497" t="n">
        <v>0.0008658865674338701</v>
      </c>
      <c r="I497" t="inlineStr">
        <is>
          <t>Above median</t>
        </is>
      </c>
    </row>
    <row r="498">
      <c r="A498" t="inlineStr">
        <is>
          <t>FR</t>
        </is>
      </c>
      <c r="B498" t="inlineStr">
        <is>
          <t>Autumn2022</t>
        </is>
      </c>
      <c r="C498" t="inlineStr">
        <is>
          <t>Autumn</t>
        </is>
      </c>
      <c r="D498" t="n">
        <v>2023</v>
      </c>
      <c r="E498" t="n">
        <v>0.4395065145862631</v>
      </c>
      <c r="F498" t="n">
        <v>1.802247083175507</v>
      </c>
      <c r="G498">
        <f>IF(OR(F498="",E498=""),"",F498-E498)</f>
        <v/>
      </c>
      <c r="H498" t="n">
        <v>0.0006534637938468001</v>
      </c>
      <c r="I498" t="inlineStr">
        <is>
          <t>Above median</t>
        </is>
      </c>
    </row>
    <row r="499">
      <c r="A499" t="inlineStr">
        <is>
          <t>FR</t>
        </is>
      </c>
      <c r="B499" t="inlineStr">
        <is>
          <t>Spring2022</t>
        </is>
      </c>
      <c r="C499" t="inlineStr">
        <is>
          <t>Spring</t>
        </is>
      </c>
      <c r="D499" t="n">
        <v>2023</v>
      </c>
      <c r="E499" t="n">
        <v>1.769109124061696</v>
      </c>
      <c r="F499" t="n">
        <v>1.802247083175507</v>
      </c>
      <c r="G499">
        <f>IF(OR(F499="",E499=""),"",F499-E499)</f>
        <v/>
      </c>
      <c r="H499" t="n">
        <v>0.0006534637938468001</v>
      </c>
      <c r="I499" t="inlineStr">
        <is>
          <t>Above median</t>
        </is>
      </c>
    </row>
    <row r="500">
      <c r="A500" t="inlineStr">
        <is>
          <t>FR</t>
        </is>
      </c>
      <c r="B500" t="inlineStr">
        <is>
          <t>Autumn2023</t>
        </is>
      </c>
      <c r="C500" t="inlineStr">
        <is>
          <t>Autumn</t>
        </is>
      </c>
      <c r="D500" t="n">
        <v>2023</v>
      </c>
      <c r="E500" t="n">
        <v>1.002276295034399</v>
      </c>
      <c r="F500" t="n">
        <v>1.802247083175507</v>
      </c>
      <c r="G500">
        <f>IF(OR(F500="",E500=""),"",F500-E500)</f>
        <v/>
      </c>
      <c r="H500" t="n">
        <v>0.0006534637938468001</v>
      </c>
      <c r="I500" t="inlineStr">
        <is>
          <t>Above median</t>
        </is>
      </c>
    </row>
    <row r="501">
      <c r="A501" t="inlineStr">
        <is>
          <t>FR</t>
        </is>
      </c>
      <c r="B501" t="inlineStr">
        <is>
          <t>Spring2023</t>
        </is>
      </c>
      <c r="C501" t="inlineStr">
        <is>
          <t>Spring</t>
        </is>
      </c>
      <c r="D501" t="n">
        <v>2023</v>
      </c>
      <c r="E501" t="n">
        <v>0.7242602636413187</v>
      </c>
      <c r="F501" t="n">
        <v>1.802247083175507</v>
      </c>
      <c r="G501">
        <f>IF(OR(F501="",E501=""),"",F501-E501)</f>
        <v/>
      </c>
      <c r="H501" t="n">
        <v>0.0006534637938468001</v>
      </c>
      <c r="I501" t="inlineStr">
        <is>
          <t>Above median</t>
        </is>
      </c>
    </row>
    <row r="502">
      <c r="A502" t="inlineStr">
        <is>
          <t>IE</t>
        </is>
      </c>
      <c r="B502" t="inlineStr">
        <is>
          <t>Autumn2022</t>
        </is>
      </c>
      <c r="C502" t="inlineStr">
        <is>
          <t>Autumn</t>
        </is>
      </c>
      <c r="D502" t="n">
        <v>2023</v>
      </c>
      <c r="E502" t="n">
        <v>3.172255506856847</v>
      </c>
      <c r="F502" t="n">
        <v>-3.520510301376442</v>
      </c>
      <c r="G502">
        <f>IF(OR(F502="",E502=""),"",F502-E502)</f>
        <v/>
      </c>
      <c r="H502" t="n">
        <v>0.000725600897939218</v>
      </c>
      <c r="I502" t="inlineStr">
        <is>
          <t>Above median</t>
        </is>
      </c>
    </row>
    <row r="503">
      <c r="A503" t="inlineStr">
        <is>
          <t>IE</t>
        </is>
      </c>
      <c r="B503" t="inlineStr">
        <is>
          <t>Spring2022</t>
        </is>
      </c>
      <c r="C503" t="inlineStr">
        <is>
          <t>Spring</t>
        </is>
      </c>
      <c r="D503" t="n">
        <v>2023</v>
      </c>
      <c r="E503" t="n">
        <v>4.434831401716832</v>
      </c>
      <c r="F503" t="n">
        <v>-3.520510301376442</v>
      </c>
      <c r="G503">
        <f>IF(OR(F503="",E503=""),"",F503-E503)</f>
        <v/>
      </c>
      <c r="H503" t="n">
        <v>0.000725600897939218</v>
      </c>
      <c r="I503" t="inlineStr">
        <is>
          <t>Above median</t>
        </is>
      </c>
    </row>
    <row r="504">
      <c r="A504" t="inlineStr">
        <is>
          <t>IE</t>
        </is>
      </c>
      <c r="B504" t="inlineStr">
        <is>
          <t>Autumn2023</t>
        </is>
      </c>
      <c r="C504" t="inlineStr">
        <is>
          <t>Autumn</t>
        </is>
      </c>
      <c r="D504" t="n">
        <v>2023</v>
      </c>
      <c r="E504" t="n">
        <v>-0.9349560050788241</v>
      </c>
      <c r="F504" t="n">
        <v>-3.520510301376442</v>
      </c>
      <c r="G504">
        <f>IF(OR(F504="",E504=""),"",F504-E504)</f>
        <v/>
      </c>
      <c r="H504" t="n">
        <v>0.000725600897939218</v>
      </c>
      <c r="I504" t="inlineStr">
        <is>
          <t>Above median</t>
        </is>
      </c>
    </row>
    <row r="505">
      <c r="A505" t="inlineStr">
        <is>
          <t>IE</t>
        </is>
      </c>
      <c r="B505" t="inlineStr">
        <is>
          <t>Spring2023</t>
        </is>
      </c>
      <c r="C505" t="inlineStr">
        <is>
          <t>Spring</t>
        </is>
      </c>
      <c r="D505" t="n">
        <v>2023</v>
      </c>
      <c r="E505" t="n">
        <v>5.517073045513365</v>
      </c>
      <c r="F505" t="n">
        <v>-3.520510301376442</v>
      </c>
      <c r="G505">
        <f>IF(OR(F505="",E505=""),"",F505-E505)</f>
        <v/>
      </c>
      <c r="H505" t="n">
        <v>0.000725600897939218</v>
      </c>
      <c r="I505" t="inlineStr">
        <is>
          <t>Above median</t>
        </is>
      </c>
    </row>
    <row r="506">
      <c r="A506" t="inlineStr">
        <is>
          <t>IT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0.3147371586091685</v>
      </c>
      <c r="F506" t="n">
        <v>1.014274087639002</v>
      </c>
      <c r="G506">
        <f>IF(OR(F506="",E506=""),"",F506-E506)</f>
        <v/>
      </c>
      <c r="H506" t="n">
        <v>0.0004770211967756544</v>
      </c>
      <c r="I506" t="inlineStr">
        <is>
          <t>Above median</t>
        </is>
      </c>
    </row>
    <row r="507">
      <c r="A507" t="inlineStr">
        <is>
          <t>IT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1.851291422718337</v>
      </c>
      <c r="F507" t="n">
        <v>1.014274087639002</v>
      </c>
      <c r="G507">
        <f>IF(OR(F507="",E507=""),"",F507-E507)</f>
        <v/>
      </c>
      <c r="H507" t="n">
        <v>0.0004770211967756544</v>
      </c>
      <c r="I507" t="inlineStr">
        <is>
          <t>Above median</t>
        </is>
      </c>
    </row>
    <row r="508">
      <c r="A508" t="inlineStr">
        <is>
          <t>IT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0.6915731805126502</v>
      </c>
      <c r="F508" t="n">
        <v>1.014274087639002</v>
      </c>
      <c r="G508">
        <f>IF(OR(F508="",E508=""),"",F508-E508)</f>
        <v/>
      </c>
      <c r="H508" t="n">
        <v>0.0004770211967756544</v>
      </c>
      <c r="I508" t="inlineStr">
        <is>
          <t>Above median</t>
        </is>
      </c>
    </row>
    <row r="509">
      <c r="A509" t="inlineStr">
        <is>
          <t>IT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1.206598132351089</v>
      </c>
      <c r="F509" t="n">
        <v>1.014274087639002</v>
      </c>
      <c r="G509">
        <f>IF(OR(F509="",E509=""),"",F509-E509)</f>
        <v/>
      </c>
      <c r="H509" t="n">
        <v>0.0004770211967756544</v>
      </c>
      <c r="I509" t="inlineStr">
        <is>
          <t>Above median</t>
        </is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0.03592341469199693</v>
      </c>
      <c r="I510" t="inlineStr">
        <is>
          <t>Above median</t>
        </is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1.568250017019501</v>
      </c>
      <c r="F511" t="n">
        <v>-0.5846935562217797</v>
      </c>
      <c r="G511">
        <f>IF(OR(F511="",E511=""),"",F511-E511)</f>
        <v/>
      </c>
      <c r="H511" t="n">
        <v>0.03592341469199693</v>
      </c>
      <c r="I511" t="inlineStr">
        <is>
          <t>Above median</t>
        </is>
      </c>
    </row>
    <row r="512">
      <c r="A512" t="inlineStr">
        <is>
          <t>NL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0.5799247285826814</v>
      </c>
      <c r="F512" t="n">
        <v>-0.5846935562217797</v>
      </c>
      <c r="G512">
        <f>IF(OR(F512="",E512=""),"",F512-E512)</f>
        <v/>
      </c>
      <c r="H512" t="n">
        <v>0.03592341469199693</v>
      </c>
      <c r="I512" t="inlineStr">
        <is>
          <t>Above median</t>
        </is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0.03592341469199693</v>
      </c>
      <c r="I513" t="inlineStr">
        <is>
          <t>Above median</t>
        </is>
      </c>
    </row>
    <row r="514">
      <c r="A514" t="inlineStr">
        <is>
          <t>AT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1.003014698305593</v>
      </c>
      <c r="F514" t="n">
        <v>-0.8336012888591199</v>
      </c>
      <c r="G514">
        <f>IF(OR(F514="",E514=""),"",F514-E514)</f>
        <v/>
      </c>
      <c r="H514" t="n">
        <v>0.009417169553275298</v>
      </c>
      <c r="I514" t="inlineStr">
        <is>
          <t>Above median</t>
        </is>
      </c>
    </row>
    <row r="515">
      <c r="A515" t="inlineStr">
        <is>
          <t>AT</t>
        </is>
      </c>
      <c r="B515" t="inlineStr">
        <is>
          <t>Spring2023</t>
        </is>
      </c>
      <c r="C515" t="inlineStr">
        <is>
          <t>Spring</t>
        </is>
      </c>
      <c r="D515" t="n">
        <v>2024</v>
      </c>
      <c r="E515" t="n">
        <v>1.612734355819456</v>
      </c>
      <c r="F515" t="n">
        <v>-0.8336012888591199</v>
      </c>
      <c r="G515">
        <f>IF(OR(F515="",E515=""),"",F515-E515)</f>
        <v/>
      </c>
      <c r="H515" t="n">
        <v>0.009417169553275298</v>
      </c>
      <c r="I515" t="inlineStr">
        <is>
          <t>Above median</t>
        </is>
      </c>
    </row>
    <row r="516">
      <c r="A516" t="inlineStr">
        <is>
          <t>AT</t>
        </is>
      </c>
      <c r="B516" t="inlineStr">
        <is>
          <t>Autumn2024</t>
        </is>
      </c>
      <c r="C516" t="inlineStr">
        <is>
          <t>Autumn</t>
        </is>
      </c>
      <c r="D516" t="n">
        <v>2024</v>
      </c>
      <c r="E516" t="n">
        <v>-0.6216484368199215</v>
      </c>
      <c r="F516" t="n">
        <v>-0.8336012888591199</v>
      </c>
      <c r="G516">
        <f>IF(OR(F516="",E516=""),"",F516-E516)</f>
        <v/>
      </c>
      <c r="H516" t="n">
        <v>0.009417169553275298</v>
      </c>
      <c r="I516" t="inlineStr">
        <is>
          <t>Above median</t>
        </is>
      </c>
    </row>
    <row r="517">
      <c r="A517" t="inlineStr">
        <is>
          <t>AT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0.2911197737813565</v>
      </c>
      <c r="F517" t="n">
        <v>-0.8336012888591199</v>
      </c>
      <c r="G517">
        <f>IF(OR(F517="",E517=""),"",F517-E517)</f>
        <v/>
      </c>
      <c r="H517" t="n">
        <v>0.009417169553275298</v>
      </c>
      <c r="I517" t="inlineStr">
        <is>
          <t>Above median</t>
        </is>
      </c>
    </row>
    <row r="518">
      <c r="A518" t="inlineStr">
        <is>
          <t>DE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0.8045058451062292</v>
      </c>
      <c r="F518" t="n">
        <v>0.04052339456431485</v>
      </c>
      <c r="G518">
        <f>IF(OR(F518="",E518=""),"",F518-E518)</f>
        <v/>
      </c>
      <c r="H518" t="n">
        <v>0.005260769765883383</v>
      </c>
      <c r="I518" t="inlineStr">
        <is>
          <t>Above median</t>
        </is>
      </c>
    </row>
    <row r="519">
      <c r="A519" t="inlineStr">
        <is>
          <t>DE</t>
        </is>
      </c>
      <c r="B519" t="inlineStr">
        <is>
          <t>Spring2023</t>
        </is>
      </c>
      <c r="C519" t="inlineStr">
        <is>
          <t>Spring</t>
        </is>
      </c>
      <c r="D519" t="n">
        <v>2024</v>
      </c>
      <c r="E519" t="n">
        <v>1.358688832068133</v>
      </c>
      <c r="F519" t="n">
        <v>0.04052339456431485</v>
      </c>
      <c r="G519">
        <f>IF(OR(F519="",E519=""),"",F519-E519)</f>
        <v/>
      </c>
      <c r="H519" t="n">
        <v>0.005260769765883383</v>
      </c>
      <c r="I519" t="inlineStr">
        <is>
          <t>Above median</t>
        </is>
      </c>
    </row>
    <row r="520">
      <c r="A520" t="inlineStr">
        <is>
          <t>DE</t>
        </is>
      </c>
      <c r="B520" t="inlineStr">
        <is>
          <t>Autumn2024</t>
        </is>
      </c>
      <c r="C520" t="inlineStr">
        <is>
          <t>Autumn</t>
        </is>
      </c>
      <c r="D520" t="n">
        <v>2024</v>
      </c>
      <c r="E520" t="n">
        <v>-0.1114510968873272</v>
      </c>
      <c r="F520" t="n">
        <v>0.04052339456431485</v>
      </c>
      <c r="G520">
        <f>IF(OR(F520="",E520=""),"",F520-E520)</f>
        <v/>
      </c>
      <c r="H520" t="n">
        <v>0.005260769765883383</v>
      </c>
      <c r="I520" t="inlineStr">
        <is>
          <t>Above median</t>
        </is>
      </c>
    </row>
    <row r="521">
      <c r="A521" t="inlineStr">
        <is>
          <t>DE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0.1275365656890015</v>
      </c>
      <c r="F521" t="n">
        <v>0.04052339456431485</v>
      </c>
      <c r="G521">
        <f>IF(OR(F521="",E521=""),"",F521-E521)</f>
        <v/>
      </c>
      <c r="H521" t="n">
        <v>0.005260769765883383</v>
      </c>
      <c r="I521" t="inlineStr">
        <is>
          <t>Above median</t>
        </is>
      </c>
    </row>
    <row r="522">
      <c r="A522" t="inlineStr">
        <is>
          <t>FI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0.8259921956103033</v>
      </c>
      <c r="F522" t="n">
        <v>0.8814466149882676</v>
      </c>
      <c r="G522">
        <f>IF(OR(F522="",E522=""),"",F522-E522)</f>
        <v/>
      </c>
      <c r="H522" t="n">
        <v>0.0009828220551361118</v>
      </c>
      <c r="I522" t="inlineStr">
        <is>
          <t>Above median</t>
        </is>
      </c>
    </row>
    <row r="523">
      <c r="A523" t="inlineStr">
        <is>
          <t>FI</t>
        </is>
      </c>
      <c r="B523" t="inlineStr">
        <is>
          <t>Spring2023</t>
        </is>
      </c>
      <c r="C523" t="inlineStr">
        <is>
          <t>Spring</t>
        </is>
      </c>
      <c r="D523" t="n">
        <v>2024</v>
      </c>
      <c r="E523" t="n">
        <v>1.375433393552461</v>
      </c>
      <c r="F523" t="n">
        <v>0.8814466149882676</v>
      </c>
      <c r="G523">
        <f>IF(OR(F523="",E523=""),"",F523-E523)</f>
        <v/>
      </c>
      <c r="H523" t="n">
        <v>0.0009828220551361118</v>
      </c>
      <c r="I523" t="inlineStr">
        <is>
          <t>Above median</t>
        </is>
      </c>
    </row>
    <row r="524">
      <c r="A524" t="inlineStr">
        <is>
          <t>FI</t>
        </is>
      </c>
      <c r="B524" t="inlineStr">
        <is>
          <t>Autumn2024</t>
        </is>
      </c>
      <c r="C524" t="inlineStr">
        <is>
          <t>Autumn</t>
        </is>
      </c>
      <c r="D524" t="n">
        <v>2024</v>
      </c>
      <c r="E524" t="n">
        <v>-0.2781603584441905</v>
      </c>
      <c r="F524" t="n">
        <v>0.8814466149882676</v>
      </c>
      <c r="G524">
        <f>IF(OR(F524="",E524=""),"",F524-E524)</f>
        <v/>
      </c>
      <c r="H524" t="n">
        <v>0.0009828220551361118</v>
      </c>
      <c r="I524" t="inlineStr">
        <is>
          <t>Above median</t>
        </is>
      </c>
    </row>
    <row r="525">
      <c r="A525" t="inlineStr">
        <is>
          <t>FI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0.03957338592484039</v>
      </c>
      <c r="F525" t="n">
        <v>0.8814466149882676</v>
      </c>
      <c r="G525">
        <f>IF(OR(F525="",E525=""),"",F525-E525)</f>
        <v/>
      </c>
      <c r="H525" t="n">
        <v>0.0009828220551361118</v>
      </c>
      <c r="I525" t="inlineStr">
        <is>
          <t>Above median</t>
        </is>
      </c>
    </row>
    <row r="526">
      <c r="A526" t="inlineStr">
        <is>
          <t>FR</t>
        </is>
      </c>
      <c r="B526" t="inlineStr">
        <is>
          <t>Autumn2023</t>
        </is>
      </c>
      <c r="C526" t="inlineStr">
        <is>
          <t>Autumn</t>
        </is>
      </c>
      <c r="D526" t="n">
        <v>2024</v>
      </c>
      <c r="E526" t="n">
        <v>1.247095433006873</v>
      </c>
      <c r="F526" t="n">
        <v>1.414482884555374</v>
      </c>
      <c r="G526">
        <f>IF(OR(F526="",E526=""),"",F526-E526)</f>
        <v/>
      </c>
      <c r="H526" t="n">
        <v>0.0005830168350468545</v>
      </c>
      <c r="I526" t="inlineStr">
        <is>
          <t>Above median</t>
        </is>
      </c>
    </row>
    <row r="527">
      <c r="A527" t="inlineStr">
        <is>
          <t>FR</t>
        </is>
      </c>
      <c r="B527" t="inlineStr">
        <is>
          <t>Spring2023</t>
        </is>
      </c>
      <c r="C527" t="inlineStr">
        <is>
          <t>Spring</t>
        </is>
      </c>
      <c r="D527" t="n">
        <v>2024</v>
      </c>
      <c r="E527" t="n">
        <v>1.41860461240253</v>
      </c>
      <c r="F527" t="n">
        <v>1.414482884555374</v>
      </c>
      <c r="G527">
        <f>IF(OR(F527="",E527=""),"",F527-E527)</f>
        <v/>
      </c>
      <c r="H527" t="n">
        <v>0.0005830168350468545</v>
      </c>
      <c r="I527" t="inlineStr">
        <is>
          <t>Above median</t>
        </is>
      </c>
    </row>
    <row r="528">
      <c r="A528" t="inlineStr">
        <is>
          <t>FR</t>
        </is>
      </c>
      <c r="B528" t="inlineStr">
        <is>
          <t>Autumn2024</t>
        </is>
      </c>
      <c r="C528" t="inlineStr">
        <is>
          <t>Autumn</t>
        </is>
      </c>
      <c r="D528" t="n">
        <v>2024</v>
      </c>
      <c r="E528" t="n">
        <v>1.13903040986485</v>
      </c>
      <c r="F528" t="n">
        <v>1.414482884555374</v>
      </c>
      <c r="G528">
        <f>IF(OR(F528="",E528=""),"",F528-E528)</f>
        <v/>
      </c>
      <c r="H528" t="n">
        <v>0.0005830168350468545</v>
      </c>
      <c r="I528" t="inlineStr">
        <is>
          <t>Above median</t>
        </is>
      </c>
    </row>
    <row r="529">
      <c r="A529" t="inlineStr">
        <is>
          <t>FR</t>
        </is>
      </c>
      <c r="B529" t="inlineStr">
        <is>
          <t>Spring2024</t>
        </is>
      </c>
      <c r="C529" t="inlineStr">
        <is>
          <t>Spring</t>
        </is>
      </c>
      <c r="D529" t="n">
        <v>2024</v>
      </c>
      <c r="E529" t="n">
        <v>0.728519105148373</v>
      </c>
      <c r="F529" t="n">
        <v>1.414482884555374</v>
      </c>
      <c r="G529">
        <f>IF(OR(F529="",E529=""),"",F529-E529)</f>
        <v/>
      </c>
      <c r="H529" t="n">
        <v>0.0005830168350468545</v>
      </c>
      <c r="I529" t="inlineStr">
        <is>
          <t>Above median</t>
        </is>
      </c>
    </row>
    <row r="530">
      <c r="A530" t="inlineStr">
        <is>
          <t>IE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3.044064013446279</v>
      </c>
      <c r="F530" t="n">
        <v>3.620379562913446</v>
      </c>
      <c r="G530">
        <f>IF(OR(F530="",E530=""),"",F530-E530)</f>
        <v/>
      </c>
      <c r="H530" t="n">
        <v>0.0009740879904289302</v>
      </c>
      <c r="I530" t="inlineStr">
        <is>
          <t>Above median</t>
        </is>
      </c>
    </row>
    <row r="531">
      <c r="A531" t="inlineStr">
        <is>
          <t>IE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4.967945256214601</v>
      </c>
      <c r="F531" t="n">
        <v>3.620379562913446</v>
      </c>
      <c r="G531">
        <f>IF(OR(F531="",E531=""),"",F531-E531)</f>
        <v/>
      </c>
      <c r="H531" t="n">
        <v>0.0009740879904289302</v>
      </c>
      <c r="I531" t="inlineStr">
        <is>
          <t>Above median</t>
        </is>
      </c>
    </row>
    <row r="532">
      <c r="A532" t="inlineStr">
        <is>
          <t>IE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-0.5406263528774158</v>
      </c>
      <c r="F532" t="n">
        <v>3.620379562913446</v>
      </c>
      <c r="G532">
        <f>IF(OR(F532="",E532=""),"",F532-E532)</f>
        <v/>
      </c>
      <c r="H532" t="n">
        <v>0.0009740879904289302</v>
      </c>
      <c r="I532" t="inlineStr">
        <is>
          <t>Above median</t>
        </is>
      </c>
    </row>
    <row r="533">
      <c r="A533" t="inlineStr">
        <is>
          <t>IE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1.243712466321201</v>
      </c>
      <c r="F533" t="n">
        <v>3.620379562913446</v>
      </c>
      <c r="G533">
        <f>IF(OR(F533="",E533=""),"",F533-E533)</f>
        <v/>
      </c>
      <c r="H533" t="n">
        <v>0.0009740879904289302</v>
      </c>
      <c r="I533" t="inlineStr">
        <is>
          <t>Above median</t>
        </is>
      </c>
    </row>
    <row r="534">
      <c r="A534" t="inlineStr">
        <is>
          <t>IT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0.852195649426335</v>
      </c>
      <c r="F534" t="n">
        <v>0.5846325798952693</v>
      </c>
      <c r="G534">
        <f>IF(OR(F534="",E534=""),"",F534-E534)</f>
        <v/>
      </c>
      <c r="H534" t="n">
        <v>0.0004643133694197308</v>
      </c>
      <c r="I534" t="inlineStr">
        <is>
          <t>Above median</t>
        </is>
      </c>
    </row>
    <row r="535">
      <c r="A535" t="inlineStr">
        <is>
          <t>IT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1.088219792885559</v>
      </c>
      <c r="F535" t="n">
        <v>0.5846325798952693</v>
      </c>
      <c r="G535">
        <f>IF(OR(F535="",E535=""),"",F535-E535)</f>
        <v/>
      </c>
      <c r="H535" t="n">
        <v>0.0004643133694197308</v>
      </c>
      <c r="I535" t="inlineStr">
        <is>
          <t>Above median</t>
        </is>
      </c>
    </row>
    <row r="536">
      <c r="A536" t="inlineStr">
        <is>
          <t>IT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0.6687507310409346</v>
      </c>
      <c r="F536" t="n">
        <v>0.5846325798952693</v>
      </c>
      <c r="G536">
        <f>IF(OR(F536="",E536=""),"",F536-E536)</f>
        <v/>
      </c>
      <c r="H536" t="n">
        <v>0.0004643133694197308</v>
      </c>
      <c r="I536" t="inlineStr">
        <is>
          <t>Above median</t>
        </is>
      </c>
    </row>
    <row r="537">
      <c r="A537" t="inlineStr">
        <is>
          <t>IT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0.9364833821859708</v>
      </c>
      <c r="F537" t="n">
        <v>0.5846325798952693</v>
      </c>
      <c r="G537">
        <f>IF(OR(F537="",E537=""),"",F537-E537)</f>
        <v/>
      </c>
      <c r="H537" t="n">
        <v>0.0004643133694197308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1.090974188365412</v>
      </c>
      <c r="F538" t="n">
        <v>1.058640812818894</v>
      </c>
      <c r="G538">
        <f>IF(OR(F538="",E538=""),"",F538-E538)</f>
        <v/>
      </c>
      <c r="H538" t="n">
        <v>0.03988165135894128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1.181076174566176</v>
      </c>
      <c r="F539" t="n">
        <v>1.058640812818894</v>
      </c>
      <c r="G539">
        <f>IF(OR(F539="",E539=""),"",F539-E539)</f>
        <v/>
      </c>
      <c r="H539" t="n">
        <v>0.03988165135894128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0.8413433186627683</v>
      </c>
      <c r="F540" t="n">
        <v>1.058640812818894</v>
      </c>
      <c r="G540">
        <f>IF(OR(F540="",E540=""),"",F540-E540)</f>
        <v/>
      </c>
      <c r="H540" t="n">
        <v>0.03988165135894128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0.7604211807421546</v>
      </c>
      <c r="F541" t="n">
        <v>1.058640812818894</v>
      </c>
      <c r="G541">
        <f>IF(OR(F541="",E541=""),"",F541-E541)</f>
        <v/>
      </c>
      <c r="H541" t="n">
        <v>0.03988165135894128</v>
      </c>
      <c r="I541" t="inlineStr">
        <is>
          <t>Above median</t>
        </is>
      </c>
    </row>
    <row r="543">
      <c r="B543" s="1" t="inlineStr">
        <is>
          <t>full sample</t>
        </is>
      </c>
      <c r="C543" s="1" t="inlineStr">
        <is>
          <t>below</t>
        </is>
      </c>
      <c r="D543" s="1" t="inlineStr">
        <is>
          <t>above</t>
        </is>
      </c>
    </row>
    <row r="544">
      <c r="A544" s="1" t="inlineStr">
        <is>
          <t>share positive surprises</t>
        </is>
      </c>
      <c r="B544" s="4">
        <f>COUNTIF($G$2:$G$541,"&gt;0")/COUNT($G$2:$G$541)</f>
        <v/>
      </c>
      <c r="C544" s="4">
        <f>COUNTIF($G$2:$G$271,"&gt;0")/COUNT($G$2:$G$271)</f>
        <v/>
      </c>
      <c r="D544" s="4">
        <f>COUNTIF($G$272:$G$541,"&gt;0")/COUNT($G$272:$G$541)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</t>
        </is>
      </c>
      <c r="I1" s="1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0.3559829624806633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0.3559829624806633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0.3121540842173101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0.3121540842173101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-0.1018077058059029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-0.1018077058059029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0.09086950763092645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0.09086950763092645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0.2906032720380992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0.2906032720380992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-0.02225989615286217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-0.02225989615286217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0.3539575313263112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0.3539575313263112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0.134751907544934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0.134751907544934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0.6040816483706614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0.6040816483706614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0.09300678985233143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0.09300678985233143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  <row r="575">
      <c r="B575" s="1" t="inlineStr">
        <is>
          <t>full sample</t>
        </is>
      </c>
      <c r="C575" s="1" t="inlineStr">
        <is>
          <t>below</t>
        </is>
      </c>
      <c r="D575" s="1" t="inlineStr">
        <is>
          <t>above</t>
        </is>
      </c>
    </row>
    <row r="576">
      <c r="A576" s="1" t="inlineStr">
        <is>
          <t>share positive surprises</t>
        </is>
      </c>
      <c r="B576" s="4">
        <f>COUNTIF($G$2:$G$573,"&gt;0")/COUNT($G$2:$G$573)</f>
        <v/>
      </c>
      <c r="C576" s="4">
        <f>COUNTIF($G$2:$G$289,"&gt;0")/COUNT($G$2:$G$289)</f>
        <v/>
      </c>
      <c r="D576" s="4">
        <f>COUNTIF($G$290:$G$573,"&gt;0")/COUNT($G$290:$G$573)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  <c r="I1" s="1" t="inlineStr">
        <is>
          <t>cluster</t>
        </is>
      </c>
    </row>
    <row r="2">
      <c r="A2" t="inlineStr">
        <is>
          <t>BE</t>
        </is>
      </c>
      <c r="B2" t="inlineStr">
        <is>
          <t>Spring2020</t>
        </is>
      </c>
      <c r="C2" t="inlineStr">
        <is>
          <t>Spring</t>
        </is>
      </c>
      <c r="D2" t="n">
        <v>2020</v>
      </c>
      <c r="E2" t="n">
        <v>-7.157599524765502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0.08181529337004873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Spring2020</t>
        </is>
      </c>
      <c r="C4" t="inlineStr">
        <is>
          <t>Spring</t>
        </is>
      </c>
      <c r="D4" t="n">
        <v>2020</v>
      </c>
      <c r="E4" t="n">
        <v>-9.384345976627827</v>
      </c>
      <c r="F4" t="n">
        <v>-11.58616521695834</v>
      </c>
      <c r="G4">
        <f>IF(OR(F4="",E4=""),"",F4-E4)</f>
        <v/>
      </c>
      <c r="H4" t="n">
        <v>0.1443397280045361</v>
      </c>
      <c r="I4" t="inlineStr">
        <is>
          <t>Below median</t>
        </is>
      </c>
    </row>
    <row r="5">
      <c r="A5" t="inlineStr">
        <is>
          <t>FI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-6.334008638214483</v>
      </c>
      <c r="F5" t="n">
        <v>-2.521663955161345</v>
      </c>
      <c r="G5">
        <f>IF(OR(F5="",E5=""),"",F5-E5)</f>
        <v/>
      </c>
      <c r="H5" t="n">
        <v>0.1073708050236772</v>
      </c>
      <c r="I5" t="inlineStr">
        <is>
          <t>Below median</t>
        </is>
      </c>
    </row>
    <row r="6">
      <c r="A6" t="inlineStr">
        <is>
          <t>DE</t>
        </is>
      </c>
      <c r="B6" t="inlineStr">
        <is>
          <t>Spring2022</t>
        </is>
      </c>
      <c r="C6" t="inlineStr">
        <is>
          <t>Spring</t>
        </is>
      </c>
      <c r="D6" t="n">
        <v>2022</v>
      </c>
      <c r="E6" t="n">
        <v>1.557968342243976</v>
      </c>
      <c r="F6" t="n">
        <v>1.931834126476093</v>
      </c>
      <c r="G6">
        <f>IF(OR(F6="",E6=""),"",F6-E6)</f>
        <v/>
      </c>
      <c r="H6" t="n">
        <v>0.08452451407020597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4.026089481560913</v>
      </c>
      <c r="F7" t="n">
        <v>6.175712557377276</v>
      </c>
      <c r="G7">
        <f>IF(OR(F7="",E7=""),"",F7-E7)</f>
        <v/>
      </c>
      <c r="H7" t="n">
        <v>0.144095214445351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Spring2022</t>
        </is>
      </c>
      <c r="C8" t="inlineStr">
        <is>
          <t>Spring</t>
        </is>
      </c>
      <c r="D8" t="n">
        <v>2022</v>
      </c>
      <c r="E8" t="n">
        <v>1.603112304026943</v>
      </c>
      <c r="F8" t="n">
        <v>0.7600629155646718</v>
      </c>
      <c r="G8">
        <f>IF(OR(F8="",E8=""),"",F8-E8)</f>
        <v/>
      </c>
      <c r="H8" t="n">
        <v>0.09942108470444851</v>
      </c>
      <c r="I8" t="inlineStr">
        <is>
          <t>Below median</t>
        </is>
      </c>
    </row>
    <row r="9">
      <c r="A9" t="inlineStr">
        <is>
          <t>IT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2.425654280482226</v>
      </c>
      <c r="F9" t="n">
        <v>4.854613486697751</v>
      </c>
      <c r="G9">
        <f>IF(OR(F9="",E9=""),"",F9-E9)</f>
        <v/>
      </c>
      <c r="H9" t="n">
        <v>0.1223286868385065</v>
      </c>
      <c r="I9" t="inlineStr">
        <is>
          <t>Below median</t>
        </is>
      </c>
    </row>
    <row r="10">
      <c r="A10" t="inlineStr">
        <is>
          <t>PT</t>
        </is>
      </c>
      <c r="B10" t="inlineStr">
        <is>
          <t>Spring2022</t>
        </is>
      </c>
      <c r="C10" t="inlineStr">
        <is>
          <t>Spring</t>
        </is>
      </c>
      <c r="D10" t="n">
        <v>2022</v>
      </c>
      <c r="E10" t="n">
        <v>5.805468708187478</v>
      </c>
      <c r="F10" t="n">
        <v>6.752612450243378</v>
      </c>
      <c r="G10">
        <f>IF(OR(F10="",E10=""),"",F10-E10)</f>
        <v/>
      </c>
      <c r="H10" t="n">
        <v>0.1446147531674699</v>
      </c>
      <c r="I10" t="inlineStr">
        <is>
          <t>Below median</t>
        </is>
      </c>
    </row>
    <row r="11">
      <c r="A11" t="inlineStr">
        <is>
          <t>FI</t>
        </is>
      </c>
      <c r="B11" t="inlineStr">
        <is>
          <t>Spring2025</t>
        </is>
      </c>
      <c r="C11" t="inlineStr">
        <is>
          <t>Spring</t>
        </is>
      </c>
      <c r="D11" t="n">
        <v>2025</v>
      </c>
      <c r="E11" t="n">
        <v>0.9759636250904258</v>
      </c>
      <c r="F11" t="n">
        <v>0.7999014912137302</v>
      </c>
      <c r="G11">
        <f>IF(OR(F11="",E11=""),"",F11-E11)</f>
        <v/>
      </c>
      <c r="H11" t="n">
        <v>0.1453376309949951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Spring2025</t>
        </is>
      </c>
      <c r="C12" t="inlineStr">
        <is>
          <t>Spring</t>
        </is>
      </c>
      <c r="D12" t="n">
        <v>2025</v>
      </c>
      <c r="E12" t="n">
        <v>0.6644793059721987</v>
      </c>
      <c r="F12" t="n">
        <v>0.6613584275917628</v>
      </c>
      <c r="G12">
        <f>IF(OR(F12="",E12=""),"",F12-E12)</f>
        <v/>
      </c>
      <c r="H12" t="n">
        <v>0.118071592713761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-5.513127765531012</v>
      </c>
      <c r="F13" t="n">
        <v>-6.59001327711653</v>
      </c>
      <c r="G13">
        <f>IF(OR(F13="",E13=""),"",F13-E13)</f>
        <v/>
      </c>
      <c r="H13" t="n">
        <v>0.1707634995674238</v>
      </c>
      <c r="I13" t="inlineStr">
        <is>
          <t>Above median</t>
        </is>
      </c>
    </row>
    <row r="14">
      <c r="A14" t="inlineStr">
        <is>
          <t>FR</t>
        </is>
      </c>
      <c r="B14" t="inlineStr">
        <is>
          <t>Spring2020</t>
        </is>
      </c>
      <c r="C14" t="inlineStr">
        <is>
          <t>Spring</t>
        </is>
      </c>
      <c r="D14" t="n">
        <v>2020</v>
      </c>
      <c r="E14" t="n">
        <v>-8.248298085436833</v>
      </c>
      <c r="F14" t="n">
        <v>-7.912013894217821</v>
      </c>
      <c r="G14">
        <f>IF(OR(F14="",E14=""),"",F14-E14)</f>
        <v/>
      </c>
      <c r="H14" t="n">
        <v>0.1658715507432895</v>
      </c>
      <c r="I14" t="inlineStr">
        <is>
          <t>Above median</t>
        </is>
      </c>
    </row>
    <row r="15">
      <c r="A15" t="inlineStr">
        <is>
          <t>IE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-7.947048013854707</v>
      </c>
      <c r="F15" t="n">
        <v>6.986381430371383</v>
      </c>
      <c r="G15">
        <f>IF(OR(F15="",E15=""),"",F15-E15)</f>
        <v/>
      </c>
      <c r="H15" t="n">
        <v>0.3780372329247822</v>
      </c>
      <c r="I15" t="inlineStr">
        <is>
          <t>Above median</t>
        </is>
      </c>
    </row>
    <row r="16">
      <c r="A16" t="inlineStr">
        <is>
          <t>IT</t>
        </is>
      </c>
      <c r="B16" t="inlineStr">
        <is>
          <t>Spring2020</t>
        </is>
      </c>
      <c r="C16" t="inlineStr">
        <is>
          <t>Spring</t>
        </is>
      </c>
      <c r="D16" t="n">
        <v>2020</v>
      </c>
      <c r="E16" t="n">
        <v>-9.517990850094149</v>
      </c>
      <c r="F16" t="n">
        <v>-9.378376752242147</v>
      </c>
      <c r="G16">
        <f>IF(OR(F16="",E16=""),"",F16-E16)</f>
        <v/>
      </c>
      <c r="H16" t="n">
        <v>0.1557456677824474</v>
      </c>
      <c r="I16" t="inlineStr">
        <is>
          <t>Above median</t>
        </is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0.1803401384043203</v>
      </c>
      <c r="I17" t="inlineStr">
        <is>
          <t>Above median</t>
        </is>
      </c>
    </row>
    <row r="18">
      <c r="A18" t="inlineStr">
        <is>
          <t>PT</t>
        </is>
      </c>
      <c r="B18" t="inlineStr">
        <is>
          <t>Spring2020</t>
        </is>
      </c>
      <c r="C18" t="inlineStr">
        <is>
          <t>Spring</t>
        </is>
      </c>
      <c r="D18" t="n">
        <v>2020</v>
      </c>
      <c r="E18" t="n">
        <v>-6.765180961341111</v>
      </c>
      <c r="F18" t="n">
        <v>-8.560903203336046</v>
      </c>
      <c r="G18">
        <f>IF(OR(F18="",E18=""),"",F18-E18)</f>
        <v/>
      </c>
      <c r="H18" t="n">
        <v>0.1481021281372867</v>
      </c>
      <c r="I18" t="inlineStr">
        <is>
          <t>Above median</t>
        </is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0.1560350039496388</v>
      </c>
      <c r="I19" t="inlineStr">
        <is>
          <t>Above median</t>
        </is>
      </c>
    </row>
    <row r="20">
      <c r="A20" t="inlineStr">
        <is>
          <t>BE</t>
        </is>
      </c>
      <c r="B20" t="inlineStr">
        <is>
          <t>Spring2022</t>
        </is>
      </c>
      <c r="C20" t="inlineStr">
        <is>
          <t>Spring</t>
        </is>
      </c>
      <c r="D20" t="n">
        <v>2022</v>
      </c>
      <c r="E20" t="n">
        <v>2.016579561869025</v>
      </c>
      <c r="F20" t="n">
        <v>3.945716681463399</v>
      </c>
      <c r="G20">
        <f>IF(OR(F20="",E20=""),"",F20-E20)</f>
        <v/>
      </c>
      <c r="H20" t="n">
        <v>0.1480621043667784</v>
      </c>
      <c r="I20" t="inlineStr">
        <is>
          <t>Above median</t>
        </is>
      </c>
    </row>
    <row r="21">
      <c r="A21" t="inlineStr">
        <is>
          <t>FR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3.098952418316858</v>
      </c>
      <c r="F21" t="n">
        <v>2.761671160127166</v>
      </c>
      <c r="G21">
        <f>IF(OR(F21="",E21=""),"",F21-E21)</f>
        <v/>
      </c>
      <c r="H21" t="n">
        <v>0.1686231784194008</v>
      </c>
      <c r="I21" t="inlineStr">
        <is>
          <t>Above median</t>
        </is>
      </c>
    </row>
    <row r="22">
      <c r="A22" t="inlineStr">
        <is>
          <t>IE</t>
        </is>
      </c>
      <c r="B22" t="inlineStr">
        <is>
          <t>Spring2022</t>
        </is>
      </c>
      <c r="C22" t="inlineStr">
        <is>
          <t>Spring</t>
        </is>
      </c>
      <c r="D22" t="n">
        <v>2022</v>
      </c>
      <c r="E22" t="n">
        <v>5.381686196249635</v>
      </c>
      <c r="F22" t="n">
        <v>7.989444336924596</v>
      </c>
      <c r="G22">
        <f>IF(OR(F22="",E22=""),"",F22-E22)</f>
        <v/>
      </c>
      <c r="H22" t="n">
        <v>0.2517824542919683</v>
      </c>
      <c r="I22" t="inlineStr">
        <is>
          <t>Above median</t>
        </is>
      </c>
    </row>
    <row r="23">
      <c r="A23" t="inlineStr">
        <is>
          <t>NL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3.271330674458595</v>
      </c>
      <c r="F23" t="n">
        <v>4.889291210402315</v>
      </c>
      <c r="G23">
        <f>IF(OR(F23="",E23=""),"",F23-E23)</f>
        <v/>
      </c>
      <c r="H23" t="n">
        <v>0.1723953161408304</v>
      </c>
      <c r="I23" t="inlineStr">
        <is>
          <t>Above median</t>
        </is>
      </c>
    </row>
    <row r="25">
      <c r="B25" s="1" t="inlineStr">
        <is>
          <t>full sample</t>
        </is>
      </c>
      <c r="C25" s="1" t="inlineStr">
        <is>
          <t>below</t>
        </is>
      </c>
      <c r="D25" s="1" t="inlineStr">
        <is>
          <t>above</t>
        </is>
      </c>
    </row>
    <row r="26">
      <c r="A26" s="1" t="inlineStr">
        <is>
          <t>share positive surprises</t>
        </is>
      </c>
      <c r="B26" s="4">
        <f>COUNTIF($G$2:$G$23,"&gt;0")/COUNT($G$2:$G$23)</f>
        <v/>
      </c>
      <c r="C26" s="4">
        <f>COUNTIF($G$2:$G$12,"&gt;0")/COUNT($G$2:$G$12)</f>
        <v/>
      </c>
      <c r="D26" s="4">
        <f>COUNTIF($G$13:$G$23,"&gt;0")/COUNT($G$13:$G$23)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  <c r="I1" s="1" t="inlineStr">
        <is>
          <t>cluster</t>
        </is>
      </c>
    </row>
    <row r="2">
      <c r="A2" t="inlineStr">
        <is>
          <t>BE</t>
        </is>
      </c>
      <c r="B2" t="inlineStr">
        <is>
          <t>Spring2020</t>
        </is>
      </c>
      <c r="C2" t="inlineStr">
        <is>
          <t>Spring</t>
        </is>
      </c>
      <c r="D2" t="n">
        <v>2020</v>
      </c>
      <c r="E2" t="n">
        <v>-7.157599524765502</v>
      </c>
      <c r="F2" t="n">
        <v>-4.911676496558489</v>
      </c>
      <c r="G2">
        <f>IF(OR(F2="",E2=""),"",F2-E2)</f>
        <v/>
      </c>
      <c r="H2" t="n">
        <v>0.0001645254597392064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-9.384345976627827</v>
      </c>
      <c r="F3" t="n">
        <v>-11.58616521695834</v>
      </c>
      <c r="G3">
        <f>IF(OR(F3="",E3=""),"",F3-E3)</f>
        <v/>
      </c>
      <c r="H3" t="n">
        <v>3.57150244245127e-05</v>
      </c>
      <c r="I3" t="inlineStr">
        <is>
          <t>Below median</t>
        </is>
      </c>
    </row>
    <row r="4">
      <c r="A4" t="inlineStr">
        <is>
          <t>FI</t>
        </is>
      </c>
      <c r="B4" t="inlineStr">
        <is>
          <t>Spring2020</t>
        </is>
      </c>
      <c r="C4" t="inlineStr">
        <is>
          <t>Spring</t>
        </is>
      </c>
      <c r="D4" t="n">
        <v>2020</v>
      </c>
      <c r="E4" t="n">
        <v>-6.334008638214483</v>
      </c>
      <c r="F4" t="n">
        <v>-2.521663955161345</v>
      </c>
      <c r="G4">
        <f>IF(OR(F4="",E4=""),"",F4-E4)</f>
        <v/>
      </c>
      <c r="H4" t="n">
        <v>0.0003402502816420123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-7.947048013854707</v>
      </c>
      <c r="F5" t="n">
        <v>6.986381430371383</v>
      </c>
      <c r="G5">
        <f>IF(OR(F5="",E5=""),"",F5-E5)</f>
        <v/>
      </c>
      <c r="H5" t="n">
        <v>0.0003727896714410862</v>
      </c>
      <c r="I5" t="inlineStr">
        <is>
          <t>Below median</t>
        </is>
      </c>
    </row>
    <row r="6">
      <c r="A6" t="inlineStr">
        <is>
          <t>IT</t>
        </is>
      </c>
      <c r="B6" t="inlineStr">
        <is>
          <t>Spring2020</t>
        </is>
      </c>
      <c r="C6" t="inlineStr">
        <is>
          <t>Spring</t>
        </is>
      </c>
      <c r="D6" t="n">
        <v>2020</v>
      </c>
      <c r="E6" t="n">
        <v>-9.517990850094149</v>
      </c>
      <c r="F6" t="n">
        <v>-9.378376752242147</v>
      </c>
      <c r="G6">
        <f>IF(OR(F6="",E6=""),"",F6-E6)</f>
        <v/>
      </c>
      <c r="H6" t="n">
        <v>0.0003287367015904826</v>
      </c>
      <c r="I6" t="inlineStr">
        <is>
          <t>Below median</t>
        </is>
      </c>
    </row>
    <row r="7">
      <c r="A7" t="inlineStr">
        <is>
          <t>PT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-6.765180961341111</v>
      </c>
      <c r="F7" t="n">
        <v>-8.560903203336046</v>
      </c>
      <c r="G7">
        <f>IF(OR(F7="",E7=""),"",F7-E7)</f>
        <v/>
      </c>
      <c r="H7" t="n">
        <v>4.331353929071872e-05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Spring2022</t>
        </is>
      </c>
      <c r="C8" t="inlineStr">
        <is>
          <t>Spring</t>
        </is>
      </c>
      <c r="D8" t="n">
        <v>2022</v>
      </c>
      <c r="E8" t="n">
        <v>2.016579561869025</v>
      </c>
      <c r="F8" t="n">
        <v>3.945716681463399</v>
      </c>
      <c r="G8">
        <f>IF(OR(F8="",E8=""),"",F8-E8)</f>
        <v/>
      </c>
      <c r="H8" t="n">
        <v>0.0001077045685150238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4.026089481560913</v>
      </c>
      <c r="F9" t="n">
        <v>6.175712557377276</v>
      </c>
      <c r="G9">
        <f>IF(OR(F9="",E9=""),"",F9-E9)</f>
        <v/>
      </c>
      <c r="H9" t="n">
        <v>2.844404131730766e-05</v>
      </c>
      <c r="I9" t="inlineStr">
        <is>
          <t>Below median</t>
        </is>
      </c>
    </row>
    <row r="10">
      <c r="A10" t="inlineStr">
        <is>
          <t>IT</t>
        </is>
      </c>
      <c r="B10" t="inlineStr">
        <is>
          <t>Spring2022</t>
        </is>
      </c>
      <c r="C10" t="inlineStr">
        <is>
          <t>Spring</t>
        </is>
      </c>
      <c r="D10" t="n">
        <v>2022</v>
      </c>
      <c r="E10" t="n">
        <v>2.425654280482226</v>
      </c>
      <c r="F10" t="n">
        <v>4.854613486697751</v>
      </c>
      <c r="G10">
        <f>IF(OR(F10="",E10=""),"",F10-E10)</f>
        <v/>
      </c>
      <c r="H10" t="n">
        <v>0.0003078769285171514</v>
      </c>
      <c r="I10" t="inlineStr">
        <is>
          <t>Below median</t>
        </is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5.137157295813951e-05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Spring2020</t>
        </is>
      </c>
      <c r="C12" t="inlineStr">
        <is>
          <t>Spring</t>
        </is>
      </c>
      <c r="D12" t="n">
        <v>2020</v>
      </c>
      <c r="E12" t="n">
        <v>-5.513127765531012</v>
      </c>
      <c r="F12" t="n">
        <v>-6.59001327711653</v>
      </c>
      <c r="G12">
        <f>IF(OR(F12="",E12=""),"",F12-E12)</f>
        <v/>
      </c>
      <c r="H12" t="n">
        <v>0.006606120127496323</v>
      </c>
      <c r="I12" t="inlineStr">
        <is>
          <t>Above median</t>
        </is>
      </c>
    </row>
    <row r="13">
      <c r="A13" t="inlineStr">
        <is>
          <t>DE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-6.469577184894426</v>
      </c>
      <c r="F13" t="n">
        <v>-4.501901267987128</v>
      </c>
      <c r="G13">
        <f>IF(OR(F13="",E13=""),"",F13-E13)</f>
        <v/>
      </c>
      <c r="H13" t="n">
        <v>0.003227788043993982</v>
      </c>
      <c r="I13" t="inlineStr">
        <is>
          <t>Above median</t>
        </is>
      </c>
    </row>
    <row r="14">
      <c r="A14" t="inlineStr">
        <is>
          <t>FR</t>
        </is>
      </c>
      <c r="B14" t="inlineStr">
        <is>
          <t>Spring2020</t>
        </is>
      </c>
      <c r="C14" t="inlineStr">
        <is>
          <t>Spring</t>
        </is>
      </c>
      <c r="D14" t="n">
        <v>2020</v>
      </c>
      <c r="E14" t="n">
        <v>-8.248298085436833</v>
      </c>
      <c r="F14" t="n">
        <v>-7.912013894217821</v>
      </c>
      <c r="G14">
        <f>IF(OR(F14="",E14=""),"",F14-E14)</f>
        <v/>
      </c>
      <c r="H14" t="n">
        <v>0.0003873936970994312</v>
      </c>
      <c r="I14" t="inlineStr">
        <is>
          <t>Above median</t>
        </is>
      </c>
    </row>
    <row r="15">
      <c r="A15" t="inlineStr">
        <is>
          <t>NL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-6.84789638206369</v>
      </c>
      <c r="F15" t="n">
        <v>-3.903950943482849</v>
      </c>
      <c r="G15">
        <f>IF(OR(F15="",E15=""),"",F15-E15)</f>
        <v/>
      </c>
      <c r="H15" t="n">
        <v>0.02869739548789638</v>
      </c>
      <c r="I15" t="inlineStr">
        <is>
          <t>Above median</t>
        </is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2022</v>
      </c>
      <c r="E16" t="n">
        <v>3.919646006806898</v>
      </c>
      <c r="F16" t="n">
        <v>5.289900562096076</v>
      </c>
      <c r="G16">
        <f>IF(OR(F16="",E16=""),"",F16-E16)</f>
        <v/>
      </c>
      <c r="H16" t="n">
        <v>0.007081061579358835</v>
      </c>
      <c r="I16" t="inlineStr">
        <is>
          <t>Above median</t>
        </is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0.003666465859182284</v>
      </c>
      <c r="I17" t="inlineStr">
        <is>
          <t>Above median</t>
        </is>
      </c>
    </row>
    <row r="18">
      <c r="A18" t="inlineStr">
        <is>
          <t>FI</t>
        </is>
      </c>
      <c r="B18" t="inlineStr">
        <is>
          <t>Spring2022</t>
        </is>
      </c>
      <c r="C18" t="inlineStr">
        <is>
          <t>Spring</t>
        </is>
      </c>
      <c r="D18" t="n">
        <v>2022</v>
      </c>
      <c r="E18" t="n">
        <v>1.603112304026943</v>
      </c>
      <c r="F18" t="n">
        <v>0.7600629155646718</v>
      </c>
      <c r="G18">
        <f>IF(OR(F18="",E18=""),"",F18-E18)</f>
        <v/>
      </c>
      <c r="H18" t="n">
        <v>0.0004803131356846544</v>
      </c>
      <c r="I18" t="inlineStr">
        <is>
          <t>Above median</t>
        </is>
      </c>
    </row>
    <row r="19">
      <c r="A19" t="inlineStr">
        <is>
          <t>FR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3.098952418316858</v>
      </c>
      <c r="F19" t="n">
        <v>2.761671160127166</v>
      </c>
      <c r="G19">
        <f>IF(OR(F19="",E19=""),"",F19-E19)</f>
        <v/>
      </c>
      <c r="H19" t="n">
        <v>0.0007348831804684841</v>
      </c>
      <c r="I19" t="inlineStr">
        <is>
          <t>Above median</t>
        </is>
      </c>
    </row>
    <row r="20">
      <c r="A20" t="inlineStr">
        <is>
          <t>IE</t>
        </is>
      </c>
      <c r="B20" t="inlineStr">
        <is>
          <t>Spring2022</t>
        </is>
      </c>
      <c r="C20" t="inlineStr">
        <is>
          <t>Spring</t>
        </is>
      </c>
      <c r="D20" t="n">
        <v>2022</v>
      </c>
      <c r="E20" t="n">
        <v>5.381686196249635</v>
      </c>
      <c r="F20" t="n">
        <v>7.989444336924596</v>
      </c>
      <c r="G20">
        <f>IF(OR(F20="",E20=""),"",F20-E20)</f>
        <v/>
      </c>
      <c r="H20" t="n">
        <v>0.0004671934033553036</v>
      </c>
      <c r="I20" t="inlineStr">
        <is>
          <t>Above median</t>
        </is>
      </c>
    </row>
    <row r="21">
      <c r="A21" t="inlineStr">
        <is>
          <t>NL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3.271330674458595</v>
      </c>
      <c r="F21" t="n">
        <v>4.889291210402315</v>
      </c>
      <c r="G21">
        <f>IF(OR(F21="",E21=""),"",F21-E21)</f>
        <v/>
      </c>
      <c r="H21" t="n">
        <v>0.03054982809633322</v>
      </c>
      <c r="I21" t="inlineStr">
        <is>
          <t>Above median</t>
        </is>
      </c>
    </row>
    <row r="23">
      <c r="B23" s="1" t="inlineStr">
        <is>
          <t>full sample</t>
        </is>
      </c>
      <c r="C23" s="1" t="inlineStr">
        <is>
          <t>below</t>
        </is>
      </c>
      <c r="D23" s="1" t="inlineStr">
        <is>
          <t>above</t>
        </is>
      </c>
    </row>
    <row r="24">
      <c r="A24" s="1" t="inlineStr">
        <is>
          <t>share positive surprises</t>
        </is>
      </c>
      <c r="B24" s="4">
        <f>COUNTIF($G$2:$G$21,"&gt;0")/COUNT($G$2:$G$21)</f>
        <v/>
      </c>
      <c r="C24" s="4">
        <f>COUNTIF($G$2:$G$11,"&gt;0")/COUNT($G$2:$G$11)</f>
        <v/>
      </c>
      <c r="D24" s="4">
        <f>COUNTIF($G$12:$G$21,"&gt;0")/COUNT($G$12:$G$21)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</t>
        </is>
      </c>
      <c r="I1" s="1" t="inlineStr">
        <is>
          <t>cluster</t>
        </is>
      </c>
    </row>
    <row r="2">
      <c r="A2" t="inlineStr">
        <is>
          <t>AT</t>
        </is>
      </c>
      <c r="B2" t="inlineStr">
        <is>
          <t>Spring2022</t>
        </is>
      </c>
      <c r="C2" t="inlineStr">
        <is>
          <t>Spring</t>
        </is>
      </c>
      <c r="D2" t="n">
        <v>2022</v>
      </c>
      <c r="E2" t="n">
        <v>3.919646006806898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4.026089481560913</v>
      </c>
      <c r="F3" t="n">
        <v>6.175712557377276</v>
      </c>
      <c r="G3">
        <f>IF(OR(F3="",E3=""),"",F3-E3)</f>
        <v/>
      </c>
      <c r="H3" t="n">
        <v>0.5919056004278235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Spring2022</t>
        </is>
      </c>
      <c r="C4" t="inlineStr">
        <is>
          <t>Spring</t>
        </is>
      </c>
      <c r="D4" t="n">
        <v>2022</v>
      </c>
      <c r="E4" t="n">
        <v>5.381686196249635</v>
      </c>
      <c r="F4" t="n">
        <v>7.989444336924596</v>
      </c>
      <c r="G4">
        <f>IF(OR(F4="",E4=""),"",F4-E4)</f>
        <v/>
      </c>
      <c r="H4" t="n">
        <v>0.8230204481506811</v>
      </c>
      <c r="I4" t="inlineStr">
        <is>
          <t>Below median</t>
        </is>
      </c>
    </row>
    <row r="5">
      <c r="A5" t="inlineStr">
        <is>
          <t>NL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3.271330674458595</v>
      </c>
      <c r="F5" t="n">
        <v>4.889291210402315</v>
      </c>
      <c r="G5">
        <f>IF(OR(F5="",E5=""),"",F5-E5)</f>
        <v/>
      </c>
      <c r="H5" t="n">
        <v>0.8138120887936376</v>
      </c>
      <c r="I5" t="inlineStr">
        <is>
          <t>Below median</t>
        </is>
      </c>
    </row>
    <row r="6">
      <c r="A6" t="inlineStr">
        <is>
          <t>PT</t>
        </is>
      </c>
      <c r="B6" t="inlineStr">
        <is>
          <t>Spring2022</t>
        </is>
      </c>
      <c r="C6" t="inlineStr">
        <is>
          <t>Spring</t>
        </is>
      </c>
      <c r="D6" t="n">
        <v>2022</v>
      </c>
      <c r="E6" t="n">
        <v>5.805468708187478</v>
      </c>
      <c r="F6" t="n">
        <v>6.752612450243378</v>
      </c>
      <c r="G6">
        <f>IF(OR(F6="",E6=""),"",F6-E6)</f>
        <v/>
      </c>
      <c r="H6" t="n">
        <v>0.2037231971726706</v>
      </c>
      <c r="I6" t="inlineStr">
        <is>
          <t>Below median</t>
        </is>
      </c>
    </row>
    <row r="7">
      <c r="A7" t="inlineStr">
        <is>
          <t>AT</t>
        </is>
      </c>
      <c r="B7" t="inlineStr">
        <is>
          <t>Spring2025</t>
        </is>
      </c>
      <c r="C7" t="inlineStr">
        <is>
          <t>Spring</t>
        </is>
      </c>
      <c r="D7" t="n">
        <v>2025</v>
      </c>
      <c r="E7" t="n">
        <v>-0.2827078301863684</v>
      </c>
      <c r="F7" t="n">
        <v>0.9524130020840387</v>
      </c>
      <c r="G7">
        <f>IF(OR(F7="",E7=""),"",F7-E7)</f>
        <v/>
      </c>
      <c r="H7" t="n">
        <v>0.06562263636895671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Spring2025</t>
        </is>
      </c>
      <c r="C8" t="inlineStr">
        <is>
          <t>Spring</t>
        </is>
      </c>
      <c r="D8" t="n">
        <v>2025</v>
      </c>
      <c r="E8" t="n">
        <v>0.7689381594133238</v>
      </c>
      <c r="F8" t="n">
        <v>0.9783351307489526</v>
      </c>
      <c r="G8">
        <f>IF(OR(F8="",E8=""),"",F8-E8)</f>
        <v/>
      </c>
      <c r="H8" t="n">
        <v>0.02706280600448911</v>
      </c>
      <c r="I8" t="inlineStr">
        <is>
          <t>Below median</t>
        </is>
      </c>
    </row>
    <row r="9">
      <c r="A9" t="inlineStr">
        <is>
          <t>DE</t>
        </is>
      </c>
      <c r="B9" t="inlineStr">
        <is>
          <t>Spring2025</t>
        </is>
      </c>
      <c r="C9" t="inlineStr">
        <is>
          <t>Spring</t>
        </is>
      </c>
      <c r="D9" t="n">
        <v>2025</v>
      </c>
      <c r="E9" t="n">
        <v>-0.02983152121627253</v>
      </c>
      <c r="F9" t="n">
        <v>0.3402558811283772</v>
      </c>
      <c r="G9">
        <f>IF(OR(F9="",E9=""),"",F9-E9)</f>
        <v/>
      </c>
      <c r="H9" t="n">
        <v>0.006156795098835925</v>
      </c>
      <c r="I9" t="inlineStr">
        <is>
          <t>Below median</t>
        </is>
      </c>
    </row>
    <row r="10">
      <c r="A10" t="inlineStr">
        <is>
          <t>ES</t>
        </is>
      </c>
      <c r="B10" t="inlineStr">
        <is>
          <t>Spring2025</t>
        </is>
      </c>
      <c r="C10" t="inlineStr">
        <is>
          <t>Spring</t>
        </is>
      </c>
      <c r="D10" t="n">
        <v>2025</v>
      </c>
      <c r="E10" t="n">
        <v>2.551006850124016</v>
      </c>
      <c r="F10" t="n">
        <v>2.785785224373413</v>
      </c>
      <c r="G10">
        <f>IF(OR(F10="",E10=""),"",F10-E10)</f>
        <v/>
      </c>
      <c r="H10" t="n">
        <v>-0.02956730316260038</v>
      </c>
      <c r="I10" t="inlineStr">
        <is>
          <t>Below median</t>
        </is>
      </c>
    </row>
    <row r="11">
      <c r="A11" t="inlineStr">
        <is>
          <t>FI</t>
        </is>
      </c>
      <c r="B11" t="inlineStr">
        <is>
          <t>Spring2025</t>
        </is>
      </c>
      <c r="C11" t="inlineStr">
        <is>
          <t>Spring</t>
        </is>
      </c>
      <c r="D11" t="n">
        <v>2025</v>
      </c>
      <c r="E11" t="n">
        <v>0.9759636250904258</v>
      </c>
      <c r="F11" t="n">
        <v>0.7999014912137302</v>
      </c>
      <c r="G11">
        <f>IF(OR(F11="",E11=""),"",F11-E11)</f>
        <v/>
      </c>
      <c r="H11" t="n">
        <v>0.1653796609584316</v>
      </c>
      <c r="I11" t="inlineStr">
        <is>
          <t>Below median</t>
        </is>
      </c>
    </row>
    <row r="12">
      <c r="A12" t="inlineStr">
        <is>
          <t>FR</t>
        </is>
      </c>
      <c r="B12" t="inlineStr">
        <is>
          <t>Spring2025</t>
        </is>
      </c>
      <c r="C12" t="inlineStr">
        <is>
          <t>Spring</t>
        </is>
      </c>
      <c r="D12" t="n">
        <v>2025</v>
      </c>
      <c r="E12" t="n">
        <v>0.5726626965854908</v>
      </c>
      <c r="F12" t="n">
        <v>0.8856194604563682</v>
      </c>
      <c r="G12">
        <f>IF(OR(F12="",E12=""),"",F12-E12)</f>
        <v/>
      </c>
      <c r="H12" t="n">
        <v>0.007463074844978004</v>
      </c>
      <c r="I12" t="inlineStr">
        <is>
          <t>Below median</t>
        </is>
      </c>
    </row>
    <row r="13">
      <c r="A13" t="inlineStr">
        <is>
          <t>IE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3.377198218825495</v>
      </c>
      <c r="F13" t="n">
        <v>7.779175438550681</v>
      </c>
      <c r="G13">
        <f>IF(OR(F13="",E13=""),"",F13-E13)</f>
        <v/>
      </c>
      <c r="H13" t="n">
        <v>0.3209217025703492</v>
      </c>
      <c r="I13" t="inlineStr">
        <is>
          <t>Below median</t>
        </is>
      </c>
    </row>
    <row r="14">
      <c r="A14" t="inlineStr">
        <is>
          <t>IT</t>
        </is>
      </c>
      <c r="B14" t="inlineStr">
        <is>
          <t>Spring2025</t>
        </is>
      </c>
      <c r="C14" t="inlineStr">
        <is>
          <t>Spring</t>
        </is>
      </c>
      <c r="D14" t="n">
        <v>2025</v>
      </c>
      <c r="E14" t="n">
        <v>0.6644793059721987</v>
      </c>
      <c r="F14" t="n">
        <v>0.6613584275917628</v>
      </c>
      <c r="G14">
        <f>IF(OR(F14="",E14=""),"",F14-E14)</f>
        <v/>
      </c>
      <c r="H14" t="n">
        <v>0.06006120385204455</v>
      </c>
      <c r="I14" t="inlineStr">
        <is>
          <t>Below median</t>
        </is>
      </c>
    </row>
    <row r="15">
      <c r="A15" t="inlineStr">
        <is>
          <t>NL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1.282511180567347</v>
      </c>
      <c r="F15" t="n">
        <v>1.56298017110206</v>
      </c>
      <c r="G15">
        <f>IF(OR(F15="",E15=""),"",F15-E15)</f>
        <v/>
      </c>
      <c r="H15" t="n">
        <v>0.581936712587211</v>
      </c>
      <c r="I15" t="inlineStr">
        <is>
          <t>Below median</t>
        </is>
      </c>
    </row>
    <row r="16">
      <c r="A16" t="inlineStr">
        <is>
          <t>PT</t>
        </is>
      </c>
      <c r="B16" t="inlineStr">
        <is>
          <t>Spring2025</t>
        </is>
      </c>
      <c r="C16" t="inlineStr">
        <is>
          <t>Spring</t>
        </is>
      </c>
      <c r="D16" t="n">
        <v>2025</v>
      </c>
      <c r="E16" t="n">
        <v>1.750587684359384</v>
      </c>
      <c r="F16" t="n">
        <v>1.84420000904056</v>
      </c>
      <c r="G16">
        <f>IF(OR(F16="",E16=""),"",F16-E16)</f>
        <v/>
      </c>
      <c r="H16" t="n">
        <v>0.04314109876700022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-5.513127765531012</v>
      </c>
      <c r="F17" t="n">
        <v>-6.59001327711653</v>
      </c>
      <c r="G17">
        <f>IF(OR(F17="",E17=""),"",F17-E17)</f>
        <v/>
      </c>
      <c r="H17" t="n">
        <v>0.9154179761230141</v>
      </c>
      <c r="I17" t="inlineStr">
        <is>
          <t>Above median</t>
        </is>
      </c>
    </row>
    <row r="18">
      <c r="A18" t="inlineStr">
        <is>
          <t>BE</t>
        </is>
      </c>
      <c r="B18" t="inlineStr">
        <is>
          <t>Spring2020</t>
        </is>
      </c>
      <c r="C18" t="inlineStr">
        <is>
          <t>Spring</t>
        </is>
      </c>
      <c r="D18" t="n">
        <v>2020</v>
      </c>
      <c r="E18" t="n">
        <v>-7.157599524765502</v>
      </c>
      <c r="F18" t="n">
        <v>-4.911676496558489</v>
      </c>
      <c r="G18">
        <f>IF(OR(F18="",E18=""),"",F18-E18)</f>
        <v/>
      </c>
      <c r="H18" t="n">
        <v>0.9449751689024848</v>
      </c>
      <c r="I18" t="inlineStr">
        <is>
          <t>Above median</t>
        </is>
      </c>
    </row>
    <row r="19">
      <c r="A19" t="inlineStr">
        <is>
          <t>DE</t>
        </is>
      </c>
      <c r="B19" t="inlineStr">
        <is>
          <t>Spring2020</t>
        </is>
      </c>
      <c r="C19" t="inlineStr">
        <is>
          <t>Spring</t>
        </is>
      </c>
      <c r="D19" t="n">
        <v>2020</v>
      </c>
      <c r="E19" t="n">
        <v>-6.469577184894426</v>
      </c>
      <c r="F19" t="n">
        <v>-4.501901267987128</v>
      </c>
      <c r="G19">
        <f>IF(OR(F19="",E19=""),"",F19-E19)</f>
        <v/>
      </c>
      <c r="H19" t="n">
        <v>0.9388398858451383</v>
      </c>
      <c r="I19" t="inlineStr">
        <is>
          <t>Above median</t>
        </is>
      </c>
    </row>
    <row r="20">
      <c r="A20" t="inlineStr">
        <is>
          <t>ES</t>
        </is>
      </c>
      <c r="B20" t="inlineStr">
        <is>
          <t>Spring2020</t>
        </is>
      </c>
      <c r="C20" t="inlineStr">
        <is>
          <t>Spring</t>
        </is>
      </c>
      <c r="D20" t="n">
        <v>2020</v>
      </c>
      <c r="E20" t="n">
        <v>-9.384345976627827</v>
      </c>
      <c r="F20" t="n">
        <v>-11.58616521695834</v>
      </c>
      <c r="G20">
        <f>IF(OR(F20="",E20=""),"",F20-E20)</f>
        <v/>
      </c>
      <c r="H20" t="n">
        <v>0.8671049335821375</v>
      </c>
      <c r="I20" t="inlineStr">
        <is>
          <t>Above median</t>
        </is>
      </c>
    </row>
    <row r="21">
      <c r="A21" t="inlineStr">
        <is>
          <t>FI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-6.334008638214483</v>
      </c>
      <c r="F21" t="n">
        <v>-2.521663955161345</v>
      </c>
      <c r="G21">
        <f>IF(OR(F21="",E21=""),"",F21-E21)</f>
        <v/>
      </c>
      <c r="H21" t="n">
        <v>0.9601184888395623</v>
      </c>
      <c r="I21" t="inlineStr">
        <is>
          <t>Above median</t>
        </is>
      </c>
    </row>
    <row r="22">
      <c r="A22" t="inlineStr">
        <is>
          <t>FR</t>
        </is>
      </c>
      <c r="B22" t="inlineStr">
        <is>
          <t>Spring2020</t>
        </is>
      </c>
      <c r="C22" t="inlineStr">
        <is>
          <t>Spring</t>
        </is>
      </c>
      <c r="D22" t="n">
        <v>2020</v>
      </c>
      <c r="E22" t="n">
        <v>-8.248298085436833</v>
      </c>
      <c r="F22" t="n">
        <v>-7.912013894217821</v>
      </c>
      <c r="G22">
        <f>IF(OR(F22="",E22=""),"",F22-E22)</f>
        <v/>
      </c>
      <c r="H22" t="n">
        <v>0.9271277985535474</v>
      </c>
      <c r="I22" t="inlineStr">
        <is>
          <t>Above median</t>
        </is>
      </c>
    </row>
    <row r="23">
      <c r="A23" t="inlineStr">
        <is>
          <t>IE</t>
        </is>
      </c>
      <c r="B23" t="inlineStr">
        <is>
          <t>Spring2020</t>
        </is>
      </c>
      <c r="C23" t="inlineStr">
        <is>
          <t>Spring</t>
        </is>
      </c>
      <c r="D23" t="n">
        <v>2020</v>
      </c>
      <c r="E23" t="n">
        <v>-7.947048013854707</v>
      </c>
      <c r="F23" t="n">
        <v>6.986381430371383</v>
      </c>
      <c r="G23">
        <f>IF(OR(F23="",E23=""),"",F23-E23)</f>
        <v/>
      </c>
      <c r="H23" t="n">
        <v>0.9543581265999627</v>
      </c>
      <c r="I23" t="inlineStr">
        <is>
          <t>Above median</t>
        </is>
      </c>
    </row>
    <row r="24">
      <c r="A24" t="inlineStr">
        <is>
          <t>IT</t>
        </is>
      </c>
      <c r="B24" t="inlineStr">
        <is>
          <t>Spring2020</t>
        </is>
      </c>
      <c r="C24" t="inlineStr">
        <is>
          <t>Spring</t>
        </is>
      </c>
      <c r="D24" t="n">
        <v>2020</v>
      </c>
      <c r="E24" t="n">
        <v>-9.517990850094149</v>
      </c>
      <c r="F24" t="n">
        <v>-9.378376752242147</v>
      </c>
      <c r="G24">
        <f>IF(OR(F24="",E24=""),"",F24-E24)</f>
        <v/>
      </c>
      <c r="H24" t="n">
        <v>0.93164971955174</v>
      </c>
      <c r="I24" t="inlineStr">
        <is>
          <t>Above median</t>
        </is>
      </c>
    </row>
    <row r="25">
      <c r="A25" t="inlineStr">
        <is>
          <t>NL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-6.84789638206369</v>
      </c>
      <c r="F25" t="n">
        <v>-3.903950943482849</v>
      </c>
      <c r="G25">
        <f>IF(OR(F25="",E25=""),"",F25-E25)</f>
        <v/>
      </c>
      <c r="H25" t="n">
        <v>0.94574295007118</v>
      </c>
      <c r="I25" t="inlineStr">
        <is>
          <t>Above median</t>
        </is>
      </c>
    </row>
    <row r="26">
      <c r="A26" t="inlineStr">
        <is>
          <t>PT</t>
        </is>
      </c>
      <c r="B26" t="inlineStr">
        <is>
          <t>Spring2020</t>
        </is>
      </c>
      <c r="C26" t="inlineStr">
        <is>
          <t>Spring</t>
        </is>
      </c>
      <c r="D26" t="n">
        <v>2020</v>
      </c>
      <c r="E26" t="n">
        <v>-6.765180961341111</v>
      </c>
      <c r="F26" t="n">
        <v>-8.560903203336046</v>
      </c>
      <c r="G26">
        <f>IF(OR(F26="",E26=""),"",F26-E26)</f>
        <v/>
      </c>
      <c r="H26" t="n">
        <v>0.9199432280758927</v>
      </c>
      <c r="I26" t="inlineStr">
        <is>
          <t>Above median</t>
        </is>
      </c>
    </row>
    <row r="27">
      <c r="A27" t="inlineStr">
        <is>
          <t>BE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2.016579561869025</v>
      </c>
      <c r="F27" t="n">
        <v>3.945716681463399</v>
      </c>
      <c r="G27">
        <f>IF(OR(F27="",E27=""),"",F27-E27)</f>
        <v/>
      </c>
      <c r="H27" t="n">
        <v>0.8630359765160468</v>
      </c>
      <c r="I27" t="inlineStr">
        <is>
          <t>Above median</t>
        </is>
      </c>
    </row>
    <row r="28">
      <c r="A28" t="inlineStr">
        <is>
          <t>DE</t>
        </is>
      </c>
      <c r="B28" t="inlineStr">
        <is>
          <t>Spring2022</t>
        </is>
      </c>
      <c r="C28" t="inlineStr">
        <is>
          <t>Spring</t>
        </is>
      </c>
      <c r="D28" t="n">
        <v>2022</v>
      </c>
      <c r="E28" t="n">
        <v>1.557968342243976</v>
      </c>
      <c r="F28" t="n">
        <v>1.931834126476093</v>
      </c>
      <c r="G28">
        <f>IF(OR(F28="",E28=""),"",F28-E28)</f>
        <v/>
      </c>
      <c r="H28" t="n">
        <v>0.9099167572496889</v>
      </c>
      <c r="I28" t="inlineStr">
        <is>
          <t>Above median</t>
        </is>
      </c>
    </row>
    <row r="29">
      <c r="A29" t="inlineStr">
        <is>
          <t>FI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1.603112304026943</v>
      </c>
      <c r="F29" t="n">
        <v>0.7600629155646718</v>
      </c>
      <c r="G29">
        <f>IF(OR(F29="",E29=""),"",F29-E29)</f>
        <v/>
      </c>
      <c r="H29" t="n">
        <v>0.8414199132669851</v>
      </c>
      <c r="I29" t="inlineStr">
        <is>
          <t>Above median</t>
        </is>
      </c>
    </row>
    <row r="30">
      <c r="A30" t="inlineStr">
        <is>
          <t>FR</t>
        </is>
      </c>
      <c r="B30" t="inlineStr">
        <is>
          <t>Spring2022</t>
        </is>
      </c>
      <c r="C30" t="inlineStr">
        <is>
          <t>Spring</t>
        </is>
      </c>
      <c r="D30" t="n">
        <v>2022</v>
      </c>
      <c r="E30" t="n">
        <v>3.098952418316858</v>
      </c>
      <c r="F30" t="n">
        <v>2.761671160127166</v>
      </c>
      <c r="G30">
        <f>IF(OR(F30="",E30=""),"",F30-E30)</f>
        <v/>
      </c>
      <c r="H30" t="n">
        <v>0.9216574868725694</v>
      </c>
      <c r="I30" t="inlineStr">
        <is>
          <t>Above median</t>
        </is>
      </c>
    </row>
    <row r="31">
      <c r="A31" t="inlineStr">
        <is>
          <t>IT</t>
        </is>
      </c>
      <c r="B31" t="inlineStr">
        <is>
          <t>Spring2022</t>
        </is>
      </c>
      <c r="C31" t="inlineStr">
        <is>
          <t>Spring</t>
        </is>
      </c>
      <c r="D31" t="n">
        <v>2022</v>
      </c>
      <c r="E31" t="n">
        <v>2.425654280482226</v>
      </c>
      <c r="F31" t="n">
        <v>4.854613486697751</v>
      </c>
      <c r="G31">
        <f>IF(OR(F31="",E31=""),"",F31-E31)</f>
        <v/>
      </c>
      <c r="H31" t="n">
        <v>0.902040634256668</v>
      </c>
      <c r="I31" t="inlineStr">
        <is>
          <t>Above median</t>
        </is>
      </c>
    </row>
    <row r="33">
      <c r="B33" s="1" t="inlineStr">
        <is>
          <t>full sample</t>
        </is>
      </c>
      <c r="C33" s="1" t="inlineStr">
        <is>
          <t>below</t>
        </is>
      </c>
      <c r="D33" s="1" t="inlineStr">
        <is>
          <t>above</t>
        </is>
      </c>
    </row>
    <row r="34">
      <c r="A34" s="1" t="inlineStr">
        <is>
          <t>share positive surprises</t>
        </is>
      </c>
      <c r="B34" s="4">
        <f>COUNTIF($G$2:$G$31,"&gt;0")/COUNT($G$2:$G$31)</f>
        <v/>
      </c>
      <c r="C34" s="4">
        <f>COUNTIF($G$2:$G$16,"&gt;0")/COUNT($G$2:$G$16)</f>
        <v/>
      </c>
      <c r="D34" s="4">
        <f>COUNTIF($G$17:$G$31,"&gt;0")/COUNT($G$17:$G$31)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2026-09-12T19:54:18Z</dcterms:created>
  <dcterms:modified xsi:type="dcterms:W3CDTF">2026-09-12T19:54:19Z</dcterms:modified>
</cp:coreProperties>
</file>